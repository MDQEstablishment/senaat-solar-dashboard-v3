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zamil-my.sharepoint.com/personal/173577_ziic_net/Documents/Documents/All schools plan/"/>
    </mc:Choice>
  </mc:AlternateContent>
  <xr:revisionPtr revIDLastSave="9" documentId="8_{096156E8-C635-484E-9E69-8E9DF21CFF83}" xr6:coauthVersionLast="47" xr6:coauthVersionMax="47" xr10:uidLastSave="{F0368DBB-9C87-4510-BA17-DF31D342C3E3}"/>
  <bookViews>
    <workbookView xWindow="-110" yWindow="-110" windowWidth="19420" windowHeight="10300" xr2:uid="{00000000-000D-0000-FFFF-FFFF00000000}"/>
  </bookViews>
  <sheets>
    <sheet name="Dammam school-1" sheetId="21" r:id="rId1"/>
    <sheet name="Madina Schools -1 " sheetId="20" r:id="rId2"/>
    <sheet name="Qassim Schools -1" sheetId="19" r:id="rId3"/>
    <sheet name="Jeddah Schools -1" sheetId="18" r:id="rId4"/>
    <sheet name="Makkah Schools -1 " sheetId="17" r:id="rId5"/>
    <sheet name="Al Jouf Schools -1 " sheetId="9" r:id="rId6"/>
    <sheet name="Hail Schools -1" sheetId="8" r:id="rId7"/>
    <sheet name="NB Schools -1 " sheetId="10" r:id="rId8"/>
    <sheet name="Najran Schools -1" sheetId="7" r:id="rId9"/>
    <sheet name="Jazan Schools -1" sheetId="6" r:id="rId10"/>
    <sheet name="Al Hasa Schools -1" sheetId="5" r:id="rId11"/>
    <sheet name="Riyadh  Schools -3 " sheetId="4" r:id="rId12"/>
    <sheet name="Makkah Schools -2 " sheetId="3" r:id="rId13"/>
  </sheets>
  <definedNames>
    <definedName name="_xlnm._FilterDatabase" localSheetId="5" hidden="1">'Al Jouf Schools -1 '!$A$3:$AN$206</definedName>
    <definedName name="_xlnm._FilterDatabase" localSheetId="0" hidden="1">'Dammam school-1'!$A$3:$AN$204</definedName>
    <definedName name="_xlnm._FilterDatabase" localSheetId="6" hidden="1">'Hail Schools -1'!$B$3:$AQ$206</definedName>
    <definedName name="_xlnm._FilterDatabase" localSheetId="9" hidden="1">'Jazan Schools -1'!$A$3:$AL$206</definedName>
    <definedName name="_xlnm._FilterDatabase" localSheetId="3" hidden="1">'Jeddah Schools -1'!$A$3:$AM$207</definedName>
    <definedName name="_xlnm._FilterDatabase" localSheetId="1" hidden="1">'Madina Schools -1 '!$B$3:$L$206</definedName>
    <definedName name="_xlnm._FilterDatabase" localSheetId="4" hidden="1">'Makkah Schools -1 '!$A$3:$AN$206</definedName>
    <definedName name="_xlnm._FilterDatabase" localSheetId="8" hidden="1">'Najran Schools -1'!$B$3:$AH$206</definedName>
    <definedName name="_xlnm._FilterDatabase" localSheetId="7" hidden="1">'NB Schools -1 '!$A$1:$AG$204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4" i="9" l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G115" i="9"/>
  <c r="AG116" i="9"/>
  <c r="AG117" i="9"/>
  <c r="AG118" i="9"/>
  <c r="AG119" i="9"/>
  <c r="AG120" i="9"/>
  <c r="AG121" i="9"/>
  <c r="AG122" i="9"/>
  <c r="AG123" i="9"/>
  <c r="AG124" i="9"/>
  <c r="AG125" i="9"/>
  <c r="AG126" i="9"/>
  <c r="AG127" i="9"/>
  <c r="AG128" i="9"/>
  <c r="AG129" i="9"/>
  <c r="AG130" i="9"/>
  <c r="AG131" i="9"/>
  <c r="AG132" i="9"/>
  <c r="AG133" i="9"/>
  <c r="AG134" i="9"/>
  <c r="AG135" i="9"/>
  <c r="AG136" i="9"/>
  <c r="AG137" i="9"/>
  <c r="AG138" i="9"/>
  <c r="AG139" i="9"/>
  <c r="AG140" i="9"/>
  <c r="AG141" i="9"/>
  <c r="AG142" i="9"/>
  <c r="AG143" i="9"/>
  <c r="AG144" i="9"/>
  <c r="AG145" i="9"/>
  <c r="AG146" i="9"/>
  <c r="AG147" i="9"/>
  <c r="AG148" i="9"/>
  <c r="AG149" i="9"/>
  <c r="AG150" i="9"/>
  <c r="AG151" i="9"/>
  <c r="AG152" i="9"/>
  <c r="AG153" i="9"/>
  <c r="AG154" i="9"/>
  <c r="AG155" i="9"/>
  <c r="AG156" i="9"/>
  <c r="AG157" i="9"/>
  <c r="AG158" i="9"/>
  <c r="AG159" i="9"/>
  <c r="AG160" i="9"/>
  <c r="AG161" i="9"/>
  <c r="AG162" i="9"/>
  <c r="AG163" i="9"/>
  <c r="AG164" i="9"/>
  <c r="AG165" i="9"/>
  <c r="AG166" i="9"/>
  <c r="AG167" i="9"/>
  <c r="AG168" i="9"/>
  <c r="AG169" i="9"/>
  <c r="AG170" i="9"/>
  <c r="AG171" i="9"/>
  <c r="AG172" i="9"/>
  <c r="AG173" i="9"/>
  <c r="AG174" i="9"/>
  <c r="AG175" i="9"/>
  <c r="AG176" i="9"/>
  <c r="AG177" i="9"/>
  <c r="AG178" i="9"/>
  <c r="AG179" i="9"/>
  <c r="AG180" i="9"/>
  <c r="AG181" i="9"/>
  <c r="AG182" i="9"/>
  <c r="AG183" i="9"/>
  <c r="AG184" i="9"/>
  <c r="AG185" i="9"/>
  <c r="AG186" i="9"/>
  <c r="AG187" i="9"/>
  <c r="AG188" i="9"/>
  <c r="AG189" i="9"/>
  <c r="AG190" i="9"/>
  <c r="AG191" i="9"/>
  <c r="AG192" i="9"/>
  <c r="AG193" i="9"/>
  <c r="AG194" i="9"/>
  <c r="AG195" i="9"/>
  <c r="AG196" i="9"/>
  <c r="AG197" i="9"/>
  <c r="AG198" i="9"/>
  <c r="AG199" i="9"/>
  <c r="AG200" i="9"/>
  <c r="AG201" i="9"/>
  <c r="AG202" i="9"/>
  <c r="AG203" i="9"/>
  <c r="AE4" i="10" l="1"/>
  <c r="AH122" i="9" l="1"/>
  <c r="L180" i="8"/>
  <c r="AG180" i="8"/>
  <c r="AH180" i="8"/>
  <c r="AI180" i="8"/>
  <c r="AH181" i="8"/>
  <c r="AI181" i="8" s="1" a="1"/>
  <c r="AI181" i="8" s="1"/>
  <c r="AG181" i="8"/>
  <c r="AJ180" i="8" l="1" a="1"/>
  <c r="AJ180" i="8" s="1"/>
  <c r="AF102" i="17" l="1"/>
  <c r="AG102" i="17"/>
  <c r="AF101" i="17"/>
  <c r="AG101" i="17"/>
  <c r="AH102" i="17"/>
  <c r="AI102" i="17" l="1" a="1"/>
  <c r="AI102" i="17" s="1"/>
  <c r="AD145" i="6" l="1"/>
  <c r="AE145" i="6"/>
  <c r="AF145" i="6"/>
  <c r="AG145" i="6" l="1" a="1"/>
  <c r="AG145" i="6" s="1"/>
  <c r="K74" i="17"/>
  <c r="AF74" i="17"/>
  <c r="AG74" i="17"/>
  <c r="AH74" i="17"/>
  <c r="AI74" i="17" l="1" a="1"/>
  <c r="AI74" i="17" s="1"/>
  <c r="L185" i="8" l="1"/>
  <c r="L186" i="8"/>
  <c r="O204" i="10" l="1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136" i="18"/>
  <c r="AF136" i="18"/>
  <c r="AG136" i="18"/>
  <c r="AE150" i="18"/>
  <c r="AF150" i="18"/>
  <c r="AG150" i="18"/>
  <c r="AH136" i="18" l="1" a="1"/>
  <c r="AH136" i="18" s="1"/>
  <c r="AH150" i="18" a="1"/>
  <c r="AH150" i="18" s="1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AD207" i="18"/>
  <c r="AC207" i="18"/>
  <c r="AB207" i="18"/>
  <c r="AA207" i="18"/>
  <c r="Z207" i="18"/>
  <c r="Y207" i="18"/>
  <c r="X207" i="18"/>
  <c r="W207" i="18"/>
  <c r="V207" i="18"/>
  <c r="U207" i="18"/>
  <c r="T207" i="18"/>
  <c r="S207" i="18"/>
  <c r="R207" i="18"/>
  <c r="Q207" i="18"/>
  <c r="P207" i="18"/>
  <c r="O207" i="18"/>
  <c r="AD206" i="18"/>
  <c r="AC206" i="18"/>
  <c r="AB206" i="18"/>
  <c r="AA206" i="18"/>
  <c r="Z206" i="18"/>
  <c r="Y206" i="18"/>
  <c r="X206" i="18"/>
  <c r="W206" i="18"/>
  <c r="V206" i="18"/>
  <c r="U206" i="18"/>
  <c r="T206" i="18"/>
  <c r="S206" i="18"/>
  <c r="R206" i="18"/>
  <c r="Q206" i="18"/>
  <c r="P206" i="18"/>
  <c r="O206" i="18"/>
  <c r="AD205" i="18"/>
  <c r="AC205" i="18"/>
  <c r="AB205" i="18"/>
  <c r="AA205" i="18"/>
  <c r="Z205" i="18"/>
  <c r="Y205" i="18"/>
  <c r="X205" i="18"/>
  <c r="W205" i="18"/>
  <c r="V205" i="18"/>
  <c r="U205" i="18"/>
  <c r="T205" i="18"/>
  <c r="S205" i="18"/>
  <c r="R205" i="18"/>
  <c r="Q205" i="18"/>
  <c r="P205" i="18"/>
  <c r="O205" i="18"/>
  <c r="K5" i="5" l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4" i="5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2" i="8"/>
  <c r="L183" i="8"/>
  <c r="L184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4" i="8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5" i="9"/>
  <c r="L116" i="9"/>
  <c r="L117" i="9"/>
  <c r="L118" i="9"/>
  <c r="L119" i="9"/>
  <c r="L120" i="9"/>
  <c r="L121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4" i="9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4" i="17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4" i="21"/>
  <c r="AC207" i="19"/>
  <c r="AB207" i="19"/>
  <c r="AA207" i="19"/>
  <c r="Z207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AC206" i="19"/>
  <c r="AB206" i="19"/>
  <c r="AA206" i="19"/>
  <c r="Z206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AC205" i="19"/>
  <c r="AB205" i="19"/>
  <c r="AA205" i="19"/>
  <c r="Z205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AF206" i="21" l="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AI203" i="21"/>
  <c r="AH203" i="21"/>
  <c r="AG203" i="21"/>
  <c r="AI202" i="21"/>
  <c r="AH202" i="21"/>
  <c r="AG202" i="21"/>
  <c r="AJ202" i="21" s="1" a="1"/>
  <c r="AJ202" i="21" s="1"/>
  <c r="AI201" i="21"/>
  <c r="AH201" i="21"/>
  <c r="AG201" i="21"/>
  <c r="AI200" i="21"/>
  <c r="AH200" i="21"/>
  <c r="AG200" i="21"/>
  <c r="AJ200" i="21" s="1" a="1"/>
  <c r="AJ200" i="21" s="1"/>
  <c r="AI199" i="21"/>
  <c r="AH199" i="21"/>
  <c r="AG199" i="21"/>
  <c r="AI198" i="21"/>
  <c r="AH198" i="21"/>
  <c r="AG198" i="21"/>
  <c r="AJ198" i="21" s="1" a="1"/>
  <c r="AJ198" i="21" s="1"/>
  <c r="AI197" i="21"/>
  <c r="AH197" i="21"/>
  <c r="AG197" i="21"/>
  <c r="AI196" i="21"/>
  <c r="AH196" i="21"/>
  <c r="AG196" i="21"/>
  <c r="AJ196" i="21" s="1" a="1"/>
  <c r="AJ196" i="21" s="1"/>
  <c r="AI195" i="21"/>
  <c r="AH195" i="21"/>
  <c r="AG195" i="21"/>
  <c r="AI194" i="21"/>
  <c r="AH194" i="21"/>
  <c r="AG194" i="21"/>
  <c r="AJ194" i="21" s="1" a="1"/>
  <c r="AJ194" i="21" s="1"/>
  <c r="AI193" i="21"/>
  <c r="AH193" i="21"/>
  <c r="AG193" i="21"/>
  <c r="AI192" i="21"/>
  <c r="AH192" i="21"/>
  <c r="AG192" i="21"/>
  <c r="AI191" i="21"/>
  <c r="AH191" i="21"/>
  <c r="AG191" i="21"/>
  <c r="AJ191" i="21" s="1" a="1"/>
  <c r="AJ191" i="21" s="1"/>
  <c r="AI190" i="21"/>
  <c r="AH190" i="21"/>
  <c r="AG190" i="21"/>
  <c r="AJ190" i="21" s="1" a="1"/>
  <c r="AJ190" i="21" s="1"/>
  <c r="AI189" i="21"/>
  <c r="AH189" i="21"/>
  <c r="AG189" i="21"/>
  <c r="AJ188" i="21" a="1"/>
  <c r="AJ188" i="21" s="1"/>
  <c r="AI188" i="21"/>
  <c r="AH188" i="21"/>
  <c r="AG188" i="21"/>
  <c r="AI187" i="21"/>
  <c r="AH187" i="21"/>
  <c r="AG187" i="21"/>
  <c r="AJ187" i="21" s="1" a="1"/>
  <c r="AJ187" i="21" s="1"/>
  <c r="AI186" i="21"/>
  <c r="AH186" i="21"/>
  <c r="AG186" i="21"/>
  <c r="AJ186" i="21" s="1" a="1"/>
  <c r="AJ186" i="21" s="1"/>
  <c r="AI185" i="21"/>
  <c r="AH185" i="21"/>
  <c r="AG185" i="21"/>
  <c r="AI184" i="21"/>
  <c r="AH184" i="21"/>
  <c r="AG184" i="21"/>
  <c r="AI183" i="21"/>
  <c r="AH183" i="21"/>
  <c r="AG183" i="21"/>
  <c r="AJ183" i="21" s="1" a="1"/>
  <c r="AJ183" i="21" s="1"/>
  <c r="AI182" i="21"/>
  <c r="AH182" i="21"/>
  <c r="AG182" i="21"/>
  <c r="AJ182" i="21" s="1" a="1"/>
  <c r="AJ182" i="21" s="1"/>
  <c r="AI181" i="21"/>
  <c r="AH181" i="21"/>
  <c r="AG181" i="21"/>
  <c r="AJ181" i="21" s="1" a="1"/>
  <c r="AJ181" i="21" s="1"/>
  <c r="AI180" i="21"/>
  <c r="AH180" i="21"/>
  <c r="AJ180" i="21" s="1" a="1"/>
  <c r="AJ180" i="21" s="1"/>
  <c r="AG180" i="21"/>
  <c r="AI179" i="21"/>
  <c r="AH179" i="21"/>
  <c r="AG179" i="21"/>
  <c r="AJ179" i="21" s="1" a="1"/>
  <c r="AJ179" i="21" s="1"/>
  <c r="AI178" i="21"/>
  <c r="AH178" i="21"/>
  <c r="AG178" i="21"/>
  <c r="AI177" i="21"/>
  <c r="AH177" i="21"/>
  <c r="AG177" i="21"/>
  <c r="AJ177" i="21" s="1" a="1"/>
  <c r="AJ177" i="21" s="1"/>
  <c r="AI176" i="21"/>
  <c r="AH176" i="21"/>
  <c r="AG176" i="21"/>
  <c r="AJ176" i="21" s="1" a="1"/>
  <c r="AJ176" i="21" s="1"/>
  <c r="AI175" i="21"/>
  <c r="AJ175" i="21" s="1" a="1"/>
  <c r="AJ175" i="21" s="1"/>
  <c r="AH175" i="21"/>
  <c r="AG175" i="21"/>
  <c r="AI174" i="21"/>
  <c r="AH174" i="21"/>
  <c r="AG174" i="21"/>
  <c r="AJ174" i="21" s="1" a="1"/>
  <c r="AJ174" i="21" s="1"/>
  <c r="AI173" i="21"/>
  <c r="AH173" i="21"/>
  <c r="AG173" i="21"/>
  <c r="AJ173" i="21" s="1" a="1"/>
  <c r="AJ173" i="21" s="1"/>
  <c r="AI172" i="21"/>
  <c r="AH172" i="21"/>
  <c r="AG172" i="21"/>
  <c r="AJ172" i="21" s="1" a="1"/>
  <c r="AJ172" i="21" s="1"/>
  <c r="AI171" i="21"/>
  <c r="AJ171" i="21" s="1" a="1"/>
  <c r="AJ171" i="21" s="1"/>
  <c r="AH171" i="21"/>
  <c r="AG171" i="21"/>
  <c r="AI170" i="21"/>
  <c r="AH170" i="21"/>
  <c r="AG170" i="21"/>
  <c r="AJ170" i="21" s="1" a="1"/>
  <c r="AJ170" i="21" s="1"/>
  <c r="AI169" i="21"/>
  <c r="AH169" i="21"/>
  <c r="AG169" i="21"/>
  <c r="AI168" i="21"/>
  <c r="AH168" i="21"/>
  <c r="AG168" i="21"/>
  <c r="AJ168" i="21" s="1" a="1"/>
  <c r="AJ168" i="21" s="1"/>
  <c r="AI167" i="21"/>
  <c r="AH167" i="21"/>
  <c r="AG167" i="21"/>
  <c r="AI166" i="21"/>
  <c r="AH166" i="21"/>
  <c r="AG166" i="21"/>
  <c r="AJ166" i="21" s="1" a="1"/>
  <c r="AJ166" i="21" s="1"/>
  <c r="AI165" i="21"/>
  <c r="AH165" i="21"/>
  <c r="AG165" i="21"/>
  <c r="AI164" i="21"/>
  <c r="AH164" i="21"/>
  <c r="AG164" i="21"/>
  <c r="AI163" i="21"/>
  <c r="AH163" i="21"/>
  <c r="AG163" i="21"/>
  <c r="AJ163" i="21" s="1" a="1"/>
  <c r="AJ163" i="21" s="1"/>
  <c r="AI162" i="21"/>
  <c r="AH162" i="21"/>
  <c r="AG162" i="21"/>
  <c r="AI161" i="21"/>
  <c r="AH161" i="21"/>
  <c r="AG161" i="21"/>
  <c r="AI160" i="21"/>
  <c r="AH160" i="21"/>
  <c r="AG160" i="21"/>
  <c r="AJ160" i="21" s="1" a="1"/>
  <c r="AJ160" i="21" s="1"/>
  <c r="AI159" i="21"/>
  <c r="AH159" i="21"/>
  <c r="AG159" i="21"/>
  <c r="AJ159" i="21" s="1" a="1"/>
  <c r="AJ159" i="21" s="1"/>
  <c r="AJ158" i="21" a="1"/>
  <c r="AJ158" i="21" s="1"/>
  <c r="AI158" i="21"/>
  <c r="AH158" i="21"/>
  <c r="AG158" i="21"/>
  <c r="AI157" i="21"/>
  <c r="AH157" i="21"/>
  <c r="AG157" i="21"/>
  <c r="AI156" i="21"/>
  <c r="AH156" i="21"/>
  <c r="AG156" i="21"/>
  <c r="AJ156" i="21" s="1" a="1"/>
  <c r="AJ156" i="21" s="1"/>
  <c r="AI155" i="21"/>
  <c r="AH155" i="21"/>
  <c r="AG155" i="21"/>
  <c r="AJ155" i="21" s="1" a="1"/>
  <c r="AJ155" i="21" s="1"/>
  <c r="AI154" i="21"/>
  <c r="AJ154" i="21" s="1" a="1"/>
  <c r="AJ154" i="21" s="1"/>
  <c r="AH154" i="21"/>
  <c r="AG154" i="21"/>
  <c r="AI153" i="21"/>
  <c r="AH153" i="21"/>
  <c r="AG153" i="21"/>
  <c r="AJ153" i="21" s="1" a="1"/>
  <c r="AJ153" i="21" s="1"/>
  <c r="AI152" i="21"/>
  <c r="AH152" i="21"/>
  <c r="AG152" i="21"/>
  <c r="AJ152" i="21" s="1" a="1"/>
  <c r="AJ152" i="21" s="1"/>
  <c r="AI151" i="21"/>
  <c r="AH151" i="21"/>
  <c r="AG151" i="21"/>
  <c r="AJ151" i="21" s="1" a="1"/>
  <c r="AJ151" i="21" s="1"/>
  <c r="AI150" i="21"/>
  <c r="AH150" i="21"/>
  <c r="AG150" i="21"/>
  <c r="AI149" i="21"/>
  <c r="AH149" i="21"/>
  <c r="AG149" i="21"/>
  <c r="AJ149" i="21" s="1" a="1"/>
  <c r="AJ149" i="21" s="1"/>
  <c r="AI148" i="21"/>
  <c r="AH148" i="21"/>
  <c r="AG148" i="21"/>
  <c r="AJ148" i="21" s="1" a="1"/>
  <c r="AJ148" i="21" s="1"/>
  <c r="AI147" i="21"/>
  <c r="AH147" i="21"/>
  <c r="AG147" i="21"/>
  <c r="AI146" i="21"/>
  <c r="AH146" i="21"/>
  <c r="AG146" i="21"/>
  <c r="AJ146" i="21" s="1" a="1"/>
  <c r="AJ146" i="21" s="1"/>
  <c r="AI145" i="21"/>
  <c r="AH145" i="21"/>
  <c r="AG145" i="21"/>
  <c r="AI144" i="21"/>
  <c r="AH144" i="21"/>
  <c r="AG144" i="21"/>
  <c r="AJ144" i="21" s="1" a="1"/>
  <c r="AJ144" i="21" s="1"/>
  <c r="AI143" i="21"/>
  <c r="AH143" i="21"/>
  <c r="AG143" i="21"/>
  <c r="AI142" i="21"/>
  <c r="AH142" i="21"/>
  <c r="AG142" i="21"/>
  <c r="AJ142" i="21" s="1" a="1"/>
  <c r="AJ142" i="21" s="1"/>
  <c r="AI141" i="21"/>
  <c r="AH141" i="21"/>
  <c r="AG141" i="21"/>
  <c r="AI140" i="21"/>
  <c r="AH140" i="21"/>
  <c r="AG140" i="21"/>
  <c r="AJ140" i="21" s="1" a="1"/>
  <c r="AJ140" i="21" s="1"/>
  <c r="AI139" i="21"/>
  <c r="AH139" i="21"/>
  <c r="AG139" i="21"/>
  <c r="AJ139" i="21" s="1" a="1"/>
  <c r="AJ139" i="21" s="1"/>
  <c r="AI138" i="21"/>
  <c r="AH138" i="21"/>
  <c r="AG138" i="21"/>
  <c r="AJ138" i="21" s="1" a="1"/>
  <c r="AJ138" i="21" s="1"/>
  <c r="AI137" i="21"/>
  <c r="AH137" i="21"/>
  <c r="AG137" i="21"/>
  <c r="AI136" i="21"/>
  <c r="AH136" i="21"/>
  <c r="AG136" i="21"/>
  <c r="AI135" i="21"/>
  <c r="AH135" i="21"/>
  <c r="AG135" i="21"/>
  <c r="AI134" i="21"/>
  <c r="AH134" i="21"/>
  <c r="AG134" i="21"/>
  <c r="AJ134" i="21" s="1" a="1"/>
  <c r="AJ134" i="21" s="1"/>
  <c r="AI133" i="21"/>
  <c r="AH133" i="21"/>
  <c r="AG133" i="21"/>
  <c r="AI132" i="21"/>
  <c r="AH132" i="21"/>
  <c r="AG132" i="21"/>
  <c r="AJ132" i="21" s="1" a="1"/>
  <c r="AJ132" i="21" s="1"/>
  <c r="AI131" i="21"/>
  <c r="AH131" i="21"/>
  <c r="AG131" i="21"/>
  <c r="AJ131" i="21" s="1" a="1"/>
  <c r="AJ131" i="21" s="1"/>
  <c r="AI130" i="21"/>
  <c r="AH130" i="21"/>
  <c r="AG130" i="21"/>
  <c r="AJ130" i="21" s="1" a="1"/>
  <c r="AJ130" i="21" s="1"/>
  <c r="AI129" i="21"/>
  <c r="AH129" i="21"/>
  <c r="AG129" i="21"/>
  <c r="AI128" i="21"/>
  <c r="AH128" i="21"/>
  <c r="AG128" i="21"/>
  <c r="AI127" i="21"/>
  <c r="AH127" i="21"/>
  <c r="AG127" i="21"/>
  <c r="AJ127" i="21" s="1" a="1"/>
  <c r="AJ127" i="21" s="1"/>
  <c r="AI126" i="21"/>
  <c r="AH126" i="21"/>
  <c r="AG126" i="21"/>
  <c r="AJ126" i="21" s="1" a="1"/>
  <c r="AJ126" i="21" s="1"/>
  <c r="AI125" i="21"/>
  <c r="AH125" i="21"/>
  <c r="AG125" i="21"/>
  <c r="AJ125" i="21" s="1" a="1"/>
  <c r="AJ125" i="21" s="1"/>
  <c r="AJ124" i="21" a="1"/>
  <c r="AJ124" i="21" s="1"/>
  <c r="AI124" i="21"/>
  <c r="AH124" i="21"/>
  <c r="AG124" i="21"/>
  <c r="AI123" i="21"/>
  <c r="AH123" i="21"/>
  <c r="AG123" i="21"/>
  <c r="AJ123" i="21" s="1" a="1"/>
  <c r="AJ123" i="21" s="1"/>
  <c r="AI122" i="21"/>
  <c r="AH122" i="21"/>
  <c r="AG122" i="21"/>
  <c r="AI121" i="21"/>
  <c r="AH121" i="21"/>
  <c r="AG121" i="21"/>
  <c r="AJ121" i="21" s="1" a="1"/>
  <c r="AJ121" i="21" s="1"/>
  <c r="AI120" i="21"/>
  <c r="AH120" i="21"/>
  <c r="AG120" i="21"/>
  <c r="AI119" i="21"/>
  <c r="AH119" i="21"/>
  <c r="AG119" i="21"/>
  <c r="AI118" i="21"/>
  <c r="AH118" i="21"/>
  <c r="AG118" i="21"/>
  <c r="AJ118" i="21" s="1" a="1"/>
  <c r="AJ118" i="21" s="1"/>
  <c r="AI117" i="21"/>
  <c r="AH117" i="21"/>
  <c r="AG117" i="21"/>
  <c r="AJ117" i="21" s="1" a="1"/>
  <c r="AJ117" i="21" s="1"/>
  <c r="AI116" i="21"/>
  <c r="AJ116" i="21" s="1" a="1"/>
  <c r="AJ116" i="21" s="1"/>
  <c r="AH116" i="21"/>
  <c r="AG116" i="21"/>
  <c r="AI115" i="21"/>
  <c r="AH115" i="21"/>
  <c r="AG115" i="21"/>
  <c r="AI114" i="21"/>
  <c r="AH114" i="21"/>
  <c r="AG114" i="21"/>
  <c r="AJ114" i="21" s="1" a="1"/>
  <c r="AJ114" i="21" s="1"/>
  <c r="AI113" i="21"/>
  <c r="AH113" i="21"/>
  <c r="AG113" i="21"/>
  <c r="AJ113" i="21" s="1" a="1"/>
  <c r="AJ113" i="21" s="1"/>
  <c r="AI112" i="21"/>
  <c r="AH112" i="21"/>
  <c r="AG112" i="21"/>
  <c r="AJ112" i="21" s="1" a="1"/>
  <c r="AJ112" i="21" s="1"/>
  <c r="AI111" i="21"/>
  <c r="AH111" i="21"/>
  <c r="AG111" i="21"/>
  <c r="AI110" i="21"/>
  <c r="AH110" i="21"/>
  <c r="AG110" i="21"/>
  <c r="AJ110" i="21" s="1" a="1"/>
  <c r="AJ110" i="21" s="1"/>
  <c r="AI109" i="21"/>
  <c r="AH109" i="21"/>
  <c r="AG109" i="21"/>
  <c r="AJ109" i="21" s="1" a="1"/>
  <c r="AJ109" i="21" s="1"/>
  <c r="AI108" i="21"/>
  <c r="AH108" i="21"/>
  <c r="AG108" i="21"/>
  <c r="AJ108" i="21" s="1" a="1"/>
  <c r="AJ108" i="21" s="1"/>
  <c r="AI107" i="21"/>
  <c r="AH107" i="21"/>
  <c r="AG107" i="21"/>
  <c r="AI106" i="21"/>
  <c r="AH106" i="21"/>
  <c r="AG106" i="21"/>
  <c r="AJ106" i="21" s="1" a="1"/>
  <c r="AJ106" i="21" s="1"/>
  <c r="AI105" i="21"/>
  <c r="AH105" i="21"/>
  <c r="AG105" i="21"/>
  <c r="AI104" i="21"/>
  <c r="AH104" i="21"/>
  <c r="AG104" i="21"/>
  <c r="AJ104" i="21" s="1" a="1"/>
  <c r="AJ104" i="21" s="1"/>
  <c r="AI103" i="21"/>
  <c r="AH103" i="21"/>
  <c r="AG103" i="21"/>
  <c r="AI102" i="21"/>
  <c r="AH102" i="21"/>
  <c r="AG102" i="21"/>
  <c r="AJ102" i="21" s="1" a="1"/>
  <c r="AJ102" i="21" s="1"/>
  <c r="AI101" i="21"/>
  <c r="AH101" i="21"/>
  <c r="AG101" i="21"/>
  <c r="AI100" i="21"/>
  <c r="AH100" i="21"/>
  <c r="AG100" i="21"/>
  <c r="AJ100" i="21" s="1" a="1"/>
  <c r="AJ100" i="21" s="1"/>
  <c r="AI99" i="21"/>
  <c r="AH99" i="21"/>
  <c r="AG99" i="21"/>
  <c r="AJ99" i="21" s="1" a="1"/>
  <c r="AJ99" i="21" s="1"/>
  <c r="AI98" i="21"/>
  <c r="AH98" i="21"/>
  <c r="AG98" i="21"/>
  <c r="AJ98" i="21" s="1" a="1"/>
  <c r="AJ98" i="21" s="1"/>
  <c r="AI97" i="21"/>
  <c r="AH97" i="21"/>
  <c r="AG97" i="21"/>
  <c r="AJ97" i="21" s="1" a="1"/>
  <c r="AJ97" i="21" s="1"/>
  <c r="AI96" i="21"/>
  <c r="AH96" i="21"/>
  <c r="AG96" i="21"/>
  <c r="AJ96" i="21" s="1" a="1"/>
  <c r="AJ96" i="21" s="1"/>
  <c r="AI95" i="21"/>
  <c r="AH95" i="21"/>
  <c r="AG95" i="21"/>
  <c r="AJ95" i="21" s="1" a="1"/>
  <c r="AJ95" i="21" s="1"/>
  <c r="AI94" i="21"/>
  <c r="AH94" i="21"/>
  <c r="AG94" i="21"/>
  <c r="AI93" i="21"/>
  <c r="AH93" i="21"/>
  <c r="AG93" i="21"/>
  <c r="AJ93" i="21" s="1" a="1"/>
  <c r="AJ93" i="21" s="1"/>
  <c r="AI92" i="21"/>
  <c r="AH92" i="21"/>
  <c r="AG92" i="21"/>
  <c r="AJ92" i="21" s="1" a="1"/>
  <c r="AJ92" i="21" s="1"/>
  <c r="AI91" i="21"/>
  <c r="AH91" i="21"/>
  <c r="AG91" i="21"/>
  <c r="AI90" i="21"/>
  <c r="AJ90" i="21" s="1" a="1"/>
  <c r="AJ90" i="21" s="1"/>
  <c r="AH90" i="21"/>
  <c r="AG90" i="21"/>
  <c r="AI89" i="21"/>
  <c r="AH89" i="21"/>
  <c r="AG89" i="21"/>
  <c r="AJ89" i="21" s="1" a="1"/>
  <c r="AJ89" i="21" s="1"/>
  <c r="AI88" i="21"/>
  <c r="AH88" i="21"/>
  <c r="AG88" i="21"/>
  <c r="AJ88" i="21" s="1" a="1"/>
  <c r="AJ88" i="21" s="1"/>
  <c r="AI87" i="21"/>
  <c r="AH87" i="21"/>
  <c r="AG87" i="21"/>
  <c r="AI86" i="21"/>
  <c r="AH86" i="21"/>
  <c r="AG86" i="21"/>
  <c r="AI85" i="21"/>
  <c r="AH85" i="21"/>
  <c r="AG85" i="21"/>
  <c r="AJ85" i="21" s="1" a="1"/>
  <c r="AJ85" i="21" s="1"/>
  <c r="AI84" i="21"/>
  <c r="AH84" i="21"/>
  <c r="AG84" i="21"/>
  <c r="AJ84" i="21" s="1" a="1"/>
  <c r="AJ84" i="21" s="1"/>
  <c r="AI83" i="21"/>
  <c r="AH83" i="21"/>
  <c r="AG83" i="21"/>
  <c r="AJ83" i="21" s="1" a="1"/>
  <c r="AJ83" i="21" s="1"/>
  <c r="AI82" i="21"/>
  <c r="AJ82" i="21" s="1" a="1"/>
  <c r="AJ82" i="21" s="1"/>
  <c r="AH82" i="21"/>
  <c r="AG82" i="21"/>
  <c r="AI81" i="21"/>
  <c r="AH81" i="21"/>
  <c r="AG81" i="21"/>
  <c r="AJ81" i="21" s="1" a="1"/>
  <c r="AJ81" i="21" s="1"/>
  <c r="AI80" i="21"/>
  <c r="AH80" i="21"/>
  <c r="AG80" i="21"/>
  <c r="AJ80" i="21" s="1" a="1"/>
  <c r="AJ80" i="21" s="1"/>
  <c r="AI79" i="21"/>
  <c r="AH79" i="21"/>
  <c r="AG79" i="21"/>
  <c r="AJ79" i="21" s="1" a="1"/>
  <c r="AJ79" i="21" s="1"/>
  <c r="AI78" i="21"/>
  <c r="AH78" i="21"/>
  <c r="AG78" i="21"/>
  <c r="AJ78" i="21" s="1" a="1"/>
  <c r="AJ78" i="21" s="1"/>
  <c r="AI77" i="21"/>
  <c r="AH77" i="21"/>
  <c r="AG77" i="21"/>
  <c r="AI76" i="21"/>
  <c r="AH76" i="21"/>
  <c r="AG76" i="21"/>
  <c r="AJ76" i="21" s="1" a="1"/>
  <c r="AJ76" i="21" s="1"/>
  <c r="AI75" i="21"/>
  <c r="AH75" i="21"/>
  <c r="AG75" i="21"/>
  <c r="AJ75" i="21" s="1" a="1"/>
  <c r="AJ75" i="21" s="1"/>
  <c r="AI74" i="21"/>
  <c r="AH74" i="21"/>
  <c r="AG74" i="21"/>
  <c r="AJ74" i="21" s="1" a="1"/>
  <c r="AJ74" i="21" s="1"/>
  <c r="AI73" i="21"/>
  <c r="AJ73" i="21" s="1" a="1"/>
  <c r="AJ73" i="21" s="1"/>
  <c r="AH73" i="21"/>
  <c r="AG73" i="21"/>
  <c r="AI72" i="21"/>
  <c r="AH72" i="21"/>
  <c r="AG72" i="21"/>
  <c r="AJ72" i="21" s="1" a="1"/>
  <c r="AJ72" i="21" s="1"/>
  <c r="AI71" i="21"/>
  <c r="AH71" i="21"/>
  <c r="AG71" i="21"/>
  <c r="AI70" i="21"/>
  <c r="AH70" i="21"/>
  <c r="AG70" i="21"/>
  <c r="AJ70" i="21" s="1" a="1"/>
  <c r="AJ70" i="21" s="1"/>
  <c r="AI69" i="21"/>
  <c r="AH69" i="21"/>
  <c r="AG69" i="21"/>
  <c r="AI68" i="21"/>
  <c r="AH68" i="21"/>
  <c r="AG68" i="21"/>
  <c r="AJ68" i="21" s="1" a="1"/>
  <c r="AJ68" i="21" s="1"/>
  <c r="AI67" i="21"/>
  <c r="AH67" i="21"/>
  <c r="AG67" i="21"/>
  <c r="AI66" i="21"/>
  <c r="AH66" i="21"/>
  <c r="AG66" i="21"/>
  <c r="AJ66" i="21" s="1" a="1"/>
  <c r="AJ66" i="21" s="1"/>
  <c r="AI65" i="21"/>
  <c r="AH65" i="21"/>
  <c r="AG65" i="21"/>
  <c r="AJ65" i="21" s="1" a="1"/>
  <c r="AJ65" i="21" s="1"/>
  <c r="AI64" i="21"/>
  <c r="AH64" i="21"/>
  <c r="AG64" i="21"/>
  <c r="AI63" i="21"/>
  <c r="AH63" i="21"/>
  <c r="AG63" i="21"/>
  <c r="AJ63" i="21" s="1" a="1"/>
  <c r="AJ63" i="21" s="1"/>
  <c r="AI62" i="21"/>
  <c r="AH62" i="21"/>
  <c r="AG62" i="21"/>
  <c r="AJ62" i="21" s="1" a="1"/>
  <c r="AJ62" i="21" s="1"/>
  <c r="AI61" i="21"/>
  <c r="AH61" i="21"/>
  <c r="AG61" i="21"/>
  <c r="AJ61" i="21" s="1" a="1"/>
  <c r="AJ61" i="21" s="1"/>
  <c r="AJ60" i="21" a="1"/>
  <c r="AJ60" i="21" s="1"/>
  <c r="AI60" i="21"/>
  <c r="AH60" i="21"/>
  <c r="AG60" i="21"/>
  <c r="AI59" i="21"/>
  <c r="AH59" i="21"/>
  <c r="AG59" i="21"/>
  <c r="AI58" i="21"/>
  <c r="AH58" i="21"/>
  <c r="AG58" i="21"/>
  <c r="AJ58" i="21" s="1" a="1"/>
  <c r="AJ58" i="21" s="1"/>
  <c r="AI57" i="21"/>
  <c r="AH57" i="21"/>
  <c r="AG57" i="21"/>
  <c r="AJ57" i="21" s="1" a="1"/>
  <c r="AJ57" i="21" s="1"/>
  <c r="AI56" i="21"/>
  <c r="AJ56" i="21" s="1" a="1"/>
  <c r="AJ56" i="21" s="1"/>
  <c r="AH56" i="21"/>
  <c r="AG56" i="21"/>
  <c r="AI55" i="21"/>
  <c r="AH55" i="21"/>
  <c r="AG55" i="21"/>
  <c r="AJ55" i="21" s="1" a="1"/>
  <c r="AJ55" i="21" s="1"/>
  <c r="AI54" i="21"/>
  <c r="AH54" i="21"/>
  <c r="AG54" i="21"/>
  <c r="AJ54" i="21" s="1" a="1"/>
  <c r="AJ54" i="21" s="1"/>
  <c r="AI53" i="21"/>
  <c r="AH53" i="21"/>
  <c r="AG53" i="21"/>
  <c r="AJ53" i="21" s="1" a="1"/>
  <c r="AJ53" i="21" s="1"/>
  <c r="AI52" i="21"/>
  <c r="AH52" i="21"/>
  <c r="AG52" i="21"/>
  <c r="AI51" i="21"/>
  <c r="AH51" i="21"/>
  <c r="AG51" i="21"/>
  <c r="AJ51" i="21" s="1" a="1"/>
  <c r="AJ51" i="21" s="1"/>
  <c r="AI50" i="21"/>
  <c r="AH50" i="21"/>
  <c r="AG50" i="21"/>
  <c r="AJ50" i="21" s="1" a="1"/>
  <c r="AJ50" i="21" s="1"/>
  <c r="AI49" i="21"/>
  <c r="AH49" i="21"/>
  <c r="AG49" i="21"/>
  <c r="AJ49" i="21" s="1" a="1"/>
  <c r="AJ49" i="21" s="1"/>
  <c r="AI48" i="21"/>
  <c r="AH48" i="21"/>
  <c r="AG48" i="21"/>
  <c r="AJ48" i="21" s="1" a="1"/>
  <c r="AJ48" i="21" s="1"/>
  <c r="AI47" i="21"/>
  <c r="AH47" i="21"/>
  <c r="AG47" i="21"/>
  <c r="AI46" i="21"/>
  <c r="AH46" i="21"/>
  <c r="AG46" i="21"/>
  <c r="AJ46" i="21" s="1" a="1"/>
  <c r="AJ46" i="21" s="1"/>
  <c r="AI45" i="21"/>
  <c r="AH45" i="21"/>
  <c r="AG45" i="21"/>
  <c r="AI44" i="21"/>
  <c r="AH44" i="21"/>
  <c r="AG44" i="21"/>
  <c r="AJ44" i="21" s="1" a="1"/>
  <c r="AJ44" i="21" s="1"/>
  <c r="AI43" i="21"/>
  <c r="AH43" i="21"/>
  <c r="AG43" i="21"/>
  <c r="AI42" i="21"/>
  <c r="AH42" i="21"/>
  <c r="AG42" i="21"/>
  <c r="AJ42" i="21" s="1" a="1"/>
  <c r="AJ42" i="21" s="1"/>
  <c r="AI41" i="21"/>
  <c r="AH41" i="21"/>
  <c r="AG41" i="21"/>
  <c r="AJ41" i="21" s="1" a="1"/>
  <c r="AJ41" i="21" s="1"/>
  <c r="AI40" i="21"/>
  <c r="AH40" i="21"/>
  <c r="AG40" i="21"/>
  <c r="AJ40" i="21" s="1" a="1"/>
  <c r="AJ40" i="21" s="1"/>
  <c r="AI39" i="21"/>
  <c r="AH39" i="21"/>
  <c r="AG39" i="21"/>
  <c r="AI38" i="21"/>
  <c r="AH38" i="21"/>
  <c r="AG38" i="21"/>
  <c r="AJ38" i="21" s="1" a="1"/>
  <c r="AJ38" i="21" s="1"/>
  <c r="AI37" i="21"/>
  <c r="AH37" i="21"/>
  <c r="AG37" i="21"/>
  <c r="AI36" i="21"/>
  <c r="AH36" i="21"/>
  <c r="AG36" i="21"/>
  <c r="AJ36" i="21" s="1" a="1"/>
  <c r="AJ36" i="21" s="1"/>
  <c r="AI35" i="21"/>
  <c r="AH35" i="21"/>
  <c r="AG35" i="21"/>
  <c r="AJ35" i="21" s="1" a="1"/>
  <c r="AJ35" i="21" s="1"/>
  <c r="AI34" i="21"/>
  <c r="AH34" i="21"/>
  <c r="AG34" i="21"/>
  <c r="AJ34" i="21" s="1" a="1"/>
  <c r="AJ34" i="21" s="1"/>
  <c r="AI33" i="21"/>
  <c r="AH33" i="21"/>
  <c r="AG33" i="21"/>
  <c r="AJ33" i="21" s="1" a="1"/>
  <c r="AJ33" i="21" s="1"/>
  <c r="AI32" i="21"/>
  <c r="AH32" i="21"/>
  <c r="AG32" i="21"/>
  <c r="AJ32" i="21" s="1" a="1"/>
  <c r="AJ32" i="21" s="1"/>
  <c r="AI31" i="21"/>
  <c r="AH31" i="21"/>
  <c r="AG31" i="21"/>
  <c r="AI30" i="21"/>
  <c r="AH30" i="21"/>
  <c r="AG30" i="21"/>
  <c r="AI29" i="21"/>
  <c r="AH29" i="21"/>
  <c r="AG29" i="21"/>
  <c r="AI28" i="21"/>
  <c r="AH28" i="21"/>
  <c r="AG28" i="21"/>
  <c r="AJ28" i="21" s="1" a="1"/>
  <c r="AJ28" i="21" s="1"/>
  <c r="AI27" i="21"/>
  <c r="AH27" i="21"/>
  <c r="AG27" i="21"/>
  <c r="AJ27" i="21" s="1" a="1"/>
  <c r="AJ27" i="21" s="1"/>
  <c r="AJ26" i="21" a="1"/>
  <c r="AJ26" i="21" s="1"/>
  <c r="AI26" i="21"/>
  <c r="AH26" i="21"/>
  <c r="AG26" i="21"/>
  <c r="AI25" i="21"/>
  <c r="AH25" i="21"/>
  <c r="AG25" i="21"/>
  <c r="AJ25" i="21" s="1" a="1"/>
  <c r="AJ25" i="21" s="1"/>
  <c r="AI24" i="21"/>
  <c r="AH24" i="21"/>
  <c r="AG24" i="21"/>
  <c r="AJ24" i="21" s="1" a="1"/>
  <c r="AJ24" i="21" s="1"/>
  <c r="AI23" i="21"/>
  <c r="AH23" i="21"/>
  <c r="AG23" i="21"/>
  <c r="AJ23" i="21" s="1" a="1"/>
  <c r="AJ23" i="21" s="1"/>
  <c r="AI22" i="21"/>
  <c r="AH22" i="21"/>
  <c r="AG22" i="21"/>
  <c r="AI21" i="21"/>
  <c r="AH21" i="21"/>
  <c r="AG21" i="21"/>
  <c r="AJ21" i="21" s="1" a="1"/>
  <c r="AJ21" i="21" s="1"/>
  <c r="AI20" i="21"/>
  <c r="AH20" i="21"/>
  <c r="AG20" i="21"/>
  <c r="AJ20" i="21" s="1" a="1"/>
  <c r="AJ20" i="21" s="1"/>
  <c r="AI19" i="21"/>
  <c r="AH19" i="21"/>
  <c r="AG19" i="21"/>
  <c r="AJ19" i="21" s="1" a="1"/>
  <c r="AJ19" i="21" s="1"/>
  <c r="AI18" i="21"/>
  <c r="AJ18" i="21" s="1" a="1"/>
  <c r="AJ18" i="21" s="1"/>
  <c r="AH18" i="21"/>
  <c r="AG18" i="21"/>
  <c r="AI17" i="21"/>
  <c r="AH17" i="21"/>
  <c r="AG17" i="21"/>
  <c r="AI16" i="21"/>
  <c r="AH16" i="21"/>
  <c r="AG16" i="21"/>
  <c r="AJ16" i="21" s="1" a="1"/>
  <c r="AJ16" i="21" s="1"/>
  <c r="AI15" i="21"/>
  <c r="AH15" i="21"/>
  <c r="AG15" i="21"/>
  <c r="AI14" i="21"/>
  <c r="AH14" i="21"/>
  <c r="AG14" i="21"/>
  <c r="AJ14" i="21" s="1" a="1"/>
  <c r="AJ14" i="21" s="1"/>
  <c r="AI13" i="21"/>
  <c r="AH13" i="21"/>
  <c r="AG13" i="21"/>
  <c r="AI12" i="21"/>
  <c r="AH12" i="21"/>
  <c r="AG12" i="21"/>
  <c r="AJ12" i="21" s="1" a="1"/>
  <c r="AJ12" i="21" s="1"/>
  <c r="AI11" i="21"/>
  <c r="AH11" i="21"/>
  <c r="AG11" i="21"/>
  <c r="AJ11" i="21" s="1" a="1"/>
  <c r="AJ11" i="21" s="1"/>
  <c r="AI10" i="21"/>
  <c r="AH10" i="21"/>
  <c r="AG10" i="21"/>
  <c r="AJ10" i="21" s="1" a="1"/>
  <c r="AJ10" i="21" s="1"/>
  <c r="AI9" i="21"/>
  <c r="AH9" i="21"/>
  <c r="AG9" i="21"/>
  <c r="AI8" i="21"/>
  <c r="AH8" i="21"/>
  <c r="AG8" i="21"/>
  <c r="AJ8" i="21" s="1" a="1"/>
  <c r="AJ8" i="21" s="1"/>
  <c r="AI7" i="21"/>
  <c r="AH7" i="21"/>
  <c r="AG7" i="21"/>
  <c r="AJ7" i="21" s="1" a="1"/>
  <c r="AJ7" i="21" s="1"/>
  <c r="AI6" i="21"/>
  <c r="AH6" i="21"/>
  <c r="AG6" i="21"/>
  <c r="AJ6" i="21" s="1" a="1"/>
  <c r="AJ6" i="21" s="1"/>
  <c r="AI5" i="21"/>
  <c r="AH5" i="21"/>
  <c r="AG5" i="21"/>
  <c r="AI4" i="21"/>
  <c r="AH4" i="21"/>
  <c r="AG4" i="21"/>
  <c r="AJ4" i="21" s="1" a="1"/>
  <c r="AJ4" i="21" s="1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AH204" i="20" s="1" a="1"/>
  <c r="AH204" i="20" s="1"/>
  <c r="P204" i="20"/>
  <c r="O204" i="20"/>
  <c r="AG203" i="20"/>
  <c r="AF203" i="20"/>
  <c r="AE203" i="20"/>
  <c r="AH203" i="20" s="1" a="1"/>
  <c r="AH203" i="20" s="1"/>
  <c r="AG202" i="20"/>
  <c r="AF202" i="20"/>
  <c r="AE202" i="20"/>
  <c r="AH202" i="20" s="1" a="1"/>
  <c r="AH202" i="20" s="1"/>
  <c r="AH201" i="20" a="1"/>
  <c r="AH201" i="20" s="1"/>
  <c r="AG201" i="20"/>
  <c r="AF201" i="20"/>
  <c r="AE201" i="20"/>
  <c r="AG200" i="20"/>
  <c r="AF200" i="20"/>
  <c r="AE200" i="20"/>
  <c r="AH200" i="20" s="1" a="1"/>
  <c r="AH200" i="20" s="1"/>
  <c r="AG199" i="20"/>
  <c r="AH199" i="20" s="1" a="1"/>
  <c r="AH199" i="20" s="1"/>
  <c r="AF199" i="20"/>
  <c r="AE199" i="20"/>
  <c r="AH198" i="20"/>
  <c r="AH198" i="20" a="1"/>
  <c r="AG198" i="20"/>
  <c r="AF198" i="20"/>
  <c r="AE198" i="20"/>
  <c r="AG197" i="20"/>
  <c r="AH197" i="20" s="1" a="1"/>
  <c r="AH197" i="20" s="1"/>
  <c r="AF197" i="20"/>
  <c r="AE197" i="20"/>
  <c r="AG196" i="20"/>
  <c r="AF196" i="20"/>
  <c r="AE196" i="20"/>
  <c r="AH196" i="20" s="1" a="1"/>
  <c r="AH196" i="20" s="1"/>
  <c r="AG195" i="20"/>
  <c r="AF195" i="20"/>
  <c r="AE195" i="20"/>
  <c r="AH195" i="20" s="1" a="1"/>
  <c r="AH195" i="20" s="1"/>
  <c r="AG194" i="20"/>
  <c r="AH194" i="20" s="1" a="1"/>
  <c r="AH194" i="20" s="1"/>
  <c r="AF194" i="20"/>
  <c r="AE194" i="20"/>
  <c r="AH193" i="20" a="1"/>
  <c r="AH193" i="20" s="1"/>
  <c r="AG193" i="20"/>
  <c r="AF193" i="20"/>
  <c r="AE193" i="20"/>
  <c r="AG192" i="20"/>
  <c r="AF192" i="20"/>
  <c r="AE192" i="20"/>
  <c r="AH192" i="20" s="1" a="1"/>
  <c r="AH192" i="20" s="1"/>
  <c r="AH191" i="20" a="1"/>
  <c r="AH191" i="20" s="1"/>
  <c r="AG191" i="20"/>
  <c r="AF191" i="20"/>
  <c r="AE191" i="20"/>
  <c r="AG190" i="20"/>
  <c r="AH190" i="20" s="1" a="1"/>
  <c r="AH190" i="20" s="1"/>
  <c r="AF190" i="20"/>
  <c r="AE190" i="20"/>
  <c r="AG189" i="20"/>
  <c r="AF189" i="20"/>
  <c r="AE189" i="20"/>
  <c r="AH189" i="20" s="1" a="1"/>
  <c r="AH189" i="20" s="1"/>
  <c r="AG188" i="20"/>
  <c r="AF188" i="20"/>
  <c r="AE188" i="20"/>
  <c r="AH188" i="20" s="1" a="1"/>
  <c r="AH188" i="20" s="1"/>
  <c r="AH187" i="20" a="1"/>
  <c r="AH187" i="20" s="1"/>
  <c r="AG187" i="20"/>
  <c r="AF187" i="20"/>
  <c r="AE187" i="20"/>
  <c r="AG186" i="20"/>
  <c r="AF186" i="20"/>
  <c r="AE186" i="20"/>
  <c r="AH186" i="20" s="1" a="1"/>
  <c r="AH186" i="20" s="1"/>
  <c r="AG185" i="20"/>
  <c r="AF185" i="20"/>
  <c r="AH185" i="20" s="1" a="1"/>
  <c r="AH185" i="20" s="1"/>
  <c r="AE185" i="20"/>
  <c r="AH184" i="20"/>
  <c r="AH184" i="20" a="1"/>
  <c r="AG184" i="20"/>
  <c r="AF184" i="20"/>
  <c r="AE184" i="20"/>
  <c r="AG183" i="20"/>
  <c r="AH183" i="20" s="1" a="1"/>
  <c r="AH183" i="20" s="1"/>
  <c r="AF183" i="20"/>
  <c r="AE183" i="20"/>
  <c r="AG182" i="20"/>
  <c r="AF182" i="20"/>
  <c r="AE182" i="20"/>
  <c r="AH182" i="20" s="1" a="1"/>
  <c r="AH182" i="20" s="1"/>
  <c r="AG181" i="20"/>
  <c r="AF181" i="20"/>
  <c r="AE181" i="20"/>
  <c r="AH181" i="20" s="1" a="1"/>
  <c r="AH181" i="20" s="1"/>
  <c r="AG180" i="20"/>
  <c r="AH180" i="20" s="1" a="1"/>
  <c r="AH180" i="20" s="1"/>
  <c r="AF180" i="20"/>
  <c r="AE180" i="20"/>
  <c r="AH179" i="20" a="1"/>
  <c r="AH179" i="20" s="1"/>
  <c r="AG179" i="20"/>
  <c r="AF179" i="20"/>
  <c r="AE179" i="20"/>
  <c r="AG178" i="20"/>
  <c r="AF178" i="20"/>
  <c r="AE178" i="20"/>
  <c r="AH178" i="20" s="1" a="1"/>
  <c r="AH178" i="20" s="1"/>
  <c r="AH177" i="20" a="1"/>
  <c r="AH177" i="20" s="1"/>
  <c r="AG177" i="20"/>
  <c r="AF177" i="20"/>
  <c r="AE177" i="20"/>
  <c r="AG176" i="20"/>
  <c r="AH176" i="20" s="1" a="1"/>
  <c r="AH176" i="20" s="1"/>
  <c r="AF176" i="20"/>
  <c r="AE176" i="20"/>
  <c r="AG175" i="20"/>
  <c r="AF175" i="20"/>
  <c r="AE175" i="20"/>
  <c r="AH175" i="20" s="1" a="1"/>
  <c r="AH175" i="20" s="1"/>
  <c r="AG174" i="20"/>
  <c r="AF174" i="20"/>
  <c r="AE174" i="20"/>
  <c r="AH174" i="20" s="1" a="1"/>
  <c r="AH174" i="20" s="1"/>
  <c r="AH173" i="20" a="1"/>
  <c r="AH173" i="20" s="1"/>
  <c r="AG173" i="20"/>
  <c r="AF173" i="20"/>
  <c r="AE173" i="20"/>
  <c r="AG172" i="20"/>
  <c r="AF172" i="20"/>
  <c r="AE172" i="20"/>
  <c r="AH172" i="20" s="1" a="1"/>
  <c r="AH172" i="20" s="1"/>
  <c r="AG171" i="20"/>
  <c r="AF171" i="20"/>
  <c r="AH171" i="20" s="1" a="1"/>
  <c r="AH171" i="20" s="1"/>
  <c r="AE171" i="20"/>
  <c r="AH170" i="20"/>
  <c r="AH170" i="20" a="1"/>
  <c r="AG170" i="20"/>
  <c r="AF170" i="20"/>
  <c r="AE170" i="20"/>
  <c r="AG169" i="20"/>
  <c r="AH169" i="20" s="1" a="1"/>
  <c r="AH169" i="20" s="1"/>
  <c r="AF169" i="20"/>
  <c r="AE169" i="20"/>
  <c r="AG168" i="20"/>
  <c r="AF168" i="20"/>
  <c r="AE168" i="20"/>
  <c r="AH168" i="20" s="1" a="1"/>
  <c r="AH168" i="20" s="1"/>
  <c r="AG167" i="20"/>
  <c r="AF167" i="20"/>
  <c r="AE167" i="20"/>
  <c r="AH167" i="20" s="1" a="1"/>
  <c r="AH167" i="20" s="1"/>
  <c r="AG166" i="20"/>
  <c r="AH166" i="20" s="1" a="1"/>
  <c r="AH166" i="20" s="1"/>
  <c r="AF166" i="20"/>
  <c r="AE166" i="20"/>
  <c r="AH165" i="20" a="1"/>
  <c r="AH165" i="20" s="1"/>
  <c r="AG165" i="20"/>
  <c r="AF165" i="20"/>
  <c r="AE165" i="20"/>
  <c r="AG164" i="20"/>
  <c r="AF164" i="20"/>
  <c r="AE164" i="20"/>
  <c r="AH164" i="20" s="1" a="1"/>
  <c r="AH164" i="20" s="1"/>
  <c r="AH163" i="20" a="1"/>
  <c r="AH163" i="20" s="1"/>
  <c r="AG163" i="20"/>
  <c r="AF163" i="20"/>
  <c r="AE163" i="20"/>
  <c r="AG162" i="20"/>
  <c r="AH162" i="20" s="1" a="1"/>
  <c r="AH162" i="20" s="1"/>
  <c r="AF162" i="20"/>
  <c r="AE162" i="20"/>
  <c r="AG161" i="20"/>
  <c r="AF161" i="20"/>
  <c r="AE161" i="20"/>
  <c r="AH161" i="20" s="1" a="1"/>
  <c r="AH161" i="20" s="1"/>
  <c r="AG160" i="20"/>
  <c r="AF160" i="20"/>
  <c r="AE160" i="20"/>
  <c r="AH160" i="20" s="1" a="1"/>
  <c r="AH160" i="20" s="1"/>
  <c r="AH159" i="20" a="1"/>
  <c r="AH159" i="20" s="1"/>
  <c r="AG159" i="20"/>
  <c r="AF159" i="20"/>
  <c r="AE159" i="20"/>
  <c r="AG158" i="20"/>
  <c r="AF158" i="20"/>
  <c r="AE158" i="20"/>
  <c r="AH158" i="20" s="1" a="1"/>
  <c r="AH158" i="20" s="1"/>
  <c r="AG157" i="20"/>
  <c r="AF157" i="20"/>
  <c r="AH157" i="20" s="1" a="1"/>
  <c r="AH157" i="20" s="1"/>
  <c r="AE157" i="20"/>
  <c r="AH156" i="20"/>
  <c r="AH156" i="20" a="1"/>
  <c r="AG156" i="20"/>
  <c r="AF156" i="20"/>
  <c r="AE156" i="20"/>
  <c r="AG155" i="20"/>
  <c r="AH155" i="20" s="1" a="1"/>
  <c r="AH155" i="20" s="1"/>
  <c r="AF155" i="20"/>
  <c r="AE155" i="20"/>
  <c r="AG154" i="20"/>
  <c r="AF154" i="20"/>
  <c r="AE154" i="20"/>
  <c r="AH154" i="20" s="1" a="1"/>
  <c r="AH154" i="20" s="1"/>
  <c r="AG153" i="20"/>
  <c r="AF153" i="20"/>
  <c r="AE153" i="20"/>
  <c r="AH153" i="20" s="1" a="1"/>
  <c r="AH153" i="20" s="1"/>
  <c r="AG152" i="20"/>
  <c r="AH152" i="20" s="1" a="1"/>
  <c r="AH152" i="20" s="1"/>
  <c r="AF152" i="20"/>
  <c r="AE152" i="20"/>
  <c r="AH151" i="20" a="1"/>
  <c r="AH151" i="20" s="1"/>
  <c r="AG151" i="20"/>
  <c r="AF151" i="20"/>
  <c r="AE151" i="20"/>
  <c r="AG150" i="20"/>
  <c r="AF150" i="20"/>
  <c r="AE150" i="20"/>
  <c r="AH150" i="20" s="1" a="1"/>
  <c r="AH150" i="20" s="1"/>
  <c r="AH149" i="20" a="1"/>
  <c r="AH149" i="20" s="1"/>
  <c r="AG149" i="20"/>
  <c r="AF149" i="20"/>
  <c r="AE149" i="20"/>
  <c r="AG148" i="20"/>
  <c r="AH148" i="20" s="1" a="1"/>
  <c r="AH148" i="20" s="1"/>
  <c r="AF148" i="20"/>
  <c r="AE148" i="20"/>
  <c r="AG147" i="20"/>
  <c r="AF147" i="20"/>
  <c r="AE147" i="20"/>
  <c r="AH147" i="20" s="1" a="1"/>
  <c r="AH147" i="20" s="1"/>
  <c r="AG146" i="20"/>
  <c r="AF146" i="20"/>
  <c r="AE146" i="20"/>
  <c r="AH146" i="20" s="1" a="1"/>
  <c r="AH146" i="20" s="1"/>
  <c r="AH145" i="20" a="1"/>
  <c r="AH145" i="20" s="1"/>
  <c r="AG145" i="20"/>
  <c r="AF145" i="20"/>
  <c r="AE145" i="20"/>
  <c r="AG144" i="20"/>
  <c r="AF144" i="20"/>
  <c r="AE144" i="20"/>
  <c r="AH144" i="20" s="1" a="1"/>
  <c r="AH144" i="20" s="1"/>
  <c r="AG143" i="20"/>
  <c r="AF143" i="20"/>
  <c r="AH143" i="20" s="1" a="1"/>
  <c r="AH143" i="20" s="1"/>
  <c r="AE143" i="20"/>
  <c r="AH142" i="20"/>
  <c r="AH142" i="20" a="1"/>
  <c r="AG142" i="20"/>
  <c r="AF142" i="20"/>
  <c r="AE142" i="20"/>
  <c r="AG141" i="20"/>
  <c r="AH141" i="20" s="1" a="1"/>
  <c r="AH141" i="20" s="1"/>
  <c r="AF141" i="20"/>
  <c r="AE141" i="20"/>
  <c r="AG140" i="20"/>
  <c r="AF140" i="20"/>
  <c r="AE140" i="20"/>
  <c r="AH140" i="20" s="1" a="1"/>
  <c r="AH140" i="20" s="1"/>
  <c r="AG139" i="20"/>
  <c r="AF139" i="20"/>
  <c r="AE139" i="20"/>
  <c r="AH139" i="20" s="1" a="1"/>
  <c r="AH139" i="20" s="1"/>
  <c r="AG138" i="20"/>
  <c r="AH138" i="20" s="1" a="1"/>
  <c r="AH138" i="20" s="1"/>
  <c r="AF138" i="20"/>
  <c r="AE138" i="20"/>
  <c r="AG137" i="20"/>
  <c r="AF137" i="20"/>
  <c r="AH137" i="20" s="1" a="1"/>
  <c r="AH137" i="20" s="1"/>
  <c r="AE137" i="20"/>
  <c r="AG136" i="20"/>
  <c r="AF136" i="20"/>
  <c r="AE136" i="20"/>
  <c r="AH136" i="20" s="1" a="1"/>
  <c r="AH136" i="20" s="1"/>
  <c r="AH135" i="20" a="1"/>
  <c r="AH135" i="20" s="1"/>
  <c r="AG135" i="20"/>
  <c r="AF135" i="20"/>
  <c r="AE135" i="20"/>
  <c r="AG134" i="20"/>
  <c r="AH134" i="20" s="1" a="1"/>
  <c r="AH134" i="20" s="1"/>
  <c r="AF134" i="20"/>
  <c r="AE134" i="20"/>
  <c r="AG133" i="20"/>
  <c r="AF133" i="20"/>
  <c r="AE133" i="20"/>
  <c r="AH133" i="20" s="1" a="1"/>
  <c r="AH133" i="20" s="1"/>
  <c r="AG132" i="20"/>
  <c r="AF132" i="20"/>
  <c r="AE132" i="20"/>
  <c r="AH132" i="20" s="1" a="1"/>
  <c r="AH132" i="20" s="1"/>
  <c r="AH131" i="20" a="1"/>
  <c r="AH131" i="20" s="1"/>
  <c r="AG131" i="20"/>
  <c r="AF131" i="20"/>
  <c r="AE131" i="20"/>
  <c r="AG130" i="20"/>
  <c r="AF130" i="20"/>
  <c r="AE130" i="20"/>
  <c r="AH130" i="20" s="1" a="1"/>
  <c r="AH130" i="20" s="1"/>
  <c r="AG129" i="20"/>
  <c r="AF129" i="20"/>
  <c r="AH129" i="20" s="1" a="1"/>
  <c r="AH129" i="20" s="1"/>
  <c r="AE129" i="20"/>
  <c r="AH128" i="20"/>
  <c r="AH128" i="20" a="1"/>
  <c r="AG128" i="20"/>
  <c r="AF128" i="20"/>
  <c r="AE128" i="20"/>
  <c r="AG127" i="20"/>
  <c r="AH127" i="20" s="1" a="1"/>
  <c r="AH127" i="20" s="1"/>
  <c r="AF127" i="20"/>
  <c r="AE127" i="20"/>
  <c r="AG126" i="20"/>
  <c r="AF126" i="20"/>
  <c r="AE126" i="20"/>
  <c r="AH126" i="20" s="1" a="1"/>
  <c r="AH126" i="20" s="1"/>
  <c r="AG125" i="20"/>
  <c r="AF125" i="20"/>
  <c r="AE125" i="20"/>
  <c r="AH125" i="20" s="1" a="1"/>
  <c r="AH125" i="20" s="1"/>
  <c r="AG124" i="20"/>
  <c r="AH124" i="20" s="1" a="1"/>
  <c r="AH124" i="20" s="1"/>
  <c r="AF124" i="20"/>
  <c r="AE124" i="20"/>
  <c r="AH123" i="20" a="1"/>
  <c r="AH123" i="20" s="1"/>
  <c r="AG123" i="20"/>
  <c r="AF123" i="20"/>
  <c r="AE123" i="20"/>
  <c r="AG122" i="20"/>
  <c r="AF122" i="20"/>
  <c r="AE122" i="20"/>
  <c r="AH122" i="20" s="1" a="1"/>
  <c r="AH122" i="20" s="1"/>
  <c r="AH121" i="20" a="1"/>
  <c r="AH121" i="20" s="1"/>
  <c r="AG121" i="20"/>
  <c r="AF121" i="20"/>
  <c r="AE121" i="20"/>
  <c r="AG120" i="20"/>
  <c r="AH120" i="20" s="1" a="1"/>
  <c r="AH120" i="20" s="1"/>
  <c r="AF120" i="20"/>
  <c r="AE120" i="20"/>
  <c r="AG119" i="20"/>
  <c r="AF119" i="20"/>
  <c r="AE119" i="20"/>
  <c r="AH119" i="20" s="1" a="1"/>
  <c r="AH119" i="20" s="1"/>
  <c r="AG118" i="20"/>
  <c r="AF118" i="20"/>
  <c r="AE118" i="20"/>
  <c r="AH118" i="20" s="1" a="1"/>
  <c r="AH118" i="20" s="1"/>
  <c r="AH117" i="20" a="1"/>
  <c r="AH117" i="20" s="1"/>
  <c r="AG117" i="20"/>
  <c r="AF117" i="20"/>
  <c r="AE117" i="20"/>
  <c r="AG116" i="20"/>
  <c r="AF116" i="20"/>
  <c r="AE116" i="20"/>
  <c r="AH116" i="20" s="1" a="1"/>
  <c r="AH116" i="20" s="1"/>
  <c r="AG115" i="20"/>
  <c r="AF115" i="20"/>
  <c r="AH115" i="20" s="1" a="1"/>
  <c r="AH115" i="20" s="1"/>
  <c r="AE115" i="20"/>
  <c r="AH114" i="20"/>
  <c r="AH114" i="20" a="1"/>
  <c r="AG114" i="20"/>
  <c r="AF114" i="20"/>
  <c r="AE114" i="20"/>
  <c r="AG113" i="20"/>
  <c r="AH113" i="20" s="1" a="1"/>
  <c r="AH113" i="20" s="1"/>
  <c r="AF113" i="20"/>
  <c r="AE113" i="20"/>
  <c r="AG112" i="20"/>
  <c r="AF112" i="20"/>
  <c r="AE112" i="20"/>
  <c r="AH112" i="20" s="1" a="1"/>
  <c r="AH112" i="20" s="1"/>
  <c r="AG111" i="20"/>
  <c r="AF111" i="20"/>
  <c r="AE111" i="20"/>
  <c r="AH111" i="20" s="1" a="1"/>
  <c r="AH111" i="20" s="1"/>
  <c r="AG110" i="20"/>
  <c r="AH110" i="20" s="1" a="1"/>
  <c r="AH110" i="20" s="1"/>
  <c r="AF110" i="20"/>
  <c r="AE110" i="20"/>
  <c r="AH109" i="20" a="1"/>
  <c r="AH109" i="20" s="1"/>
  <c r="AG109" i="20"/>
  <c r="AF109" i="20"/>
  <c r="AE109" i="20"/>
  <c r="AG108" i="20"/>
  <c r="AF108" i="20"/>
  <c r="AE108" i="20"/>
  <c r="AH108" i="20" s="1" a="1"/>
  <c r="AH108" i="20" s="1"/>
  <c r="AH107" i="20" a="1"/>
  <c r="AH107" i="20" s="1"/>
  <c r="AG107" i="20"/>
  <c r="AF107" i="20"/>
  <c r="AE107" i="20"/>
  <c r="AG106" i="20"/>
  <c r="AH106" i="20" s="1" a="1"/>
  <c r="AH106" i="20" s="1"/>
  <c r="AF106" i="20"/>
  <c r="AE106" i="20"/>
  <c r="AG105" i="20"/>
  <c r="AF105" i="20"/>
  <c r="AE105" i="20"/>
  <c r="AH105" i="20" s="1" a="1"/>
  <c r="AH105" i="20" s="1"/>
  <c r="AG104" i="20"/>
  <c r="AF104" i="20"/>
  <c r="AE104" i="20"/>
  <c r="AH104" i="20" s="1" a="1"/>
  <c r="AH104" i="20" s="1"/>
  <c r="AH103" i="20" a="1"/>
  <c r="AH103" i="20" s="1"/>
  <c r="AG103" i="20"/>
  <c r="AF103" i="20"/>
  <c r="AE103" i="20"/>
  <c r="AG102" i="20"/>
  <c r="AF102" i="20"/>
  <c r="AE102" i="20"/>
  <c r="AH102" i="20" s="1" a="1"/>
  <c r="AH102" i="20" s="1"/>
  <c r="AG101" i="20"/>
  <c r="AF101" i="20"/>
  <c r="AH101" i="20" s="1" a="1"/>
  <c r="AH101" i="20" s="1"/>
  <c r="AE101" i="20"/>
  <c r="AH100" i="20"/>
  <c r="AH100" i="20" a="1"/>
  <c r="AG100" i="20"/>
  <c r="AF100" i="20"/>
  <c r="AE100" i="20"/>
  <c r="AG99" i="20"/>
  <c r="AH99" i="20" s="1" a="1"/>
  <c r="AH99" i="20" s="1"/>
  <c r="AF99" i="20"/>
  <c r="AE99" i="20"/>
  <c r="AG98" i="20"/>
  <c r="AF98" i="20"/>
  <c r="AE98" i="20"/>
  <c r="AH98" i="20" s="1" a="1"/>
  <c r="AH98" i="20" s="1"/>
  <c r="AG97" i="20"/>
  <c r="AF97" i="20"/>
  <c r="AE97" i="20"/>
  <c r="AH97" i="20" s="1" a="1"/>
  <c r="AH97" i="20" s="1"/>
  <c r="AG96" i="20"/>
  <c r="AH96" i="20" s="1" a="1"/>
  <c r="AH96" i="20" s="1"/>
  <c r="AF96" i="20"/>
  <c r="AE96" i="20"/>
  <c r="AH95" i="20" a="1"/>
  <c r="AH95" i="20" s="1"/>
  <c r="AG95" i="20"/>
  <c r="AF95" i="20"/>
  <c r="AE95" i="20"/>
  <c r="AG94" i="20"/>
  <c r="AF94" i="20"/>
  <c r="AE94" i="20"/>
  <c r="AH94" i="20" s="1" a="1"/>
  <c r="AH94" i="20" s="1"/>
  <c r="AH93" i="20" a="1"/>
  <c r="AH93" i="20" s="1"/>
  <c r="AG93" i="20"/>
  <c r="AF93" i="20"/>
  <c r="AE93" i="20"/>
  <c r="AG92" i="20"/>
  <c r="AH92" i="20" s="1" a="1"/>
  <c r="AH92" i="20" s="1"/>
  <c r="AF92" i="20"/>
  <c r="AE92" i="20"/>
  <c r="AG91" i="20"/>
  <c r="AF91" i="20"/>
  <c r="AE91" i="20"/>
  <c r="AH91" i="20" s="1" a="1"/>
  <c r="AH91" i="20" s="1"/>
  <c r="AG90" i="20"/>
  <c r="AF90" i="20"/>
  <c r="AE90" i="20"/>
  <c r="AH90" i="20" s="1" a="1"/>
  <c r="AH90" i="20" s="1"/>
  <c r="AH89" i="20" a="1"/>
  <c r="AH89" i="20" s="1"/>
  <c r="AG89" i="20"/>
  <c r="AF89" i="20"/>
  <c r="AE89" i="20"/>
  <c r="AG88" i="20"/>
  <c r="AF88" i="20"/>
  <c r="AE88" i="20"/>
  <c r="AH88" i="20" s="1" a="1"/>
  <c r="AH88" i="20" s="1"/>
  <c r="AG87" i="20"/>
  <c r="AF87" i="20"/>
  <c r="AH87" i="20" s="1" a="1"/>
  <c r="AH87" i="20" s="1"/>
  <c r="AE87" i="20"/>
  <c r="AH86" i="20"/>
  <c r="AH86" i="20" a="1"/>
  <c r="AG86" i="20"/>
  <c r="AF86" i="20"/>
  <c r="AE86" i="20"/>
  <c r="AG85" i="20"/>
  <c r="AH85" i="20" s="1" a="1"/>
  <c r="AH85" i="20" s="1"/>
  <c r="AF85" i="20"/>
  <c r="AE85" i="20"/>
  <c r="AG84" i="20"/>
  <c r="AF84" i="20"/>
  <c r="AE84" i="20"/>
  <c r="AH84" i="20" s="1" a="1"/>
  <c r="AH84" i="20" s="1"/>
  <c r="AG83" i="20"/>
  <c r="AF83" i="20"/>
  <c r="AE83" i="20"/>
  <c r="AH83" i="20" s="1" a="1"/>
  <c r="AH83" i="20" s="1"/>
  <c r="AG82" i="20"/>
  <c r="AH82" i="20" s="1" a="1"/>
  <c r="AH82" i="20" s="1"/>
  <c r="AF82" i="20"/>
  <c r="AE82" i="20"/>
  <c r="AH81" i="20" a="1"/>
  <c r="AH81" i="20" s="1"/>
  <c r="AG81" i="20"/>
  <c r="AF81" i="20"/>
  <c r="AE81" i="20"/>
  <c r="AG80" i="20"/>
  <c r="AF80" i="20"/>
  <c r="AE80" i="20"/>
  <c r="AH80" i="20" s="1" a="1"/>
  <c r="AH80" i="20" s="1"/>
  <c r="AH79" i="20" a="1"/>
  <c r="AH79" i="20" s="1"/>
  <c r="AG79" i="20"/>
  <c r="AF79" i="20"/>
  <c r="AE79" i="20"/>
  <c r="AG78" i="20"/>
  <c r="AH78" i="20" s="1" a="1"/>
  <c r="AH78" i="20" s="1"/>
  <c r="AF78" i="20"/>
  <c r="AE78" i="20"/>
  <c r="AG77" i="20"/>
  <c r="AF77" i="20"/>
  <c r="AE77" i="20"/>
  <c r="AH77" i="20" s="1" a="1"/>
  <c r="AH77" i="20" s="1"/>
  <c r="AG76" i="20"/>
  <c r="AF76" i="20"/>
  <c r="AE76" i="20"/>
  <c r="AH76" i="20" s="1" a="1"/>
  <c r="AH76" i="20" s="1"/>
  <c r="AH75" i="20" a="1"/>
  <c r="AH75" i="20" s="1"/>
  <c r="AG75" i="20"/>
  <c r="AF75" i="20"/>
  <c r="AE75" i="20"/>
  <c r="AG74" i="20"/>
  <c r="AF74" i="20"/>
  <c r="AE74" i="20"/>
  <c r="AH74" i="20" s="1" a="1"/>
  <c r="AH74" i="20" s="1"/>
  <c r="AG73" i="20"/>
  <c r="AF73" i="20"/>
  <c r="AH73" i="20" s="1" a="1"/>
  <c r="AH73" i="20" s="1"/>
  <c r="AE73" i="20"/>
  <c r="AH72" i="20"/>
  <c r="AH72" i="20" a="1"/>
  <c r="AG72" i="20"/>
  <c r="AF72" i="20"/>
  <c r="AE72" i="20"/>
  <c r="AG71" i="20"/>
  <c r="AH71" i="20" s="1" a="1"/>
  <c r="AH71" i="20" s="1"/>
  <c r="AF71" i="20"/>
  <c r="AE71" i="20"/>
  <c r="AG70" i="20"/>
  <c r="AF70" i="20"/>
  <c r="AE70" i="20"/>
  <c r="AH70" i="20" s="1" a="1"/>
  <c r="AH70" i="20" s="1"/>
  <c r="AG69" i="20"/>
  <c r="AF69" i="20"/>
  <c r="AE69" i="20"/>
  <c r="AH69" i="20" s="1" a="1"/>
  <c r="AH69" i="20" s="1"/>
  <c r="AG68" i="20"/>
  <c r="AH68" i="20" s="1" a="1"/>
  <c r="AH68" i="20" s="1"/>
  <c r="AF68" i="20"/>
  <c r="AE68" i="20"/>
  <c r="AH67" i="20" a="1"/>
  <c r="AH67" i="20" s="1"/>
  <c r="AG67" i="20"/>
  <c r="AF67" i="20"/>
  <c r="AE67" i="20"/>
  <c r="AG66" i="20"/>
  <c r="AF66" i="20"/>
  <c r="AE66" i="20"/>
  <c r="AH66" i="20" s="1" a="1"/>
  <c r="AH66" i="20" s="1"/>
  <c r="AH65" i="20" a="1"/>
  <c r="AH65" i="20" s="1"/>
  <c r="AG65" i="20"/>
  <c r="AF65" i="20"/>
  <c r="AE65" i="20"/>
  <c r="AG64" i="20"/>
  <c r="AH64" i="20" s="1" a="1"/>
  <c r="AH64" i="20" s="1"/>
  <c r="AF64" i="20"/>
  <c r="AE64" i="20"/>
  <c r="AG63" i="20"/>
  <c r="AF63" i="20"/>
  <c r="AE63" i="20"/>
  <c r="AH63" i="20" s="1" a="1"/>
  <c r="AH63" i="20" s="1"/>
  <c r="AG62" i="20"/>
  <c r="AF62" i="20"/>
  <c r="AE62" i="20"/>
  <c r="AH62" i="20" s="1" a="1"/>
  <c r="AH62" i="20" s="1"/>
  <c r="AH61" i="20" a="1"/>
  <c r="AH61" i="20" s="1"/>
  <c r="AG61" i="20"/>
  <c r="AF61" i="20"/>
  <c r="AE61" i="20"/>
  <c r="AG60" i="20"/>
  <c r="AF60" i="20"/>
  <c r="AE60" i="20"/>
  <c r="AH60" i="20" s="1" a="1"/>
  <c r="AH60" i="20" s="1"/>
  <c r="AG59" i="20"/>
  <c r="AF59" i="20"/>
  <c r="AH59" i="20" s="1" a="1"/>
  <c r="AH59" i="20" s="1"/>
  <c r="AE59" i="20"/>
  <c r="AH58" i="20"/>
  <c r="AH58" i="20" a="1"/>
  <c r="AG58" i="20"/>
  <c r="AF58" i="20"/>
  <c r="AE58" i="20"/>
  <c r="AG57" i="20"/>
  <c r="AH57" i="20" s="1" a="1"/>
  <c r="AH57" i="20" s="1"/>
  <c r="AF57" i="20"/>
  <c r="AE57" i="20"/>
  <c r="AG56" i="20"/>
  <c r="AF56" i="20"/>
  <c r="AE56" i="20"/>
  <c r="AH56" i="20" s="1" a="1"/>
  <c r="AH56" i="20" s="1"/>
  <c r="AG55" i="20"/>
  <c r="AF55" i="20"/>
  <c r="AE55" i="20"/>
  <c r="AH55" i="20" s="1" a="1"/>
  <c r="AH55" i="20" s="1"/>
  <c r="AG54" i="20"/>
  <c r="AH54" i="20" s="1" a="1"/>
  <c r="AH54" i="20" s="1"/>
  <c r="AF54" i="20"/>
  <c r="AE54" i="20"/>
  <c r="AH53" i="20" a="1"/>
  <c r="AH53" i="20" s="1"/>
  <c r="AG53" i="20"/>
  <c r="AF53" i="20"/>
  <c r="AE53" i="20"/>
  <c r="AG52" i="20"/>
  <c r="AF52" i="20"/>
  <c r="AE52" i="20"/>
  <c r="AH52" i="20" s="1" a="1"/>
  <c r="AH52" i="20" s="1"/>
  <c r="AH51" i="20" a="1"/>
  <c r="AH51" i="20" s="1"/>
  <c r="AG51" i="20"/>
  <c r="AF51" i="20"/>
  <c r="AE51" i="20"/>
  <c r="AG50" i="20"/>
  <c r="AH50" i="20" s="1" a="1"/>
  <c r="AH50" i="20" s="1"/>
  <c r="AF50" i="20"/>
  <c r="AE50" i="20"/>
  <c r="AG49" i="20"/>
  <c r="AF49" i="20"/>
  <c r="AE49" i="20"/>
  <c r="AH49" i="20" s="1" a="1"/>
  <c r="AH49" i="20" s="1"/>
  <c r="AG48" i="20"/>
  <c r="AF48" i="20"/>
  <c r="AE48" i="20"/>
  <c r="AH48" i="20" s="1" a="1"/>
  <c r="AH48" i="20" s="1"/>
  <c r="AH47" i="20" a="1"/>
  <c r="AH47" i="20" s="1"/>
  <c r="AG47" i="20"/>
  <c r="AF47" i="20"/>
  <c r="AE47" i="20"/>
  <c r="AG46" i="20"/>
  <c r="AF46" i="20"/>
  <c r="AE46" i="20"/>
  <c r="AH46" i="20" s="1" a="1"/>
  <c r="AH46" i="20" s="1"/>
  <c r="AG45" i="20"/>
  <c r="AF45" i="20"/>
  <c r="AH45" i="20" s="1" a="1"/>
  <c r="AH45" i="20" s="1"/>
  <c r="AE45" i="20"/>
  <c r="AH44" i="20"/>
  <c r="AH44" i="20" a="1"/>
  <c r="AG44" i="20"/>
  <c r="AF44" i="20"/>
  <c r="AE44" i="20"/>
  <c r="AG43" i="20"/>
  <c r="AH43" i="20" s="1" a="1"/>
  <c r="AH43" i="20" s="1"/>
  <c r="AF43" i="20"/>
  <c r="AE43" i="20"/>
  <c r="AG42" i="20"/>
  <c r="AF42" i="20"/>
  <c r="AE42" i="20"/>
  <c r="AH42" i="20" s="1" a="1"/>
  <c r="AH42" i="20" s="1"/>
  <c r="AG41" i="20"/>
  <c r="AF41" i="20"/>
  <c r="AE41" i="20"/>
  <c r="AH41" i="20" s="1" a="1"/>
  <c r="AH41" i="20" s="1"/>
  <c r="AG40" i="20"/>
  <c r="AH40" i="20" s="1" a="1"/>
  <c r="AH40" i="20" s="1"/>
  <c r="AF40" i="20"/>
  <c r="AE40" i="20"/>
  <c r="AH39" i="20" a="1"/>
  <c r="AH39" i="20" s="1"/>
  <c r="AG39" i="20"/>
  <c r="AF39" i="20"/>
  <c r="AE39" i="20"/>
  <c r="AG38" i="20"/>
  <c r="AF38" i="20"/>
  <c r="AE38" i="20"/>
  <c r="AH38" i="20" s="1" a="1"/>
  <c r="AH38" i="20" s="1"/>
  <c r="AH37" i="20" a="1"/>
  <c r="AH37" i="20" s="1"/>
  <c r="AG37" i="20"/>
  <c r="AF37" i="20"/>
  <c r="AE37" i="20"/>
  <c r="AG36" i="20"/>
  <c r="AH36" i="20" s="1" a="1"/>
  <c r="AH36" i="20" s="1"/>
  <c r="AF36" i="20"/>
  <c r="AE36" i="20"/>
  <c r="AG35" i="20"/>
  <c r="AF35" i="20"/>
  <c r="AE35" i="20"/>
  <c r="AH35" i="20" s="1" a="1"/>
  <c r="AH35" i="20" s="1"/>
  <c r="AG34" i="20"/>
  <c r="AF34" i="20"/>
  <c r="AE34" i="20"/>
  <c r="AH34" i="20" s="1" a="1"/>
  <c r="AH34" i="20" s="1"/>
  <c r="AH33" i="20" a="1"/>
  <c r="AH33" i="20" s="1"/>
  <c r="AG33" i="20"/>
  <c r="AF33" i="20"/>
  <c r="AE33" i="20"/>
  <c r="AG32" i="20"/>
  <c r="AF32" i="20"/>
  <c r="AE32" i="20"/>
  <c r="AH32" i="20" s="1" a="1"/>
  <c r="AH32" i="20" s="1"/>
  <c r="AG31" i="20"/>
  <c r="AF31" i="20"/>
  <c r="AH31" i="20" s="1" a="1"/>
  <c r="AH31" i="20" s="1"/>
  <c r="AE31" i="20"/>
  <c r="AH30" i="20"/>
  <c r="AH30" i="20" a="1"/>
  <c r="AG30" i="20"/>
  <c r="AF30" i="20"/>
  <c r="AE30" i="20"/>
  <c r="AG29" i="20"/>
  <c r="AH29" i="20" s="1" a="1"/>
  <c r="AH29" i="20" s="1"/>
  <c r="AF29" i="20"/>
  <c r="AE29" i="20"/>
  <c r="AG28" i="20"/>
  <c r="AF28" i="20"/>
  <c r="AE28" i="20"/>
  <c r="AH28" i="20" s="1" a="1"/>
  <c r="AH28" i="20" s="1"/>
  <c r="AG27" i="20"/>
  <c r="AF27" i="20"/>
  <c r="AE27" i="20"/>
  <c r="AH27" i="20" s="1" a="1"/>
  <c r="AH27" i="20" s="1"/>
  <c r="AG26" i="20"/>
  <c r="AH26" i="20" s="1" a="1"/>
  <c r="AH26" i="20" s="1"/>
  <c r="AF26" i="20"/>
  <c r="AE26" i="20"/>
  <c r="AH25" i="20" a="1"/>
  <c r="AH25" i="20" s="1"/>
  <c r="AG25" i="20"/>
  <c r="AF25" i="20"/>
  <c r="AE25" i="20"/>
  <c r="AG24" i="20"/>
  <c r="AF24" i="20"/>
  <c r="AE24" i="20"/>
  <c r="AH24" i="20" s="1" a="1"/>
  <c r="AH24" i="20" s="1"/>
  <c r="AH23" i="20" a="1"/>
  <c r="AH23" i="20" s="1"/>
  <c r="AG23" i="20"/>
  <c r="AF23" i="20"/>
  <c r="AE23" i="20"/>
  <c r="AG22" i="20"/>
  <c r="AH22" i="20" s="1" a="1"/>
  <c r="AH22" i="20" s="1"/>
  <c r="AF22" i="20"/>
  <c r="AE22" i="20"/>
  <c r="AG21" i="20"/>
  <c r="AF21" i="20"/>
  <c r="AE21" i="20"/>
  <c r="AH21" i="20" s="1" a="1"/>
  <c r="AH21" i="20" s="1"/>
  <c r="AG20" i="20"/>
  <c r="AF20" i="20"/>
  <c r="AE20" i="20"/>
  <c r="AH20" i="20" s="1" a="1"/>
  <c r="AH20" i="20" s="1"/>
  <c r="AH19" i="20" a="1"/>
  <c r="AH19" i="20" s="1"/>
  <c r="AG19" i="20"/>
  <c r="AF19" i="20"/>
  <c r="AE19" i="20"/>
  <c r="AG18" i="20"/>
  <c r="AF18" i="20"/>
  <c r="AE18" i="20"/>
  <c r="AH18" i="20" s="1" a="1"/>
  <c r="AH18" i="20" s="1"/>
  <c r="AG17" i="20"/>
  <c r="AF17" i="20"/>
  <c r="AH17" i="20" s="1" a="1"/>
  <c r="AH17" i="20" s="1"/>
  <c r="AE17" i="20"/>
  <c r="AH16" i="20"/>
  <c r="AH16" i="20" a="1"/>
  <c r="AG16" i="20"/>
  <c r="AF16" i="20"/>
  <c r="AE16" i="20"/>
  <c r="AG15" i="20"/>
  <c r="AH15" i="20" s="1" a="1"/>
  <c r="AH15" i="20" s="1"/>
  <c r="AF15" i="20"/>
  <c r="AE15" i="20"/>
  <c r="AG14" i="20"/>
  <c r="AF14" i="20"/>
  <c r="AE14" i="20"/>
  <c r="AH14" i="20" s="1" a="1"/>
  <c r="AH14" i="20" s="1"/>
  <c r="AG13" i="20"/>
  <c r="AF13" i="20"/>
  <c r="AE13" i="20"/>
  <c r="AH13" i="20" s="1" a="1"/>
  <c r="AH13" i="20" s="1"/>
  <c r="AG12" i="20"/>
  <c r="AH12" i="20" s="1" a="1"/>
  <c r="AH12" i="20" s="1"/>
  <c r="AF12" i="20"/>
  <c r="AE12" i="20"/>
  <c r="AH11" i="20" a="1"/>
  <c r="AH11" i="20" s="1"/>
  <c r="AG11" i="20"/>
  <c r="AF11" i="20"/>
  <c r="AE11" i="20"/>
  <c r="AG10" i="20"/>
  <c r="AF10" i="20"/>
  <c r="AE10" i="20"/>
  <c r="AH10" i="20" s="1" a="1"/>
  <c r="AH10" i="20" s="1"/>
  <c r="AH9" i="20" a="1"/>
  <c r="AH9" i="20" s="1"/>
  <c r="AG9" i="20"/>
  <c r="AF9" i="20"/>
  <c r="AE9" i="20"/>
  <c r="AG8" i="20"/>
  <c r="AH8" i="20" s="1" a="1"/>
  <c r="AH8" i="20" s="1"/>
  <c r="AF8" i="20"/>
  <c r="AE8" i="20"/>
  <c r="AG7" i="20"/>
  <c r="AF7" i="20"/>
  <c r="AE7" i="20"/>
  <c r="AH7" i="20" s="1" a="1"/>
  <c r="AH7" i="20" s="1"/>
  <c r="AG6" i="20"/>
  <c r="AF6" i="20"/>
  <c r="AE6" i="20"/>
  <c r="AH6" i="20" s="1" a="1"/>
  <c r="AH6" i="20" s="1"/>
  <c r="AH5" i="20" a="1"/>
  <c r="AH5" i="20" s="1"/>
  <c r="AG5" i="20"/>
  <c r="AF5" i="20"/>
  <c r="AE5" i="20"/>
  <c r="AG4" i="20"/>
  <c r="AF4" i="20"/>
  <c r="AE4" i="20"/>
  <c r="AH4" i="20" s="1" a="1"/>
  <c r="AH4" i="20" s="1"/>
  <c r="AG204" i="19" a="1"/>
  <c r="AG204" i="19" s="1"/>
  <c r="AF204" i="19"/>
  <c r="AE204" i="19"/>
  <c r="AD204" i="19"/>
  <c r="AF203" i="19"/>
  <c r="AE203" i="19"/>
  <c r="AD203" i="19"/>
  <c r="AF202" i="19"/>
  <c r="AE202" i="19"/>
  <c r="AD202" i="19"/>
  <c r="AF201" i="19"/>
  <c r="AE201" i="19"/>
  <c r="AD201" i="19"/>
  <c r="AF200" i="19"/>
  <c r="AE200" i="19"/>
  <c r="AD200" i="19"/>
  <c r="AF199" i="19"/>
  <c r="AE199" i="19"/>
  <c r="AD199" i="19"/>
  <c r="AF198" i="19"/>
  <c r="AE198" i="19"/>
  <c r="AD198" i="19"/>
  <c r="AF197" i="19"/>
  <c r="AE197" i="19"/>
  <c r="AD197" i="19"/>
  <c r="AF196" i="19"/>
  <c r="AE196" i="19"/>
  <c r="AD196" i="19"/>
  <c r="AG196" i="19" s="1" a="1"/>
  <c r="AG196" i="19" s="1"/>
  <c r="AF195" i="19"/>
  <c r="AE195" i="19"/>
  <c r="AD195" i="19"/>
  <c r="AF194" i="19"/>
  <c r="AE194" i="19"/>
  <c r="AD194" i="19"/>
  <c r="AF193" i="19"/>
  <c r="AE193" i="19"/>
  <c r="AD193" i="19"/>
  <c r="AF192" i="19"/>
  <c r="AE192" i="19"/>
  <c r="AD192" i="19"/>
  <c r="AF191" i="19"/>
  <c r="AE191" i="19"/>
  <c r="AD191" i="19"/>
  <c r="AF190" i="19"/>
  <c r="AE190" i="19"/>
  <c r="AD190" i="19"/>
  <c r="AF189" i="19"/>
  <c r="AE189" i="19"/>
  <c r="AD189" i="19"/>
  <c r="AF188" i="19"/>
  <c r="AE188" i="19"/>
  <c r="AD188" i="19"/>
  <c r="AF187" i="19"/>
  <c r="AE187" i="19"/>
  <c r="AD187" i="19"/>
  <c r="AF186" i="19"/>
  <c r="AE186" i="19"/>
  <c r="AD186" i="19"/>
  <c r="AF185" i="19"/>
  <c r="AE185" i="19"/>
  <c r="AD185" i="19"/>
  <c r="AF184" i="19"/>
  <c r="AE184" i="19"/>
  <c r="AD184" i="19"/>
  <c r="AF183" i="19"/>
  <c r="AE183" i="19"/>
  <c r="AD183" i="19"/>
  <c r="AF182" i="19"/>
  <c r="AE182" i="19"/>
  <c r="AD182" i="19"/>
  <c r="AG182" i="19" s="1" a="1"/>
  <c r="AG182" i="19" s="1"/>
  <c r="AF181" i="19"/>
  <c r="AE181" i="19"/>
  <c r="AD181" i="19"/>
  <c r="AF180" i="19"/>
  <c r="AE180" i="19"/>
  <c r="AD180" i="19"/>
  <c r="AF179" i="19"/>
  <c r="AE179" i="19"/>
  <c r="AD179" i="19"/>
  <c r="AF178" i="19"/>
  <c r="AE178" i="19"/>
  <c r="AD178" i="19"/>
  <c r="AF177" i="19"/>
  <c r="AE177" i="19"/>
  <c r="AD177" i="19"/>
  <c r="AF176" i="19"/>
  <c r="AE176" i="19"/>
  <c r="AD176" i="19"/>
  <c r="AG176" i="19" s="1" a="1"/>
  <c r="AG176" i="19" s="1"/>
  <c r="AF175" i="19"/>
  <c r="AE175" i="19"/>
  <c r="AD175" i="19"/>
  <c r="AF174" i="19"/>
  <c r="AE174" i="19"/>
  <c r="AD174" i="19"/>
  <c r="AF173" i="19"/>
  <c r="AE173" i="19"/>
  <c r="AD173" i="19"/>
  <c r="AF172" i="19"/>
  <c r="AE172" i="19"/>
  <c r="AD172" i="19"/>
  <c r="AF171" i="19"/>
  <c r="AE171" i="19"/>
  <c r="AD171" i="19"/>
  <c r="AF170" i="19"/>
  <c r="AE170" i="19"/>
  <c r="AD170" i="19"/>
  <c r="AF169" i="19"/>
  <c r="AE169" i="19"/>
  <c r="AD169" i="19"/>
  <c r="AF168" i="19"/>
  <c r="AE168" i="19"/>
  <c r="AD168" i="19"/>
  <c r="AF167" i="19"/>
  <c r="AE167" i="19"/>
  <c r="AD167" i="19"/>
  <c r="AG166" i="19" a="1"/>
  <c r="AG166" i="19" s="1"/>
  <c r="AF166" i="19"/>
  <c r="AE166" i="19"/>
  <c r="AD166" i="19"/>
  <c r="AF165" i="19"/>
  <c r="AE165" i="19"/>
  <c r="AD165" i="19"/>
  <c r="AF164" i="19"/>
  <c r="AE164" i="19"/>
  <c r="AD164" i="19"/>
  <c r="AF163" i="19"/>
  <c r="AE163" i="19"/>
  <c r="AD163" i="19"/>
  <c r="AF162" i="19"/>
  <c r="AE162" i="19"/>
  <c r="AD162" i="19"/>
  <c r="AF161" i="19"/>
  <c r="AE161" i="19"/>
  <c r="AD161" i="19"/>
  <c r="AF160" i="19"/>
  <c r="AE160" i="19"/>
  <c r="AD160" i="19"/>
  <c r="AF159" i="19"/>
  <c r="AE159" i="19"/>
  <c r="AD159" i="19"/>
  <c r="AF158" i="19"/>
  <c r="AE158" i="19"/>
  <c r="AD158" i="19"/>
  <c r="AF157" i="19"/>
  <c r="AE157" i="19"/>
  <c r="AD157" i="19"/>
  <c r="AF156" i="19"/>
  <c r="AE156" i="19"/>
  <c r="AD156" i="19"/>
  <c r="AF155" i="19"/>
  <c r="AE155" i="19"/>
  <c r="AD155" i="19"/>
  <c r="AG155" i="19" s="1" a="1"/>
  <c r="AG155" i="19" s="1"/>
  <c r="AF154" i="19"/>
  <c r="AE154" i="19"/>
  <c r="AD154" i="19"/>
  <c r="AF153" i="19"/>
  <c r="AE153" i="19"/>
  <c r="AD153" i="19"/>
  <c r="AF152" i="19"/>
  <c r="AE152" i="19"/>
  <c r="AD152" i="19"/>
  <c r="AF151" i="19"/>
  <c r="AE151" i="19"/>
  <c r="AD151" i="19"/>
  <c r="AF150" i="19"/>
  <c r="AE150" i="19"/>
  <c r="AD150" i="19"/>
  <c r="AG150" i="19" s="1" a="1"/>
  <c r="AG150" i="19" s="1"/>
  <c r="AF149" i="19"/>
  <c r="AE149" i="19"/>
  <c r="AD149" i="19"/>
  <c r="AF148" i="19"/>
  <c r="AE148" i="19"/>
  <c r="AD148" i="19"/>
  <c r="AF147" i="19"/>
  <c r="AE147" i="19"/>
  <c r="AD147" i="19"/>
  <c r="AF146" i="19"/>
  <c r="AE146" i="19"/>
  <c r="AD146" i="19"/>
  <c r="AF145" i="19"/>
  <c r="AE145" i="19"/>
  <c r="AD145" i="19"/>
  <c r="AF144" i="19"/>
  <c r="AE144" i="19"/>
  <c r="AD144" i="19"/>
  <c r="AF143" i="19"/>
  <c r="AE143" i="19"/>
  <c r="AD143" i="19"/>
  <c r="AF142" i="19"/>
  <c r="AE142" i="19"/>
  <c r="AD142" i="19"/>
  <c r="AF141" i="19"/>
  <c r="AE141" i="19"/>
  <c r="AD141" i="19"/>
  <c r="AF140" i="19"/>
  <c r="AE140" i="19"/>
  <c r="AD140" i="19"/>
  <c r="AF139" i="19"/>
  <c r="AE139" i="19"/>
  <c r="AD139" i="19"/>
  <c r="AF138" i="19"/>
  <c r="AE138" i="19"/>
  <c r="AD138" i="19"/>
  <c r="AF137" i="19"/>
  <c r="AE137" i="19"/>
  <c r="AD137" i="19"/>
  <c r="AF136" i="19"/>
  <c r="AE136" i="19"/>
  <c r="AD136" i="19"/>
  <c r="AF135" i="19"/>
  <c r="AE135" i="19"/>
  <c r="AD135" i="19"/>
  <c r="AG134" i="19" a="1"/>
  <c r="AG134" i="19" s="1"/>
  <c r="AF134" i="19"/>
  <c r="AE134" i="19"/>
  <c r="AD134" i="19"/>
  <c r="AF133" i="19"/>
  <c r="AE133" i="19"/>
  <c r="AD133" i="19"/>
  <c r="AF132" i="19"/>
  <c r="AE132" i="19"/>
  <c r="AD132" i="19"/>
  <c r="AF131" i="19"/>
  <c r="AE131" i="19"/>
  <c r="AD131" i="19"/>
  <c r="AF130" i="19"/>
  <c r="AE130" i="19"/>
  <c r="AD130" i="19"/>
  <c r="AF129" i="19"/>
  <c r="AE129" i="19"/>
  <c r="AD129" i="19"/>
  <c r="AF128" i="19"/>
  <c r="AE128" i="19"/>
  <c r="AD128" i="19"/>
  <c r="AF127" i="19"/>
  <c r="AE127" i="19"/>
  <c r="AD127" i="19"/>
  <c r="AG127" i="19" s="1" a="1"/>
  <c r="AG127" i="19" s="1"/>
  <c r="AF126" i="19"/>
  <c r="AE126" i="19"/>
  <c r="AD126" i="19"/>
  <c r="AF125" i="19"/>
  <c r="AE125" i="19"/>
  <c r="AD125" i="19"/>
  <c r="AF124" i="19"/>
  <c r="AE124" i="19"/>
  <c r="AD124" i="19"/>
  <c r="AF123" i="19"/>
  <c r="AE123" i="19"/>
  <c r="AD123" i="19"/>
  <c r="AF122" i="19"/>
  <c r="AE122" i="19"/>
  <c r="AD122" i="19"/>
  <c r="AG122" i="19" s="1" a="1"/>
  <c r="AG122" i="19" s="1"/>
  <c r="AF121" i="19"/>
  <c r="AE121" i="19"/>
  <c r="AD121" i="19"/>
  <c r="AF120" i="19"/>
  <c r="AE120" i="19"/>
  <c r="AD120" i="19"/>
  <c r="AF119" i="19"/>
  <c r="AE119" i="19"/>
  <c r="AD119" i="19"/>
  <c r="AF118" i="19"/>
  <c r="AE118" i="19"/>
  <c r="AD118" i="19"/>
  <c r="AF117" i="19"/>
  <c r="AE117" i="19"/>
  <c r="AD117" i="19"/>
  <c r="AF116" i="19"/>
  <c r="AE116" i="19"/>
  <c r="AD116" i="19"/>
  <c r="AF115" i="19"/>
  <c r="AE115" i="19"/>
  <c r="AD115" i="19"/>
  <c r="AF114" i="19"/>
  <c r="AE114" i="19"/>
  <c r="AD114" i="19"/>
  <c r="AF113" i="19"/>
  <c r="AE113" i="19"/>
  <c r="AD113" i="19"/>
  <c r="AG113" i="19" s="1" a="1"/>
  <c r="AG113" i="19" s="1"/>
  <c r="AF112" i="19"/>
  <c r="AE112" i="19"/>
  <c r="AD112" i="19"/>
  <c r="AF111" i="19"/>
  <c r="AE111" i="19"/>
  <c r="AD111" i="19"/>
  <c r="AF110" i="19"/>
  <c r="AE110" i="19"/>
  <c r="AD110" i="19"/>
  <c r="AF109" i="19"/>
  <c r="AE109" i="19"/>
  <c r="AD109" i="19"/>
  <c r="AF108" i="19"/>
  <c r="AE108" i="19"/>
  <c r="AD108" i="19"/>
  <c r="AF107" i="19"/>
  <c r="AE107" i="19"/>
  <c r="AD107" i="19"/>
  <c r="AG107" i="19" s="1" a="1"/>
  <c r="AG107" i="19" s="1"/>
  <c r="AF106" i="19"/>
  <c r="AE106" i="19"/>
  <c r="AD106" i="19"/>
  <c r="AF105" i="19"/>
  <c r="AE105" i="19"/>
  <c r="AD105" i="19"/>
  <c r="AF104" i="19"/>
  <c r="AE104" i="19"/>
  <c r="AD104" i="19"/>
  <c r="AF103" i="19"/>
  <c r="AE103" i="19"/>
  <c r="AD103" i="19"/>
  <c r="AF102" i="19"/>
  <c r="AE102" i="19"/>
  <c r="AD102" i="19"/>
  <c r="AF101" i="19"/>
  <c r="AE101" i="19"/>
  <c r="AD101" i="19"/>
  <c r="AF100" i="19"/>
  <c r="AE100" i="19"/>
  <c r="AD100" i="19"/>
  <c r="AF99" i="19"/>
  <c r="AE99" i="19"/>
  <c r="AD99" i="19"/>
  <c r="AG99" i="19" s="1" a="1"/>
  <c r="AG99" i="19" s="1"/>
  <c r="AF98" i="19"/>
  <c r="AE98" i="19"/>
  <c r="AD98" i="19"/>
  <c r="AF97" i="19"/>
  <c r="AE97" i="19"/>
  <c r="AD97" i="19"/>
  <c r="AF96" i="19"/>
  <c r="AE96" i="19"/>
  <c r="AD96" i="19"/>
  <c r="AF95" i="19"/>
  <c r="AE95" i="19"/>
  <c r="AD95" i="19"/>
  <c r="AF94" i="19"/>
  <c r="AE94" i="19"/>
  <c r="AD94" i="19"/>
  <c r="AF93" i="19"/>
  <c r="AE93" i="19"/>
  <c r="AD93" i="19"/>
  <c r="AG93" i="19" s="1" a="1"/>
  <c r="AG93" i="19" s="1"/>
  <c r="AF92" i="19"/>
  <c r="AE92" i="19"/>
  <c r="AD92" i="19"/>
  <c r="AF91" i="19"/>
  <c r="AE91" i="19"/>
  <c r="AD91" i="19"/>
  <c r="AF90" i="19"/>
  <c r="AE90" i="19"/>
  <c r="AD90" i="19"/>
  <c r="AF89" i="19"/>
  <c r="AE89" i="19"/>
  <c r="AD89" i="19"/>
  <c r="AF88" i="19"/>
  <c r="AE88" i="19"/>
  <c r="AD88" i="19"/>
  <c r="AF87" i="19"/>
  <c r="AE87" i="19"/>
  <c r="AD87" i="19"/>
  <c r="AF86" i="19"/>
  <c r="AE86" i="19"/>
  <c r="AD86" i="19"/>
  <c r="AF85" i="19"/>
  <c r="AE85" i="19"/>
  <c r="AD85" i="19"/>
  <c r="AF84" i="19"/>
  <c r="AE84" i="19"/>
  <c r="AD84" i="19"/>
  <c r="AF83" i="19"/>
  <c r="AE83" i="19"/>
  <c r="AD83" i="19"/>
  <c r="AF82" i="19"/>
  <c r="AE82" i="19"/>
  <c r="AD82" i="19"/>
  <c r="AF81" i="19"/>
  <c r="AE81" i="19"/>
  <c r="AD81" i="19"/>
  <c r="AF80" i="19"/>
  <c r="AE80" i="19"/>
  <c r="AD80" i="19"/>
  <c r="AG80" i="19" s="1" a="1"/>
  <c r="AG80" i="19" s="1"/>
  <c r="AF79" i="19"/>
  <c r="AE79" i="19"/>
  <c r="AD79" i="19"/>
  <c r="AF78" i="19"/>
  <c r="AE78" i="19"/>
  <c r="AD78" i="19"/>
  <c r="AF77" i="19"/>
  <c r="AE77" i="19"/>
  <c r="AD77" i="19"/>
  <c r="AF76" i="19"/>
  <c r="AE76" i="19"/>
  <c r="AD76" i="19"/>
  <c r="AF75" i="19"/>
  <c r="AE75" i="19"/>
  <c r="AD75" i="19"/>
  <c r="AF74" i="19"/>
  <c r="AE74" i="19"/>
  <c r="AD74" i="19"/>
  <c r="AF73" i="19"/>
  <c r="AE73" i="19"/>
  <c r="AD73" i="19"/>
  <c r="AF72" i="19"/>
  <c r="AE72" i="19"/>
  <c r="AD72" i="19"/>
  <c r="AF71" i="19"/>
  <c r="AE71" i="19"/>
  <c r="AD71" i="19"/>
  <c r="AG71" i="19" s="1" a="1"/>
  <c r="AG71" i="19" s="1"/>
  <c r="AF70" i="19"/>
  <c r="AE70" i="19"/>
  <c r="AD70" i="19"/>
  <c r="AF69" i="19"/>
  <c r="AE69" i="19"/>
  <c r="AD69" i="19"/>
  <c r="AF68" i="19"/>
  <c r="AE68" i="19"/>
  <c r="AD68" i="19"/>
  <c r="AF67" i="19"/>
  <c r="AE67" i="19"/>
  <c r="AD67" i="19"/>
  <c r="AF66" i="19"/>
  <c r="AE66" i="19"/>
  <c r="AD66" i="19"/>
  <c r="AF65" i="19"/>
  <c r="AE65" i="19"/>
  <c r="AD65" i="19"/>
  <c r="AF64" i="19"/>
  <c r="AE64" i="19"/>
  <c r="AD64" i="19"/>
  <c r="AF63" i="19"/>
  <c r="AE63" i="19"/>
  <c r="AD63" i="19"/>
  <c r="AF62" i="19"/>
  <c r="AE62" i="19"/>
  <c r="AD62" i="19"/>
  <c r="AF61" i="19"/>
  <c r="AE61" i="19"/>
  <c r="AD61" i="19"/>
  <c r="AF60" i="19"/>
  <c r="AE60" i="19"/>
  <c r="AD60" i="19"/>
  <c r="AF59" i="19"/>
  <c r="AE59" i="19"/>
  <c r="AD59" i="19"/>
  <c r="AF58" i="19"/>
  <c r="AE58" i="19"/>
  <c r="AD58" i="19"/>
  <c r="AF57" i="19"/>
  <c r="AE57" i="19"/>
  <c r="AD57" i="19"/>
  <c r="AG57" i="19" s="1" a="1"/>
  <c r="AG57" i="19" s="1"/>
  <c r="AF56" i="19"/>
  <c r="AE56" i="19"/>
  <c r="AD56" i="19"/>
  <c r="AF55" i="19"/>
  <c r="AE55" i="19"/>
  <c r="AD55" i="19"/>
  <c r="AF54" i="19"/>
  <c r="AE54" i="19"/>
  <c r="AD54" i="19"/>
  <c r="AF53" i="19"/>
  <c r="AE53" i="19"/>
  <c r="AD53" i="19"/>
  <c r="AF52" i="19"/>
  <c r="AE52" i="19"/>
  <c r="AD52" i="19"/>
  <c r="AF51" i="19"/>
  <c r="AE51" i="19"/>
  <c r="AD51" i="19"/>
  <c r="AF50" i="19"/>
  <c r="AE50" i="19"/>
  <c r="AD50" i="19"/>
  <c r="AG50" i="19" s="1" a="1"/>
  <c r="AG50" i="19" s="1"/>
  <c r="AF49" i="19"/>
  <c r="AE49" i="19"/>
  <c r="AD49" i="19"/>
  <c r="AF48" i="19"/>
  <c r="AE48" i="19"/>
  <c r="AD48" i="19"/>
  <c r="AG48" i="19" s="1" a="1"/>
  <c r="AG48" i="19" s="1"/>
  <c r="AF47" i="19"/>
  <c r="AE47" i="19"/>
  <c r="AD47" i="19"/>
  <c r="AF46" i="19"/>
  <c r="AE46" i="19"/>
  <c r="AD46" i="19"/>
  <c r="AF45" i="19"/>
  <c r="AE45" i="19"/>
  <c r="AD45" i="19"/>
  <c r="AF44" i="19"/>
  <c r="AE44" i="19"/>
  <c r="AD44" i="19"/>
  <c r="AF43" i="19"/>
  <c r="AE43" i="19"/>
  <c r="AD43" i="19"/>
  <c r="AF42" i="19"/>
  <c r="AE42" i="19"/>
  <c r="AD42" i="19"/>
  <c r="AF41" i="19"/>
  <c r="AE41" i="19"/>
  <c r="AD41" i="19"/>
  <c r="AG40" i="19" a="1"/>
  <c r="AG40" i="19" s="1"/>
  <c r="AF40" i="19"/>
  <c r="AE40" i="19"/>
  <c r="AD40" i="19"/>
  <c r="AF39" i="19"/>
  <c r="AE39" i="19"/>
  <c r="AD39" i="19"/>
  <c r="AF38" i="19"/>
  <c r="AE38" i="19"/>
  <c r="AD38" i="19"/>
  <c r="AF37" i="19"/>
  <c r="AE37" i="19"/>
  <c r="AD37" i="19"/>
  <c r="AF36" i="19"/>
  <c r="AE36" i="19"/>
  <c r="AD36" i="19"/>
  <c r="AF35" i="19"/>
  <c r="AE35" i="19"/>
  <c r="AD35" i="19"/>
  <c r="AF34" i="19"/>
  <c r="AE34" i="19"/>
  <c r="AD34" i="19"/>
  <c r="AG34" i="19" s="1" a="1"/>
  <c r="AG34" i="19" s="1"/>
  <c r="AF33" i="19"/>
  <c r="AE33" i="19"/>
  <c r="AD33" i="19"/>
  <c r="AF32" i="19"/>
  <c r="AE32" i="19"/>
  <c r="AD32" i="19"/>
  <c r="AF31" i="19"/>
  <c r="AE31" i="19"/>
  <c r="AD31" i="19"/>
  <c r="AF30" i="19"/>
  <c r="AE30" i="19"/>
  <c r="AD30" i="19"/>
  <c r="AF29" i="19"/>
  <c r="AE29" i="19"/>
  <c r="AD29" i="19"/>
  <c r="AF28" i="19"/>
  <c r="AE28" i="19"/>
  <c r="AD28" i="19"/>
  <c r="AF27" i="19"/>
  <c r="AE27" i="19"/>
  <c r="AD27" i="19"/>
  <c r="AF26" i="19"/>
  <c r="AE26" i="19"/>
  <c r="AD26" i="19"/>
  <c r="AF25" i="19"/>
  <c r="AE25" i="19"/>
  <c r="AD25" i="19"/>
  <c r="AF24" i="19"/>
  <c r="AE24" i="19"/>
  <c r="AD24" i="19"/>
  <c r="AF23" i="19"/>
  <c r="AE23" i="19"/>
  <c r="AD23" i="19"/>
  <c r="AF22" i="19"/>
  <c r="AE22" i="19"/>
  <c r="AD22" i="19"/>
  <c r="AF21" i="19"/>
  <c r="AE21" i="19"/>
  <c r="AD21" i="19"/>
  <c r="AF20" i="19"/>
  <c r="AE20" i="19"/>
  <c r="AD20" i="19"/>
  <c r="AG20" i="19" s="1" a="1"/>
  <c r="AG20" i="19" s="1"/>
  <c r="AF19" i="19"/>
  <c r="AE19" i="19"/>
  <c r="AD19" i="19"/>
  <c r="AF18" i="19"/>
  <c r="AE18" i="19"/>
  <c r="AD18" i="19"/>
  <c r="AF17" i="19"/>
  <c r="AE17" i="19"/>
  <c r="AD17" i="19"/>
  <c r="AF16" i="19"/>
  <c r="AE16" i="19"/>
  <c r="AD16" i="19"/>
  <c r="AF15" i="19"/>
  <c r="AE15" i="19"/>
  <c r="AD15" i="19"/>
  <c r="AF14" i="19"/>
  <c r="AE14" i="19"/>
  <c r="AD14" i="19"/>
  <c r="AF13" i="19"/>
  <c r="AE13" i="19"/>
  <c r="AD13" i="19"/>
  <c r="AF12" i="19"/>
  <c r="AE12" i="19"/>
  <c r="AD12" i="19"/>
  <c r="AG12" i="19" s="1" a="1"/>
  <c r="AG12" i="19" s="1"/>
  <c r="AF11" i="19"/>
  <c r="AE11" i="19"/>
  <c r="AD11" i="19"/>
  <c r="AF10" i="19"/>
  <c r="AE10" i="19"/>
  <c r="AD10" i="19"/>
  <c r="AF9" i="19"/>
  <c r="AE9" i="19"/>
  <c r="AD9" i="19"/>
  <c r="AF8" i="19"/>
  <c r="AE8" i="19"/>
  <c r="AD8" i="19"/>
  <c r="AF7" i="19"/>
  <c r="AE7" i="19"/>
  <c r="AD7" i="19"/>
  <c r="AF6" i="19"/>
  <c r="AE6" i="19"/>
  <c r="AD6" i="19"/>
  <c r="AG6" i="19" s="1" a="1"/>
  <c r="AG6" i="19" s="1"/>
  <c r="AF5" i="19"/>
  <c r="AE5" i="19"/>
  <c r="AD5" i="19"/>
  <c r="AF4" i="19"/>
  <c r="AE4" i="19"/>
  <c r="AD4" i="19"/>
  <c r="AH204" i="18" a="1"/>
  <c r="AH204" i="18" s="1"/>
  <c r="AG204" i="18"/>
  <c r="AF204" i="18"/>
  <c r="AE204" i="18"/>
  <c r="AG203" i="18"/>
  <c r="AF203" i="18"/>
  <c r="AE203" i="18"/>
  <c r="AG202" i="18"/>
  <c r="AF202" i="18"/>
  <c r="AE202" i="18"/>
  <c r="AG201" i="18"/>
  <c r="AF201" i="18"/>
  <c r="AE201" i="18"/>
  <c r="AG200" i="18"/>
  <c r="AF200" i="18"/>
  <c r="AE200" i="18"/>
  <c r="AG199" i="18"/>
  <c r="AF199" i="18"/>
  <c r="AE199" i="18"/>
  <c r="AG198" i="18"/>
  <c r="AF198" i="18"/>
  <c r="AE198" i="18"/>
  <c r="AG197" i="18"/>
  <c r="AF197" i="18"/>
  <c r="AE197" i="18"/>
  <c r="AG196" i="18"/>
  <c r="AF196" i="18"/>
  <c r="AE196" i="18"/>
  <c r="AG195" i="18"/>
  <c r="AF195" i="18"/>
  <c r="AE195" i="18"/>
  <c r="AG194" i="18"/>
  <c r="AF194" i="18"/>
  <c r="AE194" i="18"/>
  <c r="AG193" i="18"/>
  <c r="AF193" i="18"/>
  <c r="AE193" i="18"/>
  <c r="AG192" i="18"/>
  <c r="AF192" i="18"/>
  <c r="AE192" i="18"/>
  <c r="AG191" i="18"/>
  <c r="AF191" i="18"/>
  <c r="AE191" i="18"/>
  <c r="AG190" i="18"/>
  <c r="AF190" i="18"/>
  <c r="AE190" i="18"/>
  <c r="AG189" i="18"/>
  <c r="AF189" i="18"/>
  <c r="AE189" i="18"/>
  <c r="AG188" i="18"/>
  <c r="AF188" i="18"/>
  <c r="AE188" i="18"/>
  <c r="AG187" i="18"/>
  <c r="AF187" i="18"/>
  <c r="AE187" i="18"/>
  <c r="AG186" i="18"/>
  <c r="AF186" i="18"/>
  <c r="AE186" i="18"/>
  <c r="AG185" i="18"/>
  <c r="AF185" i="18"/>
  <c r="AE185" i="18"/>
  <c r="AG184" i="18"/>
  <c r="AF184" i="18"/>
  <c r="AE184" i="18"/>
  <c r="AG183" i="18"/>
  <c r="AF183" i="18"/>
  <c r="AE183" i="18"/>
  <c r="AG182" i="18"/>
  <c r="AF182" i="18"/>
  <c r="AE182" i="18"/>
  <c r="AG181" i="18"/>
  <c r="AF181" i="18"/>
  <c r="AE181" i="18"/>
  <c r="AG180" i="18"/>
  <c r="AF180" i="18"/>
  <c r="AE180" i="18"/>
  <c r="AG179" i="18"/>
  <c r="AF179" i="18"/>
  <c r="AE179" i="18"/>
  <c r="AG178" i="18"/>
  <c r="AF178" i="18"/>
  <c r="AE178" i="18"/>
  <c r="AG177" i="18"/>
  <c r="AF177" i="18"/>
  <c r="AE177" i="18"/>
  <c r="AG176" i="18"/>
  <c r="AF176" i="18"/>
  <c r="AE176" i="18"/>
  <c r="AG175" i="18"/>
  <c r="AF175" i="18"/>
  <c r="AE175" i="18"/>
  <c r="AG174" i="18"/>
  <c r="AF174" i="18"/>
  <c r="AE174" i="18"/>
  <c r="AG173" i="18"/>
  <c r="AF173" i="18"/>
  <c r="AE173" i="18"/>
  <c r="AG172" i="18"/>
  <c r="AF172" i="18"/>
  <c r="AE172" i="18"/>
  <c r="AG171" i="18"/>
  <c r="AF171" i="18"/>
  <c r="AE171" i="18"/>
  <c r="AG170" i="18"/>
  <c r="AF170" i="18"/>
  <c r="AE170" i="18"/>
  <c r="AG169" i="18"/>
  <c r="AF169" i="18"/>
  <c r="AE169" i="18"/>
  <c r="AG168" i="18"/>
  <c r="AF168" i="18"/>
  <c r="AE168" i="18"/>
  <c r="AG167" i="18"/>
  <c r="AF167" i="18"/>
  <c r="AE167" i="18"/>
  <c r="AG166" i="18"/>
  <c r="AF166" i="18"/>
  <c r="AE166" i="18"/>
  <c r="AG165" i="18"/>
  <c r="AF165" i="18"/>
  <c r="AE165" i="18"/>
  <c r="AG164" i="18"/>
  <c r="AF164" i="18"/>
  <c r="AE164" i="18"/>
  <c r="AG163" i="18"/>
  <c r="AF163" i="18"/>
  <c r="AE163" i="18"/>
  <c r="AG162" i="18"/>
  <c r="AF162" i="18"/>
  <c r="AE162" i="18"/>
  <c r="AG161" i="18"/>
  <c r="AF161" i="18"/>
  <c r="AE161" i="18"/>
  <c r="AG160" i="18"/>
  <c r="AF160" i="18"/>
  <c r="AE160" i="18"/>
  <c r="AG159" i="18"/>
  <c r="AF159" i="18"/>
  <c r="AE159" i="18"/>
  <c r="AG158" i="18"/>
  <c r="AF158" i="18"/>
  <c r="AE158" i="18"/>
  <c r="AG157" i="18"/>
  <c r="AF157" i="18"/>
  <c r="AE157" i="18"/>
  <c r="AG156" i="18"/>
  <c r="AF156" i="18"/>
  <c r="AE156" i="18"/>
  <c r="AG155" i="18"/>
  <c r="AF155" i="18"/>
  <c r="AE155" i="18"/>
  <c r="AG154" i="18"/>
  <c r="AF154" i="18"/>
  <c r="AE154" i="18"/>
  <c r="AG153" i="18"/>
  <c r="AF153" i="18"/>
  <c r="AE153" i="18"/>
  <c r="AG152" i="18"/>
  <c r="AF152" i="18"/>
  <c r="AE152" i="18"/>
  <c r="AG151" i="18"/>
  <c r="AF151" i="18"/>
  <c r="AE151" i="18"/>
  <c r="AG149" i="18"/>
  <c r="AF149" i="18"/>
  <c r="AE149" i="18"/>
  <c r="AG148" i="18"/>
  <c r="AF148" i="18"/>
  <c r="AE148" i="18"/>
  <c r="AG147" i="18"/>
  <c r="AF147" i="18"/>
  <c r="AE147" i="18"/>
  <c r="AG146" i="18"/>
  <c r="AF146" i="18"/>
  <c r="AE146" i="18"/>
  <c r="AG145" i="18"/>
  <c r="AF145" i="18"/>
  <c r="AE145" i="18"/>
  <c r="AG144" i="18"/>
  <c r="AF144" i="18"/>
  <c r="AE144" i="18"/>
  <c r="AG143" i="18"/>
  <c r="AF143" i="18"/>
  <c r="AE143" i="18"/>
  <c r="AG142" i="18"/>
  <c r="AF142" i="18"/>
  <c r="AE142" i="18"/>
  <c r="AG141" i="18"/>
  <c r="AF141" i="18"/>
  <c r="AE141" i="18"/>
  <c r="AG140" i="18"/>
  <c r="AF140" i="18"/>
  <c r="AE140" i="18"/>
  <c r="AG139" i="18"/>
  <c r="AF139" i="18"/>
  <c r="AE139" i="18"/>
  <c r="AG138" i="18"/>
  <c r="AF138" i="18"/>
  <c r="AE138" i="18"/>
  <c r="AG137" i="18"/>
  <c r="AF137" i="18"/>
  <c r="AE137" i="18"/>
  <c r="AG135" i="18"/>
  <c r="AF135" i="18"/>
  <c r="AE135" i="18"/>
  <c r="AG134" i="18"/>
  <c r="AF134" i="18"/>
  <c r="AE134" i="18"/>
  <c r="AG133" i="18"/>
  <c r="AF133" i="18"/>
  <c r="AE133" i="18"/>
  <c r="AG132" i="18"/>
  <c r="AF132" i="18"/>
  <c r="AE132" i="18"/>
  <c r="AG131" i="18"/>
  <c r="AF131" i="18"/>
  <c r="AE131" i="18"/>
  <c r="AG130" i="18"/>
  <c r="AF130" i="18"/>
  <c r="AE130" i="18"/>
  <c r="AG129" i="18"/>
  <c r="AF129" i="18"/>
  <c r="AE129" i="18"/>
  <c r="AG128" i="18"/>
  <c r="AF128" i="18"/>
  <c r="AE128" i="18"/>
  <c r="AG127" i="18"/>
  <c r="AF127" i="18"/>
  <c r="AE127" i="18"/>
  <c r="AG126" i="18"/>
  <c r="AF126" i="18"/>
  <c r="AE126" i="18"/>
  <c r="AG125" i="18"/>
  <c r="AF125" i="18"/>
  <c r="AE125" i="18"/>
  <c r="AG124" i="18"/>
  <c r="AF124" i="18"/>
  <c r="AE124" i="18"/>
  <c r="AG123" i="18"/>
  <c r="AF123" i="18"/>
  <c r="AE123" i="18"/>
  <c r="AG122" i="18"/>
  <c r="AF122" i="18"/>
  <c r="AE122" i="18"/>
  <c r="AG121" i="18"/>
  <c r="AF121" i="18"/>
  <c r="AE121" i="18"/>
  <c r="AG120" i="18"/>
  <c r="AF120" i="18"/>
  <c r="AE120" i="18"/>
  <c r="AG119" i="18"/>
  <c r="AF119" i="18"/>
  <c r="AE119" i="18"/>
  <c r="AG118" i="18"/>
  <c r="AF118" i="18"/>
  <c r="AE118" i="18"/>
  <c r="AG117" i="18"/>
  <c r="AF117" i="18"/>
  <c r="AE117" i="18"/>
  <c r="AG116" i="18"/>
  <c r="AF116" i="18"/>
  <c r="AE116" i="18"/>
  <c r="AG115" i="18"/>
  <c r="AF115" i="18"/>
  <c r="AE115" i="18"/>
  <c r="AG114" i="18"/>
  <c r="AF114" i="18"/>
  <c r="AE114" i="18"/>
  <c r="AG113" i="18"/>
  <c r="AF113" i="18"/>
  <c r="AE113" i="18"/>
  <c r="AG112" i="18"/>
  <c r="AF112" i="18"/>
  <c r="AE112" i="18"/>
  <c r="AG111" i="18"/>
  <c r="AF111" i="18"/>
  <c r="AE111" i="18"/>
  <c r="AG110" i="18"/>
  <c r="AF110" i="18"/>
  <c r="AE110" i="18"/>
  <c r="AG109" i="18"/>
  <c r="AF109" i="18"/>
  <c r="AE109" i="18"/>
  <c r="AG108" i="18"/>
  <c r="AF108" i="18"/>
  <c r="AE108" i="18"/>
  <c r="AG107" i="18"/>
  <c r="AF107" i="18"/>
  <c r="AE107" i="18"/>
  <c r="AG106" i="18"/>
  <c r="AF106" i="18"/>
  <c r="AE106" i="18"/>
  <c r="AG105" i="18"/>
  <c r="AF105" i="18"/>
  <c r="AE105" i="18"/>
  <c r="AG104" i="18"/>
  <c r="AF104" i="18"/>
  <c r="AE104" i="18"/>
  <c r="AG103" i="18"/>
  <c r="AF103" i="18"/>
  <c r="AE103" i="18"/>
  <c r="AG102" i="18"/>
  <c r="AF102" i="18"/>
  <c r="AE102" i="18"/>
  <c r="AG101" i="18"/>
  <c r="AF101" i="18"/>
  <c r="AE101" i="18"/>
  <c r="AG100" i="18"/>
  <c r="AF100" i="18"/>
  <c r="AE100" i="18"/>
  <c r="AG99" i="18"/>
  <c r="AF99" i="18"/>
  <c r="AE99" i="18"/>
  <c r="AG98" i="18"/>
  <c r="AF98" i="18"/>
  <c r="AE98" i="18"/>
  <c r="AG97" i="18"/>
  <c r="AF97" i="18"/>
  <c r="AE97" i="18"/>
  <c r="AG96" i="18"/>
  <c r="AF96" i="18"/>
  <c r="AE96" i="18"/>
  <c r="AG95" i="18"/>
  <c r="AF95" i="18"/>
  <c r="AE95" i="18"/>
  <c r="AG94" i="18"/>
  <c r="AF94" i="18"/>
  <c r="AE94" i="18"/>
  <c r="AG93" i="18"/>
  <c r="AF93" i="18"/>
  <c r="AE93" i="18"/>
  <c r="AG92" i="18"/>
  <c r="AF92" i="18"/>
  <c r="AE92" i="18"/>
  <c r="AG91" i="18"/>
  <c r="AF91" i="18"/>
  <c r="AE91" i="18"/>
  <c r="AG90" i="18"/>
  <c r="AF90" i="18"/>
  <c r="AE90" i="18"/>
  <c r="AG89" i="18"/>
  <c r="AF89" i="18"/>
  <c r="AE89" i="18"/>
  <c r="AG88" i="18"/>
  <c r="AF88" i="18"/>
  <c r="AE88" i="18"/>
  <c r="AG87" i="18"/>
  <c r="AF87" i="18"/>
  <c r="AE87" i="18"/>
  <c r="AG86" i="18"/>
  <c r="AF86" i="18"/>
  <c r="AE86" i="18"/>
  <c r="AG85" i="18"/>
  <c r="AF85" i="18"/>
  <c r="AE85" i="18"/>
  <c r="AG84" i="18"/>
  <c r="AF84" i="18"/>
  <c r="AE84" i="18"/>
  <c r="AG83" i="18"/>
  <c r="AF83" i="18"/>
  <c r="AE83" i="18"/>
  <c r="AG82" i="18"/>
  <c r="AF82" i="18"/>
  <c r="AE82" i="18"/>
  <c r="AG81" i="18"/>
  <c r="AF81" i="18"/>
  <c r="AE81" i="18"/>
  <c r="AG80" i="18"/>
  <c r="AF80" i="18"/>
  <c r="AE80" i="18"/>
  <c r="AG79" i="18"/>
  <c r="AF79" i="18"/>
  <c r="AE79" i="18"/>
  <c r="AG78" i="18"/>
  <c r="AF78" i="18"/>
  <c r="AE78" i="18"/>
  <c r="AG77" i="18"/>
  <c r="AF77" i="18"/>
  <c r="AE77" i="18"/>
  <c r="AG76" i="18"/>
  <c r="AF76" i="18"/>
  <c r="AE76" i="18"/>
  <c r="AG75" i="18"/>
  <c r="AF75" i="18"/>
  <c r="AE75" i="18"/>
  <c r="AH75" i="18" s="1" a="1"/>
  <c r="AH75" i="18" s="1"/>
  <c r="AG74" i="18"/>
  <c r="AF74" i="18"/>
  <c r="AE74" i="18"/>
  <c r="AG73" i="18"/>
  <c r="AF73" i="18"/>
  <c r="AE73" i="18"/>
  <c r="AG72" i="18"/>
  <c r="AF72" i="18"/>
  <c r="AE72" i="18"/>
  <c r="AG71" i="18"/>
  <c r="AF71" i="18"/>
  <c r="AE71" i="18"/>
  <c r="AG70" i="18"/>
  <c r="AF70" i="18"/>
  <c r="AE70" i="18"/>
  <c r="AG69" i="18"/>
  <c r="AF69" i="18"/>
  <c r="AE69" i="18"/>
  <c r="AG68" i="18"/>
  <c r="AF68" i="18"/>
  <c r="AE68" i="18"/>
  <c r="AG67" i="18"/>
  <c r="AF67" i="18"/>
  <c r="AE67" i="18"/>
  <c r="AG66" i="18"/>
  <c r="AF66" i="18"/>
  <c r="AE66" i="18"/>
  <c r="AG65" i="18"/>
  <c r="AF65" i="18"/>
  <c r="AE65" i="18"/>
  <c r="AG64" i="18"/>
  <c r="AF64" i="18"/>
  <c r="AE64" i="18"/>
  <c r="AG63" i="18"/>
  <c r="AF63" i="18"/>
  <c r="AE63" i="18"/>
  <c r="AG62" i="18"/>
  <c r="AF62" i="18"/>
  <c r="AE62" i="18"/>
  <c r="AG61" i="18"/>
  <c r="AF61" i="18"/>
  <c r="AE61" i="18"/>
  <c r="AG60" i="18"/>
  <c r="AF60" i="18"/>
  <c r="AE60" i="18"/>
  <c r="AG59" i="18"/>
  <c r="AF59" i="18"/>
  <c r="AE59" i="18"/>
  <c r="AG58" i="18"/>
  <c r="AF58" i="18"/>
  <c r="AE58" i="18"/>
  <c r="AG57" i="18"/>
  <c r="AF57" i="18"/>
  <c r="AE57" i="18"/>
  <c r="AG56" i="18"/>
  <c r="AF56" i="18"/>
  <c r="AE56" i="18"/>
  <c r="AG55" i="18"/>
  <c r="AF55" i="18"/>
  <c r="AE55" i="18"/>
  <c r="AG54" i="18"/>
  <c r="AF54" i="18"/>
  <c r="AE54" i="18"/>
  <c r="AG53" i="18"/>
  <c r="AF53" i="18"/>
  <c r="AE53" i="18"/>
  <c r="AG52" i="18"/>
  <c r="AF52" i="18"/>
  <c r="AE52" i="18"/>
  <c r="AG51" i="18"/>
  <c r="AF51" i="18"/>
  <c r="AE51" i="18"/>
  <c r="AG50" i="18"/>
  <c r="AF50" i="18"/>
  <c r="AE50" i="18"/>
  <c r="AG49" i="18"/>
  <c r="AF49" i="18"/>
  <c r="AE49" i="18"/>
  <c r="AG48" i="18"/>
  <c r="AF48" i="18"/>
  <c r="AE48" i="18"/>
  <c r="AG47" i="18"/>
  <c r="AF47" i="18"/>
  <c r="AE47" i="18"/>
  <c r="AG46" i="18"/>
  <c r="AF46" i="18"/>
  <c r="AE46" i="18"/>
  <c r="AG45" i="18"/>
  <c r="AF45" i="18"/>
  <c r="AE45" i="18"/>
  <c r="AG44" i="18"/>
  <c r="AF44" i="18"/>
  <c r="AE44" i="18"/>
  <c r="AG43" i="18"/>
  <c r="AF43" i="18"/>
  <c r="AE43" i="18"/>
  <c r="AG42" i="18"/>
  <c r="AF42" i="18"/>
  <c r="AE42" i="18"/>
  <c r="AG41" i="18"/>
  <c r="AF41" i="18"/>
  <c r="AE41" i="18"/>
  <c r="AG40" i="18"/>
  <c r="AF40" i="18"/>
  <c r="AE40" i="18"/>
  <c r="AG39" i="18"/>
  <c r="AF39" i="18"/>
  <c r="AE39" i="18"/>
  <c r="AG38" i="18"/>
  <c r="AF38" i="18"/>
  <c r="AE38" i="18"/>
  <c r="AG37" i="18"/>
  <c r="AF37" i="18"/>
  <c r="AE37" i="18"/>
  <c r="AG36" i="18"/>
  <c r="AF36" i="18"/>
  <c r="AE36" i="18"/>
  <c r="AG35" i="18"/>
  <c r="AF35" i="18"/>
  <c r="AE35" i="18"/>
  <c r="AG34" i="18"/>
  <c r="AF34" i="18"/>
  <c r="AE34" i="18"/>
  <c r="AG33" i="18"/>
  <c r="AF33" i="18"/>
  <c r="AE33" i="18"/>
  <c r="AG32" i="18"/>
  <c r="AF32" i="18"/>
  <c r="AE32" i="18"/>
  <c r="AG31" i="18"/>
  <c r="AF31" i="18"/>
  <c r="AE31" i="18"/>
  <c r="AG30" i="18"/>
  <c r="AF30" i="18"/>
  <c r="AE30" i="18"/>
  <c r="AG29" i="18"/>
  <c r="AF29" i="18"/>
  <c r="AE29" i="18"/>
  <c r="AG28" i="18"/>
  <c r="AF28" i="18"/>
  <c r="AE28" i="18"/>
  <c r="AG27" i="18"/>
  <c r="AF27" i="18"/>
  <c r="AE27" i="18"/>
  <c r="AG26" i="18"/>
  <c r="AF26" i="18"/>
  <c r="AE26" i="18"/>
  <c r="AG25" i="18"/>
  <c r="AF25" i="18"/>
  <c r="AE25" i="18"/>
  <c r="AG24" i="18"/>
  <c r="AF24" i="18"/>
  <c r="AE24" i="18"/>
  <c r="AG23" i="18"/>
  <c r="AF23" i="18"/>
  <c r="AE23" i="18"/>
  <c r="AG22" i="18"/>
  <c r="AF22" i="18"/>
  <c r="AE22" i="18"/>
  <c r="AG21" i="18"/>
  <c r="AF21" i="18"/>
  <c r="AE21" i="18"/>
  <c r="AG20" i="18"/>
  <c r="AF20" i="18"/>
  <c r="AE20" i="18"/>
  <c r="AG19" i="18"/>
  <c r="AF19" i="18"/>
  <c r="AE19" i="18"/>
  <c r="AG18" i="18"/>
  <c r="AF18" i="18"/>
  <c r="AE18" i="18"/>
  <c r="AG17" i="18"/>
  <c r="AF17" i="18"/>
  <c r="AE17" i="18"/>
  <c r="AG16" i="18"/>
  <c r="AF16" i="18"/>
  <c r="AE16" i="18"/>
  <c r="AG15" i="18"/>
  <c r="AF15" i="18"/>
  <c r="AE15" i="18"/>
  <c r="AH15" i="18" s="1" a="1"/>
  <c r="AH15" i="18" s="1"/>
  <c r="AG14" i="18"/>
  <c r="AF14" i="18"/>
  <c r="AE14" i="18"/>
  <c r="AG13" i="18"/>
  <c r="AF13" i="18"/>
  <c r="AE13" i="18"/>
  <c r="AG12" i="18"/>
  <c r="AF12" i="18"/>
  <c r="AE12" i="18"/>
  <c r="AG11" i="18"/>
  <c r="AF11" i="18"/>
  <c r="AE11" i="18"/>
  <c r="AG10" i="18"/>
  <c r="AF10" i="18"/>
  <c r="AE10" i="18"/>
  <c r="AG9" i="18"/>
  <c r="AF9" i="18"/>
  <c r="AE9" i="18"/>
  <c r="AG8" i="18"/>
  <c r="AF8" i="18"/>
  <c r="AE8" i="18"/>
  <c r="AG7" i="18"/>
  <c r="AF7" i="18"/>
  <c r="AE7" i="18"/>
  <c r="AG6" i="18"/>
  <c r="AF6" i="18"/>
  <c r="AE6" i="18"/>
  <c r="AG5" i="18"/>
  <c r="AF5" i="18"/>
  <c r="AE5" i="18"/>
  <c r="AG4" i="18"/>
  <c r="AF4" i="18"/>
  <c r="AE4" i="18"/>
  <c r="AC206" i="17"/>
  <c r="AB206" i="17"/>
  <c r="AA206" i="17"/>
  <c r="Z206" i="17"/>
  <c r="Y206" i="17"/>
  <c r="X206" i="17"/>
  <c r="W206" i="17"/>
  <c r="V206" i="17"/>
  <c r="U206" i="17"/>
  <c r="T206" i="17"/>
  <c r="S206" i="17"/>
  <c r="R206" i="17"/>
  <c r="Q206" i="17"/>
  <c r="P206" i="17"/>
  <c r="AC205" i="17"/>
  <c r="AB205" i="17"/>
  <c r="AA205" i="17"/>
  <c r="Z205" i="17"/>
  <c r="Y205" i="17"/>
  <c r="X205" i="17"/>
  <c r="W205" i="17"/>
  <c r="V205" i="17"/>
  <c r="U205" i="17"/>
  <c r="T205" i="17"/>
  <c r="S205" i="17"/>
  <c r="R205" i="17"/>
  <c r="Q205" i="17"/>
  <c r="P205" i="17"/>
  <c r="AC204" i="17"/>
  <c r="AB204" i="17"/>
  <c r="AA204" i="17"/>
  <c r="Z204" i="17"/>
  <c r="Y204" i="17"/>
  <c r="X204" i="17"/>
  <c r="W204" i="17"/>
  <c r="V204" i="17"/>
  <c r="U204" i="17"/>
  <c r="T204" i="17"/>
  <c r="S204" i="17"/>
  <c r="R204" i="17"/>
  <c r="Q204" i="17"/>
  <c r="P204" i="17"/>
  <c r="AH203" i="17"/>
  <c r="AG203" i="17"/>
  <c r="AF203" i="17"/>
  <c r="AH202" i="17"/>
  <c r="AG202" i="17"/>
  <c r="AF202" i="17"/>
  <c r="AH201" i="17"/>
  <c r="AG201" i="17"/>
  <c r="AF201" i="17"/>
  <c r="AH200" i="17"/>
  <c r="AG200" i="17"/>
  <c r="AF200" i="17"/>
  <c r="AH199" i="17"/>
  <c r="AG199" i="17"/>
  <c r="AF199" i="17"/>
  <c r="AH198" i="17"/>
  <c r="AG198" i="17"/>
  <c r="AF198" i="17"/>
  <c r="AH197" i="17"/>
  <c r="AG197" i="17"/>
  <c r="AF197" i="17"/>
  <c r="AH196" i="17"/>
  <c r="AG196" i="17"/>
  <c r="AF196" i="17"/>
  <c r="AH195" i="17"/>
  <c r="AG195" i="17"/>
  <c r="AF195" i="17"/>
  <c r="AH194" i="17"/>
  <c r="AG194" i="17"/>
  <c r="AF194" i="17"/>
  <c r="AH193" i="17"/>
  <c r="AG193" i="17"/>
  <c r="AF193" i="17"/>
  <c r="AH192" i="17"/>
  <c r="AG192" i="17"/>
  <c r="AF192" i="17"/>
  <c r="AH191" i="17"/>
  <c r="AG191" i="17"/>
  <c r="AF191" i="17"/>
  <c r="AH190" i="17"/>
  <c r="AG190" i="17"/>
  <c r="AF190" i="17"/>
  <c r="AH189" i="17"/>
  <c r="AG189" i="17"/>
  <c r="AF189" i="17"/>
  <c r="AH188" i="17"/>
  <c r="AG188" i="17"/>
  <c r="AF188" i="17"/>
  <c r="AH187" i="17"/>
  <c r="AG187" i="17"/>
  <c r="AF187" i="17"/>
  <c r="AH186" i="17"/>
  <c r="AG186" i="17"/>
  <c r="AF186" i="17"/>
  <c r="AH185" i="17"/>
  <c r="AG185" i="17"/>
  <c r="AF185" i="17"/>
  <c r="AH184" i="17"/>
  <c r="AG184" i="17"/>
  <c r="AF184" i="17"/>
  <c r="AH183" i="17"/>
  <c r="AG183" i="17"/>
  <c r="AF183" i="17"/>
  <c r="AH182" i="17"/>
  <c r="AG182" i="17"/>
  <c r="AF182" i="17"/>
  <c r="AH181" i="17"/>
  <c r="AG181" i="17"/>
  <c r="AF181" i="17"/>
  <c r="AH180" i="17"/>
  <c r="AG180" i="17"/>
  <c r="AF180" i="17"/>
  <c r="AH179" i="17"/>
  <c r="AG179" i="17"/>
  <c r="AF179" i="17"/>
  <c r="AH178" i="17"/>
  <c r="AG178" i="17"/>
  <c r="AF178" i="17"/>
  <c r="AH177" i="17"/>
  <c r="AG177" i="17"/>
  <c r="AF177" i="17"/>
  <c r="AH176" i="17"/>
  <c r="AG176" i="17"/>
  <c r="AF176" i="17"/>
  <c r="AH175" i="17"/>
  <c r="AG175" i="17"/>
  <c r="AF175" i="17"/>
  <c r="AH174" i="17"/>
  <c r="AG174" i="17"/>
  <c r="AF174" i="17"/>
  <c r="AH173" i="17"/>
  <c r="AG173" i="17"/>
  <c r="AF173" i="17"/>
  <c r="AH172" i="17"/>
  <c r="AG172" i="17"/>
  <c r="AF172" i="17"/>
  <c r="AH171" i="17"/>
  <c r="AG171" i="17"/>
  <c r="AF171" i="17"/>
  <c r="AH170" i="17"/>
  <c r="AG170" i="17"/>
  <c r="AF170" i="17"/>
  <c r="AH169" i="17"/>
  <c r="AG169" i="17"/>
  <c r="AF169" i="17"/>
  <c r="AH168" i="17"/>
  <c r="AG168" i="17"/>
  <c r="AF168" i="17"/>
  <c r="AH167" i="17"/>
  <c r="AG167" i="17"/>
  <c r="AF167" i="17"/>
  <c r="AH166" i="17"/>
  <c r="AG166" i="17"/>
  <c r="AF166" i="17"/>
  <c r="AH165" i="17"/>
  <c r="AG165" i="17"/>
  <c r="AF165" i="17"/>
  <c r="AH164" i="17"/>
  <c r="AG164" i="17"/>
  <c r="AF164" i="17"/>
  <c r="AH163" i="17"/>
  <c r="AG163" i="17"/>
  <c r="AF163" i="17"/>
  <c r="AH162" i="17"/>
  <c r="AG162" i="17"/>
  <c r="AF162" i="17"/>
  <c r="AH161" i="17"/>
  <c r="AG161" i="17"/>
  <c r="AF161" i="17"/>
  <c r="AH160" i="17"/>
  <c r="AG160" i="17"/>
  <c r="AF160" i="17"/>
  <c r="AH159" i="17"/>
  <c r="AG159" i="17"/>
  <c r="AF159" i="17"/>
  <c r="AH158" i="17"/>
  <c r="AG158" i="17"/>
  <c r="AF158" i="17"/>
  <c r="AH157" i="17"/>
  <c r="AG157" i="17"/>
  <c r="AF157" i="17"/>
  <c r="AH156" i="17"/>
  <c r="AG156" i="17"/>
  <c r="AF156" i="17"/>
  <c r="AH155" i="17"/>
  <c r="AG155" i="17"/>
  <c r="AF155" i="17"/>
  <c r="AH154" i="17"/>
  <c r="AG154" i="17"/>
  <c r="AF154" i="17"/>
  <c r="AH153" i="17"/>
  <c r="AG153" i="17"/>
  <c r="AF153" i="17"/>
  <c r="AH152" i="17"/>
  <c r="AG152" i="17"/>
  <c r="AF152" i="17"/>
  <c r="AH151" i="17"/>
  <c r="AG151" i="17"/>
  <c r="AF151" i="17"/>
  <c r="AH150" i="17"/>
  <c r="AG150" i="17"/>
  <c r="AF150" i="17"/>
  <c r="AH149" i="17"/>
  <c r="AG149" i="17"/>
  <c r="AF149" i="17"/>
  <c r="AH148" i="17"/>
  <c r="AG148" i="17"/>
  <c r="AF148" i="17"/>
  <c r="AH147" i="17"/>
  <c r="AG147" i="17"/>
  <c r="AF147" i="17"/>
  <c r="AH146" i="17"/>
  <c r="AG146" i="17"/>
  <c r="AF146" i="17"/>
  <c r="AH145" i="17"/>
  <c r="AG145" i="17"/>
  <c r="AF145" i="17"/>
  <c r="AH144" i="17"/>
  <c r="AG144" i="17"/>
  <c r="AF144" i="17"/>
  <c r="AH143" i="17"/>
  <c r="AG143" i="17"/>
  <c r="AF143" i="17"/>
  <c r="AH142" i="17"/>
  <c r="AG142" i="17"/>
  <c r="AF142" i="17"/>
  <c r="AH141" i="17"/>
  <c r="AG141" i="17"/>
  <c r="AF141" i="17"/>
  <c r="AH140" i="17"/>
  <c r="AG140" i="17"/>
  <c r="AF140" i="17"/>
  <c r="AH139" i="17"/>
  <c r="AG139" i="17"/>
  <c r="AF139" i="17"/>
  <c r="AH138" i="17"/>
  <c r="AG138" i="17"/>
  <c r="AF138" i="17"/>
  <c r="AH137" i="17"/>
  <c r="AG137" i="17"/>
  <c r="AF137" i="17"/>
  <c r="AH136" i="17"/>
  <c r="AG136" i="17"/>
  <c r="AF136" i="17"/>
  <c r="AH135" i="17"/>
  <c r="AG135" i="17"/>
  <c r="AF135" i="17"/>
  <c r="AH134" i="17"/>
  <c r="AG134" i="17"/>
  <c r="AF134" i="17"/>
  <c r="AH133" i="17"/>
  <c r="AG133" i="17"/>
  <c r="AF133" i="17"/>
  <c r="AH132" i="17"/>
  <c r="AG132" i="17"/>
  <c r="AF132" i="17"/>
  <c r="AH131" i="17"/>
  <c r="AG131" i="17"/>
  <c r="AF131" i="17"/>
  <c r="AH130" i="17"/>
  <c r="AG130" i="17"/>
  <c r="AF130" i="17"/>
  <c r="AH129" i="17"/>
  <c r="AG129" i="17"/>
  <c r="AF129" i="17"/>
  <c r="AH128" i="17"/>
  <c r="AG128" i="17"/>
  <c r="AF128" i="17"/>
  <c r="AH127" i="17"/>
  <c r="AG127" i="17"/>
  <c r="AF127" i="17"/>
  <c r="AH126" i="17"/>
  <c r="AG126" i="17"/>
  <c r="AF126" i="17"/>
  <c r="AH125" i="17"/>
  <c r="AG125" i="17"/>
  <c r="AF125" i="17"/>
  <c r="AI125" i="17" s="1" a="1"/>
  <c r="AI125" i="17" s="1"/>
  <c r="AH124" i="17"/>
  <c r="AG124" i="17"/>
  <c r="AF124" i="17"/>
  <c r="AH123" i="17"/>
  <c r="AG123" i="17"/>
  <c r="AF123" i="17"/>
  <c r="AH122" i="17"/>
  <c r="AG122" i="17"/>
  <c r="AF122" i="17"/>
  <c r="AH121" i="17"/>
  <c r="AG121" i="17"/>
  <c r="AF121" i="17"/>
  <c r="AH120" i="17"/>
  <c r="AG120" i="17"/>
  <c r="AF120" i="17"/>
  <c r="AH119" i="17"/>
  <c r="AG119" i="17"/>
  <c r="AF119" i="17"/>
  <c r="AH118" i="17"/>
  <c r="AG118" i="17"/>
  <c r="AF118" i="17"/>
  <c r="AH117" i="17"/>
  <c r="AG117" i="17"/>
  <c r="AF117" i="17"/>
  <c r="AH116" i="17"/>
  <c r="AG116" i="17"/>
  <c r="AF116" i="17"/>
  <c r="AH115" i="17"/>
  <c r="AG115" i="17"/>
  <c r="AF115" i="17"/>
  <c r="AH114" i="17"/>
  <c r="AG114" i="17"/>
  <c r="AF114" i="17"/>
  <c r="AH113" i="17"/>
  <c r="AG113" i="17"/>
  <c r="AF113" i="17"/>
  <c r="AH112" i="17"/>
  <c r="AG112" i="17"/>
  <c r="AF112" i="17"/>
  <c r="AH111" i="17"/>
  <c r="AG111" i="17"/>
  <c r="AF111" i="17"/>
  <c r="AH110" i="17"/>
  <c r="AG110" i="17"/>
  <c r="AF110" i="17"/>
  <c r="AH109" i="17"/>
  <c r="AG109" i="17"/>
  <c r="AF109" i="17"/>
  <c r="AH108" i="17"/>
  <c r="AG108" i="17"/>
  <c r="AF108" i="17"/>
  <c r="AH107" i="17"/>
  <c r="AG107" i="17"/>
  <c r="AF107" i="17"/>
  <c r="AH106" i="17"/>
  <c r="AG106" i="17"/>
  <c r="AF106" i="17"/>
  <c r="AH105" i="17"/>
  <c r="AG105" i="17"/>
  <c r="AF105" i="17"/>
  <c r="AH104" i="17"/>
  <c r="AG104" i="17"/>
  <c r="AF104" i="17"/>
  <c r="AH103" i="17"/>
  <c r="AG103" i="17"/>
  <c r="AF103" i="17"/>
  <c r="AH101" i="17"/>
  <c r="AH100" i="17"/>
  <c r="AG100" i="17"/>
  <c r="AF100" i="17"/>
  <c r="AH99" i="17"/>
  <c r="AG99" i="17"/>
  <c r="AF99" i="17"/>
  <c r="AH98" i="17"/>
  <c r="AG98" i="17"/>
  <c r="AF98" i="17"/>
  <c r="AH97" i="17"/>
  <c r="AG97" i="17"/>
  <c r="AF97" i="17"/>
  <c r="AH96" i="17"/>
  <c r="AG96" i="17"/>
  <c r="AF96" i="17"/>
  <c r="AH95" i="17"/>
  <c r="AG95" i="17"/>
  <c r="AF95" i="17"/>
  <c r="AH94" i="17"/>
  <c r="AG94" i="17"/>
  <c r="AF94" i="17"/>
  <c r="AH93" i="17"/>
  <c r="AG93" i="17"/>
  <c r="AF93" i="17"/>
  <c r="AH92" i="17"/>
  <c r="AG92" i="17"/>
  <c r="AF92" i="17"/>
  <c r="AH91" i="17"/>
  <c r="AG91" i="17"/>
  <c r="AF91" i="17"/>
  <c r="AH90" i="17"/>
  <c r="AG90" i="17"/>
  <c r="AF90" i="17"/>
  <c r="AH89" i="17"/>
  <c r="AG89" i="17"/>
  <c r="AF89" i="17"/>
  <c r="AH88" i="17"/>
  <c r="AG88" i="17"/>
  <c r="AF88" i="17"/>
  <c r="AH87" i="17"/>
  <c r="AG87" i="17"/>
  <c r="AF87" i="17"/>
  <c r="AH86" i="17"/>
  <c r="AG86" i="17"/>
  <c r="AF86" i="17"/>
  <c r="AH85" i="17"/>
  <c r="AG85" i="17"/>
  <c r="AF85" i="17"/>
  <c r="AH84" i="17"/>
  <c r="AG84" i="17"/>
  <c r="AF84" i="17"/>
  <c r="AH83" i="17"/>
  <c r="AG83" i="17"/>
  <c r="AF83" i="17"/>
  <c r="AH82" i="17"/>
  <c r="AG82" i="17"/>
  <c r="AF82" i="17"/>
  <c r="AH81" i="17"/>
  <c r="AG81" i="17"/>
  <c r="AF81" i="17"/>
  <c r="AH80" i="17"/>
  <c r="AG80" i="17"/>
  <c r="AF80" i="17"/>
  <c r="AH79" i="17"/>
  <c r="AG79" i="17"/>
  <c r="AF79" i="17"/>
  <c r="AH78" i="17"/>
  <c r="AG78" i="17"/>
  <c r="AF78" i="17"/>
  <c r="AH77" i="17"/>
  <c r="AG77" i="17"/>
  <c r="AF77" i="17"/>
  <c r="AH76" i="17"/>
  <c r="AG76" i="17"/>
  <c r="AF76" i="17"/>
  <c r="AH75" i="17"/>
  <c r="AG75" i="17"/>
  <c r="AF75" i="17"/>
  <c r="AH73" i="17"/>
  <c r="AG73" i="17"/>
  <c r="AF73" i="17"/>
  <c r="AH72" i="17"/>
  <c r="AG72" i="17"/>
  <c r="AF72" i="17"/>
  <c r="AH71" i="17"/>
  <c r="AG71" i="17"/>
  <c r="AF71" i="17"/>
  <c r="AH70" i="17"/>
  <c r="AG70" i="17"/>
  <c r="AF70" i="17"/>
  <c r="AH69" i="17"/>
  <c r="AG69" i="17"/>
  <c r="AF69" i="17"/>
  <c r="AH68" i="17"/>
  <c r="AG68" i="17"/>
  <c r="AF68" i="17"/>
  <c r="AH67" i="17"/>
  <c r="AG67" i="17"/>
  <c r="AF67" i="17"/>
  <c r="AH66" i="17"/>
  <c r="AG66" i="17"/>
  <c r="AF66" i="17"/>
  <c r="AH65" i="17"/>
  <c r="AG65" i="17"/>
  <c r="AF65" i="17"/>
  <c r="AH64" i="17"/>
  <c r="AG64" i="17"/>
  <c r="AF64" i="17"/>
  <c r="AH63" i="17"/>
  <c r="AG63" i="17"/>
  <c r="AF63" i="17"/>
  <c r="AH62" i="17"/>
  <c r="AG62" i="17"/>
  <c r="AF62" i="17"/>
  <c r="AH61" i="17"/>
  <c r="AG61" i="17"/>
  <c r="AF61" i="17"/>
  <c r="AH60" i="17"/>
  <c r="AG60" i="17"/>
  <c r="AF60" i="17"/>
  <c r="AH59" i="17"/>
  <c r="AG59" i="17"/>
  <c r="AF59" i="17"/>
  <c r="AH58" i="17"/>
  <c r="AG58" i="17"/>
  <c r="AF58" i="17"/>
  <c r="AH57" i="17"/>
  <c r="AG57" i="17"/>
  <c r="AF57" i="17"/>
  <c r="AH56" i="17"/>
  <c r="AG56" i="17"/>
  <c r="AF56" i="17"/>
  <c r="AH55" i="17"/>
  <c r="AG55" i="17"/>
  <c r="AF55" i="17"/>
  <c r="AH54" i="17"/>
  <c r="AG54" i="17"/>
  <c r="AF54" i="17"/>
  <c r="AH53" i="17"/>
  <c r="AG53" i="17"/>
  <c r="AF53" i="17"/>
  <c r="AH52" i="17"/>
  <c r="AG52" i="17"/>
  <c r="AF52" i="17"/>
  <c r="AH51" i="17"/>
  <c r="AG51" i="17"/>
  <c r="AF51" i="17"/>
  <c r="AH50" i="17"/>
  <c r="AG50" i="17"/>
  <c r="AF50" i="17"/>
  <c r="AH49" i="17"/>
  <c r="AG49" i="17"/>
  <c r="AF49" i="17"/>
  <c r="AH48" i="17"/>
  <c r="AG48" i="17"/>
  <c r="AF48" i="17"/>
  <c r="AH47" i="17"/>
  <c r="AG47" i="17"/>
  <c r="AF47" i="17"/>
  <c r="AH46" i="17"/>
  <c r="AG46" i="17"/>
  <c r="AF46" i="17"/>
  <c r="AH45" i="17"/>
  <c r="AG45" i="17"/>
  <c r="AF45" i="17"/>
  <c r="AH44" i="17"/>
  <c r="AG44" i="17"/>
  <c r="AF44" i="17"/>
  <c r="AH43" i="17"/>
  <c r="AG43" i="17"/>
  <c r="AF43" i="17"/>
  <c r="AH42" i="17"/>
  <c r="AG42" i="17"/>
  <c r="AF42" i="17"/>
  <c r="AH41" i="17"/>
  <c r="AG41" i="17"/>
  <c r="AF41" i="17"/>
  <c r="AH40" i="17"/>
  <c r="AG40" i="17"/>
  <c r="AF40" i="17"/>
  <c r="AH39" i="17"/>
  <c r="AG39" i="17"/>
  <c r="AF39" i="17"/>
  <c r="AH38" i="17"/>
  <c r="AG38" i="17"/>
  <c r="AF38" i="17"/>
  <c r="AH37" i="17"/>
  <c r="AG37" i="17"/>
  <c r="AF37" i="17"/>
  <c r="AH36" i="17"/>
  <c r="AG36" i="17"/>
  <c r="AF36" i="17"/>
  <c r="AH35" i="17"/>
  <c r="AG35" i="17"/>
  <c r="AF35" i="17"/>
  <c r="AH34" i="17"/>
  <c r="AG34" i="17"/>
  <c r="AF34" i="17"/>
  <c r="AH33" i="17"/>
  <c r="AG33" i="17"/>
  <c r="AF33" i="17"/>
  <c r="AH32" i="17"/>
  <c r="AG32" i="17"/>
  <c r="AF32" i="17"/>
  <c r="AH31" i="17"/>
  <c r="AG31" i="17"/>
  <c r="AF31" i="17"/>
  <c r="AH30" i="17"/>
  <c r="AG30" i="17"/>
  <c r="AF30" i="17"/>
  <c r="AH29" i="17"/>
  <c r="AG29" i="17"/>
  <c r="AF29" i="17"/>
  <c r="AH28" i="17"/>
  <c r="AG28" i="17"/>
  <c r="AF28" i="17"/>
  <c r="AH27" i="17"/>
  <c r="AG27" i="17"/>
  <c r="AF27" i="17"/>
  <c r="AH26" i="17"/>
  <c r="AG26" i="17"/>
  <c r="AF26" i="17"/>
  <c r="AH25" i="17"/>
  <c r="AG25" i="17"/>
  <c r="AF25" i="17"/>
  <c r="AH24" i="17"/>
  <c r="AG24" i="17"/>
  <c r="AF24" i="17"/>
  <c r="AH23" i="17"/>
  <c r="AG23" i="17"/>
  <c r="AF23" i="17"/>
  <c r="AH22" i="17"/>
  <c r="AG22" i="17"/>
  <c r="AF22" i="17"/>
  <c r="AH21" i="17"/>
  <c r="AG21" i="17"/>
  <c r="AF21" i="17"/>
  <c r="AH20" i="17"/>
  <c r="AG20" i="17"/>
  <c r="AF20" i="17"/>
  <c r="AH19" i="17"/>
  <c r="AG19" i="17"/>
  <c r="AF19" i="17"/>
  <c r="AH18" i="17"/>
  <c r="AG18" i="17"/>
  <c r="AF18" i="17"/>
  <c r="AH17" i="17"/>
  <c r="AG17" i="17"/>
  <c r="AF17" i="17"/>
  <c r="AH16" i="17"/>
  <c r="AG16" i="17"/>
  <c r="AF16" i="17"/>
  <c r="AH15" i="17"/>
  <c r="AG15" i="17"/>
  <c r="AF15" i="17"/>
  <c r="AH14" i="17"/>
  <c r="AG14" i="17"/>
  <c r="AF14" i="17"/>
  <c r="AH13" i="17"/>
  <c r="AG13" i="17"/>
  <c r="AF13" i="17"/>
  <c r="AH12" i="17"/>
  <c r="AG12" i="17"/>
  <c r="AF12" i="17"/>
  <c r="AH11" i="17"/>
  <c r="AG11" i="17"/>
  <c r="AF11" i="17"/>
  <c r="AH10" i="17"/>
  <c r="AG10" i="17"/>
  <c r="AF10" i="17"/>
  <c r="AH9" i="17"/>
  <c r="AG9" i="17"/>
  <c r="AF9" i="17"/>
  <c r="AH8" i="17"/>
  <c r="AG8" i="17"/>
  <c r="AF8" i="17"/>
  <c r="AH7" i="17"/>
  <c r="AG7" i="17"/>
  <c r="AF7" i="17"/>
  <c r="AH6" i="17"/>
  <c r="AG6" i="17"/>
  <c r="AF6" i="17"/>
  <c r="AH5" i="17"/>
  <c r="AG5" i="17"/>
  <c r="AF5" i="17"/>
  <c r="AH4" i="17"/>
  <c r="AG4" i="17"/>
  <c r="AF4" i="17"/>
  <c r="AI153" i="17" l="1" a="1"/>
  <c r="AI153" i="17" s="1"/>
  <c r="AI62" i="17" a="1"/>
  <c r="AI62" i="17" s="1"/>
  <c r="AH84" i="18" a="1"/>
  <c r="AH84" i="18" s="1"/>
  <c r="AH112" i="18" a="1"/>
  <c r="AH112" i="18" s="1"/>
  <c r="AH158" i="18" a="1"/>
  <c r="AH158" i="18" s="1"/>
  <c r="AH29" i="18" a="1"/>
  <c r="AH29" i="18" s="1"/>
  <c r="AH93" i="18" a="1"/>
  <c r="AH93" i="18" s="1"/>
  <c r="AH121" i="18" a="1"/>
  <c r="AH121" i="18" s="1"/>
  <c r="AH175" i="18" a="1"/>
  <c r="AH175" i="18" s="1"/>
  <c r="AH203" i="18" a="1"/>
  <c r="AH203" i="18" s="1"/>
  <c r="AH164" i="18" a="1"/>
  <c r="AH164" i="18" s="1"/>
  <c r="AH192" i="18" a="1"/>
  <c r="AH192" i="18" s="1"/>
  <c r="AH196" i="18" a="1"/>
  <c r="AH196" i="18" s="1"/>
  <c r="AH95" i="18" a="1"/>
  <c r="AH95" i="18" s="1"/>
  <c r="AH87" i="18" a="1"/>
  <c r="AH87" i="18" s="1"/>
  <c r="AH202" i="18" a="1"/>
  <c r="AH202" i="18" s="1"/>
  <c r="AH98" i="18" a="1"/>
  <c r="AH98" i="18" s="1"/>
  <c r="AH126" i="18" a="1"/>
  <c r="AH126" i="18" s="1"/>
  <c r="AH172" i="18" a="1"/>
  <c r="AH172" i="18" s="1"/>
  <c r="AH52" i="18" a="1"/>
  <c r="AH52" i="18" s="1"/>
  <c r="AH94" i="18" a="1"/>
  <c r="AH94" i="18" s="1"/>
  <c r="AH186" i="18" a="1"/>
  <c r="AH186" i="18" s="1"/>
  <c r="AH21" i="18" a="1"/>
  <c r="AH21" i="18" s="1"/>
  <c r="AH125" i="18" a="1"/>
  <c r="AH125" i="18" s="1"/>
  <c r="AH169" i="18" a="1"/>
  <c r="AH169" i="18" s="1"/>
  <c r="AH18" i="18" a="1"/>
  <c r="AH18" i="18" s="1"/>
  <c r="AH46" i="18" a="1"/>
  <c r="AH46" i="18" s="1"/>
  <c r="AI53" i="17" a="1"/>
  <c r="AI53" i="17" s="1"/>
  <c r="AI112" i="17" a="1"/>
  <c r="AI112" i="17" s="1"/>
  <c r="AI140" i="17" a="1"/>
  <c r="AI140" i="17" s="1"/>
  <c r="AI154" i="17" a="1"/>
  <c r="AI154" i="17" s="1"/>
  <c r="AI31" i="17" a="1"/>
  <c r="AI31" i="17" s="1"/>
  <c r="AI59" i="17" a="1"/>
  <c r="AI59" i="17" s="1"/>
  <c r="AI70" i="17" a="1"/>
  <c r="AI70" i="17" s="1"/>
  <c r="AI118" i="17" a="1"/>
  <c r="AI118" i="17" s="1"/>
  <c r="AI132" i="17" a="1"/>
  <c r="AI132" i="17" s="1"/>
  <c r="AI84" i="17" a="1"/>
  <c r="AI84" i="17" s="1"/>
  <c r="AI98" i="17" a="1"/>
  <c r="AI98" i="17" s="1"/>
  <c r="AI4" i="17" a="1"/>
  <c r="AI4" i="17" s="1"/>
  <c r="AI60" i="17" a="1"/>
  <c r="AI60" i="17" s="1"/>
  <c r="AI76" i="17" a="1"/>
  <c r="AI76" i="17" s="1"/>
  <c r="AI90" i="17" a="1"/>
  <c r="AI90" i="17" s="1"/>
  <c r="AI61" i="17" a="1"/>
  <c r="AI61" i="17" s="1"/>
  <c r="AI75" i="17" a="1"/>
  <c r="AI75" i="17" s="1"/>
  <c r="AI117" i="17" a="1"/>
  <c r="AI117" i="17" s="1"/>
  <c r="AI131" i="17" a="1"/>
  <c r="AI131" i="17" s="1"/>
  <c r="AI145" i="17" a="1"/>
  <c r="AI145" i="17" s="1"/>
  <c r="AI159" i="17" a="1"/>
  <c r="AI159" i="17" s="1"/>
  <c r="AI15" i="17" a="1"/>
  <c r="AI15" i="17" s="1"/>
  <c r="AI57" i="17" a="1"/>
  <c r="AI57" i="17" s="1"/>
  <c r="AI51" i="17" a="1"/>
  <c r="AI51" i="17" s="1"/>
  <c r="AI6" i="17" a="1"/>
  <c r="AI6" i="17" s="1"/>
  <c r="AI34" i="17" a="1"/>
  <c r="AI34" i="17" s="1"/>
  <c r="AI48" i="17" a="1"/>
  <c r="AI48" i="17" s="1"/>
  <c r="AI71" i="17" a="1"/>
  <c r="AI71" i="17" s="1"/>
  <c r="AI85" i="17" a="1"/>
  <c r="AI85" i="17" s="1"/>
  <c r="AI141" i="17" a="1"/>
  <c r="AI141" i="17" s="1"/>
  <c r="AI197" i="17" a="1"/>
  <c r="AI197" i="17" s="1"/>
  <c r="AI22" i="17" a="1"/>
  <c r="AI22" i="17" s="1"/>
  <c r="AI36" i="17" a="1"/>
  <c r="AI36" i="17" s="1"/>
  <c r="AI13" i="17" a="1"/>
  <c r="AI13" i="17" s="1"/>
  <c r="AI27" i="17" a="1"/>
  <c r="AI27" i="17" s="1"/>
  <c r="AI16" i="17" a="1"/>
  <c r="AI16" i="17" s="1"/>
  <c r="AI44" i="17" a="1"/>
  <c r="AI44" i="17" s="1"/>
  <c r="AI109" i="17" a="1"/>
  <c r="AI109" i="17" s="1"/>
  <c r="AI123" i="17" a="1"/>
  <c r="AI123" i="17" s="1"/>
  <c r="AI137" i="17" a="1"/>
  <c r="AI137" i="17" s="1"/>
  <c r="AI151" i="17" a="1"/>
  <c r="AI151" i="17" s="1"/>
  <c r="AI72" i="17" a="1"/>
  <c r="AI72" i="17" s="1"/>
  <c r="AI86" i="17" a="1"/>
  <c r="AI86" i="17" s="1"/>
  <c r="AI114" i="17" a="1"/>
  <c r="AI114" i="17" s="1"/>
  <c r="AI174" i="17" a="1"/>
  <c r="AI174" i="17" s="1"/>
  <c r="AI184" i="17" a="1"/>
  <c r="AI184" i="17" s="1"/>
  <c r="AI198" i="17" a="1"/>
  <c r="AI198" i="17" s="1"/>
  <c r="AI33" i="17" a="1"/>
  <c r="AI33" i="17" s="1"/>
  <c r="AI185" i="17" a="1"/>
  <c r="AI185" i="17" s="1"/>
  <c r="AI158" i="17" a="1"/>
  <c r="AI158" i="17" s="1"/>
  <c r="AI172" i="17" a="1"/>
  <c r="AI172" i="17" s="1"/>
  <c r="AI200" i="17" a="1"/>
  <c r="AI200" i="17" s="1"/>
  <c r="AI14" i="17" a="1"/>
  <c r="AI14" i="17" s="1"/>
  <c r="AI28" i="17" a="1"/>
  <c r="AI28" i="17" s="1"/>
  <c r="AI46" i="17" a="1"/>
  <c r="AI46" i="17" s="1"/>
  <c r="AI45" i="17" a="1"/>
  <c r="AI45" i="17" s="1"/>
  <c r="AH14" i="18" a="1"/>
  <c r="AH14" i="18" s="1"/>
  <c r="AH66" i="18" a="1"/>
  <c r="AH66" i="18" s="1"/>
  <c r="AH80" i="18" a="1"/>
  <c r="AH80" i="18" s="1"/>
  <c r="AH108" i="18" a="1"/>
  <c r="AH108" i="18" s="1"/>
  <c r="AH122" i="18" a="1"/>
  <c r="AH122" i="18" s="1"/>
  <c r="AH180" i="18" a="1"/>
  <c r="AH180" i="18" s="1"/>
  <c r="AH194" i="18" a="1"/>
  <c r="AH194" i="18" s="1"/>
  <c r="AH24" i="18" a="1"/>
  <c r="AH24" i="18" s="1"/>
  <c r="AH162" i="18" a="1"/>
  <c r="AH162" i="18" s="1"/>
  <c r="AH151" i="18" a="1"/>
  <c r="AH151" i="18" s="1"/>
  <c r="AH67" i="18" a="1"/>
  <c r="AH67" i="18" s="1"/>
  <c r="AH81" i="18" a="1"/>
  <c r="AH81" i="18" s="1"/>
  <c r="AH118" i="18" a="1"/>
  <c r="AH118" i="18" s="1"/>
  <c r="AH153" i="18" a="1"/>
  <c r="AH153" i="18" s="1"/>
  <c r="AH167" i="18" a="1"/>
  <c r="AH167" i="18" s="1"/>
  <c r="AH53" i="18" a="1"/>
  <c r="AH53" i="18" s="1"/>
  <c r="AH63" i="18" a="1"/>
  <c r="AH63" i="18" s="1"/>
  <c r="AH148" i="18" a="1"/>
  <c r="AH148" i="18" s="1"/>
  <c r="AH195" i="18" a="1"/>
  <c r="AH195" i="18" s="1"/>
  <c r="AH12" i="18" a="1"/>
  <c r="AH12" i="18" s="1"/>
  <c r="AH54" i="18" a="1"/>
  <c r="AH54" i="18" s="1"/>
  <c r="AH154" i="18" a="1"/>
  <c r="AH154" i="18" s="1"/>
  <c r="AH168" i="18" a="1"/>
  <c r="AH168" i="18" s="1"/>
  <c r="AH8" i="18" a="1"/>
  <c r="AH8" i="18" s="1"/>
  <c r="AH50" i="18" a="1"/>
  <c r="AH50" i="18" s="1"/>
  <c r="AH78" i="18" a="1"/>
  <c r="AH78" i="18" s="1"/>
  <c r="AH134" i="18" a="1"/>
  <c r="AH134" i="18" s="1"/>
  <c r="AH111" i="18" a="1"/>
  <c r="AH111" i="18" s="1"/>
  <c r="AH145" i="18" a="1"/>
  <c r="AH145" i="18" s="1"/>
  <c r="AH193" i="18" a="1"/>
  <c r="AH193" i="18" s="1"/>
  <c r="AI89" i="17" a="1"/>
  <c r="AI89" i="17" s="1"/>
  <c r="AI115" i="17" a="1"/>
  <c r="AI115" i="17" s="1"/>
  <c r="AI127" i="17" a="1"/>
  <c r="AI127" i="17" s="1"/>
  <c r="AI173" i="17" a="1"/>
  <c r="AI173" i="17" s="1"/>
  <c r="AI167" i="17" a="1"/>
  <c r="AI167" i="17" s="1"/>
  <c r="AI101" i="17" a="1"/>
  <c r="AI101" i="17" s="1"/>
  <c r="AI201" i="17" a="1"/>
  <c r="AI201" i="17" s="1"/>
  <c r="AH133" i="18" a="1"/>
  <c r="AH133" i="18" s="1"/>
  <c r="AI144" i="17" a="1"/>
  <c r="AI144" i="17" s="1"/>
  <c r="AI58" i="17" a="1"/>
  <c r="AI58" i="17" s="1"/>
  <c r="AI67" i="17" a="1"/>
  <c r="AI67" i="17" s="1"/>
  <c r="AI99" i="17" a="1"/>
  <c r="AI99" i="17" s="1"/>
  <c r="AI103" i="17" a="1"/>
  <c r="AI103" i="17" s="1"/>
  <c r="AI186" i="17" a="1"/>
  <c r="AI186" i="17" s="1"/>
  <c r="AI24" i="17" a="1"/>
  <c r="AI24" i="17" s="1"/>
  <c r="AI116" i="17" a="1"/>
  <c r="AI116" i="17" s="1"/>
  <c r="AI7" i="17" a="1"/>
  <c r="AI7" i="17" s="1"/>
  <c r="AI104" i="17" a="1"/>
  <c r="AI104" i="17" s="1"/>
  <c r="AI187" i="17" a="1"/>
  <c r="AI187" i="17" s="1"/>
  <c r="AI47" i="17" a="1"/>
  <c r="AI47" i="17" s="1"/>
  <c r="AI20" i="17" a="1"/>
  <c r="AI20" i="17" s="1"/>
  <c r="AI21" i="17" a="1"/>
  <c r="AI21" i="17" s="1"/>
  <c r="AI32" i="17" a="1"/>
  <c r="AI32" i="17" s="1"/>
  <c r="AI41" i="17" a="1"/>
  <c r="AI41" i="17" s="1"/>
  <c r="AI63" i="17" a="1"/>
  <c r="AI63" i="17" s="1"/>
  <c r="AI73" i="17" a="1"/>
  <c r="AI73" i="17" s="1"/>
  <c r="AI128" i="17" a="1"/>
  <c r="AI128" i="17" s="1"/>
  <c r="AI146" i="17" a="1"/>
  <c r="AI146" i="17" s="1"/>
  <c r="AI178" i="17" a="1"/>
  <c r="AI178" i="17" s="1"/>
  <c r="AI188" i="17" a="1"/>
  <c r="AI188" i="17" s="1"/>
  <c r="AI130" i="17" a="1"/>
  <c r="AI130" i="17" s="1"/>
  <c r="AF204" i="17"/>
  <c r="AI18" i="17" a="1"/>
  <c r="AI18" i="17" s="1"/>
  <c r="AI77" i="17" a="1"/>
  <c r="AI77" i="17" s="1"/>
  <c r="AI160" i="17" a="1"/>
  <c r="AI160" i="17" s="1"/>
  <c r="AI179" i="17" a="1"/>
  <c r="AI179" i="17" s="1"/>
  <c r="AI193" i="17" a="1"/>
  <c r="AI193" i="17" s="1"/>
  <c r="AI202" i="17" a="1"/>
  <c r="AI202" i="17" s="1"/>
  <c r="AI38" i="17" a="1"/>
  <c r="AI38" i="17" s="1"/>
  <c r="AI83" i="17" a="1"/>
  <c r="AI83" i="17" s="1"/>
  <c r="AI92" i="17" a="1"/>
  <c r="AI92" i="17" s="1"/>
  <c r="AI106" i="17" a="1"/>
  <c r="AI106" i="17" s="1"/>
  <c r="AI191" i="17" a="1"/>
  <c r="AI191" i="17" s="1"/>
  <c r="AI37" i="17" a="1"/>
  <c r="AI37" i="17" s="1"/>
  <c r="AI88" i="17" a="1"/>
  <c r="AI88" i="17" s="1"/>
  <c r="AI97" i="17" a="1"/>
  <c r="AI97" i="17" s="1"/>
  <c r="AI111" i="17" a="1"/>
  <c r="AI111" i="17" s="1"/>
  <c r="AI171" i="17" a="1"/>
  <c r="AI171" i="17" s="1"/>
  <c r="AH17" i="18" a="1"/>
  <c r="AH17" i="18" s="1"/>
  <c r="AH117" i="18" a="1"/>
  <c r="AH117" i="18" s="1"/>
  <c r="AH163" i="18" a="1"/>
  <c r="AH163" i="18" s="1"/>
  <c r="AH171" i="18" a="1"/>
  <c r="AH171" i="18" s="1"/>
  <c r="AH185" i="18" a="1"/>
  <c r="AH185" i="18" s="1"/>
  <c r="AH72" i="18" a="1"/>
  <c r="AH72" i="18" s="1"/>
  <c r="AH13" i="18" a="1"/>
  <c r="AH13" i="18" s="1"/>
  <c r="AH139" i="18" a="1"/>
  <c r="AH139" i="18" s="1"/>
  <c r="AH27" i="18" a="1"/>
  <c r="AH27" i="18" s="1"/>
  <c r="AH37" i="18" a="1"/>
  <c r="AH37" i="18" s="1"/>
  <c r="AH51" i="18" a="1"/>
  <c r="AH51" i="18" s="1"/>
  <c r="AH104" i="18" a="1"/>
  <c r="AH104" i="18" s="1"/>
  <c r="AH113" i="18" a="1"/>
  <c r="AH113" i="18" s="1"/>
  <c r="AH140" i="18" a="1"/>
  <c r="AH140" i="18" s="1"/>
  <c r="AH181" i="18" a="1"/>
  <c r="AH181" i="18" s="1"/>
  <c r="AH191" i="18" a="1"/>
  <c r="AH191" i="18" s="1"/>
  <c r="AH28" i="18" a="1"/>
  <c r="AH28" i="18" s="1"/>
  <c r="AH42" i="18" a="1"/>
  <c r="AH42" i="18" s="1"/>
  <c r="AH109" i="18" a="1"/>
  <c r="AH109" i="18" s="1"/>
  <c r="AH141" i="18" a="1"/>
  <c r="AH141" i="18" s="1"/>
  <c r="AH182" i="18" a="1"/>
  <c r="AH182" i="18" s="1"/>
  <c r="AH10" i="18" a="1"/>
  <c r="AH10" i="18" s="1"/>
  <c r="AH56" i="18" a="1"/>
  <c r="AH56" i="18" s="1"/>
  <c r="AH105" i="18" a="1"/>
  <c r="AH105" i="18" s="1"/>
  <c r="AH33" i="18" a="1"/>
  <c r="AH33" i="18" s="1"/>
  <c r="AH38" i="18" a="1"/>
  <c r="AH38" i="18" s="1"/>
  <c r="AH88" i="18" a="1"/>
  <c r="AH88" i="18" s="1"/>
  <c r="AH96" i="18" a="1"/>
  <c r="AH96" i="18" s="1"/>
  <c r="AH123" i="18" a="1"/>
  <c r="AH123" i="18" s="1"/>
  <c r="AH137" i="18" a="1"/>
  <c r="AH137" i="18" s="1"/>
  <c r="AH178" i="18" a="1"/>
  <c r="AH178" i="18" s="1"/>
  <c r="AH201" i="18" a="1"/>
  <c r="AH201" i="18" s="1"/>
  <c r="AH25" i="18" a="1"/>
  <c r="AH25" i="18" s="1"/>
  <c r="AH34" i="18" a="1"/>
  <c r="AH34" i="18" s="1"/>
  <c r="AH71" i="18" a="1"/>
  <c r="AH71" i="18" s="1"/>
  <c r="AH89" i="18" a="1"/>
  <c r="AH89" i="18" s="1"/>
  <c r="AH97" i="18" a="1"/>
  <c r="AH97" i="18" s="1"/>
  <c r="AH165" i="18" a="1"/>
  <c r="AH165" i="18" s="1"/>
  <c r="AH179" i="18" a="1"/>
  <c r="AH179" i="18" s="1"/>
  <c r="AH70" i="18" a="1"/>
  <c r="AH70" i="18" s="1"/>
  <c r="AH128" i="18" a="1"/>
  <c r="AH128" i="18" s="1"/>
  <c r="AH142" i="18" a="1"/>
  <c r="AH142" i="18" s="1"/>
  <c r="AH11" i="18" a="1"/>
  <c r="AH11" i="18" s="1"/>
  <c r="AH7" i="18" a="1"/>
  <c r="AH7" i="18" s="1"/>
  <c r="AH39" i="18" a="1"/>
  <c r="AH39" i="18" s="1"/>
  <c r="AH62" i="18" a="1"/>
  <c r="AH62" i="18" s="1"/>
  <c r="AH166" i="18" a="1"/>
  <c r="AH166" i="18" s="1"/>
  <c r="AH16" i="18" a="1"/>
  <c r="AH16" i="18" s="1"/>
  <c r="AH76" i="18" a="1"/>
  <c r="AH76" i="18" s="1"/>
  <c r="AH129" i="18" a="1"/>
  <c r="AH129" i="18" s="1"/>
  <c r="AH146" i="18" a="1"/>
  <c r="AH146" i="18" s="1"/>
  <c r="AH170" i="18" a="1"/>
  <c r="AH170" i="18" s="1"/>
  <c r="AH187" i="18" a="1"/>
  <c r="AH187" i="18" s="1"/>
  <c r="AH83" i="18" a="1"/>
  <c r="AH83" i="18" s="1"/>
  <c r="AH157" i="18" a="1"/>
  <c r="AH157" i="18" s="1"/>
  <c r="AH4" i="18" a="1"/>
  <c r="AH4" i="18" s="1"/>
  <c r="AH64" i="18" a="1"/>
  <c r="AH64" i="18" s="1"/>
  <c r="AH106" i="18" a="1"/>
  <c r="AH106" i="18" s="1"/>
  <c r="AH130" i="18" a="1"/>
  <c r="AH130" i="18" s="1"/>
  <c r="AH138" i="18" a="1"/>
  <c r="AH138" i="18" s="1"/>
  <c r="AH58" i="18" a="1"/>
  <c r="AH58" i="18" s="1"/>
  <c r="AH41" i="18" a="1"/>
  <c r="AH41" i="18" s="1"/>
  <c r="AH198" i="18" a="1"/>
  <c r="AH198" i="18" s="1"/>
  <c r="AH47" i="18" a="1"/>
  <c r="AH47" i="18" s="1"/>
  <c r="AH59" i="18" a="1"/>
  <c r="AH59" i="18" s="1"/>
  <c r="AH68" i="18" a="1"/>
  <c r="AH68" i="18" s="1"/>
  <c r="AH77" i="18" a="1"/>
  <c r="AH77" i="18" s="1"/>
  <c r="AH85" i="18" a="1"/>
  <c r="AH85" i="18" s="1"/>
  <c r="AH101" i="18" a="1"/>
  <c r="AH101" i="18" s="1"/>
  <c r="AH135" i="18" a="1"/>
  <c r="AH135" i="18" s="1"/>
  <c r="AH147" i="18" a="1"/>
  <c r="AH147" i="18" s="1"/>
  <c r="AH159" i="18" a="1"/>
  <c r="AH159" i="18" s="1"/>
  <c r="AH183" i="18" a="1"/>
  <c r="AH183" i="18" s="1"/>
  <c r="AH199" i="18" a="1"/>
  <c r="AH199" i="18" s="1"/>
  <c r="AH45" i="18" a="1"/>
  <c r="AH45" i="18" s="1"/>
  <c r="AH9" i="18" a="1"/>
  <c r="AH9" i="18" s="1"/>
  <c r="AH22" i="18" a="1"/>
  <c r="AH22" i="18" s="1"/>
  <c r="AH55" i="18" a="1"/>
  <c r="AH55" i="18" s="1"/>
  <c r="AH60" i="18" a="1"/>
  <c r="AH60" i="18" s="1"/>
  <c r="AH102" i="18" a="1"/>
  <c r="AH102" i="18" s="1"/>
  <c r="AH110" i="18" a="1"/>
  <c r="AH110" i="18" s="1"/>
  <c r="AH176" i="18" a="1"/>
  <c r="AH176" i="18" s="1"/>
  <c r="AH200" i="18" a="1"/>
  <c r="AH200" i="18" s="1"/>
  <c r="AH100" i="18" a="1"/>
  <c r="AH100" i="18" s="1"/>
  <c r="AH5" i="18" a="1"/>
  <c r="AH5" i="18" s="1"/>
  <c r="AH26" i="18" a="1"/>
  <c r="AH26" i="18" s="1"/>
  <c r="AH30" i="18" a="1"/>
  <c r="AH30" i="18" s="1"/>
  <c r="AH35" i="18" a="1"/>
  <c r="AH35" i="18" s="1"/>
  <c r="AH43" i="18" a="1"/>
  <c r="AH43" i="18" s="1"/>
  <c r="AH65" i="18" a="1"/>
  <c r="AH65" i="18" s="1"/>
  <c r="AH90" i="18" a="1"/>
  <c r="AH90" i="18" s="1"/>
  <c r="AH107" i="18" a="1"/>
  <c r="AH107" i="18" s="1"/>
  <c r="AH114" i="18" a="1"/>
  <c r="AH114" i="18" s="1"/>
  <c r="AH119" i="18" a="1"/>
  <c r="AH119" i="18" s="1"/>
  <c r="AH131" i="18" a="1"/>
  <c r="AH131" i="18" s="1"/>
  <c r="AH155" i="18" a="1"/>
  <c r="AH155" i="18" s="1"/>
  <c r="AH188" i="18" a="1"/>
  <c r="AH188" i="18" s="1"/>
  <c r="AH23" i="18" a="1"/>
  <c r="AH23" i="18" s="1"/>
  <c r="AH48" i="18" a="1"/>
  <c r="AH48" i="18" s="1"/>
  <c r="AH61" i="18" a="1"/>
  <c r="AH61" i="18" s="1"/>
  <c r="AH73" i="18" a="1"/>
  <c r="AH73" i="18" s="1"/>
  <c r="AH82" i="18" a="1"/>
  <c r="AH82" i="18" s="1"/>
  <c r="AH86" i="18" a="1"/>
  <c r="AH86" i="18" s="1"/>
  <c r="AH91" i="18" a="1"/>
  <c r="AH91" i="18" s="1"/>
  <c r="AH103" i="18" a="1"/>
  <c r="AH103" i="18" s="1"/>
  <c r="AH127" i="18" a="1"/>
  <c r="AH127" i="18" s="1"/>
  <c r="AH143" i="18" a="1"/>
  <c r="AH143" i="18" s="1"/>
  <c r="AH160" i="18" a="1"/>
  <c r="AH160" i="18" s="1"/>
  <c r="AH177" i="18" a="1"/>
  <c r="AH177" i="18" s="1"/>
  <c r="AH184" i="18" a="1"/>
  <c r="AH184" i="18" s="1"/>
  <c r="AH189" i="18" a="1"/>
  <c r="AH189" i="18" s="1"/>
  <c r="AH174" i="18" a="1"/>
  <c r="AH174" i="18" s="1"/>
  <c r="AH36" i="18" a="1"/>
  <c r="AH36" i="18" s="1"/>
  <c r="AH69" i="18" a="1"/>
  <c r="AH69" i="18" s="1"/>
  <c r="AH74" i="18" a="1"/>
  <c r="AH74" i="18" s="1"/>
  <c r="AH120" i="18" a="1"/>
  <c r="AH120" i="18" s="1"/>
  <c r="AH144" i="18" a="1"/>
  <c r="AH144" i="18" s="1"/>
  <c r="AH152" i="18" a="1"/>
  <c r="AH152" i="18" s="1"/>
  <c r="AH6" i="18" a="1"/>
  <c r="AH6" i="18" s="1"/>
  <c r="AH19" i="18" a="1"/>
  <c r="AH19" i="18" s="1"/>
  <c r="AH31" i="18" a="1"/>
  <c r="AH31" i="18" s="1"/>
  <c r="AH40" i="18" a="1"/>
  <c r="AH40" i="18" s="1"/>
  <c r="AH44" i="18" a="1"/>
  <c r="AH44" i="18" s="1"/>
  <c r="AH49" i="18" a="1"/>
  <c r="AH49" i="18" s="1"/>
  <c r="AH57" i="18" a="1"/>
  <c r="AH57" i="18" s="1"/>
  <c r="AH79" i="18" a="1"/>
  <c r="AH79" i="18" s="1"/>
  <c r="AH99" i="18" a="1"/>
  <c r="AH99" i="18" s="1"/>
  <c r="AH115" i="18" a="1"/>
  <c r="AH115" i="18" s="1"/>
  <c r="AH132" i="18" a="1"/>
  <c r="AH132" i="18" s="1"/>
  <c r="AH149" i="18" a="1"/>
  <c r="AH149" i="18" s="1"/>
  <c r="AH156" i="18" a="1"/>
  <c r="AH156" i="18" s="1"/>
  <c r="AH161" i="18" a="1"/>
  <c r="AH161" i="18" s="1"/>
  <c r="AH173" i="18" a="1"/>
  <c r="AH173" i="18" s="1"/>
  <c r="AH197" i="18" a="1"/>
  <c r="AH197" i="18" s="1"/>
  <c r="AH20" i="18" a="1"/>
  <c r="AH20" i="18" s="1"/>
  <c r="AH32" i="18" a="1"/>
  <c r="AH32" i="18" s="1"/>
  <c r="AH92" i="18" a="1"/>
  <c r="AH92" i="18" s="1"/>
  <c r="AH116" i="18" a="1"/>
  <c r="AH116" i="18" s="1"/>
  <c r="AH124" i="18" a="1"/>
  <c r="AH124" i="18" s="1"/>
  <c r="AH190" i="18" a="1"/>
  <c r="AH190" i="18" s="1"/>
  <c r="AG81" i="19" a="1"/>
  <c r="AG81" i="19" s="1"/>
  <c r="AG174" i="19" a="1"/>
  <c r="AG174" i="19" s="1"/>
  <c r="AG188" i="19" a="1"/>
  <c r="AG188" i="19" s="1"/>
  <c r="AG68" i="19" a="1"/>
  <c r="AG68" i="19" s="1"/>
  <c r="AG82" i="19" a="1"/>
  <c r="AG82" i="19" s="1"/>
  <c r="AG96" i="19" a="1"/>
  <c r="AG96" i="19" s="1"/>
  <c r="AG110" i="19" a="1"/>
  <c r="AG110" i="19" s="1"/>
  <c r="AG45" i="19" a="1"/>
  <c r="AG45" i="19" s="1"/>
  <c r="AG138" i="19" a="1"/>
  <c r="AG138" i="19" s="1"/>
  <c r="AG175" i="19" a="1"/>
  <c r="AG175" i="19" s="1"/>
  <c r="AG189" i="19" a="1"/>
  <c r="AG189" i="19" s="1"/>
  <c r="AG203" i="19" a="1"/>
  <c r="AG203" i="19" s="1"/>
  <c r="AG64" i="19" a="1"/>
  <c r="AG64" i="19" s="1"/>
  <c r="AG190" i="19" a="1"/>
  <c r="AG190" i="19" s="1"/>
  <c r="AG31" i="19" a="1"/>
  <c r="AG31" i="19" s="1"/>
  <c r="AG76" i="19" a="1"/>
  <c r="AG76" i="19" s="1"/>
  <c r="AG90" i="19" a="1"/>
  <c r="AG90" i="19" s="1"/>
  <c r="AG141" i="19" a="1"/>
  <c r="AG141" i="19" s="1"/>
  <c r="AG173" i="19" a="1"/>
  <c r="AG173" i="19" s="1"/>
  <c r="AG201" i="19" a="1"/>
  <c r="AG201" i="19" s="1"/>
  <c r="AG8" i="19" a="1"/>
  <c r="AG8" i="19" s="1"/>
  <c r="AG26" i="19" a="1"/>
  <c r="AG26" i="19" s="1"/>
  <c r="AG53" i="19" a="1"/>
  <c r="AG53" i="19" s="1"/>
  <c r="AG58" i="19" a="1"/>
  <c r="AG58" i="19" s="1"/>
  <c r="AG85" i="19" a="1"/>
  <c r="AG85" i="19" s="1"/>
  <c r="AG146" i="19" a="1"/>
  <c r="AG146" i="19" s="1"/>
  <c r="AG178" i="19" a="1"/>
  <c r="AG178" i="19" s="1"/>
  <c r="AG192" i="19" a="1"/>
  <c r="AG192" i="19" s="1"/>
  <c r="AG22" i="19" a="1"/>
  <c r="AG22" i="19" s="1"/>
  <c r="AG54" i="19" a="1"/>
  <c r="AG54" i="19" s="1"/>
  <c r="AG86" i="19" a="1"/>
  <c r="AG86" i="19" s="1"/>
  <c r="AG114" i="19" a="1"/>
  <c r="AG114" i="19" s="1"/>
  <c r="AG128" i="19" a="1"/>
  <c r="AG128" i="19" s="1"/>
  <c r="AG169" i="19" a="1"/>
  <c r="AG169" i="19" s="1"/>
  <c r="AG197" i="19" a="1"/>
  <c r="AG197" i="19" s="1"/>
  <c r="AG77" i="19" a="1"/>
  <c r="AG77" i="19" s="1"/>
  <c r="AG14" i="19" a="1"/>
  <c r="AG14" i="19" s="1"/>
  <c r="AG28" i="19" a="1"/>
  <c r="AG28" i="19" s="1"/>
  <c r="AG37" i="19" a="1"/>
  <c r="AG37" i="19" s="1"/>
  <c r="AG41" i="19" a="1"/>
  <c r="AG41" i="19" s="1"/>
  <c r="AG73" i="19" a="1"/>
  <c r="AG73" i="19" s="1"/>
  <c r="AG101" i="19" a="1"/>
  <c r="AG101" i="19" s="1"/>
  <c r="AG124" i="19" a="1"/>
  <c r="AG124" i="19" s="1"/>
  <c r="AG152" i="19" a="1"/>
  <c r="AG152" i="19" s="1"/>
  <c r="AG198" i="19" a="1"/>
  <c r="AG198" i="19" s="1"/>
  <c r="AG7" i="19" a="1"/>
  <c r="AG7" i="19" s="1"/>
  <c r="AG36" i="19" a="1"/>
  <c r="AG36" i="19" s="1"/>
  <c r="AG33" i="19" a="1"/>
  <c r="AG33" i="19" s="1"/>
  <c r="AG78" i="19" a="1"/>
  <c r="AG78" i="19" s="1"/>
  <c r="AG92" i="19" a="1"/>
  <c r="AG92" i="19" s="1"/>
  <c r="AG106" i="19" a="1"/>
  <c r="AG106" i="19" s="1"/>
  <c r="AG120" i="19" a="1"/>
  <c r="AG120" i="19" s="1"/>
  <c r="AG143" i="19" a="1"/>
  <c r="AG143" i="19" s="1"/>
  <c r="AG179" i="19" a="1"/>
  <c r="AG179" i="19" s="1"/>
  <c r="AG193" i="19" a="1"/>
  <c r="AG193" i="19" s="1"/>
  <c r="AG183" i="19" a="1"/>
  <c r="AG183" i="19" s="1"/>
  <c r="AG10" i="19" a="1"/>
  <c r="AG10" i="19" s="1"/>
  <c r="AG24" i="19" a="1"/>
  <c r="AG24" i="19" s="1"/>
  <c r="AG69" i="19" a="1"/>
  <c r="AG69" i="19" s="1"/>
  <c r="AG97" i="19" a="1"/>
  <c r="AG97" i="19" s="1"/>
  <c r="AG111" i="19" a="1"/>
  <c r="AG111" i="19" s="1"/>
  <c r="AG148" i="19" a="1"/>
  <c r="AG148" i="19" s="1"/>
  <c r="AG180" i="19" a="1"/>
  <c r="AG180" i="19" s="1"/>
  <c r="AG29" i="19" a="1"/>
  <c r="AG29" i="19" s="1"/>
  <c r="AG56" i="19" a="1"/>
  <c r="AG56" i="19" s="1"/>
  <c r="AG65" i="19" a="1"/>
  <c r="AG65" i="19" s="1"/>
  <c r="AG171" i="19" a="1"/>
  <c r="AG171" i="19" s="1"/>
  <c r="AG194" i="19" a="1"/>
  <c r="AG194" i="19" s="1"/>
  <c r="AG199" i="19" a="1"/>
  <c r="AG199" i="19" s="1"/>
  <c r="AG15" i="19" a="1"/>
  <c r="AG15" i="19" s="1"/>
  <c r="AG52" i="19" a="1"/>
  <c r="AG52" i="19" s="1"/>
  <c r="AG74" i="19" a="1"/>
  <c r="AG74" i="19" s="1"/>
  <c r="AG84" i="19" a="1"/>
  <c r="AG84" i="19" s="1"/>
  <c r="AG102" i="19" a="1"/>
  <c r="AG102" i="19" s="1"/>
  <c r="AG126" i="19" a="1"/>
  <c r="AG126" i="19" s="1"/>
  <c r="AG162" i="19" a="1"/>
  <c r="AG162" i="19" s="1"/>
  <c r="AG167" i="19" a="1"/>
  <c r="AG167" i="19" s="1"/>
  <c r="AG16" i="19" a="1"/>
  <c r="AG16" i="19" s="1"/>
  <c r="AG43" i="19" a="1"/>
  <c r="AG43" i="19" s="1"/>
  <c r="AG75" i="19" a="1"/>
  <c r="AG75" i="19" s="1"/>
  <c r="AG103" i="19" a="1"/>
  <c r="AG103" i="19" s="1"/>
  <c r="AG131" i="19" a="1"/>
  <c r="AG131" i="19" s="1"/>
  <c r="AG154" i="19" a="1"/>
  <c r="AG154" i="19" s="1"/>
  <c r="AG163" i="19" a="1"/>
  <c r="AG163" i="19" s="1"/>
  <c r="AG18" i="19" a="1"/>
  <c r="AG18" i="19" s="1"/>
  <c r="AG137" i="19" a="1"/>
  <c r="AG137" i="19" s="1"/>
  <c r="AG158" i="19" a="1"/>
  <c r="AG158" i="19" s="1"/>
  <c r="AG35" i="19" a="1"/>
  <c r="AG35" i="19" s="1"/>
  <c r="AG60" i="19" a="1"/>
  <c r="AG60" i="19" s="1"/>
  <c r="AG19" i="19" a="1"/>
  <c r="AG19" i="19" s="1"/>
  <c r="AG27" i="19" a="1"/>
  <c r="AG27" i="19" s="1"/>
  <c r="AG61" i="19" a="1"/>
  <c r="AG61" i="19" s="1"/>
  <c r="AG108" i="19" a="1"/>
  <c r="AG108" i="19" s="1"/>
  <c r="AG112" i="19" a="1"/>
  <c r="AG112" i="19" s="1"/>
  <c r="AG129" i="19" a="1"/>
  <c r="AG129" i="19" s="1"/>
  <c r="AG159" i="19" a="1"/>
  <c r="AG159" i="19" s="1"/>
  <c r="AG184" i="19" a="1"/>
  <c r="AG184" i="19" s="1"/>
  <c r="AG200" i="19" a="1"/>
  <c r="AG200" i="19" s="1"/>
  <c r="AG133" i="19" a="1"/>
  <c r="AG133" i="19" s="1"/>
  <c r="AG23" i="19" a="1"/>
  <c r="AG23" i="19" s="1"/>
  <c r="AG44" i="19" a="1"/>
  <c r="AG44" i="19" s="1"/>
  <c r="AG91" i="19" a="1"/>
  <c r="AG91" i="19" s="1"/>
  <c r="AG95" i="19" a="1"/>
  <c r="AG95" i="19" s="1"/>
  <c r="AG104" i="19" a="1"/>
  <c r="AG104" i="19" s="1"/>
  <c r="AG116" i="19" a="1"/>
  <c r="AG116" i="19" s="1"/>
  <c r="AG121" i="19" a="1"/>
  <c r="AG121" i="19" s="1"/>
  <c r="AG125" i="19" a="1"/>
  <c r="AG125" i="19" s="1"/>
  <c r="AG142" i="19" a="1"/>
  <c r="AG142" i="19" s="1"/>
  <c r="AG11" i="19" a="1"/>
  <c r="AG11" i="19" s="1"/>
  <c r="AG66" i="19" a="1"/>
  <c r="AG66" i="19" s="1"/>
  <c r="AG70" i="19" a="1"/>
  <c r="AG70" i="19" s="1"/>
  <c r="AG87" i="19" a="1"/>
  <c r="AG87" i="19" s="1"/>
  <c r="AG117" i="19" a="1"/>
  <c r="AG117" i="19" s="1"/>
  <c r="AG164" i="19" a="1"/>
  <c r="AG164" i="19" s="1"/>
  <c r="AG168" i="19" a="1"/>
  <c r="AG168" i="19" s="1"/>
  <c r="AG202" i="19" a="1"/>
  <c r="AG202" i="19" s="1"/>
  <c r="AG49" i="19" a="1"/>
  <c r="AG49" i="19" s="1"/>
  <c r="AG62" i="19" a="1"/>
  <c r="AG62" i="19" s="1"/>
  <c r="AG79" i="19" a="1"/>
  <c r="AG79" i="19" s="1"/>
  <c r="AG83" i="19" a="1"/>
  <c r="AG83" i="19" s="1"/>
  <c r="AG100" i="19" a="1"/>
  <c r="AG100" i="19" s="1"/>
  <c r="AG147" i="19" a="1"/>
  <c r="AG147" i="19" s="1"/>
  <c r="AG151" i="19" a="1"/>
  <c r="AG151" i="19" s="1"/>
  <c r="AG160" i="19" a="1"/>
  <c r="AG160" i="19" s="1"/>
  <c r="AG172" i="19" a="1"/>
  <c r="AG172" i="19" s="1"/>
  <c r="AG177" i="19" a="1"/>
  <c r="AG177" i="19" s="1"/>
  <c r="AG181" i="19" a="1"/>
  <c r="AG181" i="19" s="1"/>
  <c r="AG185" i="19" a="1"/>
  <c r="AG185" i="19" s="1"/>
  <c r="AG105" i="19" a="1"/>
  <c r="AG105" i="19" s="1"/>
  <c r="AG109" i="19" a="1"/>
  <c r="AG109" i="19" s="1"/>
  <c r="AG118" i="19" a="1"/>
  <c r="AG118" i="19" s="1"/>
  <c r="AG130" i="19" a="1"/>
  <c r="AG130" i="19" s="1"/>
  <c r="AG135" i="19" a="1"/>
  <c r="AG135" i="19" s="1"/>
  <c r="AG139" i="19" a="1"/>
  <c r="AG139" i="19" s="1"/>
  <c r="AG156" i="19" a="1"/>
  <c r="AG156" i="19" s="1"/>
  <c r="AG39" i="19" a="1"/>
  <c r="AG39" i="19" s="1"/>
  <c r="AG32" i="19" a="1"/>
  <c r="AG32" i="19" s="1"/>
  <c r="AG63" i="19" a="1"/>
  <c r="AG63" i="19" s="1"/>
  <c r="AG67" i="19" a="1"/>
  <c r="AG67" i="19" s="1"/>
  <c r="AG88" i="19" a="1"/>
  <c r="AG88" i="19" s="1"/>
  <c r="AG161" i="19" a="1"/>
  <c r="AG161" i="19" s="1"/>
  <c r="AG165" i="19" a="1"/>
  <c r="AG165" i="19" s="1"/>
  <c r="AG4" i="19" a="1"/>
  <c r="AG4" i="19" s="1"/>
  <c r="AG17" i="19" a="1"/>
  <c r="AG17" i="19" s="1"/>
  <c r="AG21" i="19" a="1"/>
  <c r="AG21" i="19" s="1"/>
  <c r="AG38" i="19" a="1"/>
  <c r="AG38" i="19" s="1"/>
  <c r="AG42" i="19" a="1"/>
  <c r="AG42" i="19" s="1"/>
  <c r="AG59" i="19" a="1"/>
  <c r="AG59" i="19" s="1"/>
  <c r="AG89" i="19" a="1"/>
  <c r="AG89" i="19" s="1"/>
  <c r="AG136" i="19" a="1"/>
  <c r="AG136" i="19" s="1"/>
  <c r="AG140" i="19" a="1"/>
  <c r="AG140" i="19" s="1"/>
  <c r="AG157" i="19" a="1"/>
  <c r="AG157" i="19" s="1"/>
  <c r="AG186" i="19" a="1"/>
  <c r="AG186" i="19" s="1"/>
  <c r="AG191" i="19" a="1"/>
  <c r="AG191" i="19" s="1"/>
  <c r="AG195" i="19" a="1"/>
  <c r="AG195" i="19" s="1"/>
  <c r="AG5" i="19" a="1"/>
  <c r="AG5" i="19" s="1"/>
  <c r="AG13" i="19" a="1"/>
  <c r="AG13" i="19" s="1"/>
  <c r="AG46" i="19" a="1"/>
  <c r="AG46" i="19" s="1"/>
  <c r="AG51" i="19" a="1"/>
  <c r="AG51" i="19" s="1"/>
  <c r="AG55" i="19" a="1"/>
  <c r="AG55" i="19" s="1"/>
  <c r="AG72" i="19" a="1"/>
  <c r="AG72" i="19" s="1"/>
  <c r="AG119" i="19" a="1"/>
  <c r="AG119" i="19" s="1"/>
  <c r="AG123" i="19" a="1"/>
  <c r="AG123" i="19" s="1"/>
  <c r="AG132" i="19" a="1"/>
  <c r="AG132" i="19" s="1"/>
  <c r="AG144" i="19" a="1"/>
  <c r="AG144" i="19" s="1"/>
  <c r="AG149" i="19" a="1"/>
  <c r="AG149" i="19" s="1"/>
  <c r="AG153" i="19" a="1"/>
  <c r="AG153" i="19" s="1"/>
  <c r="AG170" i="19" a="1"/>
  <c r="AG170" i="19" s="1"/>
  <c r="AG187" i="19" a="1"/>
  <c r="AG187" i="19" s="1"/>
  <c r="AG25" i="19" a="1"/>
  <c r="AG25" i="19" s="1"/>
  <c r="AG9" i="19" a="1"/>
  <c r="AG9" i="19" s="1"/>
  <c r="AG30" i="19" a="1"/>
  <c r="AG30" i="19" s="1"/>
  <c r="AG47" i="19" a="1"/>
  <c r="AG47" i="19" s="1"/>
  <c r="AG94" i="19" a="1"/>
  <c r="AG94" i="19" s="1"/>
  <c r="AG98" i="19" a="1"/>
  <c r="AG98" i="19" s="1"/>
  <c r="AG115" i="19" a="1"/>
  <c r="AG115" i="19" s="1"/>
  <c r="AG145" i="19" a="1"/>
  <c r="AG145" i="19" s="1"/>
  <c r="AI26" i="17" a="1"/>
  <c r="AI26" i="17" s="1"/>
  <c r="AI65" i="17" a="1"/>
  <c r="AI65" i="17" s="1"/>
  <c r="AI91" i="17" a="1"/>
  <c r="AI91" i="17" s="1"/>
  <c r="AI96" i="17" a="1"/>
  <c r="AI96" i="17" s="1"/>
  <c r="AI122" i="17" a="1"/>
  <c r="AI122" i="17" s="1"/>
  <c r="AI135" i="17" a="1"/>
  <c r="AI135" i="17" s="1"/>
  <c r="AI148" i="17" a="1"/>
  <c r="AI148" i="17" s="1"/>
  <c r="AI161" i="17" a="1"/>
  <c r="AI161" i="17" s="1"/>
  <c r="AI166" i="17" a="1"/>
  <c r="AI166" i="17" s="1"/>
  <c r="AI35" i="17" a="1"/>
  <c r="AI35" i="17" s="1"/>
  <c r="AI192" i="17" a="1"/>
  <c r="AI192" i="17" s="1"/>
  <c r="AI9" i="17" a="1"/>
  <c r="AI9" i="17" s="1"/>
  <c r="AI40" i="17" a="1"/>
  <c r="AI40" i="17" s="1"/>
  <c r="AI66" i="17" a="1"/>
  <c r="AI66" i="17" s="1"/>
  <c r="AI79" i="17" a="1"/>
  <c r="AI79" i="17" s="1"/>
  <c r="AI105" i="17" a="1"/>
  <c r="AI105" i="17" s="1"/>
  <c r="AI5" i="17" a="1"/>
  <c r="AI5" i="17" s="1"/>
  <c r="AI110" i="17" a="1"/>
  <c r="AI110" i="17" s="1"/>
  <c r="AI136" i="17" a="1"/>
  <c r="AI136" i="17" s="1"/>
  <c r="AI149" i="17" a="1"/>
  <c r="AI149" i="17" s="1"/>
  <c r="AI162" i="17" a="1"/>
  <c r="AI162" i="17" s="1"/>
  <c r="AI175" i="17" a="1"/>
  <c r="AI175" i="17" s="1"/>
  <c r="AI180" i="17" a="1"/>
  <c r="AI180" i="17" s="1"/>
  <c r="AI19" i="17" a="1"/>
  <c r="AI19" i="17" s="1"/>
  <c r="AI23" i="17" a="1"/>
  <c r="AI23" i="17" s="1"/>
  <c r="AI49" i="17" a="1"/>
  <c r="AI49" i="17" s="1"/>
  <c r="AI10" i="17" a="1"/>
  <c r="AI10" i="17" s="1"/>
  <c r="AI50" i="17" a="1"/>
  <c r="AI50" i="17" s="1"/>
  <c r="AI54" i="17" a="1"/>
  <c r="AI54" i="17" s="1"/>
  <c r="AI80" i="17" a="1"/>
  <c r="AI80" i="17" s="1"/>
  <c r="AI93" i="17" a="1"/>
  <c r="AI93" i="17" s="1"/>
  <c r="AI119" i="17" a="1"/>
  <c r="AI119" i="17" s="1"/>
  <c r="AI124" i="17" a="1"/>
  <c r="AI124" i="17" s="1"/>
  <c r="AI129" i="17" a="1"/>
  <c r="AI129" i="17" s="1"/>
  <c r="AI142" i="17" a="1"/>
  <c r="AI142" i="17" s="1"/>
  <c r="AI155" i="17" a="1"/>
  <c r="AI155" i="17" s="1"/>
  <c r="AI168" i="17" a="1"/>
  <c r="AI168" i="17" s="1"/>
  <c r="AI181" i="17" a="1"/>
  <c r="AI181" i="17" s="1"/>
  <c r="AI11" i="17" a="1"/>
  <c r="AI11" i="17" s="1"/>
  <c r="AI29" i="17" a="1"/>
  <c r="AI29" i="17" s="1"/>
  <c r="AI42" i="17" a="1"/>
  <c r="AI42" i="17" s="1"/>
  <c r="AI55" i="17" a="1"/>
  <c r="AI55" i="17" s="1"/>
  <c r="AI81" i="17" a="1"/>
  <c r="AI81" i="17" s="1"/>
  <c r="AI120" i="17" a="1"/>
  <c r="AI120" i="17" s="1"/>
  <c r="AI150" i="17" a="1"/>
  <c r="AI150" i="17" s="1"/>
  <c r="AI163" i="17" a="1"/>
  <c r="AI163" i="17" s="1"/>
  <c r="AI176" i="17" a="1"/>
  <c r="AI176" i="17" s="1"/>
  <c r="AI189" i="17" a="1"/>
  <c r="AI189" i="17" s="1"/>
  <c r="AI194" i="17" a="1"/>
  <c r="AI194" i="17" s="1"/>
  <c r="AI199" i="17" a="1"/>
  <c r="AI199" i="17" s="1"/>
  <c r="AI52" i="17" a="1"/>
  <c r="AI52" i="17" s="1"/>
  <c r="AI25" i="17" a="1"/>
  <c r="AI25" i="17" s="1"/>
  <c r="AI64" i="17" a="1"/>
  <c r="AI64" i="17" s="1"/>
  <c r="AI68" i="17" a="1"/>
  <c r="AI68" i="17" s="1"/>
  <c r="AI94" i="17" a="1"/>
  <c r="AI94" i="17" s="1"/>
  <c r="AI107" i="17" a="1"/>
  <c r="AI107" i="17" s="1"/>
  <c r="AI133" i="17" a="1"/>
  <c r="AI133" i="17" s="1"/>
  <c r="AI138" i="17" a="1"/>
  <c r="AI138" i="17" s="1"/>
  <c r="AI143" i="17" a="1"/>
  <c r="AI143" i="17" s="1"/>
  <c r="AI156" i="17" a="1"/>
  <c r="AI156" i="17" s="1"/>
  <c r="AI169" i="17" a="1"/>
  <c r="AI169" i="17" s="1"/>
  <c r="AI182" i="17" a="1"/>
  <c r="AI182" i="17" s="1"/>
  <c r="AI195" i="17" a="1"/>
  <c r="AI195" i="17" s="1"/>
  <c r="AI30" i="17" a="1"/>
  <c r="AI30" i="17" s="1"/>
  <c r="AI43" i="17" a="1"/>
  <c r="AI43" i="17" s="1"/>
  <c r="AI56" i="17" a="1"/>
  <c r="AI56" i="17" s="1"/>
  <c r="AI69" i="17" a="1"/>
  <c r="AI69" i="17" s="1"/>
  <c r="AI95" i="17" a="1"/>
  <c r="AI95" i="17" s="1"/>
  <c r="AI134" i="17" a="1"/>
  <c r="AI134" i="17" s="1"/>
  <c r="AI164" i="17" a="1"/>
  <c r="AI164" i="17" s="1"/>
  <c r="AI177" i="17" a="1"/>
  <c r="AI177" i="17" s="1"/>
  <c r="AI190" i="17" a="1"/>
  <c r="AI190" i="17" s="1"/>
  <c r="AI203" i="17" a="1"/>
  <c r="AI203" i="17" s="1"/>
  <c r="AI87" i="17" a="1"/>
  <c r="AI87" i="17" s="1"/>
  <c r="AI100" i="17" a="1"/>
  <c r="AI100" i="17" s="1"/>
  <c r="AI113" i="17" a="1"/>
  <c r="AI113" i="17" s="1"/>
  <c r="AI126" i="17" a="1"/>
  <c r="AI126" i="17" s="1"/>
  <c r="AI139" i="17" a="1"/>
  <c r="AI139" i="17" s="1"/>
  <c r="AI165" i="17" a="1"/>
  <c r="AI165" i="17" s="1"/>
  <c r="AI204" i="17" a="1"/>
  <c r="AI204" i="17" s="1"/>
  <c r="AI17" i="17" a="1"/>
  <c r="AI17" i="17" s="1"/>
  <c r="AI8" i="17" a="1"/>
  <c r="AI8" i="17" s="1"/>
  <c r="AI12" i="17" a="1"/>
  <c r="AI12" i="17" s="1"/>
  <c r="AI39" i="17" a="1"/>
  <c r="AI39" i="17" s="1"/>
  <c r="AI78" i="17" a="1"/>
  <c r="AI78" i="17" s="1"/>
  <c r="AI82" i="17" a="1"/>
  <c r="AI82" i="17" s="1"/>
  <c r="AI108" i="17" a="1"/>
  <c r="AI108" i="17" s="1"/>
  <c r="AI121" i="17" a="1"/>
  <c r="AI121" i="17" s="1"/>
  <c r="AI147" i="17" a="1"/>
  <c r="AI147" i="17" s="1"/>
  <c r="AI152" i="17" a="1"/>
  <c r="AI152" i="17" s="1"/>
  <c r="AI157" i="17" a="1"/>
  <c r="AI157" i="17" s="1"/>
  <c r="AI170" i="17" a="1"/>
  <c r="AI170" i="17" s="1"/>
  <c r="AI183" i="17" a="1"/>
  <c r="AI183" i="17" s="1"/>
  <c r="AI196" i="17" a="1"/>
  <c r="AI196" i="17" s="1"/>
  <c r="AJ15" i="21" a="1"/>
  <c r="AJ15" i="21" s="1"/>
  <c r="AJ37" i="21" a="1"/>
  <c r="AJ37" i="21" s="1"/>
  <c r="AJ45" i="21" a="1"/>
  <c r="AJ45" i="21" s="1"/>
  <c r="AJ67" i="21" a="1"/>
  <c r="AJ67" i="21" s="1"/>
  <c r="AJ71" i="21" a="1"/>
  <c r="AJ71" i="21" s="1"/>
  <c r="AJ135" i="21" a="1"/>
  <c r="AJ135" i="21" s="1"/>
  <c r="AJ143" i="21" a="1"/>
  <c r="AJ143" i="21" s="1"/>
  <c r="AJ147" i="21" a="1"/>
  <c r="AJ147" i="21" s="1"/>
  <c r="AJ165" i="21" a="1"/>
  <c r="AJ165" i="21" s="1"/>
  <c r="AJ169" i="21" a="1"/>
  <c r="AJ169" i="21" s="1"/>
  <c r="AJ195" i="21" a="1"/>
  <c r="AJ195" i="21" s="1"/>
  <c r="AJ133" i="21" a="1"/>
  <c r="AJ133" i="21" s="1"/>
  <c r="AJ185" i="21" a="1"/>
  <c r="AJ185" i="21" s="1"/>
  <c r="AJ87" i="21" a="1"/>
  <c r="AJ87" i="21" s="1"/>
  <c r="AJ204" i="21" a="1"/>
  <c r="AJ204" i="21" s="1"/>
  <c r="AJ178" i="21" a="1"/>
  <c r="AJ178" i="21" s="1"/>
  <c r="AJ150" i="21" a="1"/>
  <c r="AJ150" i="21" s="1"/>
  <c r="AJ31" i="21" a="1"/>
  <c r="AJ31" i="21" s="1"/>
  <c r="AJ129" i="21" a="1"/>
  <c r="AJ129" i="21" s="1"/>
  <c r="AJ189" i="21" a="1"/>
  <c r="AJ189" i="21" s="1"/>
  <c r="AJ91" i="21" a="1"/>
  <c r="AJ91" i="21" s="1"/>
  <c r="AJ164" i="21" a="1"/>
  <c r="AJ164" i="21" s="1"/>
  <c r="AJ122" i="21" a="1"/>
  <c r="AJ122" i="21" s="1"/>
  <c r="AJ199" i="21" a="1"/>
  <c r="AJ199" i="21" s="1"/>
  <c r="AJ203" i="21" a="1"/>
  <c r="AJ203" i="21" s="1"/>
  <c r="AJ101" i="21" a="1"/>
  <c r="AJ101" i="21" s="1"/>
  <c r="AJ105" i="21" a="1"/>
  <c r="AJ105" i="21" s="1"/>
  <c r="AJ29" i="21" a="1"/>
  <c r="AJ29" i="21" s="1"/>
  <c r="AJ59" i="21" a="1"/>
  <c r="AJ59" i="21" s="1"/>
  <c r="AJ13" i="21" a="1"/>
  <c r="AJ13" i="21" s="1"/>
  <c r="AJ30" i="21" a="1"/>
  <c r="AJ30" i="21" s="1"/>
  <c r="AJ47" i="21" a="1"/>
  <c r="AJ47" i="21" s="1"/>
  <c r="AJ64" i="21" a="1"/>
  <c r="AJ64" i="21" s="1"/>
  <c r="AJ94" i="21" a="1"/>
  <c r="AJ94" i="21" s="1"/>
  <c r="AJ111" i="21" a="1"/>
  <c r="AJ111" i="21" s="1"/>
  <c r="AJ128" i="21" a="1"/>
  <c r="AJ128" i="21" s="1"/>
  <c r="AJ136" i="21" a="1"/>
  <c r="AJ136" i="21" s="1"/>
  <c r="AJ145" i="21" a="1"/>
  <c r="AJ145" i="21" s="1"/>
  <c r="AJ162" i="21" a="1"/>
  <c r="AJ162" i="21" s="1"/>
  <c r="AJ161" i="21" a="1"/>
  <c r="AJ161" i="21" s="1"/>
  <c r="AJ9" i="21" a="1"/>
  <c r="AJ9" i="21" s="1"/>
  <c r="AJ17" i="21" a="1"/>
  <c r="AJ17" i="21" s="1"/>
  <c r="AJ39" i="21" a="1"/>
  <c r="AJ39" i="21" s="1"/>
  <c r="AJ43" i="21" a="1"/>
  <c r="AJ43" i="21" s="1"/>
  <c r="AJ77" i="21" a="1"/>
  <c r="AJ77" i="21" s="1"/>
  <c r="AJ107" i="21" a="1"/>
  <c r="AJ107" i="21" s="1"/>
  <c r="AJ115" i="21" a="1"/>
  <c r="AJ115" i="21" s="1"/>
  <c r="AJ119" i="21" a="1"/>
  <c r="AJ119" i="21" s="1"/>
  <c r="AJ137" i="21" a="1"/>
  <c r="AJ137" i="21" s="1"/>
  <c r="AJ141" i="21" a="1"/>
  <c r="AJ141" i="21" s="1"/>
  <c r="AJ184" i="21" a="1"/>
  <c r="AJ184" i="21" s="1"/>
  <c r="AJ192" i="21" a="1"/>
  <c r="AJ192" i="21" s="1"/>
  <c r="AJ201" i="21" a="1"/>
  <c r="AJ201" i="21" s="1"/>
  <c r="AJ157" i="21" a="1"/>
  <c r="AJ157" i="21" s="1"/>
  <c r="AJ5" i="21" a="1"/>
  <c r="AJ5" i="21" s="1"/>
  <c r="AJ22" i="21" a="1"/>
  <c r="AJ22" i="21" s="1"/>
  <c r="AJ52" i="21" a="1"/>
  <c r="AJ52" i="21" s="1"/>
  <c r="AJ69" i="21" a="1"/>
  <c r="AJ69" i="21" s="1"/>
  <c r="AJ86" i="21" a="1"/>
  <c r="AJ86" i="21" s="1"/>
  <c r="AJ103" i="21" a="1"/>
  <c r="AJ103" i="21" s="1"/>
  <c r="AJ120" i="21" a="1"/>
  <c r="AJ120" i="21" s="1"/>
  <c r="AJ167" i="21" a="1"/>
  <c r="AJ167" i="21" s="1"/>
  <c r="AJ193" i="21" a="1"/>
  <c r="AJ193" i="21" s="1"/>
  <c r="AJ197" i="21" a="1"/>
  <c r="AJ197" i="21" s="1"/>
  <c r="AG204" i="21"/>
  <c r="AH204" i="21"/>
  <c r="AI204" i="21"/>
  <c r="AG204" i="17"/>
  <c r="AH204" i="17"/>
  <c r="AD167" i="6" l="1"/>
  <c r="AC206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AC205" i="6"/>
  <c r="AB205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AC204" i="6"/>
  <c r="AB204" i="6"/>
  <c r="AA204" i="6"/>
  <c r="Z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O206" i="7"/>
  <c r="O205" i="7"/>
  <c r="O204" i="7"/>
  <c r="Q205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AJ204" i="8" l="1" a="1"/>
  <c r="AJ204" i="8" s="1"/>
  <c r="AG205" i="8"/>
  <c r="AH205" i="8"/>
  <c r="AI205" i="8"/>
  <c r="AE204" i="7"/>
  <c r="AG204" i="6" a="1"/>
  <c r="AG204" i="6" s="1"/>
  <c r="AD204" i="6"/>
  <c r="AE204" i="6"/>
  <c r="AF204" i="6"/>
  <c r="AH204" i="7" a="1"/>
  <c r="AH204" i="7" s="1"/>
  <c r="AF204" i="7"/>
  <c r="AG204" i="7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Q206" i="9"/>
  <c r="Q204" i="9"/>
  <c r="Q205" i="9"/>
  <c r="AG5" i="8"/>
  <c r="AH4" i="8"/>
  <c r="AG4" i="8"/>
  <c r="AH5" i="8"/>
  <c r="AJ204" i="9" l="1" a="1"/>
  <c r="AJ204" i="9" s="1"/>
  <c r="AH4" i="9"/>
  <c r="AI4" i="9"/>
  <c r="AH5" i="9"/>
  <c r="AI5" i="9"/>
  <c r="AJ4" i="9" l="1" a="1"/>
  <c r="AJ4" i="9" s="1"/>
  <c r="AJ5" i="9" a="1"/>
  <c r="AJ5" i="9" s="1"/>
  <c r="AH204" i="10" a="1"/>
  <c r="AH204" i="10" s="1"/>
  <c r="AG204" i="10"/>
  <c r="AF204" i="10"/>
  <c r="AE204" i="10"/>
  <c r="AG203" i="10"/>
  <c r="AF203" i="10"/>
  <c r="AG202" i="10"/>
  <c r="AF202" i="10"/>
  <c r="AG201" i="10"/>
  <c r="AF201" i="10"/>
  <c r="AG200" i="10"/>
  <c r="AF200" i="10"/>
  <c r="AG199" i="10"/>
  <c r="AF199" i="10"/>
  <c r="AG198" i="10"/>
  <c r="AF198" i="10"/>
  <c r="AG197" i="10"/>
  <c r="AF197" i="10"/>
  <c r="AG196" i="10"/>
  <c r="AF196" i="10"/>
  <c r="AG195" i="10"/>
  <c r="AF195" i="10"/>
  <c r="AG194" i="10"/>
  <c r="AF194" i="10"/>
  <c r="AG193" i="10"/>
  <c r="AF193" i="10"/>
  <c r="AG192" i="10"/>
  <c r="AF192" i="10"/>
  <c r="AG191" i="10"/>
  <c r="AF191" i="10"/>
  <c r="AG190" i="10"/>
  <c r="AF190" i="10"/>
  <c r="AG189" i="10"/>
  <c r="AF189" i="10"/>
  <c r="AG188" i="10"/>
  <c r="AF188" i="10"/>
  <c r="AG187" i="10"/>
  <c r="AF187" i="10"/>
  <c r="AG186" i="10"/>
  <c r="AF186" i="10"/>
  <c r="AG185" i="10"/>
  <c r="AF185" i="10"/>
  <c r="AG184" i="10"/>
  <c r="AF184" i="10"/>
  <c r="AG183" i="10"/>
  <c r="AF183" i="10"/>
  <c r="AH183" i="10" a="1"/>
  <c r="AH183" i="10" s="1"/>
  <c r="AG182" i="10"/>
  <c r="AF182" i="10"/>
  <c r="AG181" i="10"/>
  <c r="AF181" i="10"/>
  <c r="AG180" i="10"/>
  <c r="AF180" i="10"/>
  <c r="AG179" i="10"/>
  <c r="AF179" i="10"/>
  <c r="AG178" i="10"/>
  <c r="AF178" i="10"/>
  <c r="AG177" i="10"/>
  <c r="AF177" i="10"/>
  <c r="AG176" i="10"/>
  <c r="AF176" i="10"/>
  <c r="AG175" i="10"/>
  <c r="AF175" i="10"/>
  <c r="AG174" i="10"/>
  <c r="AF174" i="10"/>
  <c r="AG173" i="10"/>
  <c r="AF173" i="10"/>
  <c r="AG172" i="10"/>
  <c r="AF172" i="10"/>
  <c r="AG171" i="10"/>
  <c r="AF171" i="10"/>
  <c r="AG170" i="10"/>
  <c r="AF170" i="10"/>
  <c r="AG169" i="10"/>
  <c r="AF169" i="10"/>
  <c r="AH169" i="10" s="1" a="1"/>
  <c r="AH169" i="10" s="1"/>
  <c r="AG168" i="10"/>
  <c r="AF168" i="10"/>
  <c r="AG167" i="10"/>
  <c r="AF167" i="10"/>
  <c r="AG166" i="10"/>
  <c r="AF166" i="10"/>
  <c r="AG165" i="10"/>
  <c r="AF165" i="10"/>
  <c r="AG164" i="10"/>
  <c r="AF164" i="10"/>
  <c r="AG163" i="10"/>
  <c r="AF163" i="10"/>
  <c r="AG162" i="10"/>
  <c r="AF162" i="10"/>
  <c r="AG161" i="10"/>
  <c r="AF161" i="10"/>
  <c r="AG160" i="10"/>
  <c r="AF160" i="10"/>
  <c r="AG159" i="10"/>
  <c r="AF159" i="10"/>
  <c r="AH159" i="10" s="1" a="1"/>
  <c r="AH159" i="10" s="1"/>
  <c r="AG158" i="10"/>
  <c r="AF158" i="10"/>
  <c r="AG157" i="10"/>
  <c r="AF157" i="10"/>
  <c r="AG156" i="10"/>
  <c r="AF156" i="10"/>
  <c r="AG155" i="10"/>
  <c r="AF155" i="10"/>
  <c r="AH155" i="10" s="1" a="1"/>
  <c r="AH155" i="10" s="1"/>
  <c r="AG154" i="10"/>
  <c r="AF154" i="10"/>
  <c r="AG153" i="10"/>
  <c r="AF153" i="10"/>
  <c r="AG152" i="10"/>
  <c r="AF152" i="10"/>
  <c r="AG151" i="10"/>
  <c r="AF151" i="10"/>
  <c r="AG150" i="10"/>
  <c r="AF150" i="10"/>
  <c r="AG149" i="10"/>
  <c r="AF149" i="10"/>
  <c r="AG148" i="10"/>
  <c r="AF148" i="10"/>
  <c r="AG147" i="10"/>
  <c r="AF147" i="10"/>
  <c r="AG146" i="10"/>
  <c r="AF146" i="10"/>
  <c r="AG145" i="10"/>
  <c r="AF145" i="10"/>
  <c r="AG144" i="10"/>
  <c r="AF144" i="10"/>
  <c r="AG143" i="10"/>
  <c r="AF143" i="10"/>
  <c r="AG142" i="10"/>
  <c r="AF142" i="10"/>
  <c r="AG141" i="10"/>
  <c r="AF141" i="10"/>
  <c r="AH141" i="10" s="1" a="1"/>
  <c r="AH141" i="10" s="1"/>
  <c r="AG140" i="10"/>
  <c r="AF140" i="10"/>
  <c r="AG139" i="10"/>
  <c r="AF139" i="10"/>
  <c r="AG138" i="10"/>
  <c r="AF138" i="10"/>
  <c r="AG137" i="10"/>
  <c r="AF137" i="10"/>
  <c r="AG136" i="10"/>
  <c r="AF136" i="10"/>
  <c r="AG135" i="10"/>
  <c r="AF135" i="10"/>
  <c r="AG134" i="10"/>
  <c r="AF134" i="10"/>
  <c r="AG133" i="10"/>
  <c r="AF133" i="10"/>
  <c r="AG132" i="10"/>
  <c r="AF132" i="10"/>
  <c r="AG131" i="10"/>
  <c r="AF131" i="10"/>
  <c r="AG130" i="10"/>
  <c r="AF130" i="10"/>
  <c r="AG129" i="10"/>
  <c r="AF129" i="10"/>
  <c r="AG128" i="10"/>
  <c r="AF128" i="10"/>
  <c r="AG127" i="10"/>
  <c r="AF127" i="10"/>
  <c r="AG126" i="10"/>
  <c r="AF126" i="10"/>
  <c r="AG125" i="10"/>
  <c r="AF125" i="10"/>
  <c r="AG124" i="10"/>
  <c r="AF124" i="10"/>
  <c r="AG123" i="10"/>
  <c r="AF123" i="10"/>
  <c r="AG122" i="10"/>
  <c r="AF122" i="10"/>
  <c r="AG121" i="10"/>
  <c r="AF121" i="10"/>
  <c r="AG120" i="10"/>
  <c r="AF120" i="10"/>
  <c r="AG119" i="10"/>
  <c r="AF119" i="10"/>
  <c r="AG118" i="10"/>
  <c r="AF118" i="10"/>
  <c r="AG117" i="10"/>
  <c r="AF117" i="10"/>
  <c r="AG116" i="10"/>
  <c r="AF116" i="10"/>
  <c r="AG115" i="10"/>
  <c r="AF115" i="10"/>
  <c r="AG114" i="10"/>
  <c r="AF114" i="10"/>
  <c r="AG113" i="10"/>
  <c r="AF113" i="10"/>
  <c r="AG112" i="10"/>
  <c r="AF112" i="10"/>
  <c r="AG111" i="10"/>
  <c r="AF111" i="10"/>
  <c r="AG110" i="10"/>
  <c r="AF110" i="10"/>
  <c r="AG109" i="10"/>
  <c r="AF109" i="10"/>
  <c r="AG108" i="10"/>
  <c r="AF108" i="10"/>
  <c r="AG107" i="10"/>
  <c r="AF107" i="10"/>
  <c r="AG106" i="10"/>
  <c r="AF106" i="10"/>
  <c r="AG105" i="10"/>
  <c r="AF105" i="10"/>
  <c r="AG104" i="10"/>
  <c r="AF104" i="10"/>
  <c r="AG103" i="10"/>
  <c r="AF103" i="10"/>
  <c r="AG102" i="10"/>
  <c r="AF102" i="10"/>
  <c r="AG101" i="10"/>
  <c r="AF101" i="10"/>
  <c r="AG100" i="10"/>
  <c r="AF100" i="10"/>
  <c r="AG99" i="10"/>
  <c r="AF99" i="10"/>
  <c r="AG98" i="10"/>
  <c r="AF98" i="10"/>
  <c r="AG97" i="10"/>
  <c r="AF97" i="10"/>
  <c r="AG96" i="10"/>
  <c r="AF96" i="10"/>
  <c r="AG95" i="10"/>
  <c r="AF95" i="10"/>
  <c r="AG94" i="10"/>
  <c r="AF94" i="10"/>
  <c r="AG93" i="10"/>
  <c r="AF93" i="10"/>
  <c r="AG92" i="10"/>
  <c r="AF92" i="10"/>
  <c r="AG91" i="10"/>
  <c r="AF91" i="10"/>
  <c r="AG90" i="10"/>
  <c r="AF90" i="10"/>
  <c r="AG89" i="10"/>
  <c r="AF89" i="10"/>
  <c r="AG88" i="10"/>
  <c r="AF88" i="10"/>
  <c r="AG87" i="10"/>
  <c r="AF87" i="10"/>
  <c r="AG86" i="10"/>
  <c r="AF86" i="10"/>
  <c r="AG85" i="10"/>
  <c r="AF85" i="10"/>
  <c r="AG84" i="10"/>
  <c r="AF84" i="10"/>
  <c r="AG83" i="10"/>
  <c r="AF83" i="10"/>
  <c r="AG82" i="10"/>
  <c r="AF82" i="10"/>
  <c r="AG81" i="10"/>
  <c r="AF81" i="10"/>
  <c r="AG80" i="10"/>
  <c r="AF80" i="10"/>
  <c r="AG79" i="10"/>
  <c r="AF79" i="10"/>
  <c r="AG78" i="10"/>
  <c r="AF78" i="10"/>
  <c r="AG77" i="10"/>
  <c r="AF77" i="10"/>
  <c r="AG76" i="10"/>
  <c r="AF76" i="10"/>
  <c r="AG75" i="10"/>
  <c r="AF75" i="10"/>
  <c r="AG74" i="10"/>
  <c r="AF74" i="10"/>
  <c r="AG73" i="10"/>
  <c r="AF73" i="10"/>
  <c r="AG72" i="10"/>
  <c r="AF72" i="10"/>
  <c r="AG71" i="10"/>
  <c r="AF71" i="10"/>
  <c r="AG70" i="10"/>
  <c r="AF70" i="10"/>
  <c r="AG69" i="10"/>
  <c r="AF69" i="10"/>
  <c r="AG68" i="10"/>
  <c r="AF68" i="10"/>
  <c r="AG67" i="10"/>
  <c r="AF67" i="10"/>
  <c r="AG66" i="10"/>
  <c r="AF66" i="10"/>
  <c r="AG65" i="10"/>
  <c r="AF65" i="10"/>
  <c r="AG64" i="10"/>
  <c r="AF64" i="10"/>
  <c r="AG63" i="10"/>
  <c r="AF63" i="10"/>
  <c r="AG62" i="10"/>
  <c r="AF62" i="10"/>
  <c r="AG61" i="10"/>
  <c r="AF61" i="10"/>
  <c r="AG60" i="10"/>
  <c r="AF60" i="10"/>
  <c r="AG59" i="10"/>
  <c r="AF59" i="10"/>
  <c r="AG58" i="10"/>
  <c r="AF58" i="10"/>
  <c r="AG57" i="10"/>
  <c r="AF57" i="10"/>
  <c r="AG56" i="10"/>
  <c r="AF56" i="10"/>
  <c r="AG55" i="10"/>
  <c r="AF55" i="10"/>
  <c r="AG54" i="10"/>
  <c r="AF54" i="10"/>
  <c r="AG53" i="10"/>
  <c r="AF53" i="10"/>
  <c r="AG52" i="10"/>
  <c r="AF52" i="10"/>
  <c r="AG51" i="10"/>
  <c r="AF51" i="10"/>
  <c r="AG50" i="10"/>
  <c r="AF50" i="10"/>
  <c r="AG49" i="10"/>
  <c r="AF49" i="10"/>
  <c r="AG48" i="10"/>
  <c r="AF48" i="10"/>
  <c r="AG47" i="10"/>
  <c r="AF47" i="10"/>
  <c r="AG46" i="10"/>
  <c r="AF46" i="10"/>
  <c r="AG45" i="10"/>
  <c r="AF45" i="10"/>
  <c r="AG44" i="10"/>
  <c r="AF44" i="10"/>
  <c r="AG43" i="10"/>
  <c r="AF43" i="10"/>
  <c r="AG42" i="10"/>
  <c r="AF42" i="10"/>
  <c r="AG41" i="10"/>
  <c r="AF41" i="10"/>
  <c r="AG40" i="10"/>
  <c r="AF40" i="10"/>
  <c r="AG39" i="10"/>
  <c r="AF39" i="10"/>
  <c r="AG38" i="10"/>
  <c r="AF38" i="10"/>
  <c r="AG37" i="10"/>
  <c r="AF37" i="10"/>
  <c r="AG36" i="10"/>
  <c r="AF36" i="10"/>
  <c r="AG35" i="10"/>
  <c r="AF35" i="10"/>
  <c r="AG34" i="10"/>
  <c r="AF34" i="10"/>
  <c r="AG33" i="10"/>
  <c r="AF33" i="10"/>
  <c r="AG32" i="10"/>
  <c r="AF32" i="10"/>
  <c r="AG31" i="10"/>
  <c r="AF31" i="10"/>
  <c r="AG30" i="10"/>
  <c r="AF30" i="10"/>
  <c r="AG29" i="10"/>
  <c r="AF29" i="10"/>
  <c r="AG28" i="10"/>
  <c r="AF28" i="10"/>
  <c r="AG27" i="10"/>
  <c r="AF27" i="10"/>
  <c r="AG26" i="10"/>
  <c r="AF26" i="10"/>
  <c r="AG25" i="10"/>
  <c r="AF25" i="10"/>
  <c r="AG24" i="10"/>
  <c r="AF24" i="10"/>
  <c r="AG23" i="10"/>
  <c r="AF23" i="10"/>
  <c r="AG22" i="10"/>
  <c r="AF22" i="10"/>
  <c r="AG21" i="10"/>
  <c r="AF21" i="10"/>
  <c r="AG20" i="10"/>
  <c r="AF20" i="10"/>
  <c r="AG19" i="10"/>
  <c r="AF19" i="10"/>
  <c r="AG18" i="10"/>
  <c r="AF18" i="10"/>
  <c r="AG17" i="10"/>
  <c r="AF17" i="10"/>
  <c r="AG16" i="10"/>
  <c r="AF16" i="10"/>
  <c r="AG15" i="10"/>
  <c r="AF15" i="10"/>
  <c r="AG14" i="10"/>
  <c r="AF14" i="10"/>
  <c r="AG13" i="10"/>
  <c r="AF13" i="10"/>
  <c r="AG12" i="10"/>
  <c r="AF12" i="10"/>
  <c r="AG11" i="10"/>
  <c r="AF11" i="10"/>
  <c r="AG10" i="10"/>
  <c r="AF10" i="10"/>
  <c r="AG9" i="10"/>
  <c r="AF9" i="10"/>
  <c r="AG8" i="10"/>
  <c r="AF8" i="10"/>
  <c r="AG7" i="10"/>
  <c r="AF7" i="10"/>
  <c r="AG6" i="10"/>
  <c r="AF6" i="10"/>
  <c r="AG5" i="10"/>
  <c r="AF5" i="10"/>
  <c r="AG4" i="10"/>
  <c r="AF4" i="10"/>
  <c r="AI203" i="9"/>
  <c r="AH203" i="9"/>
  <c r="AI202" i="9"/>
  <c r="AH202" i="9"/>
  <c r="AI201" i="9"/>
  <c r="AH201" i="9"/>
  <c r="AI200" i="9"/>
  <c r="AH200" i="9"/>
  <c r="AI199" i="9"/>
  <c r="AH199" i="9"/>
  <c r="AI198" i="9"/>
  <c r="AH198" i="9"/>
  <c r="AI197" i="9"/>
  <c r="AH197" i="9"/>
  <c r="AI196" i="9"/>
  <c r="AH196" i="9"/>
  <c r="AI195" i="9"/>
  <c r="AH195" i="9"/>
  <c r="AI194" i="9"/>
  <c r="AH194" i="9"/>
  <c r="AI193" i="9"/>
  <c r="AH193" i="9"/>
  <c r="AI192" i="9"/>
  <c r="AH192" i="9"/>
  <c r="AI191" i="9"/>
  <c r="AH191" i="9"/>
  <c r="AI190" i="9"/>
  <c r="AH190" i="9"/>
  <c r="AI189" i="9"/>
  <c r="AH189" i="9"/>
  <c r="AI188" i="9"/>
  <c r="AH188" i="9"/>
  <c r="AI187" i="9"/>
  <c r="AH187" i="9"/>
  <c r="AI186" i="9"/>
  <c r="AH186" i="9"/>
  <c r="AI185" i="9"/>
  <c r="AH185" i="9"/>
  <c r="AI184" i="9"/>
  <c r="AH184" i="9"/>
  <c r="AI183" i="9"/>
  <c r="AH183" i="9"/>
  <c r="AI182" i="9"/>
  <c r="AH182" i="9"/>
  <c r="AI181" i="9"/>
  <c r="AH181" i="9"/>
  <c r="AI180" i="9"/>
  <c r="AH180" i="9"/>
  <c r="AI179" i="9"/>
  <c r="AH179" i="9"/>
  <c r="AI178" i="9"/>
  <c r="AH178" i="9"/>
  <c r="AI177" i="9"/>
  <c r="AH177" i="9"/>
  <c r="AI176" i="9"/>
  <c r="AH176" i="9"/>
  <c r="AI175" i="9"/>
  <c r="AH175" i="9"/>
  <c r="AI174" i="9"/>
  <c r="AH174" i="9"/>
  <c r="AI173" i="9"/>
  <c r="AH173" i="9"/>
  <c r="AI172" i="9"/>
  <c r="AH172" i="9"/>
  <c r="AI171" i="9"/>
  <c r="AH171" i="9"/>
  <c r="AI170" i="9"/>
  <c r="AH170" i="9"/>
  <c r="AI169" i="9"/>
  <c r="AH169" i="9"/>
  <c r="AI168" i="9"/>
  <c r="AH168" i="9"/>
  <c r="AI167" i="9"/>
  <c r="AH167" i="9"/>
  <c r="AI166" i="9"/>
  <c r="AH166" i="9"/>
  <c r="AI165" i="9"/>
  <c r="AH165" i="9"/>
  <c r="AI164" i="9"/>
  <c r="AH164" i="9"/>
  <c r="AI163" i="9"/>
  <c r="AH163" i="9"/>
  <c r="AI162" i="9"/>
  <c r="AH162" i="9"/>
  <c r="AI161" i="9"/>
  <c r="AH161" i="9"/>
  <c r="AI160" i="9"/>
  <c r="AH160" i="9"/>
  <c r="AI159" i="9"/>
  <c r="AH159" i="9"/>
  <c r="AI158" i="9"/>
  <c r="AH158" i="9"/>
  <c r="AI157" i="9"/>
  <c r="AH157" i="9"/>
  <c r="AI156" i="9"/>
  <c r="AH156" i="9"/>
  <c r="AI155" i="9"/>
  <c r="AH155" i="9"/>
  <c r="AI154" i="9"/>
  <c r="AH154" i="9"/>
  <c r="AI153" i="9"/>
  <c r="AH153" i="9"/>
  <c r="AI152" i="9"/>
  <c r="AH152" i="9"/>
  <c r="AI151" i="9"/>
  <c r="AH151" i="9"/>
  <c r="AI150" i="9"/>
  <c r="AH150" i="9"/>
  <c r="AI149" i="9"/>
  <c r="AH149" i="9"/>
  <c r="AI148" i="9"/>
  <c r="AH148" i="9"/>
  <c r="AI147" i="9"/>
  <c r="AH147" i="9"/>
  <c r="AI146" i="9"/>
  <c r="AH146" i="9"/>
  <c r="AI145" i="9"/>
  <c r="AH145" i="9"/>
  <c r="AI144" i="9"/>
  <c r="AH144" i="9"/>
  <c r="AI143" i="9"/>
  <c r="AH143" i="9"/>
  <c r="AI142" i="9"/>
  <c r="AH142" i="9"/>
  <c r="AI141" i="9"/>
  <c r="AH141" i="9"/>
  <c r="AI140" i="9"/>
  <c r="AH140" i="9"/>
  <c r="AI139" i="9"/>
  <c r="AH139" i="9"/>
  <c r="AI138" i="9"/>
  <c r="AH138" i="9"/>
  <c r="AI137" i="9"/>
  <c r="AH137" i="9"/>
  <c r="AI136" i="9"/>
  <c r="AH136" i="9"/>
  <c r="AI135" i="9"/>
  <c r="AH135" i="9"/>
  <c r="AI134" i="9"/>
  <c r="AH134" i="9"/>
  <c r="AI133" i="9"/>
  <c r="AH133" i="9"/>
  <c r="AI132" i="9"/>
  <c r="AH132" i="9"/>
  <c r="AI131" i="9"/>
  <c r="AH131" i="9"/>
  <c r="AI130" i="9"/>
  <c r="AH130" i="9"/>
  <c r="AI129" i="9"/>
  <c r="AH129" i="9"/>
  <c r="AI128" i="9"/>
  <c r="AH128" i="9"/>
  <c r="AI127" i="9"/>
  <c r="AH127" i="9"/>
  <c r="AI126" i="9"/>
  <c r="AH126" i="9"/>
  <c r="AI125" i="9"/>
  <c r="AH125" i="9"/>
  <c r="AI124" i="9"/>
  <c r="AH124" i="9"/>
  <c r="AI123" i="9"/>
  <c r="AH123" i="9"/>
  <c r="AI121" i="9"/>
  <c r="AH121" i="9"/>
  <c r="AI120" i="9"/>
  <c r="AH120" i="9"/>
  <c r="AI119" i="9"/>
  <c r="AH119" i="9"/>
  <c r="AI118" i="9"/>
  <c r="AH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AI100" i="9"/>
  <c r="AH100" i="9"/>
  <c r="AI99" i="9"/>
  <c r="AH99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I72" i="9"/>
  <c r="AH72" i="9"/>
  <c r="AI71" i="9"/>
  <c r="AH71" i="9"/>
  <c r="AI70" i="9"/>
  <c r="AH70" i="9"/>
  <c r="AI69" i="9"/>
  <c r="AH69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204" i="8"/>
  <c r="AH204" i="8"/>
  <c r="AG204" i="8"/>
  <c r="AI203" i="8"/>
  <c r="AH203" i="8"/>
  <c r="AG203" i="8"/>
  <c r="AI202" i="8"/>
  <c r="AH202" i="8"/>
  <c r="AG202" i="8"/>
  <c r="AI201" i="8"/>
  <c r="AH201" i="8"/>
  <c r="AG201" i="8"/>
  <c r="AI200" i="8"/>
  <c r="AH200" i="8"/>
  <c r="AG200" i="8"/>
  <c r="AI199" i="8"/>
  <c r="AH199" i="8"/>
  <c r="AG199" i="8"/>
  <c r="AI198" i="8"/>
  <c r="AH198" i="8"/>
  <c r="AG198" i="8"/>
  <c r="AI197" i="8"/>
  <c r="AH197" i="8"/>
  <c r="AG197" i="8"/>
  <c r="AI196" i="8"/>
  <c r="AH196" i="8"/>
  <c r="AG196" i="8"/>
  <c r="AI195" i="8"/>
  <c r="AH195" i="8"/>
  <c r="AG195" i="8"/>
  <c r="AI194" i="8"/>
  <c r="AH194" i="8"/>
  <c r="AG194" i="8"/>
  <c r="AI193" i="8"/>
  <c r="AH193" i="8"/>
  <c r="AG193" i="8"/>
  <c r="AI192" i="8"/>
  <c r="AH192" i="8"/>
  <c r="AG192" i="8"/>
  <c r="AI191" i="8"/>
  <c r="AH191" i="8"/>
  <c r="AG191" i="8"/>
  <c r="AI190" i="8"/>
  <c r="AH190" i="8"/>
  <c r="AG190" i="8"/>
  <c r="AI189" i="8"/>
  <c r="AH189" i="8"/>
  <c r="AG189" i="8"/>
  <c r="AI188" i="8"/>
  <c r="AH188" i="8"/>
  <c r="AG188" i="8"/>
  <c r="AI187" i="8"/>
  <c r="AH187" i="8"/>
  <c r="AG187" i="8"/>
  <c r="AI186" i="8"/>
  <c r="AH186" i="8"/>
  <c r="AG186" i="8"/>
  <c r="AI185" i="8"/>
  <c r="AH185" i="8"/>
  <c r="AG185" i="8"/>
  <c r="AI184" i="8"/>
  <c r="AH184" i="8"/>
  <c r="AG184" i="8"/>
  <c r="AI183" i="8"/>
  <c r="AH183" i="8"/>
  <c r="AG183" i="8"/>
  <c r="AI182" i="8"/>
  <c r="AH182" i="8"/>
  <c r="AG182" i="8"/>
  <c r="AI179" i="8"/>
  <c r="AH179" i="8"/>
  <c r="AG179" i="8"/>
  <c r="AI178" i="8"/>
  <c r="AH178" i="8"/>
  <c r="AG178" i="8"/>
  <c r="AI177" i="8"/>
  <c r="AH177" i="8"/>
  <c r="AG177" i="8"/>
  <c r="AI176" i="8"/>
  <c r="AH176" i="8"/>
  <c r="AG176" i="8"/>
  <c r="AI175" i="8"/>
  <c r="AH175" i="8"/>
  <c r="AG175" i="8"/>
  <c r="AI174" i="8"/>
  <c r="AH174" i="8"/>
  <c r="AG174" i="8"/>
  <c r="AI173" i="8"/>
  <c r="AH173" i="8"/>
  <c r="AG173" i="8"/>
  <c r="AI172" i="8"/>
  <c r="AH172" i="8"/>
  <c r="AG172" i="8"/>
  <c r="AI171" i="8"/>
  <c r="AH171" i="8"/>
  <c r="AG171" i="8"/>
  <c r="AI170" i="8"/>
  <c r="AH170" i="8"/>
  <c r="AG170" i="8"/>
  <c r="AI169" i="8"/>
  <c r="AH169" i="8"/>
  <c r="AG169" i="8"/>
  <c r="AI168" i="8"/>
  <c r="AH168" i="8"/>
  <c r="AG168" i="8"/>
  <c r="AI167" i="8"/>
  <c r="AH167" i="8"/>
  <c r="AG167" i="8"/>
  <c r="AI166" i="8"/>
  <c r="AH166" i="8"/>
  <c r="AG166" i="8"/>
  <c r="AI165" i="8"/>
  <c r="AH165" i="8"/>
  <c r="AG165" i="8"/>
  <c r="AI164" i="8"/>
  <c r="AH164" i="8"/>
  <c r="AG164" i="8"/>
  <c r="AI163" i="8"/>
  <c r="AH163" i="8"/>
  <c r="AG163" i="8"/>
  <c r="AI162" i="8"/>
  <c r="AH162" i="8"/>
  <c r="AG162" i="8"/>
  <c r="AI161" i="8"/>
  <c r="AH161" i="8"/>
  <c r="AG161" i="8"/>
  <c r="AI160" i="8"/>
  <c r="AH160" i="8"/>
  <c r="AG160" i="8"/>
  <c r="AI159" i="8"/>
  <c r="AH159" i="8"/>
  <c r="AG159" i="8"/>
  <c r="AI158" i="8"/>
  <c r="AH158" i="8"/>
  <c r="AG158" i="8"/>
  <c r="AI157" i="8"/>
  <c r="AH157" i="8"/>
  <c r="AG157" i="8"/>
  <c r="AI156" i="8"/>
  <c r="AH156" i="8"/>
  <c r="AG156" i="8"/>
  <c r="AI155" i="8"/>
  <c r="AH155" i="8"/>
  <c r="AG155" i="8"/>
  <c r="AI154" i="8"/>
  <c r="AH154" i="8"/>
  <c r="AG154" i="8"/>
  <c r="AI153" i="8"/>
  <c r="AH153" i="8"/>
  <c r="AG153" i="8"/>
  <c r="AI152" i="8"/>
  <c r="AH152" i="8"/>
  <c r="AG152" i="8"/>
  <c r="AI151" i="8"/>
  <c r="AH151" i="8"/>
  <c r="AG151" i="8"/>
  <c r="AI150" i="8"/>
  <c r="AH150" i="8"/>
  <c r="AG150" i="8"/>
  <c r="AI149" i="8"/>
  <c r="AH149" i="8"/>
  <c r="AG149" i="8"/>
  <c r="AI148" i="8"/>
  <c r="AH148" i="8"/>
  <c r="AG148" i="8"/>
  <c r="AI147" i="8"/>
  <c r="AH147" i="8"/>
  <c r="AG147" i="8"/>
  <c r="AI146" i="8"/>
  <c r="AH146" i="8"/>
  <c r="AG146" i="8"/>
  <c r="AI145" i="8"/>
  <c r="AH145" i="8"/>
  <c r="AG145" i="8"/>
  <c r="AI144" i="8"/>
  <c r="AH144" i="8"/>
  <c r="AG144" i="8"/>
  <c r="AI143" i="8"/>
  <c r="AH143" i="8"/>
  <c r="AG143" i="8"/>
  <c r="AI142" i="8"/>
  <c r="AH142" i="8"/>
  <c r="AG142" i="8"/>
  <c r="AI141" i="8"/>
  <c r="AH141" i="8"/>
  <c r="AG141" i="8"/>
  <c r="AI140" i="8"/>
  <c r="AH140" i="8"/>
  <c r="AG140" i="8"/>
  <c r="AI139" i="8"/>
  <c r="AH139" i="8"/>
  <c r="AG139" i="8"/>
  <c r="AI138" i="8"/>
  <c r="AH138" i="8"/>
  <c r="AG138" i="8"/>
  <c r="AI137" i="8"/>
  <c r="AH137" i="8"/>
  <c r="AG137" i="8"/>
  <c r="AI136" i="8"/>
  <c r="AH136" i="8"/>
  <c r="AG136" i="8"/>
  <c r="AI135" i="8"/>
  <c r="AH135" i="8"/>
  <c r="AG135" i="8"/>
  <c r="AI134" i="8"/>
  <c r="AH134" i="8"/>
  <c r="AG134" i="8"/>
  <c r="AI133" i="8"/>
  <c r="AH133" i="8"/>
  <c r="AG133" i="8"/>
  <c r="AI132" i="8"/>
  <c r="AH132" i="8"/>
  <c r="AG132" i="8"/>
  <c r="AI131" i="8"/>
  <c r="AH131" i="8"/>
  <c r="AG131" i="8"/>
  <c r="AI130" i="8"/>
  <c r="AH130" i="8"/>
  <c r="AG130" i="8"/>
  <c r="AI129" i="8"/>
  <c r="AH129" i="8"/>
  <c r="AG129" i="8"/>
  <c r="AI128" i="8"/>
  <c r="AH128" i="8"/>
  <c r="AG128" i="8"/>
  <c r="AI127" i="8"/>
  <c r="AH127" i="8"/>
  <c r="AG127" i="8"/>
  <c r="AI126" i="8"/>
  <c r="AH126" i="8"/>
  <c r="AG126" i="8"/>
  <c r="AI125" i="8"/>
  <c r="AH125" i="8"/>
  <c r="AG125" i="8"/>
  <c r="AI124" i="8"/>
  <c r="AH124" i="8"/>
  <c r="AG124" i="8"/>
  <c r="AI123" i="8"/>
  <c r="AH123" i="8"/>
  <c r="AG123" i="8"/>
  <c r="AI122" i="8"/>
  <c r="AH122" i="8"/>
  <c r="AG122" i="8"/>
  <c r="AI121" i="8"/>
  <c r="AH121" i="8"/>
  <c r="AG121" i="8"/>
  <c r="AI120" i="8"/>
  <c r="AH120" i="8"/>
  <c r="AG120" i="8"/>
  <c r="AI119" i="8"/>
  <c r="AH119" i="8"/>
  <c r="AG119" i="8"/>
  <c r="AI118" i="8"/>
  <c r="AH118" i="8"/>
  <c r="AG118" i="8"/>
  <c r="AI117" i="8"/>
  <c r="AH117" i="8"/>
  <c r="AG117" i="8"/>
  <c r="AI116" i="8"/>
  <c r="AH116" i="8"/>
  <c r="AG116" i="8"/>
  <c r="AI115" i="8"/>
  <c r="AH115" i="8"/>
  <c r="AG115" i="8"/>
  <c r="AI114" i="8"/>
  <c r="AH114" i="8"/>
  <c r="AG114" i="8"/>
  <c r="AI113" i="8"/>
  <c r="AH113" i="8"/>
  <c r="AG113" i="8"/>
  <c r="AI112" i="8"/>
  <c r="AH112" i="8"/>
  <c r="AG112" i="8"/>
  <c r="AI111" i="8"/>
  <c r="AH111" i="8"/>
  <c r="AG111" i="8"/>
  <c r="AI110" i="8"/>
  <c r="AH110" i="8"/>
  <c r="AG110" i="8"/>
  <c r="AI109" i="8"/>
  <c r="AH109" i="8"/>
  <c r="AG109" i="8"/>
  <c r="AI108" i="8"/>
  <c r="AH108" i="8"/>
  <c r="AG108" i="8"/>
  <c r="AI107" i="8"/>
  <c r="AH107" i="8"/>
  <c r="AG107" i="8"/>
  <c r="AI106" i="8"/>
  <c r="AH106" i="8"/>
  <c r="AG106" i="8"/>
  <c r="AI105" i="8"/>
  <c r="AH105" i="8"/>
  <c r="AG105" i="8"/>
  <c r="AI104" i="8"/>
  <c r="AH104" i="8"/>
  <c r="AG104" i="8"/>
  <c r="AI103" i="8"/>
  <c r="AH103" i="8"/>
  <c r="AG103" i="8"/>
  <c r="AI102" i="8"/>
  <c r="AH102" i="8"/>
  <c r="AG102" i="8"/>
  <c r="AI101" i="8"/>
  <c r="AH101" i="8"/>
  <c r="AG101" i="8"/>
  <c r="AI100" i="8"/>
  <c r="AH100" i="8"/>
  <c r="AG100" i="8"/>
  <c r="AI99" i="8"/>
  <c r="AH99" i="8"/>
  <c r="AG99" i="8"/>
  <c r="AI98" i="8"/>
  <c r="AH98" i="8"/>
  <c r="AG98" i="8"/>
  <c r="AI97" i="8"/>
  <c r="AH97" i="8"/>
  <c r="AG97" i="8"/>
  <c r="AI96" i="8"/>
  <c r="AH96" i="8"/>
  <c r="AG96" i="8"/>
  <c r="AI95" i="8"/>
  <c r="AH95" i="8"/>
  <c r="AG95" i="8"/>
  <c r="AI94" i="8"/>
  <c r="AH94" i="8"/>
  <c r="AG94" i="8"/>
  <c r="AI93" i="8"/>
  <c r="AH93" i="8"/>
  <c r="AG93" i="8"/>
  <c r="AI92" i="8"/>
  <c r="AH92" i="8"/>
  <c r="AG92" i="8"/>
  <c r="AI91" i="8"/>
  <c r="AH91" i="8"/>
  <c r="AG91" i="8"/>
  <c r="AI90" i="8"/>
  <c r="AH90" i="8"/>
  <c r="AG90" i="8"/>
  <c r="AI89" i="8"/>
  <c r="AH89" i="8"/>
  <c r="AG89" i="8"/>
  <c r="AI88" i="8"/>
  <c r="AH88" i="8"/>
  <c r="AG88" i="8"/>
  <c r="AI87" i="8"/>
  <c r="AH87" i="8"/>
  <c r="AG87" i="8"/>
  <c r="AI86" i="8"/>
  <c r="AH86" i="8"/>
  <c r="AG86" i="8"/>
  <c r="AI85" i="8"/>
  <c r="AH85" i="8"/>
  <c r="AG85" i="8"/>
  <c r="AI84" i="8"/>
  <c r="AH84" i="8"/>
  <c r="AG84" i="8"/>
  <c r="AI83" i="8"/>
  <c r="AH83" i="8"/>
  <c r="AG83" i="8"/>
  <c r="AI82" i="8"/>
  <c r="AH82" i="8"/>
  <c r="AG82" i="8"/>
  <c r="AI81" i="8"/>
  <c r="AH81" i="8"/>
  <c r="AG81" i="8"/>
  <c r="AI80" i="8"/>
  <c r="AH80" i="8"/>
  <c r="AG80" i="8"/>
  <c r="AI79" i="8"/>
  <c r="AH79" i="8"/>
  <c r="AG79" i="8"/>
  <c r="AI78" i="8"/>
  <c r="AH78" i="8"/>
  <c r="AG78" i="8"/>
  <c r="AI77" i="8"/>
  <c r="AH77" i="8"/>
  <c r="AG77" i="8"/>
  <c r="AI76" i="8"/>
  <c r="AH76" i="8"/>
  <c r="AG76" i="8"/>
  <c r="AI75" i="8"/>
  <c r="AH75" i="8"/>
  <c r="AG75" i="8"/>
  <c r="AI74" i="8"/>
  <c r="AH74" i="8"/>
  <c r="AG74" i="8"/>
  <c r="AI73" i="8"/>
  <c r="AH73" i="8"/>
  <c r="AG73" i="8"/>
  <c r="AI72" i="8"/>
  <c r="AH72" i="8"/>
  <c r="AG72" i="8"/>
  <c r="AI71" i="8"/>
  <c r="AH71" i="8"/>
  <c r="AG71" i="8"/>
  <c r="AI70" i="8"/>
  <c r="AH70" i="8"/>
  <c r="AG70" i="8"/>
  <c r="AI69" i="8"/>
  <c r="AH69" i="8"/>
  <c r="AG69" i="8"/>
  <c r="AI68" i="8"/>
  <c r="AH68" i="8"/>
  <c r="AG68" i="8"/>
  <c r="AI67" i="8"/>
  <c r="AH67" i="8"/>
  <c r="AG67" i="8"/>
  <c r="AI66" i="8"/>
  <c r="AH66" i="8"/>
  <c r="AG66" i="8"/>
  <c r="AI65" i="8"/>
  <c r="AH65" i="8"/>
  <c r="AG65" i="8"/>
  <c r="AI64" i="8"/>
  <c r="AH64" i="8"/>
  <c r="AG64" i="8"/>
  <c r="AI63" i="8"/>
  <c r="AH63" i="8"/>
  <c r="AG63" i="8"/>
  <c r="AI62" i="8"/>
  <c r="AH62" i="8"/>
  <c r="AG62" i="8"/>
  <c r="AI61" i="8"/>
  <c r="AH61" i="8"/>
  <c r="AG61" i="8"/>
  <c r="AI60" i="8"/>
  <c r="AH60" i="8"/>
  <c r="AG60" i="8"/>
  <c r="AI59" i="8"/>
  <c r="AH59" i="8"/>
  <c r="AG59" i="8"/>
  <c r="AI58" i="8"/>
  <c r="AH58" i="8"/>
  <c r="AG58" i="8"/>
  <c r="AI57" i="8"/>
  <c r="AH57" i="8"/>
  <c r="AG57" i="8"/>
  <c r="AI56" i="8"/>
  <c r="AH56" i="8"/>
  <c r="AG56" i="8"/>
  <c r="AI55" i="8"/>
  <c r="AH55" i="8"/>
  <c r="AG55" i="8"/>
  <c r="AI54" i="8"/>
  <c r="AH54" i="8"/>
  <c r="AG54" i="8"/>
  <c r="AI53" i="8"/>
  <c r="AH53" i="8"/>
  <c r="AG53" i="8"/>
  <c r="AI52" i="8"/>
  <c r="AH52" i="8"/>
  <c r="AG52" i="8"/>
  <c r="AI51" i="8"/>
  <c r="AH51" i="8"/>
  <c r="AG51" i="8"/>
  <c r="AI50" i="8"/>
  <c r="AH50" i="8"/>
  <c r="AG50" i="8"/>
  <c r="AI49" i="8"/>
  <c r="AH49" i="8"/>
  <c r="AG49" i="8"/>
  <c r="AI48" i="8"/>
  <c r="AH48" i="8"/>
  <c r="AG48" i="8"/>
  <c r="AI47" i="8"/>
  <c r="AH47" i="8"/>
  <c r="AG47" i="8"/>
  <c r="AI46" i="8"/>
  <c r="AH46" i="8"/>
  <c r="AG46" i="8"/>
  <c r="AI45" i="8"/>
  <c r="AH45" i="8"/>
  <c r="AG45" i="8"/>
  <c r="AI44" i="8"/>
  <c r="AH44" i="8"/>
  <c r="AG44" i="8"/>
  <c r="AI43" i="8"/>
  <c r="AH43" i="8"/>
  <c r="AG43" i="8"/>
  <c r="AI42" i="8"/>
  <c r="AH42" i="8"/>
  <c r="AG42" i="8"/>
  <c r="AI41" i="8"/>
  <c r="AH41" i="8"/>
  <c r="AG41" i="8"/>
  <c r="AI40" i="8"/>
  <c r="AH40" i="8"/>
  <c r="AG40" i="8"/>
  <c r="AI39" i="8"/>
  <c r="AH39" i="8"/>
  <c r="AG39" i="8"/>
  <c r="AI38" i="8"/>
  <c r="AH38" i="8"/>
  <c r="AG38" i="8"/>
  <c r="AI37" i="8"/>
  <c r="AH37" i="8"/>
  <c r="AG37" i="8"/>
  <c r="AI36" i="8"/>
  <c r="AH36" i="8"/>
  <c r="AG36" i="8"/>
  <c r="AI35" i="8"/>
  <c r="AH35" i="8"/>
  <c r="AG35" i="8"/>
  <c r="AI34" i="8"/>
  <c r="AH34" i="8"/>
  <c r="AG34" i="8"/>
  <c r="AI33" i="8"/>
  <c r="AH33" i="8"/>
  <c r="AG33" i="8"/>
  <c r="AI32" i="8"/>
  <c r="AH32" i="8"/>
  <c r="AG32" i="8"/>
  <c r="AI31" i="8"/>
  <c r="AH31" i="8"/>
  <c r="AG31" i="8"/>
  <c r="AI30" i="8"/>
  <c r="AH30" i="8"/>
  <c r="AG30" i="8"/>
  <c r="AI29" i="8"/>
  <c r="AH29" i="8"/>
  <c r="AG29" i="8"/>
  <c r="AI28" i="8"/>
  <c r="AH28" i="8"/>
  <c r="AG28" i="8"/>
  <c r="AI27" i="8"/>
  <c r="AH27" i="8"/>
  <c r="AG27" i="8"/>
  <c r="AI26" i="8"/>
  <c r="AH26" i="8"/>
  <c r="AG26" i="8"/>
  <c r="AI25" i="8"/>
  <c r="AH25" i="8"/>
  <c r="AG25" i="8"/>
  <c r="AI24" i="8"/>
  <c r="AH24" i="8"/>
  <c r="AG24" i="8"/>
  <c r="AI23" i="8"/>
  <c r="AH23" i="8"/>
  <c r="AG23" i="8"/>
  <c r="AI22" i="8"/>
  <c r="AH22" i="8"/>
  <c r="AG22" i="8"/>
  <c r="AI21" i="8"/>
  <c r="AH21" i="8"/>
  <c r="AG21" i="8"/>
  <c r="AI20" i="8"/>
  <c r="AH20" i="8"/>
  <c r="AG20" i="8"/>
  <c r="AI19" i="8"/>
  <c r="AH19" i="8"/>
  <c r="AG19" i="8"/>
  <c r="AI18" i="8"/>
  <c r="AH18" i="8"/>
  <c r="AG18" i="8"/>
  <c r="AI17" i="8"/>
  <c r="AH17" i="8"/>
  <c r="AG17" i="8"/>
  <c r="AI16" i="8"/>
  <c r="AH16" i="8"/>
  <c r="AG16" i="8"/>
  <c r="AI15" i="8"/>
  <c r="AH15" i="8"/>
  <c r="AG15" i="8"/>
  <c r="AI14" i="8"/>
  <c r="AH14" i="8"/>
  <c r="AG14" i="8"/>
  <c r="AI13" i="8"/>
  <c r="AH13" i="8"/>
  <c r="AG13" i="8"/>
  <c r="AI12" i="8"/>
  <c r="AH12" i="8"/>
  <c r="AG12" i="8"/>
  <c r="AI11" i="8"/>
  <c r="AH11" i="8"/>
  <c r="AG11" i="8"/>
  <c r="AI10" i="8"/>
  <c r="AH10" i="8"/>
  <c r="AG10" i="8"/>
  <c r="AI9" i="8"/>
  <c r="AH9" i="8"/>
  <c r="AG9" i="8"/>
  <c r="AI8" i="8"/>
  <c r="AH8" i="8"/>
  <c r="AG8" i="8"/>
  <c r="AI7" i="8"/>
  <c r="AH7" i="8"/>
  <c r="AG7" i="8"/>
  <c r="AI6" i="8"/>
  <c r="AH6" i="8"/>
  <c r="AG6" i="8"/>
  <c r="AI5" i="8"/>
  <c r="AJ5" i="8" s="1" a="1"/>
  <c r="AJ5" i="8" s="1"/>
  <c r="AI4" i="8"/>
  <c r="AJ4" i="8" s="1" a="1"/>
  <c r="AJ4" i="8" s="1"/>
  <c r="AG203" i="7"/>
  <c r="AF203" i="7"/>
  <c r="AE203" i="7"/>
  <c r="AG202" i="7"/>
  <c r="AF202" i="7"/>
  <c r="AE202" i="7"/>
  <c r="AG201" i="7"/>
  <c r="AF201" i="7"/>
  <c r="AE201" i="7"/>
  <c r="AG200" i="7"/>
  <c r="AF200" i="7"/>
  <c r="AE200" i="7"/>
  <c r="AG199" i="7"/>
  <c r="AF199" i="7"/>
  <c r="AE199" i="7"/>
  <c r="AG198" i="7"/>
  <c r="AF198" i="7"/>
  <c r="AE198" i="7"/>
  <c r="AG197" i="7"/>
  <c r="AF197" i="7"/>
  <c r="AE197" i="7"/>
  <c r="AG196" i="7"/>
  <c r="AF196" i="7"/>
  <c r="AE196" i="7"/>
  <c r="AG195" i="7"/>
  <c r="AF195" i="7"/>
  <c r="AE195" i="7"/>
  <c r="AG194" i="7"/>
  <c r="AF194" i="7"/>
  <c r="AE194" i="7"/>
  <c r="AG193" i="7"/>
  <c r="AF193" i="7"/>
  <c r="AE193" i="7"/>
  <c r="AG192" i="7"/>
  <c r="AF192" i="7"/>
  <c r="AE192" i="7"/>
  <c r="AG191" i="7"/>
  <c r="AF191" i="7"/>
  <c r="AE191" i="7"/>
  <c r="AG190" i="7"/>
  <c r="AF190" i="7"/>
  <c r="AE190" i="7"/>
  <c r="AG189" i="7"/>
  <c r="AF189" i="7"/>
  <c r="AE189" i="7"/>
  <c r="AG188" i="7"/>
  <c r="AF188" i="7"/>
  <c r="AE188" i="7"/>
  <c r="AG187" i="7"/>
  <c r="AF187" i="7"/>
  <c r="AE187" i="7"/>
  <c r="AG186" i="7"/>
  <c r="AF186" i="7"/>
  <c r="AE186" i="7"/>
  <c r="AG185" i="7"/>
  <c r="AF185" i="7"/>
  <c r="AE185" i="7"/>
  <c r="AG184" i="7"/>
  <c r="AF184" i="7"/>
  <c r="AE184" i="7"/>
  <c r="AG183" i="7"/>
  <c r="AF183" i="7"/>
  <c r="AE183" i="7"/>
  <c r="AG182" i="7"/>
  <c r="AF182" i="7"/>
  <c r="AE182" i="7"/>
  <c r="AG181" i="7"/>
  <c r="AF181" i="7"/>
  <c r="AE181" i="7"/>
  <c r="AH181" i="7" s="1" a="1"/>
  <c r="AH181" i="7" s="1"/>
  <c r="AG180" i="7"/>
  <c r="AF180" i="7"/>
  <c r="AE180" i="7"/>
  <c r="AG179" i="7"/>
  <c r="AF179" i="7"/>
  <c r="AE179" i="7"/>
  <c r="AG178" i="7"/>
  <c r="AF178" i="7"/>
  <c r="AE178" i="7"/>
  <c r="AG177" i="7"/>
  <c r="AF177" i="7"/>
  <c r="AE177" i="7"/>
  <c r="AG176" i="7"/>
  <c r="AF176" i="7"/>
  <c r="AE176" i="7"/>
  <c r="AG175" i="7"/>
  <c r="AF175" i="7"/>
  <c r="AE175" i="7"/>
  <c r="AG174" i="7"/>
  <c r="AF174" i="7"/>
  <c r="AE174" i="7"/>
  <c r="AG173" i="7"/>
  <c r="AF173" i="7"/>
  <c r="AE173" i="7"/>
  <c r="AG172" i="7"/>
  <c r="AF172" i="7"/>
  <c r="AE172" i="7"/>
  <c r="AG171" i="7"/>
  <c r="AF171" i="7"/>
  <c r="AE171" i="7"/>
  <c r="AG170" i="7"/>
  <c r="AF170" i="7"/>
  <c r="AE170" i="7"/>
  <c r="AG169" i="7"/>
  <c r="AF169" i="7"/>
  <c r="AE169" i="7"/>
  <c r="AG168" i="7"/>
  <c r="AF168" i="7"/>
  <c r="AE168" i="7"/>
  <c r="AG167" i="7"/>
  <c r="AF167" i="7"/>
  <c r="AE167" i="7"/>
  <c r="AG166" i="7"/>
  <c r="AF166" i="7"/>
  <c r="AE166" i="7"/>
  <c r="AG165" i="7"/>
  <c r="AF165" i="7"/>
  <c r="AE165" i="7"/>
  <c r="AG164" i="7"/>
  <c r="AF164" i="7"/>
  <c r="AE164" i="7"/>
  <c r="AG163" i="7"/>
  <c r="AF163" i="7"/>
  <c r="AE163" i="7"/>
  <c r="AG162" i="7"/>
  <c r="AF162" i="7"/>
  <c r="AE162" i="7"/>
  <c r="AG161" i="7"/>
  <c r="AF161" i="7"/>
  <c r="AE161" i="7"/>
  <c r="AG160" i="7"/>
  <c r="AF160" i="7"/>
  <c r="AE160" i="7"/>
  <c r="AG159" i="7"/>
  <c r="AF159" i="7"/>
  <c r="AE159" i="7"/>
  <c r="AG158" i="7"/>
  <c r="AF158" i="7"/>
  <c r="AE158" i="7"/>
  <c r="AG157" i="7"/>
  <c r="AF157" i="7"/>
  <c r="AE157" i="7"/>
  <c r="AG156" i="7"/>
  <c r="AF156" i="7"/>
  <c r="AE156" i="7"/>
  <c r="AG155" i="7"/>
  <c r="AF155" i="7"/>
  <c r="AE155" i="7"/>
  <c r="AG154" i="7"/>
  <c r="AF154" i="7"/>
  <c r="AE154" i="7"/>
  <c r="AG153" i="7"/>
  <c r="AF153" i="7"/>
  <c r="AE153" i="7"/>
  <c r="AG152" i="7"/>
  <c r="AF152" i="7"/>
  <c r="AE152" i="7"/>
  <c r="AG151" i="7"/>
  <c r="AF151" i="7"/>
  <c r="AE151" i="7"/>
  <c r="AG150" i="7"/>
  <c r="AF150" i="7"/>
  <c r="AE150" i="7"/>
  <c r="AG149" i="7"/>
  <c r="AF149" i="7"/>
  <c r="AE149" i="7"/>
  <c r="AG148" i="7"/>
  <c r="AF148" i="7"/>
  <c r="AE148" i="7"/>
  <c r="AG147" i="7"/>
  <c r="AF147" i="7"/>
  <c r="AE147" i="7"/>
  <c r="AG146" i="7"/>
  <c r="AF146" i="7"/>
  <c r="AE146" i="7"/>
  <c r="AG145" i="7"/>
  <c r="AF145" i="7"/>
  <c r="AE145" i="7"/>
  <c r="AG144" i="7"/>
  <c r="AF144" i="7"/>
  <c r="AE144" i="7"/>
  <c r="AG143" i="7"/>
  <c r="AF143" i="7"/>
  <c r="AE143" i="7"/>
  <c r="AG142" i="7"/>
  <c r="AF142" i="7"/>
  <c r="AE142" i="7"/>
  <c r="AG141" i="7"/>
  <c r="AF141" i="7"/>
  <c r="AE141" i="7"/>
  <c r="AG140" i="7"/>
  <c r="AF140" i="7"/>
  <c r="AE140" i="7"/>
  <c r="AG139" i="7"/>
  <c r="AF139" i="7"/>
  <c r="AE139" i="7"/>
  <c r="AG138" i="7"/>
  <c r="AF138" i="7"/>
  <c r="AE138" i="7"/>
  <c r="AG137" i="7"/>
  <c r="AF137" i="7"/>
  <c r="AE137" i="7"/>
  <c r="AG136" i="7"/>
  <c r="AF136" i="7"/>
  <c r="AE136" i="7"/>
  <c r="AG135" i="7"/>
  <c r="AF135" i="7"/>
  <c r="AE135" i="7"/>
  <c r="AG134" i="7"/>
  <c r="AF134" i="7"/>
  <c r="AE134" i="7"/>
  <c r="AG133" i="7"/>
  <c r="AF133" i="7"/>
  <c r="AE133" i="7"/>
  <c r="AG132" i="7"/>
  <c r="AF132" i="7"/>
  <c r="AE132" i="7"/>
  <c r="AG131" i="7"/>
  <c r="AF131" i="7"/>
  <c r="AE131" i="7"/>
  <c r="AG130" i="7"/>
  <c r="AF130" i="7"/>
  <c r="AE130" i="7"/>
  <c r="AG129" i="7"/>
  <c r="AF129" i="7"/>
  <c r="AE129" i="7"/>
  <c r="AG128" i="7"/>
  <c r="AF128" i="7"/>
  <c r="AE128" i="7"/>
  <c r="AG127" i="7"/>
  <c r="AF127" i="7"/>
  <c r="AE127" i="7"/>
  <c r="AG126" i="7"/>
  <c r="AF126" i="7"/>
  <c r="AE126" i="7"/>
  <c r="AG125" i="7"/>
  <c r="AF125" i="7"/>
  <c r="AE125" i="7"/>
  <c r="AH125" i="7" s="1" a="1"/>
  <c r="AH125" i="7" s="1"/>
  <c r="AG124" i="7"/>
  <c r="AF124" i="7"/>
  <c r="AE124" i="7"/>
  <c r="AG123" i="7"/>
  <c r="AF123" i="7"/>
  <c r="AE123" i="7"/>
  <c r="AG122" i="7"/>
  <c r="AF122" i="7"/>
  <c r="AE122" i="7"/>
  <c r="AG121" i="7"/>
  <c r="AF121" i="7"/>
  <c r="AE121" i="7"/>
  <c r="AG120" i="7"/>
  <c r="AF120" i="7"/>
  <c r="AE120" i="7"/>
  <c r="AG119" i="7"/>
  <c r="AF119" i="7"/>
  <c r="AE119" i="7"/>
  <c r="AG118" i="7"/>
  <c r="AF118" i="7"/>
  <c r="AE118" i="7"/>
  <c r="AG117" i="7"/>
  <c r="AF117" i="7"/>
  <c r="AE117" i="7"/>
  <c r="AG116" i="7"/>
  <c r="AF116" i="7"/>
  <c r="AE116" i="7"/>
  <c r="AG115" i="7"/>
  <c r="AF115" i="7"/>
  <c r="AE115" i="7"/>
  <c r="AG114" i="7"/>
  <c r="AF114" i="7"/>
  <c r="AE114" i="7"/>
  <c r="AG113" i="7"/>
  <c r="AF113" i="7"/>
  <c r="AE113" i="7"/>
  <c r="AG112" i="7"/>
  <c r="AF112" i="7"/>
  <c r="AE112" i="7"/>
  <c r="AG111" i="7"/>
  <c r="AF111" i="7"/>
  <c r="AE111" i="7"/>
  <c r="AG110" i="7"/>
  <c r="AF110" i="7"/>
  <c r="AE110" i="7"/>
  <c r="AG109" i="7"/>
  <c r="AF109" i="7"/>
  <c r="AE109" i="7"/>
  <c r="AG108" i="7"/>
  <c r="AF108" i="7"/>
  <c r="AE108" i="7"/>
  <c r="AG107" i="7"/>
  <c r="AF107" i="7"/>
  <c r="AE107" i="7"/>
  <c r="AG106" i="7"/>
  <c r="AF106" i="7"/>
  <c r="AE106" i="7"/>
  <c r="AG105" i="7"/>
  <c r="AF105" i="7"/>
  <c r="AE105" i="7"/>
  <c r="AG104" i="7"/>
  <c r="AF104" i="7"/>
  <c r="AE104" i="7"/>
  <c r="AG103" i="7"/>
  <c r="AF103" i="7"/>
  <c r="AE103" i="7"/>
  <c r="AG102" i="7"/>
  <c r="AF102" i="7"/>
  <c r="AE102" i="7"/>
  <c r="AG101" i="7"/>
  <c r="AF101" i="7"/>
  <c r="AE101" i="7"/>
  <c r="AG100" i="7"/>
  <c r="AF100" i="7"/>
  <c r="AE100" i="7"/>
  <c r="AG99" i="7"/>
  <c r="AF99" i="7"/>
  <c r="AE99" i="7"/>
  <c r="AG98" i="7"/>
  <c r="AF98" i="7"/>
  <c r="AE98" i="7"/>
  <c r="AG97" i="7"/>
  <c r="AF97" i="7"/>
  <c r="AE97" i="7"/>
  <c r="AH97" i="7" s="1" a="1"/>
  <c r="AH97" i="7" s="1"/>
  <c r="AG96" i="7"/>
  <c r="AF96" i="7"/>
  <c r="AE96" i="7"/>
  <c r="AG95" i="7"/>
  <c r="AF95" i="7"/>
  <c r="AE95" i="7"/>
  <c r="AG94" i="7"/>
  <c r="AF94" i="7"/>
  <c r="AE94" i="7"/>
  <c r="AG93" i="7"/>
  <c r="AF93" i="7"/>
  <c r="AE93" i="7"/>
  <c r="AG92" i="7"/>
  <c r="AF92" i="7"/>
  <c r="AE92" i="7"/>
  <c r="AG91" i="7"/>
  <c r="AF91" i="7"/>
  <c r="AE91" i="7"/>
  <c r="AG90" i="7"/>
  <c r="AF90" i="7"/>
  <c r="AE90" i="7"/>
  <c r="AG89" i="7"/>
  <c r="AF89" i="7"/>
  <c r="AE89" i="7"/>
  <c r="AG88" i="7"/>
  <c r="AF88" i="7"/>
  <c r="AE88" i="7"/>
  <c r="AG87" i="7"/>
  <c r="AF87" i="7"/>
  <c r="AE87" i="7"/>
  <c r="AG86" i="7"/>
  <c r="AF86" i="7"/>
  <c r="AE86" i="7"/>
  <c r="AG85" i="7"/>
  <c r="AF85" i="7"/>
  <c r="AE85" i="7"/>
  <c r="AG84" i="7"/>
  <c r="AF84" i="7"/>
  <c r="AE84" i="7"/>
  <c r="AG83" i="7"/>
  <c r="AF83" i="7"/>
  <c r="AE83" i="7"/>
  <c r="AG82" i="7"/>
  <c r="AF82" i="7"/>
  <c r="AE82" i="7"/>
  <c r="AG81" i="7"/>
  <c r="AF81" i="7"/>
  <c r="AE81" i="7"/>
  <c r="AG80" i="7"/>
  <c r="AF80" i="7"/>
  <c r="AE80" i="7"/>
  <c r="AG79" i="7"/>
  <c r="AF79" i="7"/>
  <c r="AE79" i="7"/>
  <c r="AG78" i="7"/>
  <c r="AF78" i="7"/>
  <c r="AE78" i="7"/>
  <c r="AG77" i="7"/>
  <c r="AF77" i="7"/>
  <c r="AE77" i="7"/>
  <c r="AG76" i="7"/>
  <c r="AF76" i="7"/>
  <c r="AE76" i="7"/>
  <c r="AG75" i="7"/>
  <c r="AF75" i="7"/>
  <c r="AE75" i="7"/>
  <c r="AG74" i="7"/>
  <c r="AF74" i="7"/>
  <c r="AE74" i="7"/>
  <c r="AG73" i="7"/>
  <c r="AF73" i="7"/>
  <c r="AE73" i="7"/>
  <c r="AG72" i="7"/>
  <c r="AF72" i="7"/>
  <c r="AE72" i="7"/>
  <c r="AG71" i="7"/>
  <c r="AF71" i="7"/>
  <c r="AE71" i="7"/>
  <c r="AG70" i="7"/>
  <c r="AF70" i="7"/>
  <c r="AE70" i="7"/>
  <c r="AG69" i="7"/>
  <c r="AF69" i="7"/>
  <c r="AE69" i="7"/>
  <c r="AH69" i="7" s="1" a="1"/>
  <c r="AH69" i="7" s="1"/>
  <c r="AG68" i="7"/>
  <c r="AF68" i="7"/>
  <c r="AE68" i="7"/>
  <c r="AG67" i="7"/>
  <c r="AF67" i="7"/>
  <c r="AE67" i="7"/>
  <c r="AG66" i="7"/>
  <c r="AF66" i="7"/>
  <c r="AE66" i="7"/>
  <c r="AG65" i="7"/>
  <c r="AF65" i="7"/>
  <c r="AE65" i="7"/>
  <c r="AG64" i="7"/>
  <c r="AF64" i="7"/>
  <c r="AE64" i="7"/>
  <c r="AG63" i="7"/>
  <c r="AF63" i="7"/>
  <c r="AE63" i="7"/>
  <c r="AG62" i="7"/>
  <c r="AF62" i="7"/>
  <c r="AE62" i="7"/>
  <c r="AG61" i="7"/>
  <c r="AF61" i="7"/>
  <c r="AE61" i="7"/>
  <c r="AG60" i="7"/>
  <c r="AF60" i="7"/>
  <c r="AE60" i="7"/>
  <c r="AG59" i="7"/>
  <c r="AF59" i="7"/>
  <c r="AE59" i="7"/>
  <c r="AG58" i="7"/>
  <c r="AF58" i="7"/>
  <c r="AE58" i="7"/>
  <c r="AG57" i="7"/>
  <c r="AF57" i="7"/>
  <c r="AE57" i="7"/>
  <c r="AG56" i="7"/>
  <c r="AF56" i="7"/>
  <c r="AE56" i="7"/>
  <c r="AG55" i="7"/>
  <c r="AF55" i="7"/>
  <c r="AE55" i="7"/>
  <c r="AG54" i="7"/>
  <c r="AF54" i="7"/>
  <c r="AE54" i="7"/>
  <c r="AG53" i="7"/>
  <c r="AF53" i="7"/>
  <c r="AE53" i="7"/>
  <c r="AG52" i="7"/>
  <c r="AF52" i="7"/>
  <c r="AE52" i="7"/>
  <c r="AG51" i="7"/>
  <c r="AF51" i="7"/>
  <c r="AE51" i="7"/>
  <c r="AG50" i="7"/>
  <c r="AF50" i="7"/>
  <c r="AE50" i="7"/>
  <c r="AG49" i="7"/>
  <c r="AF49" i="7"/>
  <c r="AE49" i="7"/>
  <c r="AG48" i="7"/>
  <c r="AF48" i="7"/>
  <c r="AE48" i="7"/>
  <c r="AG47" i="7"/>
  <c r="AF47" i="7"/>
  <c r="AE47" i="7"/>
  <c r="AG46" i="7"/>
  <c r="AF46" i="7"/>
  <c r="AE46" i="7"/>
  <c r="AG45" i="7"/>
  <c r="AF45" i="7"/>
  <c r="AE45" i="7"/>
  <c r="AG44" i="7"/>
  <c r="AF44" i="7"/>
  <c r="AE44" i="7"/>
  <c r="AG43" i="7"/>
  <c r="AF43" i="7"/>
  <c r="AE43" i="7"/>
  <c r="AG42" i="7"/>
  <c r="AF42" i="7"/>
  <c r="AE42" i="7"/>
  <c r="AG41" i="7"/>
  <c r="AF41" i="7"/>
  <c r="AE41" i="7"/>
  <c r="AG40" i="7"/>
  <c r="AF40" i="7"/>
  <c r="AE40" i="7"/>
  <c r="AG39" i="7"/>
  <c r="AF39" i="7"/>
  <c r="AE39" i="7"/>
  <c r="AG38" i="7"/>
  <c r="AF38" i="7"/>
  <c r="AE38" i="7"/>
  <c r="AG37" i="7"/>
  <c r="AF37" i="7"/>
  <c r="AE37" i="7"/>
  <c r="AG36" i="7"/>
  <c r="AF36" i="7"/>
  <c r="AE36" i="7"/>
  <c r="AG35" i="7"/>
  <c r="AF35" i="7"/>
  <c r="AE35" i="7"/>
  <c r="AG34" i="7"/>
  <c r="AF34" i="7"/>
  <c r="AE34" i="7"/>
  <c r="AG33" i="7"/>
  <c r="AF33" i="7"/>
  <c r="AE33" i="7"/>
  <c r="AG32" i="7"/>
  <c r="AF32" i="7"/>
  <c r="AE32" i="7"/>
  <c r="AG31" i="7"/>
  <c r="AF31" i="7"/>
  <c r="AE31" i="7"/>
  <c r="AG30" i="7"/>
  <c r="AF30" i="7"/>
  <c r="AE30" i="7"/>
  <c r="AG29" i="7"/>
  <c r="AF29" i="7"/>
  <c r="AE29" i="7"/>
  <c r="AG28" i="7"/>
  <c r="AF28" i="7"/>
  <c r="AE28" i="7"/>
  <c r="AG27" i="7"/>
  <c r="AF27" i="7"/>
  <c r="AE27" i="7"/>
  <c r="AG26" i="7"/>
  <c r="AF26" i="7"/>
  <c r="AE26" i="7"/>
  <c r="AG25" i="7"/>
  <c r="AF25" i="7"/>
  <c r="AE25" i="7"/>
  <c r="AG24" i="7"/>
  <c r="AF24" i="7"/>
  <c r="AE24" i="7"/>
  <c r="AG23" i="7"/>
  <c r="AF23" i="7"/>
  <c r="AE23" i="7"/>
  <c r="AG22" i="7"/>
  <c r="AF22" i="7"/>
  <c r="AE22" i="7"/>
  <c r="AG21" i="7"/>
  <c r="AF21" i="7"/>
  <c r="AE21" i="7"/>
  <c r="AG20" i="7"/>
  <c r="AF20" i="7"/>
  <c r="AE20" i="7"/>
  <c r="AG19" i="7"/>
  <c r="AF19" i="7"/>
  <c r="AE19" i="7"/>
  <c r="AG18" i="7"/>
  <c r="AF18" i="7"/>
  <c r="AE18" i="7"/>
  <c r="AG17" i="7"/>
  <c r="AF17" i="7"/>
  <c r="AE17" i="7"/>
  <c r="AG16" i="7"/>
  <c r="AF16" i="7"/>
  <c r="AE16" i="7"/>
  <c r="AG15" i="7"/>
  <c r="AF15" i="7"/>
  <c r="AE15" i="7"/>
  <c r="AG14" i="7"/>
  <c r="AF14" i="7"/>
  <c r="AE14" i="7"/>
  <c r="AG13" i="7"/>
  <c r="AF13" i="7"/>
  <c r="AE13" i="7"/>
  <c r="AG12" i="7"/>
  <c r="AF12" i="7"/>
  <c r="AE12" i="7"/>
  <c r="AG11" i="7"/>
  <c r="AF11" i="7"/>
  <c r="AE11" i="7"/>
  <c r="AG10" i="7"/>
  <c r="AF10" i="7"/>
  <c r="AE10" i="7"/>
  <c r="AG9" i="7"/>
  <c r="AF9" i="7"/>
  <c r="AE9" i="7"/>
  <c r="AG8" i="7"/>
  <c r="AF8" i="7"/>
  <c r="AE8" i="7"/>
  <c r="AG7" i="7"/>
  <c r="AF7" i="7"/>
  <c r="AE7" i="7"/>
  <c r="AG6" i="7"/>
  <c r="AF6" i="7"/>
  <c r="AE6" i="7"/>
  <c r="AG5" i="7"/>
  <c r="AF5" i="7"/>
  <c r="AE5" i="7"/>
  <c r="AG4" i="7"/>
  <c r="AF4" i="7"/>
  <c r="AE4" i="7"/>
  <c r="AF203" i="6"/>
  <c r="AE203" i="6"/>
  <c r="AD203" i="6"/>
  <c r="AF202" i="6"/>
  <c r="AE202" i="6"/>
  <c r="AD202" i="6"/>
  <c r="AF201" i="6"/>
  <c r="AE201" i="6"/>
  <c r="AD201" i="6"/>
  <c r="AF200" i="6"/>
  <c r="AE200" i="6"/>
  <c r="AD200" i="6"/>
  <c r="AF199" i="6"/>
  <c r="AE199" i="6"/>
  <c r="AD199" i="6"/>
  <c r="AF198" i="6"/>
  <c r="AE198" i="6"/>
  <c r="AD198" i="6"/>
  <c r="AF197" i="6"/>
  <c r="AE197" i="6"/>
  <c r="AD197" i="6"/>
  <c r="AF196" i="6"/>
  <c r="AE196" i="6"/>
  <c r="AD196" i="6"/>
  <c r="AF195" i="6"/>
  <c r="AE195" i="6"/>
  <c r="AD195" i="6"/>
  <c r="AF194" i="6"/>
  <c r="AE194" i="6"/>
  <c r="AD194" i="6"/>
  <c r="AF193" i="6"/>
  <c r="AE193" i="6"/>
  <c r="AD193" i="6"/>
  <c r="AF192" i="6"/>
  <c r="AE192" i="6"/>
  <c r="AD192" i="6"/>
  <c r="AF191" i="6"/>
  <c r="AE191" i="6"/>
  <c r="AD191" i="6"/>
  <c r="AF190" i="6"/>
  <c r="AE190" i="6"/>
  <c r="AD190" i="6"/>
  <c r="AF189" i="6"/>
  <c r="AE189" i="6"/>
  <c r="AD189" i="6"/>
  <c r="AF188" i="6"/>
  <c r="AE188" i="6"/>
  <c r="AD188" i="6"/>
  <c r="AF187" i="6"/>
  <c r="AE187" i="6"/>
  <c r="AD187" i="6"/>
  <c r="AF186" i="6"/>
  <c r="AE186" i="6"/>
  <c r="AD186" i="6"/>
  <c r="AF185" i="6"/>
  <c r="AE185" i="6"/>
  <c r="AD185" i="6"/>
  <c r="AF184" i="6"/>
  <c r="AE184" i="6"/>
  <c r="AD184" i="6"/>
  <c r="AF183" i="6"/>
  <c r="AE183" i="6"/>
  <c r="AD183" i="6"/>
  <c r="AF182" i="6"/>
  <c r="AE182" i="6"/>
  <c r="AD182" i="6"/>
  <c r="AF181" i="6"/>
  <c r="AE181" i="6"/>
  <c r="AD181" i="6"/>
  <c r="AF180" i="6"/>
  <c r="AE180" i="6"/>
  <c r="AD180" i="6"/>
  <c r="AF179" i="6"/>
  <c r="AE179" i="6"/>
  <c r="AD179" i="6"/>
  <c r="AF178" i="6"/>
  <c r="AE178" i="6"/>
  <c r="AD178" i="6"/>
  <c r="AF177" i="6"/>
  <c r="AE177" i="6"/>
  <c r="AD177" i="6"/>
  <c r="AF176" i="6"/>
  <c r="AE176" i="6"/>
  <c r="AD176" i="6"/>
  <c r="AF175" i="6"/>
  <c r="AE175" i="6"/>
  <c r="AD175" i="6"/>
  <c r="AF174" i="6"/>
  <c r="AE174" i="6"/>
  <c r="AD174" i="6"/>
  <c r="AF173" i="6"/>
  <c r="AE173" i="6"/>
  <c r="AD173" i="6"/>
  <c r="AF172" i="6"/>
  <c r="AE172" i="6"/>
  <c r="AD172" i="6"/>
  <c r="AF171" i="6"/>
  <c r="AE171" i="6"/>
  <c r="AD171" i="6"/>
  <c r="AF170" i="6"/>
  <c r="AE170" i="6"/>
  <c r="AD170" i="6"/>
  <c r="AF169" i="6"/>
  <c r="AE169" i="6"/>
  <c r="AD169" i="6"/>
  <c r="AF168" i="6"/>
  <c r="AE168" i="6"/>
  <c r="AD168" i="6"/>
  <c r="AF167" i="6"/>
  <c r="AE167" i="6"/>
  <c r="AF166" i="6"/>
  <c r="AE166" i="6"/>
  <c r="AD166" i="6"/>
  <c r="AF165" i="6"/>
  <c r="AE165" i="6"/>
  <c r="AD165" i="6"/>
  <c r="AF164" i="6"/>
  <c r="AE164" i="6"/>
  <c r="AD164" i="6"/>
  <c r="AF163" i="6"/>
  <c r="AE163" i="6"/>
  <c r="AD163" i="6"/>
  <c r="AF162" i="6"/>
  <c r="AE162" i="6"/>
  <c r="AD162" i="6"/>
  <c r="AF161" i="6"/>
  <c r="AE161" i="6"/>
  <c r="AD161" i="6"/>
  <c r="AF160" i="6"/>
  <c r="AE160" i="6"/>
  <c r="AD160" i="6"/>
  <c r="AF159" i="6"/>
  <c r="AE159" i="6"/>
  <c r="AD159" i="6"/>
  <c r="AF158" i="6"/>
  <c r="AE158" i="6"/>
  <c r="AD158" i="6"/>
  <c r="AF157" i="6"/>
  <c r="AE157" i="6"/>
  <c r="AD157" i="6"/>
  <c r="AF156" i="6"/>
  <c r="AE156" i="6"/>
  <c r="AD156" i="6"/>
  <c r="AF155" i="6"/>
  <c r="AE155" i="6"/>
  <c r="AD155" i="6"/>
  <c r="AF154" i="6"/>
  <c r="AE154" i="6"/>
  <c r="AD154" i="6"/>
  <c r="AF153" i="6"/>
  <c r="AE153" i="6"/>
  <c r="AD153" i="6"/>
  <c r="AF152" i="6"/>
  <c r="AE152" i="6"/>
  <c r="AD152" i="6"/>
  <c r="AF151" i="6"/>
  <c r="AE151" i="6"/>
  <c r="AD151" i="6"/>
  <c r="AF150" i="6"/>
  <c r="AE150" i="6"/>
  <c r="AD150" i="6"/>
  <c r="AF149" i="6"/>
  <c r="AE149" i="6"/>
  <c r="AD149" i="6"/>
  <c r="AF148" i="6"/>
  <c r="AE148" i="6"/>
  <c r="AD148" i="6"/>
  <c r="AF147" i="6"/>
  <c r="AE147" i="6"/>
  <c r="AD147" i="6"/>
  <c r="AF146" i="6"/>
  <c r="AE146" i="6"/>
  <c r="AD146" i="6"/>
  <c r="AF144" i="6"/>
  <c r="AE144" i="6"/>
  <c r="AD144" i="6"/>
  <c r="AF143" i="6"/>
  <c r="AE143" i="6"/>
  <c r="AD143" i="6"/>
  <c r="AF142" i="6"/>
  <c r="AE142" i="6"/>
  <c r="AD142" i="6"/>
  <c r="AF141" i="6"/>
  <c r="AE141" i="6"/>
  <c r="AD141" i="6"/>
  <c r="AF140" i="6"/>
  <c r="AE140" i="6"/>
  <c r="AD140" i="6"/>
  <c r="AF139" i="6"/>
  <c r="AE139" i="6"/>
  <c r="AD139" i="6"/>
  <c r="AF138" i="6"/>
  <c r="AE138" i="6"/>
  <c r="AD138" i="6"/>
  <c r="AF137" i="6"/>
  <c r="AE137" i="6"/>
  <c r="AD137" i="6"/>
  <c r="AF136" i="6"/>
  <c r="AE136" i="6"/>
  <c r="AD136" i="6"/>
  <c r="AF135" i="6"/>
  <c r="AE135" i="6"/>
  <c r="AD135" i="6"/>
  <c r="AF134" i="6"/>
  <c r="AE134" i="6"/>
  <c r="AD134" i="6"/>
  <c r="AF133" i="6"/>
  <c r="AE133" i="6"/>
  <c r="AD133" i="6"/>
  <c r="AF132" i="6"/>
  <c r="AE132" i="6"/>
  <c r="AD132" i="6"/>
  <c r="AF131" i="6"/>
  <c r="AE131" i="6"/>
  <c r="AD131" i="6"/>
  <c r="AF130" i="6"/>
  <c r="AE130" i="6"/>
  <c r="AD130" i="6"/>
  <c r="AF129" i="6"/>
  <c r="AE129" i="6"/>
  <c r="AD129" i="6"/>
  <c r="AF128" i="6"/>
  <c r="AE128" i="6"/>
  <c r="AD128" i="6"/>
  <c r="AF127" i="6"/>
  <c r="AE127" i="6"/>
  <c r="AD127" i="6"/>
  <c r="AF126" i="6"/>
  <c r="AE126" i="6"/>
  <c r="AD126" i="6"/>
  <c r="AF125" i="6"/>
  <c r="AE125" i="6"/>
  <c r="AD125" i="6"/>
  <c r="AF124" i="6"/>
  <c r="AE124" i="6"/>
  <c r="AD124" i="6"/>
  <c r="AF123" i="6"/>
  <c r="AE123" i="6"/>
  <c r="AD123" i="6"/>
  <c r="AF122" i="6"/>
  <c r="AE122" i="6"/>
  <c r="AD122" i="6"/>
  <c r="AF121" i="6"/>
  <c r="AE121" i="6"/>
  <c r="AD121" i="6"/>
  <c r="AF120" i="6"/>
  <c r="AE120" i="6"/>
  <c r="AD120" i="6"/>
  <c r="AF119" i="6"/>
  <c r="AE119" i="6"/>
  <c r="AD119" i="6"/>
  <c r="AF118" i="6"/>
  <c r="AE118" i="6"/>
  <c r="AD118" i="6"/>
  <c r="AF117" i="6"/>
  <c r="AE117" i="6"/>
  <c r="AD117" i="6"/>
  <c r="AF116" i="6"/>
  <c r="AE116" i="6"/>
  <c r="AD116" i="6"/>
  <c r="AF115" i="6"/>
  <c r="AE115" i="6"/>
  <c r="AD115" i="6"/>
  <c r="AF114" i="6"/>
  <c r="AE114" i="6"/>
  <c r="AD114" i="6"/>
  <c r="AF113" i="6"/>
  <c r="AE113" i="6"/>
  <c r="AD113" i="6"/>
  <c r="AF112" i="6"/>
  <c r="AE112" i="6"/>
  <c r="AD112" i="6"/>
  <c r="AF111" i="6"/>
  <c r="AE111" i="6"/>
  <c r="AD111" i="6"/>
  <c r="AF110" i="6"/>
  <c r="AE110" i="6"/>
  <c r="AD110" i="6"/>
  <c r="AF109" i="6"/>
  <c r="AE109" i="6"/>
  <c r="AD109" i="6"/>
  <c r="AF108" i="6"/>
  <c r="AE108" i="6"/>
  <c r="AD108" i="6"/>
  <c r="AF107" i="6"/>
  <c r="AE107" i="6"/>
  <c r="AD107" i="6"/>
  <c r="AF106" i="6"/>
  <c r="AE106" i="6"/>
  <c r="AD106" i="6"/>
  <c r="AF105" i="6"/>
  <c r="AE105" i="6"/>
  <c r="AD105" i="6"/>
  <c r="AF104" i="6"/>
  <c r="AE104" i="6"/>
  <c r="AD104" i="6"/>
  <c r="AF103" i="6"/>
  <c r="AE103" i="6"/>
  <c r="AD103" i="6"/>
  <c r="AF102" i="6"/>
  <c r="AE102" i="6"/>
  <c r="AD102" i="6"/>
  <c r="AF101" i="6"/>
  <c r="AE101" i="6"/>
  <c r="AD101" i="6"/>
  <c r="AF100" i="6"/>
  <c r="AE100" i="6"/>
  <c r="AD100" i="6"/>
  <c r="AF99" i="6"/>
  <c r="AE99" i="6"/>
  <c r="AD99" i="6"/>
  <c r="AF98" i="6"/>
  <c r="AE98" i="6"/>
  <c r="AD98" i="6"/>
  <c r="AF97" i="6"/>
  <c r="AE97" i="6"/>
  <c r="AD97" i="6"/>
  <c r="AF96" i="6"/>
  <c r="AE96" i="6"/>
  <c r="AD96" i="6"/>
  <c r="AF95" i="6"/>
  <c r="AE95" i="6"/>
  <c r="AD95" i="6"/>
  <c r="AF94" i="6"/>
  <c r="AE94" i="6"/>
  <c r="AD94" i="6"/>
  <c r="AF93" i="6"/>
  <c r="AE93" i="6"/>
  <c r="AD93" i="6"/>
  <c r="AF92" i="6"/>
  <c r="AE92" i="6"/>
  <c r="AD92" i="6"/>
  <c r="AF91" i="6"/>
  <c r="AE91" i="6"/>
  <c r="AD91" i="6"/>
  <c r="AF90" i="6"/>
  <c r="AE90" i="6"/>
  <c r="AD90" i="6"/>
  <c r="AF89" i="6"/>
  <c r="AE89" i="6"/>
  <c r="AD89" i="6"/>
  <c r="AF88" i="6"/>
  <c r="AE88" i="6"/>
  <c r="AD88" i="6"/>
  <c r="AF87" i="6"/>
  <c r="AE87" i="6"/>
  <c r="AD87" i="6"/>
  <c r="AF86" i="6"/>
  <c r="AE86" i="6"/>
  <c r="AD86" i="6"/>
  <c r="AF85" i="6"/>
  <c r="AE85" i="6"/>
  <c r="AD85" i="6"/>
  <c r="AF84" i="6"/>
  <c r="AE84" i="6"/>
  <c r="AD84" i="6"/>
  <c r="AF83" i="6"/>
  <c r="AE83" i="6"/>
  <c r="AD83" i="6"/>
  <c r="AF82" i="6"/>
  <c r="AE82" i="6"/>
  <c r="AD82" i="6"/>
  <c r="AF81" i="6"/>
  <c r="AE81" i="6"/>
  <c r="AD81" i="6"/>
  <c r="AF80" i="6"/>
  <c r="AE80" i="6"/>
  <c r="AD80" i="6"/>
  <c r="AF79" i="6"/>
  <c r="AE79" i="6"/>
  <c r="AD79" i="6"/>
  <c r="AF78" i="6"/>
  <c r="AE78" i="6"/>
  <c r="AD78" i="6"/>
  <c r="AF77" i="6"/>
  <c r="AE77" i="6"/>
  <c r="AD77" i="6"/>
  <c r="AF76" i="6"/>
  <c r="AE76" i="6"/>
  <c r="AD76" i="6"/>
  <c r="AF75" i="6"/>
  <c r="AE75" i="6"/>
  <c r="AD75" i="6"/>
  <c r="AF74" i="6"/>
  <c r="AE74" i="6"/>
  <c r="AD74" i="6"/>
  <c r="AF73" i="6"/>
  <c r="AE73" i="6"/>
  <c r="AD73" i="6"/>
  <c r="AF72" i="6"/>
  <c r="AE72" i="6"/>
  <c r="AD72" i="6"/>
  <c r="AF71" i="6"/>
  <c r="AE71" i="6"/>
  <c r="AD71" i="6"/>
  <c r="AF70" i="6"/>
  <c r="AE70" i="6"/>
  <c r="AD70" i="6"/>
  <c r="AF69" i="6"/>
  <c r="AE69" i="6"/>
  <c r="AD69" i="6"/>
  <c r="AF68" i="6"/>
  <c r="AE68" i="6"/>
  <c r="AD68" i="6"/>
  <c r="AF67" i="6"/>
  <c r="AE67" i="6"/>
  <c r="AD67" i="6"/>
  <c r="AF66" i="6"/>
  <c r="AE66" i="6"/>
  <c r="AD66" i="6"/>
  <c r="AF65" i="6"/>
  <c r="AE65" i="6"/>
  <c r="AD65" i="6"/>
  <c r="AF64" i="6"/>
  <c r="AE64" i="6"/>
  <c r="AD64" i="6"/>
  <c r="AF63" i="6"/>
  <c r="AE63" i="6"/>
  <c r="AD63" i="6"/>
  <c r="AF62" i="6"/>
  <c r="AE62" i="6"/>
  <c r="AD62" i="6"/>
  <c r="AF61" i="6"/>
  <c r="AE61" i="6"/>
  <c r="AD61" i="6"/>
  <c r="AF60" i="6"/>
  <c r="AE60" i="6"/>
  <c r="AD60" i="6"/>
  <c r="AF59" i="6"/>
  <c r="AE59" i="6"/>
  <c r="AD59" i="6"/>
  <c r="AF58" i="6"/>
  <c r="AE58" i="6"/>
  <c r="AD58" i="6"/>
  <c r="AF57" i="6"/>
  <c r="AE57" i="6"/>
  <c r="AD57" i="6"/>
  <c r="AF56" i="6"/>
  <c r="AE56" i="6"/>
  <c r="AD56" i="6"/>
  <c r="AF55" i="6"/>
  <c r="AE55" i="6"/>
  <c r="AD55" i="6"/>
  <c r="AF54" i="6"/>
  <c r="AE54" i="6"/>
  <c r="AD54" i="6"/>
  <c r="AF53" i="6"/>
  <c r="AE53" i="6"/>
  <c r="AD53" i="6"/>
  <c r="AF52" i="6"/>
  <c r="AE52" i="6"/>
  <c r="AD52" i="6"/>
  <c r="AF51" i="6"/>
  <c r="AE51" i="6"/>
  <c r="AD51" i="6"/>
  <c r="AF50" i="6"/>
  <c r="AE50" i="6"/>
  <c r="AD50" i="6"/>
  <c r="AF49" i="6"/>
  <c r="AE49" i="6"/>
  <c r="AD49" i="6"/>
  <c r="AF48" i="6"/>
  <c r="AE48" i="6"/>
  <c r="AD48" i="6"/>
  <c r="AF47" i="6"/>
  <c r="AE47" i="6"/>
  <c r="AD47" i="6"/>
  <c r="AF46" i="6"/>
  <c r="AE46" i="6"/>
  <c r="AD46" i="6"/>
  <c r="AF45" i="6"/>
  <c r="AE45" i="6"/>
  <c r="AD45" i="6"/>
  <c r="AF44" i="6"/>
  <c r="AE44" i="6"/>
  <c r="AD44" i="6"/>
  <c r="AF43" i="6"/>
  <c r="AE43" i="6"/>
  <c r="AD43" i="6"/>
  <c r="AF42" i="6"/>
  <c r="AE42" i="6"/>
  <c r="AD42" i="6"/>
  <c r="AF41" i="6"/>
  <c r="AE41" i="6"/>
  <c r="AD41" i="6"/>
  <c r="AF40" i="6"/>
  <c r="AE40" i="6"/>
  <c r="AD40" i="6"/>
  <c r="AF39" i="6"/>
  <c r="AE39" i="6"/>
  <c r="AD39" i="6"/>
  <c r="AF38" i="6"/>
  <c r="AE38" i="6"/>
  <c r="AD38" i="6"/>
  <c r="AF37" i="6"/>
  <c r="AE37" i="6"/>
  <c r="AD37" i="6"/>
  <c r="AF36" i="6"/>
  <c r="AE36" i="6"/>
  <c r="AD36" i="6"/>
  <c r="AF35" i="6"/>
  <c r="AE35" i="6"/>
  <c r="AD35" i="6"/>
  <c r="AF34" i="6"/>
  <c r="AE34" i="6"/>
  <c r="AD34" i="6"/>
  <c r="AF33" i="6"/>
  <c r="AE33" i="6"/>
  <c r="AD33" i="6"/>
  <c r="AF32" i="6"/>
  <c r="AE32" i="6"/>
  <c r="AD32" i="6"/>
  <c r="AF31" i="6"/>
  <c r="AE31" i="6"/>
  <c r="AD31" i="6"/>
  <c r="AF30" i="6"/>
  <c r="AE30" i="6"/>
  <c r="AD30" i="6"/>
  <c r="AF29" i="6"/>
  <c r="AE29" i="6"/>
  <c r="AD29" i="6"/>
  <c r="AF28" i="6"/>
  <c r="AE28" i="6"/>
  <c r="AD28" i="6"/>
  <c r="AF27" i="6"/>
  <c r="AE27" i="6"/>
  <c r="AD27" i="6"/>
  <c r="AF26" i="6"/>
  <c r="AE26" i="6"/>
  <c r="AD26" i="6"/>
  <c r="AF25" i="6"/>
  <c r="AE25" i="6"/>
  <c r="AD25" i="6"/>
  <c r="AF24" i="6"/>
  <c r="AE24" i="6"/>
  <c r="AD24" i="6"/>
  <c r="AF23" i="6"/>
  <c r="AE23" i="6"/>
  <c r="AD23" i="6"/>
  <c r="AF22" i="6"/>
  <c r="AE22" i="6"/>
  <c r="AD22" i="6"/>
  <c r="AF21" i="6"/>
  <c r="AE21" i="6"/>
  <c r="AD21" i="6"/>
  <c r="AF20" i="6"/>
  <c r="AE20" i="6"/>
  <c r="AD20" i="6"/>
  <c r="AF19" i="6"/>
  <c r="AE19" i="6"/>
  <c r="AD19" i="6"/>
  <c r="AF18" i="6"/>
  <c r="AE18" i="6"/>
  <c r="AD18" i="6"/>
  <c r="AF17" i="6"/>
  <c r="AE17" i="6"/>
  <c r="AD17" i="6"/>
  <c r="AF16" i="6"/>
  <c r="AE16" i="6"/>
  <c r="AD16" i="6"/>
  <c r="AF15" i="6"/>
  <c r="AE15" i="6"/>
  <c r="AD15" i="6"/>
  <c r="AF14" i="6"/>
  <c r="AE14" i="6"/>
  <c r="AD14" i="6"/>
  <c r="AF13" i="6"/>
  <c r="AE13" i="6"/>
  <c r="AD13" i="6"/>
  <c r="AF12" i="6"/>
  <c r="AE12" i="6"/>
  <c r="AD12" i="6"/>
  <c r="AF11" i="6"/>
  <c r="AE11" i="6"/>
  <c r="AD11" i="6"/>
  <c r="AF10" i="6"/>
  <c r="AE10" i="6"/>
  <c r="AD10" i="6"/>
  <c r="AF9" i="6"/>
  <c r="AE9" i="6"/>
  <c r="AD9" i="6"/>
  <c r="AF8" i="6"/>
  <c r="AE8" i="6"/>
  <c r="AD8" i="6"/>
  <c r="AF7" i="6"/>
  <c r="AE7" i="6"/>
  <c r="AD7" i="6"/>
  <c r="AF6" i="6"/>
  <c r="AE6" i="6"/>
  <c r="AD6" i="6"/>
  <c r="AF5" i="6"/>
  <c r="AE5" i="6"/>
  <c r="AD5" i="6"/>
  <c r="AF4" i="6"/>
  <c r="AE4" i="6"/>
  <c r="AD4" i="6"/>
  <c r="AI204" i="5" a="1"/>
  <c r="AI204" i="5" s="1"/>
  <c r="AH204" i="5"/>
  <c r="AG204" i="5"/>
  <c r="AF204" i="5"/>
  <c r="AH203" i="5"/>
  <c r="AG203" i="5"/>
  <c r="AF203" i="5"/>
  <c r="AI203" i="5" s="1" a="1"/>
  <c r="AI203" i="5" s="1"/>
  <c r="AH202" i="5"/>
  <c r="AG202" i="5"/>
  <c r="AF202" i="5"/>
  <c r="AH201" i="5"/>
  <c r="AI201" i="5" s="1" a="1"/>
  <c r="AI201" i="5" s="1"/>
  <c r="AG201" i="5"/>
  <c r="AF201" i="5"/>
  <c r="AH200" i="5"/>
  <c r="AG200" i="5"/>
  <c r="AF200" i="5"/>
  <c r="AH199" i="5"/>
  <c r="AI199" i="5" s="1" a="1"/>
  <c r="AI199" i="5" s="1"/>
  <c r="AG199" i="5"/>
  <c r="AF199" i="5"/>
  <c r="AH198" i="5"/>
  <c r="AG198" i="5"/>
  <c r="AF198" i="5"/>
  <c r="AI198" i="5" s="1" a="1"/>
  <c r="AI198" i="5" s="1"/>
  <c r="AH197" i="5"/>
  <c r="AG197" i="5"/>
  <c r="AF197" i="5"/>
  <c r="AH196" i="5"/>
  <c r="AG196" i="5"/>
  <c r="AI196" i="5" s="1" a="1"/>
  <c r="AI196" i="5" s="1"/>
  <c r="AF196" i="5"/>
  <c r="AH195" i="5"/>
  <c r="AG195" i="5"/>
  <c r="AF195" i="5"/>
  <c r="AH194" i="5"/>
  <c r="AG194" i="5"/>
  <c r="AF194" i="5"/>
  <c r="AI194" i="5" s="1" a="1"/>
  <c r="AI194" i="5" s="1"/>
  <c r="AH193" i="5"/>
  <c r="AG193" i="5"/>
  <c r="AF193" i="5"/>
  <c r="AI193" i="5" s="1" a="1"/>
  <c r="AI193" i="5" s="1"/>
  <c r="AH192" i="5"/>
  <c r="AG192" i="5"/>
  <c r="AF192" i="5"/>
  <c r="AI192" i="5" s="1" a="1"/>
  <c r="AI192" i="5" s="1"/>
  <c r="AH191" i="5"/>
  <c r="AG191" i="5"/>
  <c r="AF191" i="5"/>
  <c r="AH190" i="5"/>
  <c r="AG190" i="5"/>
  <c r="AF190" i="5"/>
  <c r="AH189" i="5"/>
  <c r="AG189" i="5"/>
  <c r="AF189" i="5"/>
  <c r="AI189" i="5" s="1" a="1"/>
  <c r="AI189" i="5" s="1"/>
  <c r="AH188" i="5"/>
  <c r="AG188" i="5"/>
  <c r="AI188" i="5" s="1" a="1"/>
  <c r="AI188" i="5" s="1"/>
  <c r="AF188" i="5"/>
  <c r="AH187" i="5"/>
  <c r="AG187" i="5"/>
  <c r="AF187" i="5"/>
  <c r="AH186" i="5"/>
  <c r="AG186" i="5"/>
  <c r="AF186" i="5"/>
  <c r="AH185" i="5"/>
  <c r="AG185" i="5"/>
  <c r="AF185" i="5"/>
  <c r="AH184" i="5"/>
  <c r="AG184" i="5"/>
  <c r="AF184" i="5"/>
  <c r="AI184" i="5" s="1" a="1"/>
  <c r="AI184" i="5" s="1"/>
  <c r="AH183" i="5"/>
  <c r="AG183" i="5"/>
  <c r="AF183" i="5"/>
  <c r="AI183" i="5" s="1" a="1"/>
  <c r="AI183" i="5" s="1"/>
  <c r="AI182" i="5" a="1"/>
  <c r="AI182" i="5" s="1"/>
  <c r="AH182" i="5"/>
  <c r="AG182" i="5"/>
  <c r="AF182" i="5"/>
  <c r="AH181" i="5"/>
  <c r="AG181" i="5"/>
  <c r="AF181" i="5"/>
  <c r="AI181" i="5" s="1" a="1"/>
  <c r="AI181" i="5" s="1"/>
  <c r="AH180" i="5"/>
  <c r="AG180" i="5"/>
  <c r="AF180" i="5"/>
  <c r="AI180" i="5" s="1" a="1"/>
  <c r="AI180" i="5" s="1"/>
  <c r="AH179" i="5"/>
  <c r="AG179" i="5"/>
  <c r="AF179" i="5"/>
  <c r="AH178" i="5"/>
  <c r="AG178" i="5"/>
  <c r="AF178" i="5"/>
  <c r="AH177" i="5"/>
  <c r="AG177" i="5"/>
  <c r="AF177" i="5"/>
  <c r="AH176" i="5"/>
  <c r="AG176" i="5"/>
  <c r="AF176" i="5"/>
  <c r="AH175" i="5"/>
  <c r="AG175" i="5"/>
  <c r="AF175" i="5"/>
  <c r="AI175" i="5" s="1" a="1"/>
  <c r="AI175" i="5" s="1"/>
  <c r="AH174" i="5"/>
  <c r="AG174" i="5"/>
  <c r="AF174" i="5"/>
  <c r="AH173" i="5"/>
  <c r="AI173" i="5" s="1" a="1"/>
  <c r="AI173" i="5" s="1"/>
  <c r="AG173" i="5"/>
  <c r="AF173" i="5"/>
  <c r="AH172" i="5"/>
  <c r="AG172" i="5"/>
  <c r="AF172" i="5"/>
  <c r="AI172" i="5" s="1" a="1"/>
  <c r="AI172" i="5" s="1"/>
  <c r="AH171" i="5"/>
  <c r="AG171" i="5"/>
  <c r="AF171" i="5"/>
  <c r="AH170" i="5"/>
  <c r="AI170" i="5" s="1" a="1"/>
  <c r="AI170" i="5" s="1"/>
  <c r="AG170" i="5"/>
  <c r="AF170" i="5"/>
  <c r="AH169" i="5"/>
  <c r="AG169" i="5"/>
  <c r="AF169" i="5"/>
  <c r="AH168" i="5"/>
  <c r="AG168" i="5"/>
  <c r="AF168" i="5"/>
  <c r="AI168" i="5" s="1" a="1"/>
  <c r="AI168" i="5" s="1"/>
  <c r="AH167" i="5"/>
  <c r="AG167" i="5"/>
  <c r="AF167" i="5"/>
  <c r="AI167" i="5" s="1" a="1"/>
  <c r="AI167" i="5" s="1"/>
  <c r="AH166" i="5"/>
  <c r="AG166" i="5"/>
  <c r="AF166" i="5"/>
  <c r="AH165" i="5"/>
  <c r="AG165" i="5"/>
  <c r="AF165" i="5"/>
  <c r="AI165" i="5" s="1" a="1"/>
  <c r="AI165" i="5" s="1"/>
  <c r="AH164" i="5"/>
  <c r="AG164" i="5"/>
  <c r="AF164" i="5"/>
  <c r="AH163" i="5"/>
  <c r="AG163" i="5"/>
  <c r="AF163" i="5"/>
  <c r="AI163" i="5" s="1" a="1"/>
  <c r="AI163" i="5" s="1"/>
  <c r="AH162" i="5"/>
  <c r="AG162" i="5"/>
  <c r="AF162" i="5"/>
  <c r="AH161" i="5"/>
  <c r="AG161" i="5"/>
  <c r="AF161" i="5"/>
  <c r="AH160" i="5"/>
  <c r="AG160" i="5"/>
  <c r="AI160" i="5" s="1" a="1"/>
  <c r="AI160" i="5" s="1"/>
  <c r="AF160" i="5"/>
  <c r="AH159" i="5"/>
  <c r="AI159" i="5" s="1" a="1"/>
  <c r="AI159" i="5" s="1"/>
  <c r="AG159" i="5"/>
  <c r="AF159" i="5"/>
  <c r="AH158" i="5"/>
  <c r="AG158" i="5"/>
  <c r="AF158" i="5"/>
  <c r="AI158" i="5" s="1" a="1"/>
  <c r="AI158" i="5" s="1"/>
  <c r="AH157" i="5"/>
  <c r="AG157" i="5"/>
  <c r="AF157" i="5"/>
  <c r="AH156" i="5"/>
  <c r="AG156" i="5"/>
  <c r="AF156" i="5"/>
  <c r="AI156" i="5" s="1" a="1"/>
  <c r="AI156" i="5" s="1"/>
  <c r="AH155" i="5"/>
  <c r="AG155" i="5"/>
  <c r="AF155" i="5"/>
  <c r="AH154" i="5"/>
  <c r="AG154" i="5"/>
  <c r="AF154" i="5"/>
  <c r="AI154" i="5" s="1" a="1"/>
  <c r="AI154" i="5" s="1"/>
  <c r="AH153" i="5"/>
  <c r="AG153" i="5"/>
  <c r="AF153" i="5"/>
  <c r="AI153" i="5" s="1" a="1"/>
  <c r="AI153" i="5" s="1"/>
  <c r="AH152" i="5"/>
  <c r="AG152" i="5"/>
  <c r="AF152" i="5"/>
  <c r="AI152" i="5" s="1" a="1"/>
  <c r="AI152" i="5" s="1"/>
  <c r="AH151" i="5"/>
  <c r="AG151" i="5"/>
  <c r="AF151" i="5"/>
  <c r="AH150" i="5"/>
  <c r="AG150" i="5"/>
  <c r="AF150" i="5"/>
  <c r="AI150" i="5" s="1" a="1"/>
  <c r="AI150" i="5" s="1"/>
  <c r="AH149" i="5"/>
  <c r="AG149" i="5"/>
  <c r="AF149" i="5"/>
  <c r="AI149" i="5" s="1" a="1"/>
  <c r="AI149" i="5" s="1"/>
  <c r="AH148" i="5"/>
  <c r="AG148" i="5"/>
  <c r="AI148" i="5" s="1" a="1"/>
  <c r="AI148" i="5" s="1"/>
  <c r="AF148" i="5"/>
  <c r="AH147" i="5"/>
  <c r="AG147" i="5"/>
  <c r="AF147" i="5"/>
  <c r="AI147" i="5" s="1" a="1"/>
  <c r="AI147" i="5" s="1"/>
  <c r="AH146" i="5"/>
  <c r="AG146" i="5"/>
  <c r="AI146" i="5" s="1" a="1"/>
  <c r="AI146" i="5" s="1"/>
  <c r="AF146" i="5"/>
  <c r="AH145" i="5"/>
  <c r="AG145" i="5"/>
  <c r="AF145" i="5"/>
  <c r="AH144" i="5"/>
  <c r="AG144" i="5"/>
  <c r="AF144" i="5"/>
  <c r="AI144" i="5" s="1" a="1"/>
  <c r="AI144" i="5" s="1"/>
  <c r="AH143" i="5"/>
  <c r="AI143" i="5" s="1" a="1"/>
  <c r="AI143" i="5" s="1"/>
  <c r="AG143" i="5"/>
  <c r="AF143" i="5"/>
  <c r="AH142" i="5"/>
  <c r="AI142" i="5" s="1" a="1"/>
  <c r="AI142" i="5" s="1"/>
  <c r="AG142" i="5"/>
  <c r="AF142" i="5"/>
  <c r="AH141" i="5"/>
  <c r="AG141" i="5"/>
  <c r="AF141" i="5"/>
  <c r="AI141" i="5" s="1" a="1"/>
  <c r="AI141" i="5" s="1"/>
  <c r="AH140" i="5"/>
  <c r="AG140" i="5"/>
  <c r="AF140" i="5"/>
  <c r="AI140" i="5" s="1" a="1"/>
  <c r="AI140" i="5" s="1"/>
  <c r="AH139" i="5"/>
  <c r="AG139" i="5"/>
  <c r="AF139" i="5"/>
  <c r="AH138" i="5"/>
  <c r="AG138" i="5"/>
  <c r="AF138" i="5"/>
  <c r="AH137" i="5"/>
  <c r="AG137" i="5"/>
  <c r="AF137" i="5"/>
  <c r="AH136" i="5"/>
  <c r="AG136" i="5"/>
  <c r="AF136" i="5"/>
  <c r="AI136" i="5" s="1" a="1"/>
  <c r="AI136" i="5" s="1"/>
  <c r="AH135" i="5"/>
  <c r="AG135" i="5"/>
  <c r="AF135" i="5"/>
  <c r="AI135" i="5" s="1" a="1"/>
  <c r="AI135" i="5" s="1"/>
  <c r="AH134" i="5"/>
  <c r="AG134" i="5"/>
  <c r="AF134" i="5"/>
  <c r="AH133" i="5"/>
  <c r="AG133" i="5"/>
  <c r="AF133" i="5"/>
  <c r="AH132" i="5"/>
  <c r="AG132" i="5"/>
  <c r="AI132" i="5" s="1" a="1"/>
  <c r="AI132" i="5" s="1"/>
  <c r="AF132" i="5"/>
  <c r="AH131" i="5"/>
  <c r="AG131" i="5"/>
  <c r="AF131" i="5"/>
  <c r="AH130" i="5"/>
  <c r="AG130" i="5"/>
  <c r="AF130" i="5"/>
  <c r="AH129" i="5"/>
  <c r="AG129" i="5"/>
  <c r="AF129" i="5"/>
  <c r="AH128" i="5"/>
  <c r="AG128" i="5"/>
  <c r="AF128" i="5"/>
  <c r="AI128" i="5" s="1" a="1"/>
  <c r="AI128" i="5" s="1"/>
  <c r="AH127" i="5"/>
  <c r="AG127" i="5"/>
  <c r="AF127" i="5"/>
  <c r="AI127" i="5" s="1" a="1"/>
  <c r="AI127" i="5" s="1"/>
  <c r="AH126" i="5"/>
  <c r="AG126" i="5"/>
  <c r="AI126" i="5" s="1" a="1"/>
  <c r="AI126" i="5" s="1"/>
  <c r="AF126" i="5"/>
  <c r="AH125" i="5"/>
  <c r="AG125" i="5"/>
  <c r="AF125" i="5"/>
  <c r="AH124" i="5"/>
  <c r="AG124" i="5"/>
  <c r="AF124" i="5"/>
  <c r="AH123" i="5"/>
  <c r="AG123" i="5"/>
  <c r="AF123" i="5"/>
  <c r="AI123" i="5" s="1" a="1"/>
  <c r="AI123" i="5" s="1"/>
  <c r="AH122" i="5"/>
  <c r="AG122" i="5"/>
  <c r="AF122" i="5"/>
  <c r="AI122" i="5" s="1" a="1"/>
  <c r="AI122" i="5" s="1"/>
  <c r="AH121" i="5"/>
  <c r="AG121" i="5"/>
  <c r="AF121" i="5"/>
  <c r="AH120" i="5"/>
  <c r="AG120" i="5"/>
  <c r="AI120" i="5" s="1" a="1"/>
  <c r="AI120" i="5" s="1"/>
  <c r="AF120" i="5"/>
  <c r="AH119" i="5"/>
  <c r="AG119" i="5"/>
  <c r="AF119" i="5"/>
  <c r="AH118" i="5"/>
  <c r="AG118" i="5"/>
  <c r="AF118" i="5"/>
  <c r="AH117" i="5"/>
  <c r="AG117" i="5"/>
  <c r="AF117" i="5"/>
  <c r="AH116" i="5"/>
  <c r="AG116" i="5"/>
  <c r="AF116" i="5"/>
  <c r="AI116" i="5" s="1" a="1"/>
  <c r="AI116" i="5" s="1"/>
  <c r="AH115" i="5"/>
  <c r="AI115" i="5" s="1" a="1"/>
  <c r="AI115" i="5" s="1"/>
  <c r="AG115" i="5"/>
  <c r="AF115" i="5"/>
  <c r="AH114" i="5"/>
  <c r="AG114" i="5"/>
  <c r="AF114" i="5"/>
  <c r="AI114" i="5" s="1" a="1"/>
  <c r="AI114" i="5" s="1"/>
  <c r="AH113" i="5"/>
  <c r="AG113" i="5"/>
  <c r="AF113" i="5"/>
  <c r="AI113" i="5" s="1" a="1"/>
  <c r="AI113" i="5" s="1"/>
  <c r="AH112" i="5"/>
  <c r="AG112" i="5"/>
  <c r="AF112" i="5"/>
  <c r="AI112" i="5" s="1" a="1"/>
  <c r="AI112" i="5" s="1"/>
  <c r="AH111" i="5"/>
  <c r="AG111" i="5"/>
  <c r="AF111" i="5"/>
  <c r="AI111" i="5" s="1" a="1"/>
  <c r="AI111" i="5" s="1"/>
  <c r="AH110" i="5"/>
  <c r="AG110" i="5"/>
  <c r="AF110" i="5"/>
  <c r="AI110" i="5" s="1" a="1"/>
  <c r="AI110" i="5" s="1"/>
  <c r="AH109" i="5"/>
  <c r="AG109" i="5"/>
  <c r="AF109" i="5"/>
  <c r="AI109" i="5" s="1" a="1"/>
  <c r="AI109" i="5" s="1"/>
  <c r="AH108" i="5"/>
  <c r="AG108" i="5"/>
  <c r="AF108" i="5"/>
  <c r="AI108" i="5" s="1" a="1"/>
  <c r="AI108" i="5" s="1"/>
  <c r="AH107" i="5"/>
  <c r="AG107" i="5"/>
  <c r="AF107" i="5"/>
  <c r="AH106" i="5"/>
  <c r="AG106" i="5"/>
  <c r="AF106" i="5"/>
  <c r="AH105" i="5"/>
  <c r="AG105" i="5"/>
  <c r="AF105" i="5"/>
  <c r="AI105" i="5" s="1" a="1"/>
  <c r="AI105" i="5" s="1"/>
  <c r="AH104" i="5"/>
  <c r="AG104" i="5"/>
  <c r="AI104" i="5" s="1" a="1"/>
  <c r="AI104" i="5" s="1"/>
  <c r="AF104" i="5"/>
  <c r="AH103" i="5"/>
  <c r="AG103" i="5"/>
  <c r="AF103" i="5"/>
  <c r="AH102" i="5"/>
  <c r="AG102" i="5"/>
  <c r="AF102" i="5"/>
  <c r="AH101" i="5"/>
  <c r="AG101" i="5"/>
  <c r="AF101" i="5"/>
  <c r="AH100" i="5"/>
  <c r="AG100" i="5"/>
  <c r="AF100" i="5"/>
  <c r="AI100" i="5" s="1" a="1"/>
  <c r="AI100" i="5" s="1"/>
  <c r="AH99" i="5"/>
  <c r="AG99" i="5"/>
  <c r="AF99" i="5"/>
  <c r="AI99" i="5" s="1" a="1"/>
  <c r="AI99" i="5" s="1"/>
  <c r="AI98" i="5" a="1"/>
  <c r="AI98" i="5" s="1"/>
  <c r="AH98" i="5"/>
  <c r="AG98" i="5"/>
  <c r="AF98" i="5"/>
  <c r="AH97" i="5"/>
  <c r="AG97" i="5"/>
  <c r="AF97" i="5"/>
  <c r="AI97" i="5" s="1" a="1"/>
  <c r="AI97" i="5" s="1"/>
  <c r="AH96" i="5"/>
  <c r="AG96" i="5"/>
  <c r="AF96" i="5"/>
  <c r="AH95" i="5"/>
  <c r="AG95" i="5"/>
  <c r="AF95" i="5"/>
  <c r="AI95" i="5" s="1" a="1"/>
  <c r="AI95" i="5" s="1"/>
  <c r="AH94" i="5"/>
  <c r="AG94" i="5"/>
  <c r="AF94" i="5"/>
  <c r="AH93" i="5"/>
  <c r="AG93" i="5"/>
  <c r="AF93" i="5"/>
  <c r="AI93" i="5" s="1" a="1"/>
  <c r="AI93" i="5" s="1"/>
  <c r="AH92" i="5"/>
  <c r="AG92" i="5"/>
  <c r="AF92" i="5"/>
  <c r="AH91" i="5"/>
  <c r="AG91" i="5"/>
  <c r="AF91" i="5"/>
  <c r="AH90" i="5"/>
  <c r="AG90" i="5"/>
  <c r="AI90" i="5" s="1" a="1"/>
  <c r="AI90" i="5" s="1"/>
  <c r="AF90" i="5"/>
  <c r="AH89" i="5"/>
  <c r="AI89" i="5" s="1" a="1"/>
  <c r="AI89" i="5" s="1"/>
  <c r="AG89" i="5"/>
  <c r="AF89" i="5"/>
  <c r="AH88" i="5"/>
  <c r="AG88" i="5"/>
  <c r="AF88" i="5"/>
  <c r="AI88" i="5" s="1" a="1"/>
  <c r="AI88" i="5" s="1"/>
  <c r="AH87" i="5"/>
  <c r="AG87" i="5"/>
  <c r="AF87" i="5"/>
  <c r="AH86" i="5"/>
  <c r="AG86" i="5"/>
  <c r="AF86" i="5"/>
  <c r="AI86" i="5" s="1" a="1"/>
  <c r="AI86" i="5" s="1"/>
  <c r="AH85" i="5"/>
  <c r="AG85" i="5"/>
  <c r="AF85" i="5"/>
  <c r="AH84" i="5"/>
  <c r="AG84" i="5"/>
  <c r="AF84" i="5"/>
  <c r="AI84" i="5" s="1" a="1"/>
  <c r="AI84" i="5" s="1"/>
  <c r="AH83" i="5"/>
  <c r="AI83" i="5" s="1" a="1"/>
  <c r="AI83" i="5" s="1"/>
  <c r="AG83" i="5"/>
  <c r="AF83" i="5"/>
  <c r="AH82" i="5"/>
  <c r="AG82" i="5"/>
  <c r="AF82" i="5"/>
  <c r="AH81" i="5"/>
  <c r="AG81" i="5"/>
  <c r="AF81" i="5"/>
  <c r="AH80" i="5"/>
  <c r="AG80" i="5"/>
  <c r="AF80" i="5"/>
  <c r="AI80" i="5" s="1" a="1"/>
  <c r="AI80" i="5" s="1"/>
  <c r="AH79" i="5"/>
  <c r="AG79" i="5"/>
  <c r="AF79" i="5"/>
  <c r="AI79" i="5" s="1" a="1"/>
  <c r="AI79" i="5" s="1"/>
  <c r="AH78" i="5"/>
  <c r="AG78" i="5"/>
  <c r="AF78" i="5"/>
  <c r="AH77" i="5"/>
  <c r="AG77" i="5"/>
  <c r="AF77" i="5"/>
  <c r="AH76" i="5"/>
  <c r="AG76" i="5"/>
  <c r="AF76" i="5"/>
  <c r="AH75" i="5"/>
  <c r="AG75" i="5"/>
  <c r="AF75" i="5"/>
  <c r="AH74" i="5"/>
  <c r="AG74" i="5"/>
  <c r="AF74" i="5"/>
  <c r="AH73" i="5"/>
  <c r="AG73" i="5"/>
  <c r="AF73" i="5"/>
  <c r="AH72" i="5"/>
  <c r="AG72" i="5"/>
  <c r="AF72" i="5"/>
  <c r="AI72" i="5" s="1" a="1"/>
  <c r="AI72" i="5" s="1"/>
  <c r="AH71" i="5"/>
  <c r="AG71" i="5"/>
  <c r="AF71" i="5"/>
  <c r="AI71" i="5" s="1" a="1"/>
  <c r="AI71" i="5" s="1"/>
  <c r="AH70" i="5"/>
  <c r="AG70" i="5"/>
  <c r="AI70" i="5" s="1" a="1"/>
  <c r="AI70" i="5" s="1"/>
  <c r="AF70" i="5"/>
  <c r="AH69" i="5"/>
  <c r="AI69" i="5" s="1" a="1"/>
  <c r="AI69" i="5" s="1"/>
  <c r="AG69" i="5"/>
  <c r="AF69" i="5"/>
  <c r="AH68" i="5"/>
  <c r="AG68" i="5"/>
  <c r="AF68" i="5"/>
  <c r="AI68" i="5" s="1" a="1"/>
  <c r="AI68" i="5" s="1"/>
  <c r="AH67" i="5"/>
  <c r="AG67" i="5"/>
  <c r="AF67" i="5"/>
  <c r="AI67" i="5" s="1" a="1"/>
  <c r="AI67" i="5" s="1"/>
  <c r="AH66" i="5"/>
  <c r="AG66" i="5"/>
  <c r="AF66" i="5"/>
  <c r="AH65" i="5"/>
  <c r="AG65" i="5"/>
  <c r="AF65" i="5"/>
  <c r="AI65" i="5" s="1" a="1"/>
  <c r="AI65" i="5" s="1"/>
  <c r="AH64" i="5"/>
  <c r="AG64" i="5"/>
  <c r="AI64" i="5" s="1" a="1"/>
  <c r="AI64" i="5" s="1"/>
  <c r="AF64" i="5"/>
  <c r="AH63" i="5"/>
  <c r="AG63" i="5"/>
  <c r="AF63" i="5"/>
  <c r="AI63" i="5" s="1" a="1"/>
  <c r="AI63" i="5" s="1"/>
  <c r="AH62" i="5"/>
  <c r="AG62" i="5"/>
  <c r="AF62" i="5"/>
  <c r="AH61" i="5"/>
  <c r="AI61" i="5" s="1" a="1"/>
  <c r="AI61" i="5" s="1"/>
  <c r="AG61" i="5"/>
  <c r="AF61" i="5"/>
  <c r="AH60" i="5"/>
  <c r="AG60" i="5"/>
  <c r="AF60" i="5"/>
  <c r="AH59" i="5"/>
  <c r="AI59" i="5" s="1" a="1"/>
  <c r="AI59" i="5" s="1"/>
  <c r="AG59" i="5"/>
  <c r="AF59" i="5"/>
  <c r="AH58" i="5"/>
  <c r="AG58" i="5"/>
  <c r="AF58" i="5"/>
  <c r="AI58" i="5" s="1" a="1"/>
  <c r="AI58" i="5" s="1"/>
  <c r="AH57" i="5"/>
  <c r="AG57" i="5"/>
  <c r="AF57" i="5"/>
  <c r="AH56" i="5"/>
  <c r="AG56" i="5"/>
  <c r="AI56" i="5" s="1" a="1"/>
  <c r="AI56" i="5" s="1"/>
  <c r="AF56" i="5"/>
  <c r="AH55" i="5"/>
  <c r="AG55" i="5"/>
  <c r="AF55" i="5"/>
  <c r="AI55" i="5" s="1" a="1"/>
  <c r="AI55" i="5" s="1"/>
  <c r="AH54" i="5"/>
  <c r="AG54" i="5"/>
  <c r="AF54" i="5"/>
  <c r="AI54" i="5" s="1" a="1"/>
  <c r="AI54" i="5" s="1"/>
  <c r="AH53" i="5"/>
  <c r="AG53" i="5"/>
  <c r="AF53" i="5"/>
  <c r="AH52" i="5"/>
  <c r="AG52" i="5"/>
  <c r="AF52" i="5"/>
  <c r="AH51" i="5"/>
  <c r="AG51" i="5"/>
  <c r="AF51" i="5"/>
  <c r="AH50" i="5"/>
  <c r="AG50" i="5"/>
  <c r="AF50" i="5"/>
  <c r="AH49" i="5"/>
  <c r="AG49" i="5"/>
  <c r="AF49" i="5"/>
  <c r="AI49" i="5" s="1" a="1"/>
  <c r="AI49" i="5" s="1"/>
  <c r="AH48" i="5"/>
  <c r="AG48" i="5"/>
  <c r="AF48" i="5"/>
  <c r="AH47" i="5"/>
  <c r="AI47" i="5" s="1" a="1"/>
  <c r="AI47" i="5" s="1"/>
  <c r="AG47" i="5"/>
  <c r="AF47" i="5"/>
  <c r="AH46" i="5"/>
  <c r="AG46" i="5"/>
  <c r="AF46" i="5"/>
  <c r="AI46" i="5" s="1" a="1"/>
  <c r="AI46" i="5" s="1"/>
  <c r="AH45" i="5"/>
  <c r="AG45" i="5"/>
  <c r="AF45" i="5"/>
  <c r="AH44" i="5"/>
  <c r="AI44" i="5" s="1" a="1"/>
  <c r="AI44" i="5" s="1"/>
  <c r="AG44" i="5"/>
  <c r="AF44" i="5"/>
  <c r="AH43" i="5"/>
  <c r="AG43" i="5"/>
  <c r="AF43" i="5"/>
  <c r="AI42" i="5" a="1"/>
  <c r="AI42" i="5" s="1"/>
  <c r="AH42" i="5"/>
  <c r="AG42" i="5"/>
  <c r="AF42" i="5"/>
  <c r="AH41" i="5"/>
  <c r="AG41" i="5"/>
  <c r="AF41" i="5"/>
  <c r="AI41" i="5" s="1" a="1"/>
  <c r="AI41" i="5" s="1"/>
  <c r="AH40" i="5"/>
  <c r="AG40" i="5"/>
  <c r="AF40" i="5"/>
  <c r="AI40" i="5" s="1" a="1"/>
  <c r="AI40" i="5" s="1"/>
  <c r="AH39" i="5"/>
  <c r="AG39" i="5"/>
  <c r="AF39" i="5"/>
  <c r="AH38" i="5"/>
  <c r="AG38" i="5"/>
  <c r="AF38" i="5"/>
  <c r="AI38" i="5" s="1" a="1"/>
  <c r="AI38" i="5" s="1"/>
  <c r="AH37" i="5"/>
  <c r="AG37" i="5"/>
  <c r="AF37" i="5"/>
  <c r="AI37" i="5" s="1" a="1"/>
  <c r="AI37" i="5" s="1"/>
  <c r="AH36" i="5"/>
  <c r="AG36" i="5"/>
  <c r="AI36" i="5" s="1" a="1"/>
  <c r="AI36" i="5" s="1"/>
  <c r="AF36" i="5"/>
  <c r="AH35" i="5"/>
  <c r="AG35" i="5"/>
  <c r="AF35" i="5"/>
  <c r="AI35" i="5" s="1" a="1"/>
  <c r="AI35" i="5" s="1"/>
  <c r="AH34" i="5"/>
  <c r="AG34" i="5"/>
  <c r="AI34" i="5" s="1" a="1"/>
  <c r="AI34" i="5" s="1"/>
  <c r="AF34" i="5"/>
  <c r="AH33" i="5"/>
  <c r="AG33" i="5"/>
  <c r="AF33" i="5"/>
  <c r="AH32" i="5"/>
  <c r="AG32" i="5"/>
  <c r="AF32" i="5"/>
  <c r="AI32" i="5" s="1" a="1"/>
  <c r="AI32" i="5" s="1"/>
  <c r="AH31" i="5"/>
  <c r="AI31" i="5" s="1" a="1"/>
  <c r="AI31" i="5" s="1"/>
  <c r="AG31" i="5"/>
  <c r="AF31" i="5"/>
  <c r="AH30" i="5"/>
  <c r="AI30" i="5" s="1" a="1"/>
  <c r="AI30" i="5" s="1"/>
  <c r="AG30" i="5"/>
  <c r="AF30" i="5"/>
  <c r="AH29" i="5"/>
  <c r="AG29" i="5"/>
  <c r="AF29" i="5"/>
  <c r="AI29" i="5" s="1" a="1"/>
  <c r="AI29" i="5" s="1"/>
  <c r="AH28" i="5"/>
  <c r="AG28" i="5"/>
  <c r="AF28" i="5"/>
  <c r="AI28" i="5" s="1" a="1"/>
  <c r="AI28" i="5" s="1"/>
  <c r="AH27" i="5"/>
  <c r="AG27" i="5"/>
  <c r="AF27" i="5"/>
  <c r="AI27" i="5" s="1" a="1"/>
  <c r="AI27" i="5" s="1"/>
  <c r="AH26" i="5"/>
  <c r="AG26" i="5"/>
  <c r="AF26" i="5"/>
  <c r="AH25" i="5"/>
  <c r="AG25" i="5"/>
  <c r="AF25" i="5"/>
  <c r="AI25" i="5" s="1" a="1"/>
  <c r="AI25" i="5" s="1"/>
  <c r="AH24" i="5"/>
  <c r="AG24" i="5"/>
  <c r="AF24" i="5"/>
  <c r="AI24" i="5" s="1" a="1"/>
  <c r="AI24" i="5" s="1"/>
  <c r="AH23" i="5"/>
  <c r="AG23" i="5"/>
  <c r="AF23" i="5"/>
  <c r="AH22" i="5"/>
  <c r="AG22" i="5"/>
  <c r="AI22" i="5" s="1" a="1"/>
  <c r="AI22" i="5" s="1"/>
  <c r="AF22" i="5"/>
  <c r="AH21" i="5"/>
  <c r="AG21" i="5"/>
  <c r="AF21" i="5"/>
  <c r="AH20" i="5"/>
  <c r="AG20" i="5"/>
  <c r="AF20" i="5"/>
  <c r="AH19" i="5"/>
  <c r="AG19" i="5"/>
  <c r="AF19" i="5"/>
  <c r="AH18" i="5"/>
  <c r="AG18" i="5"/>
  <c r="AF18" i="5"/>
  <c r="AI18" i="5" s="1" a="1"/>
  <c r="AI18" i="5" s="1"/>
  <c r="AH17" i="5"/>
  <c r="AI17" i="5" s="1" a="1"/>
  <c r="AI17" i="5" s="1"/>
  <c r="AG17" i="5"/>
  <c r="AF17" i="5"/>
  <c r="AH16" i="5"/>
  <c r="AG16" i="5"/>
  <c r="AF16" i="5"/>
  <c r="AI16" i="5" s="1" a="1"/>
  <c r="AI16" i="5" s="1"/>
  <c r="AH15" i="5"/>
  <c r="AG15" i="5"/>
  <c r="AF15" i="5"/>
  <c r="AI15" i="5" s="1" a="1"/>
  <c r="AI15" i="5" s="1"/>
  <c r="AH14" i="5"/>
  <c r="AG14" i="5"/>
  <c r="AF14" i="5"/>
  <c r="AI14" i="5" s="1" a="1"/>
  <c r="AI14" i="5" s="1"/>
  <c r="AI13" i="5" a="1"/>
  <c r="AI13" i="5" s="1"/>
  <c r="AH13" i="5"/>
  <c r="AG13" i="5"/>
  <c r="AF13" i="5"/>
  <c r="AH12" i="5"/>
  <c r="AG12" i="5"/>
  <c r="AF12" i="5"/>
  <c r="AI12" i="5" s="1" a="1"/>
  <c r="AI12" i="5" s="1"/>
  <c r="AH11" i="5"/>
  <c r="AG11" i="5"/>
  <c r="AF11" i="5"/>
  <c r="AI11" i="5" s="1" a="1"/>
  <c r="AI11" i="5" s="1"/>
  <c r="AH10" i="5"/>
  <c r="AG10" i="5"/>
  <c r="AF10" i="5"/>
  <c r="AH9" i="5"/>
  <c r="AG9" i="5"/>
  <c r="AF9" i="5"/>
  <c r="AH8" i="5"/>
  <c r="AG8" i="5"/>
  <c r="AF8" i="5"/>
  <c r="AH7" i="5"/>
  <c r="AG7" i="5"/>
  <c r="AF7" i="5"/>
  <c r="AI7" i="5" s="1" a="1"/>
  <c r="AI7" i="5" s="1"/>
  <c r="AH6" i="5"/>
  <c r="AG6" i="5"/>
  <c r="AF6" i="5"/>
  <c r="AH5" i="5"/>
  <c r="AG5" i="5"/>
  <c r="AF5" i="5"/>
  <c r="AH4" i="5"/>
  <c r="AG4" i="5"/>
  <c r="AF4" i="5"/>
  <c r="AG204" i="4"/>
  <c r="AG204" i="4" a="1"/>
  <c r="AF204" i="4"/>
  <c r="AE204" i="4"/>
  <c r="AD204" i="4"/>
  <c r="AF203" i="4"/>
  <c r="AE203" i="4"/>
  <c r="AD203" i="4"/>
  <c r="AF202" i="4"/>
  <c r="AE202" i="4"/>
  <c r="AD202" i="4"/>
  <c r="AF201" i="4"/>
  <c r="AE201" i="4"/>
  <c r="AD201" i="4"/>
  <c r="AG201" i="4" s="1" a="1"/>
  <c r="AG201" i="4" s="1"/>
  <c r="AG200" i="4" a="1"/>
  <c r="AG200" i="4" s="1"/>
  <c r="AF200" i="4"/>
  <c r="AE200" i="4"/>
  <c r="AD200" i="4"/>
  <c r="AF199" i="4"/>
  <c r="AE199" i="4"/>
  <c r="AD199" i="4"/>
  <c r="AF198" i="4"/>
  <c r="AE198" i="4"/>
  <c r="AD198" i="4"/>
  <c r="AG198" i="4" s="1" a="1"/>
  <c r="AG198" i="4" s="1"/>
  <c r="AF197" i="4"/>
  <c r="AE197" i="4"/>
  <c r="AD197" i="4"/>
  <c r="AF196" i="4"/>
  <c r="AG196" i="4" s="1" a="1"/>
  <c r="AG196" i="4" s="1"/>
  <c r="AE196" i="4"/>
  <c r="AD196" i="4"/>
  <c r="AF195" i="4"/>
  <c r="AE195" i="4"/>
  <c r="AD195" i="4"/>
  <c r="AF194" i="4"/>
  <c r="AE194" i="4"/>
  <c r="AD194" i="4"/>
  <c r="AG194" i="4" s="1" a="1"/>
  <c r="AG194" i="4" s="1"/>
  <c r="AF193" i="4"/>
  <c r="AE193" i="4"/>
  <c r="AD193" i="4"/>
  <c r="AG193" i="4" s="1" a="1"/>
  <c r="AG193" i="4" s="1"/>
  <c r="AF192" i="4"/>
  <c r="AE192" i="4"/>
  <c r="AD192" i="4"/>
  <c r="AF191" i="4"/>
  <c r="AE191" i="4"/>
  <c r="AD191" i="4"/>
  <c r="AG191" i="4" s="1" a="1"/>
  <c r="AG191" i="4" s="1"/>
  <c r="AF190" i="4"/>
  <c r="AE190" i="4"/>
  <c r="AD190" i="4"/>
  <c r="AG190" i="4" s="1" a="1"/>
  <c r="AG190" i="4" s="1"/>
  <c r="AF189" i="4"/>
  <c r="AE189" i="4"/>
  <c r="AD189" i="4"/>
  <c r="AF188" i="4"/>
  <c r="AE188" i="4"/>
  <c r="AD188" i="4"/>
  <c r="AF187" i="4"/>
  <c r="AE187" i="4"/>
  <c r="AD187" i="4"/>
  <c r="AG187" i="4" s="1" a="1"/>
  <c r="AG187" i="4" s="1"/>
  <c r="AF186" i="4"/>
  <c r="AG186" i="4" s="1" a="1"/>
  <c r="AG186" i="4" s="1"/>
  <c r="AE186" i="4"/>
  <c r="AD186" i="4"/>
  <c r="AF185" i="4"/>
  <c r="AE185" i="4"/>
  <c r="AD185" i="4"/>
  <c r="AF184" i="4"/>
  <c r="AE184" i="4"/>
  <c r="AD184" i="4"/>
  <c r="AG184" i="4" s="1" a="1"/>
  <c r="AG184" i="4" s="1"/>
  <c r="AF183" i="4"/>
  <c r="AE183" i="4"/>
  <c r="AD183" i="4"/>
  <c r="AF182" i="4"/>
  <c r="AE182" i="4"/>
  <c r="AG182" i="4" s="1" a="1"/>
  <c r="AG182" i="4" s="1"/>
  <c r="AD182" i="4"/>
  <c r="AF181" i="4"/>
  <c r="AE181" i="4"/>
  <c r="AD181" i="4"/>
  <c r="AG181" i="4" s="1" a="1"/>
  <c r="AG181" i="4" s="1"/>
  <c r="AF180" i="4"/>
  <c r="AE180" i="4"/>
  <c r="AD180" i="4"/>
  <c r="AG179" i="4" a="1"/>
  <c r="AG179" i="4" s="1"/>
  <c r="AF179" i="4"/>
  <c r="AE179" i="4"/>
  <c r="AD179" i="4"/>
  <c r="AF178" i="4"/>
  <c r="AE178" i="4"/>
  <c r="AG178" i="4" s="1" a="1"/>
  <c r="AG178" i="4" s="1"/>
  <c r="AD178" i="4"/>
  <c r="AF177" i="4"/>
  <c r="AE177" i="4"/>
  <c r="AD177" i="4"/>
  <c r="AG177" i="4" s="1" a="1"/>
  <c r="AG177" i="4" s="1"/>
  <c r="AF176" i="4"/>
  <c r="AE176" i="4"/>
  <c r="AD176" i="4"/>
  <c r="AF175" i="4"/>
  <c r="AE175" i="4"/>
  <c r="AD175" i="4"/>
  <c r="AF174" i="4"/>
  <c r="AE174" i="4"/>
  <c r="AD174" i="4"/>
  <c r="AF173" i="4"/>
  <c r="AE173" i="4"/>
  <c r="AD173" i="4"/>
  <c r="AF172" i="4"/>
  <c r="AE172" i="4"/>
  <c r="AG172" i="4" s="1" a="1"/>
  <c r="AG172" i="4" s="1"/>
  <c r="AD172" i="4"/>
  <c r="AF171" i="4"/>
  <c r="AE171" i="4"/>
  <c r="AD171" i="4"/>
  <c r="AF170" i="4"/>
  <c r="AE170" i="4"/>
  <c r="AD170" i="4"/>
  <c r="AF169" i="4"/>
  <c r="AE169" i="4"/>
  <c r="AD169" i="4"/>
  <c r="AF168" i="4"/>
  <c r="AE168" i="4"/>
  <c r="AD168" i="4"/>
  <c r="AG168" i="4" s="1" a="1"/>
  <c r="AG168" i="4" s="1"/>
  <c r="AF167" i="4"/>
  <c r="AE167" i="4"/>
  <c r="AD167" i="4"/>
  <c r="AG167" i="4" s="1" a="1"/>
  <c r="AG167" i="4" s="1"/>
  <c r="AF166" i="4"/>
  <c r="AE166" i="4"/>
  <c r="AD166" i="4"/>
  <c r="AF165" i="4"/>
  <c r="AG165" i="4" s="1" a="1"/>
  <c r="AG165" i="4" s="1"/>
  <c r="AE165" i="4"/>
  <c r="AD165" i="4"/>
  <c r="AF164" i="4"/>
  <c r="AE164" i="4"/>
  <c r="AD164" i="4"/>
  <c r="AF163" i="4"/>
  <c r="AE163" i="4"/>
  <c r="AD163" i="4"/>
  <c r="AG163" i="4" s="1" a="1"/>
  <c r="AG163" i="4" s="1"/>
  <c r="AF162" i="4"/>
  <c r="AE162" i="4"/>
  <c r="AD162" i="4"/>
  <c r="AF161" i="4"/>
  <c r="AE161" i="4"/>
  <c r="AD161" i="4"/>
  <c r="AF160" i="4"/>
  <c r="AE160" i="4"/>
  <c r="AD160" i="4"/>
  <c r="AF159" i="4"/>
  <c r="AE159" i="4"/>
  <c r="AD159" i="4"/>
  <c r="AF158" i="4"/>
  <c r="AE158" i="4"/>
  <c r="AG158" i="4" s="1" a="1"/>
  <c r="AG158" i="4" s="1"/>
  <c r="AD158" i="4"/>
  <c r="AF157" i="4"/>
  <c r="AE157" i="4"/>
  <c r="AD157" i="4"/>
  <c r="AF156" i="4"/>
  <c r="AE156" i="4"/>
  <c r="AD156" i="4"/>
  <c r="AF155" i="4"/>
  <c r="AE155" i="4"/>
  <c r="AD155" i="4"/>
  <c r="AG155" i="4" s="1" a="1"/>
  <c r="AG155" i="4" s="1"/>
  <c r="AF154" i="4"/>
  <c r="AE154" i="4"/>
  <c r="AD154" i="4"/>
  <c r="AG154" i="4" s="1" a="1"/>
  <c r="AG154" i="4" s="1"/>
  <c r="AF153" i="4"/>
  <c r="AE153" i="4"/>
  <c r="AD153" i="4"/>
  <c r="AF152" i="4"/>
  <c r="AE152" i="4"/>
  <c r="AD152" i="4"/>
  <c r="AF151" i="4"/>
  <c r="AE151" i="4"/>
  <c r="AG151" i="4" s="1" a="1"/>
  <c r="AG151" i="4" s="1"/>
  <c r="AD151" i="4"/>
  <c r="AF150" i="4"/>
  <c r="AE150" i="4"/>
  <c r="AD150" i="4"/>
  <c r="AF149" i="4"/>
  <c r="AE149" i="4"/>
  <c r="AD149" i="4"/>
  <c r="AF148" i="4"/>
  <c r="AE148" i="4"/>
  <c r="AD148" i="4"/>
  <c r="AF147" i="4"/>
  <c r="AE147" i="4"/>
  <c r="AD147" i="4"/>
  <c r="AF146" i="4"/>
  <c r="AE146" i="4"/>
  <c r="AD146" i="4"/>
  <c r="AF145" i="4"/>
  <c r="AE145" i="4"/>
  <c r="AD145" i="4"/>
  <c r="AF144" i="4"/>
  <c r="AE144" i="4"/>
  <c r="AD144" i="4"/>
  <c r="AG144" i="4" s="1" a="1"/>
  <c r="AG144" i="4" s="1"/>
  <c r="AF143" i="4"/>
  <c r="AG143" i="4" s="1" a="1"/>
  <c r="AG143" i="4" s="1"/>
  <c r="AE143" i="4"/>
  <c r="AD143" i="4"/>
  <c r="AF142" i="4"/>
  <c r="AE142" i="4"/>
  <c r="AD142" i="4"/>
  <c r="AF141" i="4"/>
  <c r="AE141" i="4"/>
  <c r="AD141" i="4"/>
  <c r="AG141" i="4" s="1" a="1"/>
  <c r="AG141" i="4" s="1"/>
  <c r="AF140" i="4"/>
  <c r="AE140" i="4"/>
  <c r="AD140" i="4"/>
  <c r="AG140" i="4" s="1" a="1"/>
  <c r="AG140" i="4" s="1"/>
  <c r="AF139" i="4"/>
  <c r="AE139" i="4"/>
  <c r="AD139" i="4"/>
  <c r="AF138" i="4"/>
  <c r="AE138" i="4"/>
  <c r="AD138" i="4"/>
  <c r="AG138" i="4" s="1" a="1"/>
  <c r="AG138" i="4" s="1"/>
  <c r="AF137" i="4"/>
  <c r="AE137" i="4"/>
  <c r="AG137" i="4" s="1" a="1"/>
  <c r="AG137" i="4" s="1"/>
  <c r="AD137" i="4"/>
  <c r="AF136" i="4"/>
  <c r="AE136" i="4"/>
  <c r="AD136" i="4"/>
  <c r="AF135" i="4"/>
  <c r="AE135" i="4"/>
  <c r="AD135" i="4"/>
  <c r="AF134" i="4"/>
  <c r="AE134" i="4"/>
  <c r="AD134" i="4"/>
  <c r="AG134" i="4" s="1" a="1"/>
  <c r="AG134" i="4" s="1"/>
  <c r="AF133" i="4"/>
  <c r="AE133" i="4"/>
  <c r="AD133" i="4"/>
  <c r="AF132" i="4"/>
  <c r="AE132" i="4"/>
  <c r="AD132" i="4"/>
  <c r="AF131" i="4"/>
  <c r="AE131" i="4"/>
  <c r="AD131" i="4"/>
  <c r="AG131" i="4" s="1" a="1"/>
  <c r="AG131" i="4" s="1"/>
  <c r="AF130" i="4"/>
  <c r="AE130" i="4"/>
  <c r="AD130" i="4"/>
  <c r="AG130" i="4" s="1" a="1"/>
  <c r="AG130" i="4" s="1"/>
  <c r="AF129" i="4"/>
  <c r="AG129" i="4" s="1" a="1"/>
  <c r="AG129" i="4" s="1"/>
  <c r="AE129" i="4"/>
  <c r="AD129" i="4"/>
  <c r="AF128" i="4"/>
  <c r="AE128" i="4"/>
  <c r="AD128" i="4"/>
  <c r="AF127" i="4"/>
  <c r="AE127" i="4"/>
  <c r="AD127" i="4"/>
  <c r="AG127" i="4" s="1" a="1"/>
  <c r="AG127" i="4" s="1"/>
  <c r="AG126" i="4" a="1"/>
  <c r="AG126" i="4" s="1"/>
  <c r="AF126" i="4"/>
  <c r="AE126" i="4"/>
  <c r="AD126" i="4"/>
  <c r="AF125" i="4"/>
  <c r="AE125" i="4"/>
  <c r="AD125" i="4"/>
  <c r="AF124" i="4"/>
  <c r="AE124" i="4"/>
  <c r="AD124" i="4"/>
  <c r="AG124" i="4" s="1" a="1"/>
  <c r="AG124" i="4" s="1"/>
  <c r="AF123" i="4"/>
  <c r="AE123" i="4"/>
  <c r="AD123" i="4"/>
  <c r="AG123" i="4" s="1" a="1"/>
  <c r="AG123" i="4" s="1"/>
  <c r="AF122" i="4"/>
  <c r="AE122" i="4"/>
  <c r="AD122" i="4"/>
  <c r="AF121" i="4"/>
  <c r="AE121" i="4"/>
  <c r="AD121" i="4"/>
  <c r="AF120" i="4"/>
  <c r="AE120" i="4"/>
  <c r="AD120" i="4"/>
  <c r="AG120" i="4" s="1" a="1"/>
  <c r="AG120" i="4" s="1"/>
  <c r="AF119" i="4"/>
  <c r="AE119" i="4"/>
  <c r="AD119" i="4"/>
  <c r="AF118" i="4"/>
  <c r="AE118" i="4"/>
  <c r="AG118" i="4" s="1" a="1"/>
  <c r="AG118" i="4" s="1"/>
  <c r="AD118" i="4"/>
  <c r="AF117" i="4"/>
  <c r="AE117" i="4"/>
  <c r="AD117" i="4"/>
  <c r="AG117" i="4" s="1" a="1"/>
  <c r="AG117" i="4" s="1"/>
  <c r="AF116" i="4"/>
  <c r="AE116" i="4"/>
  <c r="AD116" i="4"/>
  <c r="AG116" i="4" s="1" a="1"/>
  <c r="AG116" i="4" s="1"/>
  <c r="AF115" i="4"/>
  <c r="AG115" i="4" s="1" a="1"/>
  <c r="AG115" i="4" s="1"/>
  <c r="AE115" i="4"/>
  <c r="AD115" i="4"/>
  <c r="AF114" i="4"/>
  <c r="AE114" i="4"/>
  <c r="AD114" i="4"/>
  <c r="AG114" i="4" s="1" a="1"/>
  <c r="AG114" i="4" s="1"/>
  <c r="AF113" i="4"/>
  <c r="AE113" i="4"/>
  <c r="AD113" i="4"/>
  <c r="AF112" i="4"/>
  <c r="AG112" i="4" s="1" a="1"/>
  <c r="AG112" i="4" s="1"/>
  <c r="AE112" i="4"/>
  <c r="AD112" i="4"/>
  <c r="AF111" i="4"/>
  <c r="AE111" i="4"/>
  <c r="AD111" i="4"/>
  <c r="AF110" i="4"/>
  <c r="AE110" i="4"/>
  <c r="AD110" i="4"/>
  <c r="AG110" i="4" s="1" a="1"/>
  <c r="AG110" i="4" s="1"/>
  <c r="AF109" i="4"/>
  <c r="AE109" i="4"/>
  <c r="AD109" i="4"/>
  <c r="AG109" i="4" s="1" a="1"/>
  <c r="AG109" i="4" s="1"/>
  <c r="AF108" i="4"/>
  <c r="AE108" i="4"/>
  <c r="AD108" i="4"/>
  <c r="AF107" i="4"/>
  <c r="AE107" i="4"/>
  <c r="AD107" i="4"/>
  <c r="AF106" i="4"/>
  <c r="AE106" i="4"/>
  <c r="AD106" i="4"/>
  <c r="AF105" i="4"/>
  <c r="AG105" i="4" s="1" a="1"/>
  <c r="AG105" i="4" s="1"/>
  <c r="AE105" i="4"/>
  <c r="AD105" i="4"/>
  <c r="AF104" i="4"/>
  <c r="AE104" i="4"/>
  <c r="AD104" i="4"/>
  <c r="AF103" i="4"/>
  <c r="AE103" i="4"/>
  <c r="AD103" i="4"/>
  <c r="AG103" i="4" s="1" a="1"/>
  <c r="AG103" i="4" s="1"/>
  <c r="AG102" i="4" a="1"/>
  <c r="AG102" i="4" s="1"/>
  <c r="AF102" i="4"/>
  <c r="AE102" i="4"/>
  <c r="AD102" i="4"/>
  <c r="AF101" i="4"/>
  <c r="AE101" i="4"/>
  <c r="AD101" i="4"/>
  <c r="AF100" i="4"/>
  <c r="AE100" i="4"/>
  <c r="AD100" i="4"/>
  <c r="AG100" i="4" s="1" a="1"/>
  <c r="AG100" i="4" s="1"/>
  <c r="AF99" i="4"/>
  <c r="AE99" i="4"/>
  <c r="AD99" i="4"/>
  <c r="AF98" i="4"/>
  <c r="AG98" i="4" s="1" a="1"/>
  <c r="AG98" i="4" s="1"/>
  <c r="AE98" i="4"/>
  <c r="AD98" i="4"/>
  <c r="AF97" i="4"/>
  <c r="AE97" i="4"/>
  <c r="AD97" i="4"/>
  <c r="AG97" i="4" s="1" a="1"/>
  <c r="AG97" i="4" s="1"/>
  <c r="AF96" i="4"/>
  <c r="AE96" i="4"/>
  <c r="AD96" i="4"/>
  <c r="AF95" i="4"/>
  <c r="AE95" i="4"/>
  <c r="AD95" i="4"/>
  <c r="AG95" i="4" s="1" a="1"/>
  <c r="AG95" i="4" s="1"/>
  <c r="AF94" i="4"/>
  <c r="AE94" i="4"/>
  <c r="AD94" i="4"/>
  <c r="AF93" i="4"/>
  <c r="AE93" i="4"/>
  <c r="AD93" i="4"/>
  <c r="AG93" i="4" s="1" a="1"/>
  <c r="AG93" i="4" s="1"/>
  <c r="AF92" i="4"/>
  <c r="AE92" i="4"/>
  <c r="AD92" i="4"/>
  <c r="AF91" i="4"/>
  <c r="AE91" i="4"/>
  <c r="AD91" i="4"/>
  <c r="AF90" i="4"/>
  <c r="AE90" i="4"/>
  <c r="AD90" i="4"/>
  <c r="AF89" i="4"/>
  <c r="AE89" i="4"/>
  <c r="AD89" i="4"/>
  <c r="AF88" i="4"/>
  <c r="AE88" i="4"/>
  <c r="AG88" i="4" s="1" a="1"/>
  <c r="AG88" i="4" s="1"/>
  <c r="AD88" i="4"/>
  <c r="AF87" i="4"/>
  <c r="AE87" i="4"/>
  <c r="AD87" i="4"/>
  <c r="AF86" i="4"/>
  <c r="AE86" i="4"/>
  <c r="AD86" i="4"/>
  <c r="AG86" i="4" s="1" a="1"/>
  <c r="AG86" i="4" s="1"/>
  <c r="AF85" i="4"/>
  <c r="AE85" i="4"/>
  <c r="AD85" i="4"/>
  <c r="AF84" i="4"/>
  <c r="AE84" i="4"/>
  <c r="AD84" i="4"/>
  <c r="AG84" i="4" s="1" a="1"/>
  <c r="AG84" i="4" s="1"/>
  <c r="AF83" i="4"/>
  <c r="AE83" i="4"/>
  <c r="AD83" i="4"/>
  <c r="AG83" i="4" s="1" a="1"/>
  <c r="AG83" i="4" s="1"/>
  <c r="AF82" i="4"/>
  <c r="AE82" i="4"/>
  <c r="AD82" i="4"/>
  <c r="AG81" i="4" a="1"/>
  <c r="AG81" i="4" s="1"/>
  <c r="AF81" i="4"/>
  <c r="AE81" i="4"/>
  <c r="AD81" i="4"/>
  <c r="AF80" i="4"/>
  <c r="AE80" i="4"/>
  <c r="AG80" i="4" s="1" a="1"/>
  <c r="AG80" i="4" s="1"/>
  <c r="AD80" i="4"/>
  <c r="AF79" i="4"/>
  <c r="AE79" i="4"/>
  <c r="AD79" i="4"/>
  <c r="AG79" i="4" s="1" a="1"/>
  <c r="AG79" i="4" s="1"/>
  <c r="AF78" i="4"/>
  <c r="AE78" i="4"/>
  <c r="AD78" i="4"/>
  <c r="AF77" i="4"/>
  <c r="AE77" i="4"/>
  <c r="AD77" i="4"/>
  <c r="AF76" i="4"/>
  <c r="AE76" i="4"/>
  <c r="AD76" i="4"/>
  <c r="AF75" i="4"/>
  <c r="AE75" i="4"/>
  <c r="AD75" i="4"/>
  <c r="AF74" i="4"/>
  <c r="AE74" i="4"/>
  <c r="AG74" i="4" s="1" a="1"/>
  <c r="AG74" i="4" s="1"/>
  <c r="AD74" i="4"/>
  <c r="AF73" i="4"/>
  <c r="AE73" i="4"/>
  <c r="AD73" i="4"/>
  <c r="AF72" i="4"/>
  <c r="AE72" i="4"/>
  <c r="AD72" i="4"/>
  <c r="AF71" i="4"/>
  <c r="AE71" i="4"/>
  <c r="AD71" i="4"/>
  <c r="AF70" i="4"/>
  <c r="AE70" i="4"/>
  <c r="AD70" i="4"/>
  <c r="AG70" i="4" s="1" a="1"/>
  <c r="AG70" i="4" s="1"/>
  <c r="AF69" i="4"/>
  <c r="AE69" i="4"/>
  <c r="AD69" i="4"/>
  <c r="AG69" i="4" s="1" a="1"/>
  <c r="AG69" i="4" s="1"/>
  <c r="AF68" i="4"/>
  <c r="AE68" i="4"/>
  <c r="AD68" i="4"/>
  <c r="AF67" i="4"/>
  <c r="AE67" i="4"/>
  <c r="AG67" i="4" s="1" a="1"/>
  <c r="AG67" i="4" s="1"/>
  <c r="AD67" i="4"/>
  <c r="AF66" i="4"/>
  <c r="AE66" i="4"/>
  <c r="AD66" i="4"/>
  <c r="AF65" i="4"/>
  <c r="AE65" i="4"/>
  <c r="AD65" i="4"/>
  <c r="AG65" i="4" s="1" a="1"/>
  <c r="AG65" i="4" s="1"/>
  <c r="AF64" i="4"/>
  <c r="AE64" i="4"/>
  <c r="AD64" i="4"/>
  <c r="AF63" i="4"/>
  <c r="AE63" i="4"/>
  <c r="AD63" i="4"/>
  <c r="AF62" i="4"/>
  <c r="AE62" i="4"/>
  <c r="AD62" i="4"/>
  <c r="AF61" i="4"/>
  <c r="AE61" i="4"/>
  <c r="AD61" i="4"/>
  <c r="AF60" i="4"/>
  <c r="AE60" i="4"/>
  <c r="AG60" i="4" s="1" a="1"/>
  <c r="AG60" i="4" s="1"/>
  <c r="AD60" i="4"/>
  <c r="AF59" i="4"/>
  <c r="AE59" i="4"/>
  <c r="AD59" i="4"/>
  <c r="AF58" i="4"/>
  <c r="AE58" i="4"/>
  <c r="AD58" i="4"/>
  <c r="AF57" i="4"/>
  <c r="AE57" i="4"/>
  <c r="AD57" i="4"/>
  <c r="AG57" i="4" s="1" a="1"/>
  <c r="AG57" i="4" s="1"/>
  <c r="AF56" i="4"/>
  <c r="AE56" i="4"/>
  <c r="AD56" i="4"/>
  <c r="AG56" i="4" s="1" a="1"/>
  <c r="AG56" i="4" s="1"/>
  <c r="AF55" i="4"/>
  <c r="AE55" i="4"/>
  <c r="AD55" i="4"/>
  <c r="AF54" i="4"/>
  <c r="AE54" i="4"/>
  <c r="AD54" i="4"/>
  <c r="AF53" i="4"/>
  <c r="AE53" i="4"/>
  <c r="AG53" i="4" s="1" a="1"/>
  <c r="AG53" i="4" s="1"/>
  <c r="AD53" i="4"/>
  <c r="AF52" i="4"/>
  <c r="AE52" i="4"/>
  <c r="AD52" i="4"/>
  <c r="AF51" i="4"/>
  <c r="AE51" i="4"/>
  <c r="AD51" i="4"/>
  <c r="AF50" i="4"/>
  <c r="AE50" i="4"/>
  <c r="AG50" i="4" s="1" a="1"/>
  <c r="AG50" i="4" s="1"/>
  <c r="AD50" i="4"/>
  <c r="AF49" i="4"/>
  <c r="AE49" i="4"/>
  <c r="AD49" i="4"/>
  <c r="AF48" i="4"/>
  <c r="AE48" i="4"/>
  <c r="AD48" i="4"/>
  <c r="AF47" i="4"/>
  <c r="AE47" i="4"/>
  <c r="AD47" i="4"/>
  <c r="AF46" i="4"/>
  <c r="AE46" i="4"/>
  <c r="AD46" i="4"/>
  <c r="AG46" i="4" s="1" a="1"/>
  <c r="AG46" i="4" s="1"/>
  <c r="AF45" i="4"/>
  <c r="AG45" i="4" s="1" a="1"/>
  <c r="AG45" i="4" s="1"/>
  <c r="AE45" i="4"/>
  <c r="AD45" i="4"/>
  <c r="AF44" i="4"/>
  <c r="AE44" i="4"/>
  <c r="AD44" i="4"/>
  <c r="AF43" i="4"/>
  <c r="AE43" i="4"/>
  <c r="AD43" i="4"/>
  <c r="AG43" i="4" s="1" a="1"/>
  <c r="AG43" i="4" s="1"/>
  <c r="AF42" i="4"/>
  <c r="AE42" i="4"/>
  <c r="AD42" i="4"/>
  <c r="AG42" i="4" s="1" a="1"/>
  <c r="AG42" i="4" s="1"/>
  <c r="AF41" i="4"/>
  <c r="AE41" i="4"/>
  <c r="AD41" i="4"/>
  <c r="AF40" i="4"/>
  <c r="AE40" i="4"/>
  <c r="AD40" i="4"/>
  <c r="AG40" i="4" s="1" a="1"/>
  <c r="AG40" i="4" s="1"/>
  <c r="AF39" i="4"/>
  <c r="AE39" i="4"/>
  <c r="AG39" i="4" s="1" a="1"/>
  <c r="AG39" i="4" s="1"/>
  <c r="AD39" i="4"/>
  <c r="AF38" i="4"/>
  <c r="AE38" i="4"/>
  <c r="AD38" i="4"/>
  <c r="AF37" i="4"/>
  <c r="AE37" i="4"/>
  <c r="AD37" i="4"/>
  <c r="AF36" i="4"/>
  <c r="AE36" i="4"/>
  <c r="AD36" i="4"/>
  <c r="AG36" i="4" s="1" a="1"/>
  <c r="AG36" i="4" s="1"/>
  <c r="AF35" i="4"/>
  <c r="AE35" i="4"/>
  <c r="AD35" i="4"/>
  <c r="AF34" i="4"/>
  <c r="AE34" i="4"/>
  <c r="AD34" i="4"/>
  <c r="AF33" i="4"/>
  <c r="AE33" i="4"/>
  <c r="AD33" i="4"/>
  <c r="AG33" i="4" s="1" a="1"/>
  <c r="AG33" i="4" s="1"/>
  <c r="AF32" i="4"/>
  <c r="AE32" i="4"/>
  <c r="AD32" i="4"/>
  <c r="AG32" i="4" s="1" a="1"/>
  <c r="AG32" i="4" s="1"/>
  <c r="AF31" i="4"/>
  <c r="AG31" i="4" s="1" a="1"/>
  <c r="AG31" i="4" s="1"/>
  <c r="AE31" i="4"/>
  <c r="AD31" i="4"/>
  <c r="AF30" i="4"/>
  <c r="AE30" i="4"/>
  <c r="AD30" i="4"/>
  <c r="AF29" i="4"/>
  <c r="AE29" i="4"/>
  <c r="AD29" i="4"/>
  <c r="AG29" i="4" s="1" a="1"/>
  <c r="AG29" i="4" s="1"/>
  <c r="AG28" i="4" a="1"/>
  <c r="AG28" i="4" s="1"/>
  <c r="AF28" i="4"/>
  <c r="AE28" i="4"/>
  <c r="AD28" i="4"/>
  <c r="AF27" i="4"/>
  <c r="AE27" i="4"/>
  <c r="AD27" i="4"/>
  <c r="AF26" i="4"/>
  <c r="AE26" i="4"/>
  <c r="AD26" i="4"/>
  <c r="AG26" i="4" s="1" a="1"/>
  <c r="AG26" i="4" s="1"/>
  <c r="AF25" i="4"/>
  <c r="AE25" i="4"/>
  <c r="AD25" i="4"/>
  <c r="AG25" i="4" s="1" a="1"/>
  <c r="AG25" i="4" s="1"/>
  <c r="AF24" i="4"/>
  <c r="AE24" i="4"/>
  <c r="AD24" i="4"/>
  <c r="AF23" i="4"/>
  <c r="AE23" i="4"/>
  <c r="AD23" i="4"/>
  <c r="AF22" i="4"/>
  <c r="AE22" i="4"/>
  <c r="AD22" i="4"/>
  <c r="AG22" i="4" s="1" a="1"/>
  <c r="AG22" i="4" s="1"/>
  <c r="AF21" i="4"/>
  <c r="AE21" i="4"/>
  <c r="AD21" i="4"/>
  <c r="AF20" i="4"/>
  <c r="AE20" i="4"/>
  <c r="AG20" i="4" s="1" a="1"/>
  <c r="AG20" i="4" s="1"/>
  <c r="AD20" i="4"/>
  <c r="AF19" i="4"/>
  <c r="AE19" i="4"/>
  <c r="AD19" i="4"/>
  <c r="AG19" i="4" s="1" a="1"/>
  <c r="AG19" i="4" s="1"/>
  <c r="AG18" i="4" a="1"/>
  <c r="AG18" i="4" s="1"/>
  <c r="AF18" i="4"/>
  <c r="AE18" i="4"/>
  <c r="AD18" i="4"/>
  <c r="AF17" i="4"/>
  <c r="AG17" i="4" s="1" a="1"/>
  <c r="AG17" i="4" s="1"/>
  <c r="AE17" i="4"/>
  <c r="AD17" i="4"/>
  <c r="AF16" i="4"/>
  <c r="AE16" i="4"/>
  <c r="AD16" i="4"/>
  <c r="AG16" i="4" s="1" a="1"/>
  <c r="AG16" i="4" s="1"/>
  <c r="AF15" i="4"/>
  <c r="AE15" i="4"/>
  <c r="AD15" i="4"/>
  <c r="AF14" i="4"/>
  <c r="AE14" i="4"/>
  <c r="AD14" i="4"/>
  <c r="AF13" i="4"/>
  <c r="AE13" i="4"/>
  <c r="AD13" i="4"/>
  <c r="AG13" i="4" s="1" a="1"/>
  <c r="AG13" i="4" s="1"/>
  <c r="AF12" i="4"/>
  <c r="AE12" i="4"/>
  <c r="AD12" i="4"/>
  <c r="AF11" i="4"/>
  <c r="AE11" i="4"/>
  <c r="AD11" i="4"/>
  <c r="AF10" i="4"/>
  <c r="AE10" i="4"/>
  <c r="AD10" i="4"/>
  <c r="AF9" i="4"/>
  <c r="AE9" i="4"/>
  <c r="AD9" i="4"/>
  <c r="AF8" i="4"/>
  <c r="AE8" i="4"/>
  <c r="AD8" i="4"/>
  <c r="AF7" i="4"/>
  <c r="AE7" i="4"/>
  <c r="AD7" i="4"/>
  <c r="AF6" i="4"/>
  <c r="AE6" i="4"/>
  <c r="AD6" i="4"/>
  <c r="AF5" i="4"/>
  <c r="AE5" i="4"/>
  <c r="AD5" i="4"/>
  <c r="AF4" i="4"/>
  <c r="AE4" i="4"/>
  <c r="AD4" i="4"/>
  <c r="AG204" i="3" a="1"/>
  <c r="AG204" i="3" s="1"/>
  <c r="AF204" i="3"/>
  <c r="AE204" i="3"/>
  <c r="AD204" i="3"/>
  <c r="AF203" i="3"/>
  <c r="AE203" i="3"/>
  <c r="AD203" i="3"/>
  <c r="AF202" i="3"/>
  <c r="AG202" i="3" s="1" a="1"/>
  <c r="AG202" i="3" s="1"/>
  <c r="AE202" i="3"/>
  <c r="AD202" i="3"/>
  <c r="AF201" i="3"/>
  <c r="AE201" i="3"/>
  <c r="AD201" i="3"/>
  <c r="AG201" i="3" s="1" a="1"/>
  <c r="AG201" i="3" s="1"/>
  <c r="AF200" i="3"/>
  <c r="AE200" i="3"/>
  <c r="AD200" i="3"/>
  <c r="AG199" i="3" a="1"/>
  <c r="AG199" i="3" s="1"/>
  <c r="AF199" i="3"/>
  <c r="AE199" i="3"/>
  <c r="AD199" i="3"/>
  <c r="AF198" i="3"/>
  <c r="AE198" i="3"/>
  <c r="AD198" i="3"/>
  <c r="AG198" i="3" s="1" a="1"/>
  <c r="AG198" i="3" s="1"/>
  <c r="AF197" i="3"/>
  <c r="AE197" i="3"/>
  <c r="AD197" i="3"/>
  <c r="AF196" i="3"/>
  <c r="AE196" i="3"/>
  <c r="AG196" i="3" s="1" a="1"/>
  <c r="AG196" i="3" s="1"/>
  <c r="AD196" i="3"/>
  <c r="AF195" i="3"/>
  <c r="AE195" i="3"/>
  <c r="AD195" i="3"/>
  <c r="AF194" i="3"/>
  <c r="AE194" i="3"/>
  <c r="AD194" i="3"/>
  <c r="AF193" i="3"/>
  <c r="AE193" i="3"/>
  <c r="AD193" i="3"/>
  <c r="AG193" i="3" s="1" a="1"/>
  <c r="AG193" i="3" s="1"/>
  <c r="AF192" i="3"/>
  <c r="AE192" i="3"/>
  <c r="AD192" i="3"/>
  <c r="AG192" i="3" s="1" a="1"/>
  <c r="AG192" i="3" s="1"/>
  <c r="AF191" i="3"/>
  <c r="AE191" i="3"/>
  <c r="AD191" i="3"/>
  <c r="AF190" i="3"/>
  <c r="AE190" i="3"/>
  <c r="AD190" i="3"/>
  <c r="AG190" i="3" s="1" a="1"/>
  <c r="AG190" i="3" s="1"/>
  <c r="AF189" i="3"/>
  <c r="AE189" i="3"/>
  <c r="AD189" i="3"/>
  <c r="AF188" i="3"/>
  <c r="AE188" i="3"/>
  <c r="AD188" i="3"/>
  <c r="AF187" i="3"/>
  <c r="AE187" i="3"/>
  <c r="AG187" i="3" s="1" a="1"/>
  <c r="AG187" i="3" s="1"/>
  <c r="AD187" i="3"/>
  <c r="AF186" i="3"/>
  <c r="AE186" i="3"/>
  <c r="AD186" i="3"/>
  <c r="AF185" i="3"/>
  <c r="AE185" i="3"/>
  <c r="AG185" i="3" s="1" a="1"/>
  <c r="AG185" i="3" s="1"/>
  <c r="AD185" i="3"/>
  <c r="AF184" i="3"/>
  <c r="AE184" i="3"/>
  <c r="AD184" i="3"/>
  <c r="AF183" i="3"/>
  <c r="AE183" i="3"/>
  <c r="AD183" i="3"/>
  <c r="AG183" i="3" s="1" a="1"/>
  <c r="AG183" i="3" s="1"/>
  <c r="AF182" i="3"/>
  <c r="AE182" i="3"/>
  <c r="AD182" i="3"/>
  <c r="AF181" i="3"/>
  <c r="AE181" i="3"/>
  <c r="AD181" i="3"/>
  <c r="AF180" i="3"/>
  <c r="AE180" i="3"/>
  <c r="AD180" i="3"/>
  <c r="AF179" i="3"/>
  <c r="AE179" i="3"/>
  <c r="AD179" i="3"/>
  <c r="AG179" i="3" s="1" a="1"/>
  <c r="AG179" i="3" s="1"/>
  <c r="AF178" i="3"/>
  <c r="AE178" i="3"/>
  <c r="AD178" i="3"/>
  <c r="AF177" i="3"/>
  <c r="AE177" i="3"/>
  <c r="AD177" i="3"/>
  <c r="AG176" i="3" a="1"/>
  <c r="AG176" i="3" s="1"/>
  <c r="AF176" i="3"/>
  <c r="AE176" i="3"/>
  <c r="AD176" i="3"/>
  <c r="AF175" i="3"/>
  <c r="AE175" i="3"/>
  <c r="AD175" i="3"/>
  <c r="AG175" i="3" s="1" a="1"/>
  <c r="AG175" i="3" s="1"/>
  <c r="AF174" i="3"/>
  <c r="AG174" i="3" s="1" a="1"/>
  <c r="AG174" i="3" s="1"/>
  <c r="AE174" i="3"/>
  <c r="AD174" i="3"/>
  <c r="AF173" i="3"/>
  <c r="AE173" i="3"/>
  <c r="AD173" i="3"/>
  <c r="AG173" i="3" s="1" a="1"/>
  <c r="AG173" i="3" s="1"/>
  <c r="AF172" i="3"/>
  <c r="AE172" i="3"/>
  <c r="AD172" i="3"/>
  <c r="AG172" i="3" s="1" a="1"/>
  <c r="AG172" i="3" s="1"/>
  <c r="AF171" i="3"/>
  <c r="AE171" i="3"/>
  <c r="AD171" i="3"/>
  <c r="AG171" i="3" s="1" a="1"/>
  <c r="AG171" i="3" s="1"/>
  <c r="AF170" i="3"/>
  <c r="AE170" i="3"/>
  <c r="AD170" i="3"/>
  <c r="AG170" i="3" s="1" a="1"/>
  <c r="AG170" i="3" s="1"/>
  <c r="AF169" i="3"/>
  <c r="AE169" i="3"/>
  <c r="AD169" i="3"/>
  <c r="AF168" i="3"/>
  <c r="AE168" i="3"/>
  <c r="AD168" i="3"/>
  <c r="AF167" i="3"/>
  <c r="AE167" i="3"/>
  <c r="AD167" i="3"/>
  <c r="AF166" i="3"/>
  <c r="AE166" i="3"/>
  <c r="AD166" i="3"/>
  <c r="AF165" i="3"/>
  <c r="AG165" i="3" s="1" a="1"/>
  <c r="AG165" i="3" s="1"/>
  <c r="AE165" i="3"/>
  <c r="AD165" i="3"/>
  <c r="AF164" i="3"/>
  <c r="AE164" i="3"/>
  <c r="AD164" i="3"/>
  <c r="AF163" i="3"/>
  <c r="AE163" i="3"/>
  <c r="AG163" i="3" s="1" a="1"/>
  <c r="AG163" i="3" s="1"/>
  <c r="AD163" i="3"/>
  <c r="AF162" i="3"/>
  <c r="AG162" i="3" s="1" a="1"/>
  <c r="AG162" i="3" s="1"/>
  <c r="AE162" i="3"/>
  <c r="AD162" i="3"/>
  <c r="AF161" i="3"/>
  <c r="AE161" i="3"/>
  <c r="AD161" i="3"/>
  <c r="AF160" i="3"/>
  <c r="AE160" i="3"/>
  <c r="AD160" i="3"/>
  <c r="AF159" i="3"/>
  <c r="AE159" i="3"/>
  <c r="AD159" i="3"/>
  <c r="AG159" i="3" s="1" a="1"/>
  <c r="AG159" i="3" s="1"/>
  <c r="AF158" i="3"/>
  <c r="AE158" i="3"/>
  <c r="AD158" i="3"/>
  <c r="AG157" i="3" a="1"/>
  <c r="AG157" i="3" s="1"/>
  <c r="AF157" i="3"/>
  <c r="AE157" i="3"/>
  <c r="AD157" i="3"/>
  <c r="AF156" i="3"/>
  <c r="AE156" i="3"/>
  <c r="AD156" i="3"/>
  <c r="AF155" i="3"/>
  <c r="AE155" i="3"/>
  <c r="AD155" i="3"/>
  <c r="AF154" i="3"/>
  <c r="AE154" i="3"/>
  <c r="AG154" i="3" s="1" a="1"/>
  <c r="AG154" i="3" s="1"/>
  <c r="AD154" i="3"/>
  <c r="AF153" i="3"/>
  <c r="AE153" i="3"/>
  <c r="AD153" i="3"/>
  <c r="AF152" i="3"/>
  <c r="AE152" i="3"/>
  <c r="AD152" i="3"/>
  <c r="AG152" i="3" s="1" a="1"/>
  <c r="AG152" i="3" s="1"/>
  <c r="AF151" i="3"/>
  <c r="AE151" i="3"/>
  <c r="AD151" i="3"/>
  <c r="AG151" i="3" s="1" a="1"/>
  <c r="AG151" i="3" s="1"/>
  <c r="AF150" i="3"/>
  <c r="AE150" i="3"/>
  <c r="AD150" i="3"/>
  <c r="AG150" i="3" s="1" a="1"/>
  <c r="AG150" i="3" s="1"/>
  <c r="AF149" i="3"/>
  <c r="AE149" i="3"/>
  <c r="AD149" i="3"/>
  <c r="AF148" i="3"/>
  <c r="AE148" i="3"/>
  <c r="AG148" i="3" s="1" a="1"/>
  <c r="AG148" i="3" s="1"/>
  <c r="AD148" i="3"/>
  <c r="AF147" i="3"/>
  <c r="AE147" i="3"/>
  <c r="AD147" i="3"/>
  <c r="AF146" i="3"/>
  <c r="AE146" i="3"/>
  <c r="AD146" i="3"/>
  <c r="AF145" i="3"/>
  <c r="AG145" i="3" s="1" a="1"/>
  <c r="AG145" i="3" s="1"/>
  <c r="AE145" i="3"/>
  <c r="AD145" i="3"/>
  <c r="AF144" i="3"/>
  <c r="AE144" i="3"/>
  <c r="AD144" i="3"/>
  <c r="AF143" i="3"/>
  <c r="AE143" i="3"/>
  <c r="AD143" i="3"/>
  <c r="AG143" i="3" s="1" a="1"/>
  <c r="AG143" i="3" s="1"/>
  <c r="AF142" i="3"/>
  <c r="AE142" i="3"/>
  <c r="AD142" i="3"/>
  <c r="AF141" i="3"/>
  <c r="AE141" i="3"/>
  <c r="AD141" i="3"/>
  <c r="AF140" i="3"/>
  <c r="AE140" i="3"/>
  <c r="AD140" i="3"/>
  <c r="AF139" i="3"/>
  <c r="AE139" i="3"/>
  <c r="AD139" i="3"/>
  <c r="AG139" i="3" s="1" a="1"/>
  <c r="AG139" i="3" s="1"/>
  <c r="AF138" i="3"/>
  <c r="AE138" i="3"/>
  <c r="AD138" i="3"/>
  <c r="AG138" i="3" s="1" a="1"/>
  <c r="AG138" i="3" s="1"/>
  <c r="AG137" i="3" a="1"/>
  <c r="AG137" i="3" s="1"/>
  <c r="AF137" i="3"/>
  <c r="AE137" i="3"/>
  <c r="AD137" i="3"/>
  <c r="AF136" i="3"/>
  <c r="AE136" i="3"/>
  <c r="AD136" i="3"/>
  <c r="AF135" i="3"/>
  <c r="AE135" i="3"/>
  <c r="AD135" i="3"/>
  <c r="AF134" i="3"/>
  <c r="AE134" i="3"/>
  <c r="AD134" i="3"/>
  <c r="AG134" i="3" s="1" a="1"/>
  <c r="AG134" i="3" s="1"/>
  <c r="AF133" i="3"/>
  <c r="AE133" i="3"/>
  <c r="AD133" i="3"/>
  <c r="AG133" i="3" s="1" a="1"/>
  <c r="AG133" i="3" s="1"/>
  <c r="AF132" i="3"/>
  <c r="AE132" i="3"/>
  <c r="AD132" i="3"/>
  <c r="AF131" i="3"/>
  <c r="AE131" i="3"/>
  <c r="AD131" i="3"/>
  <c r="AG131" i="3" s="1" a="1"/>
  <c r="AG131" i="3" s="1"/>
  <c r="AF130" i="3"/>
  <c r="AE130" i="3"/>
  <c r="AD130" i="3"/>
  <c r="AG130" i="3" s="1" a="1"/>
  <c r="AG130" i="3" s="1"/>
  <c r="AF129" i="3"/>
  <c r="AE129" i="3"/>
  <c r="AD129" i="3"/>
  <c r="AG129" i="3" s="1" a="1"/>
  <c r="AG129" i="3" s="1"/>
  <c r="AF128" i="3"/>
  <c r="AE128" i="3"/>
  <c r="AD128" i="3"/>
  <c r="AG128" i="3" s="1" a="1"/>
  <c r="AG128" i="3" s="1"/>
  <c r="AF127" i="3"/>
  <c r="AE127" i="3"/>
  <c r="AD127" i="3"/>
  <c r="AG127" i="3" s="1" a="1"/>
  <c r="AG127" i="3" s="1"/>
  <c r="AF126" i="3"/>
  <c r="AE126" i="3"/>
  <c r="AD126" i="3"/>
  <c r="AF125" i="3"/>
  <c r="AE125" i="3"/>
  <c r="AD125" i="3"/>
  <c r="AF124" i="3"/>
  <c r="AE124" i="3"/>
  <c r="AD124" i="3"/>
  <c r="AF123" i="3"/>
  <c r="AE123" i="3"/>
  <c r="AD123" i="3"/>
  <c r="AG123" i="3" s="1" a="1"/>
  <c r="AG123" i="3" s="1"/>
  <c r="AF122" i="3"/>
  <c r="AE122" i="3"/>
  <c r="AD122" i="3"/>
  <c r="AF121" i="3"/>
  <c r="AE121" i="3"/>
  <c r="AG121" i="3" s="1" a="1"/>
  <c r="AG121" i="3" s="1"/>
  <c r="AD121" i="3"/>
  <c r="AG120" i="3" a="1"/>
  <c r="AG120" i="3" s="1"/>
  <c r="AF120" i="3"/>
  <c r="AE120" i="3"/>
  <c r="AD120" i="3"/>
  <c r="AF119" i="3"/>
  <c r="AE119" i="3"/>
  <c r="AD119" i="3"/>
  <c r="AF118" i="3"/>
  <c r="AG118" i="3" s="1" a="1"/>
  <c r="AG118" i="3" s="1"/>
  <c r="AE118" i="3"/>
  <c r="AD118" i="3"/>
  <c r="AG117" i="3" a="1"/>
  <c r="AG117" i="3" s="1"/>
  <c r="AF117" i="3"/>
  <c r="AE117" i="3"/>
  <c r="AD117" i="3"/>
  <c r="AF116" i="3"/>
  <c r="AE116" i="3"/>
  <c r="AD116" i="3"/>
  <c r="AG115" i="3" a="1"/>
  <c r="AG115" i="3" s="1"/>
  <c r="AF115" i="3"/>
  <c r="AE115" i="3"/>
  <c r="AD115" i="3"/>
  <c r="AF114" i="3"/>
  <c r="AE114" i="3"/>
  <c r="AD114" i="3"/>
  <c r="AG114" i="3" s="1" a="1"/>
  <c r="AG114" i="3" s="1"/>
  <c r="AF113" i="3"/>
  <c r="AE113" i="3"/>
  <c r="AD113" i="3"/>
  <c r="AF112" i="3"/>
  <c r="AE112" i="3"/>
  <c r="AD112" i="3"/>
  <c r="AF111" i="3"/>
  <c r="AE111" i="3"/>
  <c r="AD111" i="3"/>
  <c r="AF110" i="3"/>
  <c r="AE110" i="3"/>
  <c r="AD110" i="3"/>
  <c r="AF109" i="3"/>
  <c r="AE109" i="3"/>
  <c r="AG109" i="3" s="1" a="1"/>
  <c r="AG109" i="3" s="1"/>
  <c r="AD109" i="3"/>
  <c r="AF108" i="3"/>
  <c r="AE108" i="3"/>
  <c r="AD108" i="3"/>
  <c r="AF107" i="3"/>
  <c r="AE107" i="3"/>
  <c r="AD107" i="3"/>
  <c r="AF106" i="3"/>
  <c r="AE106" i="3"/>
  <c r="AD106" i="3"/>
  <c r="AG106" i="3" s="1" a="1"/>
  <c r="AG106" i="3" s="1"/>
  <c r="AF105" i="3"/>
  <c r="AE105" i="3"/>
  <c r="AD105" i="3"/>
  <c r="AF104" i="3"/>
  <c r="AE104" i="3"/>
  <c r="AD104" i="3"/>
  <c r="AF103" i="3"/>
  <c r="AE103" i="3"/>
  <c r="AD103" i="3"/>
  <c r="AG103" i="3" s="1" a="1"/>
  <c r="AG103" i="3" s="1"/>
  <c r="AF102" i="3"/>
  <c r="AE102" i="3"/>
  <c r="AD102" i="3"/>
  <c r="AF101" i="3"/>
  <c r="AG101" i="3" s="1" a="1"/>
  <c r="AG101" i="3" s="1"/>
  <c r="AE101" i="3"/>
  <c r="AD101" i="3"/>
  <c r="AF100" i="3"/>
  <c r="AE100" i="3"/>
  <c r="AD100" i="3"/>
  <c r="AF99" i="3"/>
  <c r="AE99" i="3"/>
  <c r="AD99" i="3"/>
  <c r="AF98" i="3"/>
  <c r="AE98" i="3"/>
  <c r="AG98" i="3" s="1" a="1"/>
  <c r="AG98" i="3" s="1"/>
  <c r="AD98" i="3"/>
  <c r="AF97" i="3"/>
  <c r="AE97" i="3"/>
  <c r="AD97" i="3"/>
  <c r="AG97" i="3" s="1" a="1"/>
  <c r="AG97" i="3" s="1"/>
  <c r="AF96" i="3"/>
  <c r="AE96" i="3"/>
  <c r="AD96" i="3"/>
  <c r="AG96" i="3" s="1" a="1"/>
  <c r="AG96" i="3" s="1"/>
  <c r="AF95" i="3"/>
  <c r="AE95" i="3"/>
  <c r="AD95" i="3"/>
  <c r="AG95" i="3" s="1" a="1"/>
  <c r="AG95" i="3" s="1"/>
  <c r="AF94" i="3"/>
  <c r="AE94" i="3"/>
  <c r="AD94" i="3"/>
  <c r="AG94" i="3" s="1" a="1"/>
  <c r="AG94" i="3" s="1"/>
  <c r="AF93" i="3"/>
  <c r="AE93" i="3"/>
  <c r="AD93" i="3"/>
  <c r="AF92" i="3"/>
  <c r="AE92" i="3"/>
  <c r="AD92" i="3"/>
  <c r="AG92" i="3" s="1" a="1"/>
  <c r="AG92" i="3" s="1"/>
  <c r="AF91" i="3"/>
  <c r="AE91" i="3"/>
  <c r="AD91" i="3"/>
  <c r="AG91" i="3" s="1" a="1"/>
  <c r="AG91" i="3" s="1"/>
  <c r="AF90" i="3"/>
  <c r="AE90" i="3"/>
  <c r="AD90" i="3"/>
  <c r="AF89" i="3"/>
  <c r="AE89" i="3"/>
  <c r="AG89" i="3" s="1" a="1"/>
  <c r="AG89" i="3" s="1"/>
  <c r="AD89" i="3"/>
  <c r="AF88" i="3"/>
  <c r="AE88" i="3"/>
  <c r="AD88" i="3"/>
  <c r="AF87" i="3"/>
  <c r="AE87" i="3"/>
  <c r="AG87" i="3" s="1" a="1"/>
  <c r="AG87" i="3" s="1"/>
  <c r="AD87" i="3"/>
  <c r="AF86" i="3"/>
  <c r="AE86" i="3"/>
  <c r="AD86" i="3"/>
  <c r="AF85" i="3"/>
  <c r="AE85" i="3"/>
  <c r="AD85" i="3"/>
  <c r="AG85" i="3" s="1" a="1"/>
  <c r="AG85" i="3" s="1"/>
  <c r="AF84" i="3"/>
  <c r="AE84" i="3"/>
  <c r="AD84" i="3"/>
  <c r="AF83" i="3"/>
  <c r="AE83" i="3"/>
  <c r="AD83" i="3"/>
  <c r="AF82" i="3"/>
  <c r="AE82" i="3"/>
  <c r="AD82" i="3"/>
  <c r="AF81" i="3"/>
  <c r="AE81" i="3"/>
  <c r="AD81" i="3"/>
  <c r="AG81" i="3" s="1" a="1"/>
  <c r="AG81" i="3" s="1"/>
  <c r="AF80" i="3"/>
  <c r="AE80" i="3"/>
  <c r="AD80" i="3"/>
  <c r="AF79" i="3"/>
  <c r="AE79" i="3"/>
  <c r="AD79" i="3"/>
  <c r="AG78" i="3" a="1"/>
  <c r="AG78" i="3" s="1"/>
  <c r="AF78" i="3"/>
  <c r="AE78" i="3"/>
  <c r="AD78" i="3"/>
  <c r="AF77" i="3"/>
  <c r="AE77" i="3"/>
  <c r="AD77" i="3"/>
  <c r="AG77" i="3" s="1" a="1"/>
  <c r="AG77" i="3" s="1"/>
  <c r="AF76" i="3"/>
  <c r="AG76" i="3" s="1" a="1"/>
  <c r="AG76" i="3" s="1"/>
  <c r="AE76" i="3"/>
  <c r="AD76" i="3"/>
  <c r="AF75" i="3"/>
  <c r="AE75" i="3"/>
  <c r="AD75" i="3"/>
  <c r="AG75" i="3" s="1" a="1"/>
  <c r="AG75" i="3" s="1"/>
  <c r="AF74" i="3"/>
  <c r="AE74" i="3"/>
  <c r="AD74" i="3"/>
  <c r="AG74" i="3" s="1" a="1"/>
  <c r="AG74" i="3" s="1"/>
  <c r="AF73" i="3"/>
  <c r="AE73" i="3"/>
  <c r="AD73" i="3"/>
  <c r="AG73" i="3" s="1" a="1"/>
  <c r="AG73" i="3" s="1"/>
  <c r="AF72" i="3"/>
  <c r="AE72" i="3"/>
  <c r="AD72" i="3"/>
  <c r="AG72" i="3" s="1" a="1"/>
  <c r="AG72" i="3" s="1"/>
  <c r="AF71" i="3"/>
  <c r="AE71" i="3"/>
  <c r="AD71" i="3"/>
  <c r="AF70" i="3"/>
  <c r="AE70" i="3"/>
  <c r="AD70" i="3"/>
  <c r="AF69" i="3"/>
  <c r="AE69" i="3"/>
  <c r="AD69" i="3"/>
  <c r="AF68" i="3"/>
  <c r="AE68" i="3"/>
  <c r="AD68" i="3"/>
  <c r="AF67" i="3"/>
  <c r="AE67" i="3"/>
  <c r="AD67" i="3"/>
  <c r="AG67" i="3" s="1" a="1"/>
  <c r="AG67" i="3" s="1"/>
  <c r="AF66" i="3"/>
  <c r="AE66" i="3"/>
  <c r="AD66" i="3"/>
  <c r="AF65" i="3"/>
  <c r="AE65" i="3"/>
  <c r="AG65" i="3" s="1" a="1"/>
  <c r="AG65" i="3" s="1"/>
  <c r="AD65" i="3"/>
  <c r="AF64" i="3"/>
  <c r="AG64" i="3" s="1" a="1"/>
  <c r="AG64" i="3" s="1"/>
  <c r="AE64" i="3"/>
  <c r="AD64" i="3"/>
  <c r="AF63" i="3"/>
  <c r="AE63" i="3"/>
  <c r="AD63" i="3"/>
  <c r="AF62" i="3"/>
  <c r="AE62" i="3"/>
  <c r="AD62" i="3"/>
  <c r="AF61" i="3"/>
  <c r="AE61" i="3"/>
  <c r="AD61" i="3"/>
  <c r="AG61" i="3" s="1" a="1"/>
  <c r="AG61" i="3" s="1"/>
  <c r="AF60" i="3"/>
  <c r="AE60" i="3"/>
  <c r="AD60" i="3"/>
  <c r="AG59" i="3" a="1"/>
  <c r="AG59" i="3" s="1"/>
  <c r="AF59" i="3"/>
  <c r="AE59" i="3"/>
  <c r="AD59" i="3"/>
  <c r="AF58" i="3"/>
  <c r="AE58" i="3"/>
  <c r="AD58" i="3"/>
  <c r="AF57" i="3"/>
  <c r="AE57" i="3"/>
  <c r="AD57" i="3"/>
  <c r="AF56" i="3"/>
  <c r="AE56" i="3"/>
  <c r="AG56" i="3" s="1" a="1"/>
  <c r="AG56" i="3" s="1"/>
  <c r="AD56" i="3"/>
  <c r="AF55" i="3"/>
  <c r="AE55" i="3"/>
  <c r="AD55" i="3"/>
  <c r="AF54" i="3"/>
  <c r="AE54" i="3"/>
  <c r="AD54" i="3"/>
  <c r="AG54" i="3" s="1" a="1"/>
  <c r="AG54" i="3" s="1"/>
  <c r="AF53" i="3"/>
  <c r="AE53" i="3"/>
  <c r="AD53" i="3"/>
  <c r="AG53" i="3" s="1" a="1"/>
  <c r="AG53" i="3" s="1"/>
  <c r="AF52" i="3"/>
  <c r="AE52" i="3"/>
  <c r="AD52" i="3"/>
  <c r="AG52" i="3" s="1" a="1"/>
  <c r="AG52" i="3" s="1"/>
  <c r="AF51" i="3"/>
  <c r="AE51" i="3"/>
  <c r="AD51" i="3"/>
  <c r="AF50" i="3"/>
  <c r="AE50" i="3"/>
  <c r="AG50" i="3" s="1" a="1"/>
  <c r="AG50" i="3" s="1"/>
  <c r="AD50" i="3"/>
  <c r="AF49" i="3"/>
  <c r="AE49" i="3"/>
  <c r="AD49" i="3"/>
  <c r="AF48" i="3"/>
  <c r="AE48" i="3"/>
  <c r="AD48" i="3"/>
  <c r="AF47" i="3"/>
  <c r="AE47" i="3"/>
  <c r="AD47" i="3"/>
  <c r="AG47" i="3" s="1" a="1"/>
  <c r="AG47" i="3" s="1"/>
  <c r="AF46" i="3"/>
  <c r="AE46" i="3"/>
  <c r="AD46" i="3"/>
  <c r="AF45" i="3"/>
  <c r="AE45" i="3"/>
  <c r="AD45" i="3"/>
  <c r="AG45" i="3" s="1" a="1"/>
  <c r="AG45" i="3" s="1"/>
  <c r="AF44" i="3"/>
  <c r="AE44" i="3"/>
  <c r="AD44" i="3"/>
  <c r="AF43" i="3"/>
  <c r="AE43" i="3"/>
  <c r="AD43" i="3"/>
  <c r="AF42" i="3"/>
  <c r="AE42" i="3"/>
  <c r="AD42" i="3"/>
  <c r="AF41" i="3"/>
  <c r="AE41" i="3"/>
  <c r="AD41" i="3"/>
  <c r="AG41" i="3" s="1" a="1"/>
  <c r="AG41" i="3" s="1"/>
  <c r="AF40" i="3"/>
  <c r="AE40" i="3"/>
  <c r="AD40" i="3"/>
  <c r="AG40" i="3" s="1" a="1"/>
  <c r="AG40" i="3" s="1"/>
  <c r="AF39" i="3"/>
  <c r="AE39" i="3"/>
  <c r="AD39" i="3"/>
  <c r="AG39" i="3" s="1" a="1"/>
  <c r="AG39" i="3" s="1"/>
  <c r="AF38" i="3"/>
  <c r="AE38" i="3"/>
  <c r="AD38" i="3"/>
  <c r="AF37" i="3"/>
  <c r="AE37" i="3"/>
  <c r="AD37" i="3"/>
  <c r="AF36" i="3"/>
  <c r="AE36" i="3"/>
  <c r="AD36" i="3"/>
  <c r="AG36" i="3" s="1" a="1"/>
  <c r="AG36" i="3" s="1"/>
  <c r="AF35" i="3"/>
  <c r="AE35" i="3"/>
  <c r="AD35" i="3"/>
  <c r="AG35" i="3" s="1" a="1"/>
  <c r="AG35" i="3" s="1"/>
  <c r="AF34" i="3"/>
  <c r="AE34" i="3"/>
  <c r="AD34" i="3"/>
  <c r="AF33" i="3"/>
  <c r="AE33" i="3"/>
  <c r="AD33" i="3"/>
  <c r="AG33" i="3" s="1" a="1"/>
  <c r="AG33" i="3" s="1"/>
  <c r="AF32" i="3"/>
  <c r="AE32" i="3"/>
  <c r="AD32" i="3"/>
  <c r="AG32" i="3" s="1" a="1"/>
  <c r="AG32" i="3" s="1"/>
  <c r="AF31" i="3"/>
  <c r="AE31" i="3"/>
  <c r="AD31" i="3"/>
  <c r="AG31" i="3" s="1" a="1"/>
  <c r="AG31" i="3" s="1"/>
  <c r="AF30" i="3"/>
  <c r="AE30" i="3"/>
  <c r="AD30" i="3"/>
  <c r="AG30" i="3" s="1" a="1"/>
  <c r="AG30" i="3" s="1"/>
  <c r="AF29" i="3"/>
  <c r="AE29" i="3"/>
  <c r="AD29" i="3"/>
  <c r="AG29" i="3" s="1" a="1"/>
  <c r="AG29" i="3" s="1"/>
  <c r="AF28" i="3"/>
  <c r="AE28" i="3"/>
  <c r="AD28" i="3"/>
  <c r="AF27" i="3"/>
  <c r="AE27" i="3"/>
  <c r="AD27" i="3"/>
  <c r="AF26" i="3"/>
  <c r="AE26" i="3"/>
  <c r="AD26" i="3"/>
  <c r="AF25" i="3"/>
  <c r="AG25" i="3" s="1" a="1"/>
  <c r="AG25" i="3" s="1"/>
  <c r="AE25" i="3"/>
  <c r="AD25" i="3"/>
  <c r="AF24" i="3"/>
  <c r="AE24" i="3"/>
  <c r="AD24" i="3"/>
  <c r="AF23" i="3"/>
  <c r="AE23" i="3"/>
  <c r="AG23" i="3" s="1" a="1"/>
  <c r="AG23" i="3" s="1"/>
  <c r="AD23" i="3"/>
  <c r="AG22" i="3" a="1"/>
  <c r="AG22" i="3" s="1"/>
  <c r="AF22" i="3"/>
  <c r="AE22" i="3"/>
  <c r="AD22" i="3"/>
  <c r="AF21" i="3"/>
  <c r="AE21" i="3"/>
  <c r="AD21" i="3"/>
  <c r="AF20" i="3"/>
  <c r="AE20" i="3"/>
  <c r="AD20" i="3"/>
  <c r="AF19" i="3"/>
  <c r="AE19" i="3"/>
  <c r="AD19" i="3"/>
  <c r="AG19" i="3" s="1" a="1"/>
  <c r="AG19" i="3" s="1"/>
  <c r="AF18" i="3"/>
  <c r="AE18" i="3"/>
  <c r="AD18" i="3"/>
  <c r="AG17" i="3" a="1"/>
  <c r="AG17" i="3" s="1"/>
  <c r="AF17" i="3"/>
  <c r="AE17" i="3"/>
  <c r="AD17" i="3"/>
  <c r="AF16" i="3"/>
  <c r="AE16" i="3"/>
  <c r="AD16" i="3"/>
  <c r="AG16" i="3" s="1" a="1"/>
  <c r="AG16" i="3" s="1"/>
  <c r="AF15" i="3"/>
  <c r="AE15" i="3"/>
  <c r="AD15" i="3"/>
  <c r="AF14" i="3"/>
  <c r="AE14" i="3"/>
  <c r="AD14" i="3"/>
  <c r="AF13" i="3"/>
  <c r="AE13" i="3"/>
  <c r="AD13" i="3"/>
  <c r="AF12" i="3"/>
  <c r="AE12" i="3"/>
  <c r="AD12" i="3"/>
  <c r="AG12" i="3" s="1" a="1"/>
  <c r="AG12" i="3" s="1"/>
  <c r="AF11" i="3"/>
  <c r="AE11" i="3"/>
  <c r="AD11" i="3"/>
  <c r="AF10" i="3"/>
  <c r="AE10" i="3"/>
  <c r="AD10" i="3"/>
  <c r="AF9" i="3"/>
  <c r="AE9" i="3"/>
  <c r="AG9" i="3" s="1" a="1"/>
  <c r="AG9" i="3" s="1"/>
  <c r="AD9" i="3"/>
  <c r="AF8" i="3"/>
  <c r="AE8" i="3"/>
  <c r="AD8" i="3"/>
  <c r="AF7" i="3"/>
  <c r="AE7" i="3"/>
  <c r="AD7" i="3"/>
  <c r="AF6" i="3"/>
  <c r="AE6" i="3"/>
  <c r="AD6" i="3"/>
  <c r="AF5" i="3"/>
  <c r="AE5" i="3"/>
  <c r="AD5" i="3"/>
  <c r="AG5" i="3" s="1" a="1"/>
  <c r="AG5" i="3" s="1"/>
  <c r="AF4" i="3"/>
  <c r="AE4" i="3"/>
  <c r="AD4" i="3"/>
  <c r="AH5" i="10" l="1" a="1"/>
  <c r="AH5" i="10" s="1"/>
  <c r="AG25" i="6" a="1"/>
  <c r="AG25" i="6" s="1"/>
  <c r="AG53" i="6" a="1"/>
  <c r="AG53" i="6" s="1"/>
  <c r="AG81" i="6" a="1"/>
  <c r="AG81" i="6" s="1"/>
  <c r="AG109" i="6" a="1"/>
  <c r="AG109" i="6" s="1"/>
  <c r="AG11" i="6" a="1"/>
  <c r="AG11" i="6" s="1"/>
  <c r="AG39" i="6" a="1"/>
  <c r="AG39" i="6" s="1"/>
  <c r="AG95" i="6" a="1"/>
  <c r="AG95" i="6" s="1"/>
  <c r="AH26" i="7" a="1"/>
  <c r="AH26" i="7" s="1"/>
  <c r="AH42" i="7" a="1"/>
  <c r="AH42" i="7" s="1"/>
  <c r="AH54" i="7" a="1"/>
  <c r="AH54" i="7" s="1"/>
  <c r="AH70" i="7" a="1"/>
  <c r="AH70" i="7" s="1"/>
  <c r="AH82" i="7" a="1"/>
  <c r="AH82" i="7" s="1"/>
  <c r="AH98" i="7" a="1"/>
  <c r="AH98" i="7" s="1"/>
  <c r="AH110" i="7" a="1"/>
  <c r="AH110" i="7" s="1"/>
  <c r="AH126" i="7" a="1"/>
  <c r="AH126" i="7" s="1"/>
  <c r="AH154" i="7" a="1"/>
  <c r="AH154" i="7" s="1"/>
  <c r="AH55" i="7" a="1"/>
  <c r="AH55" i="7" s="1"/>
  <c r="AH83" i="7" a="1"/>
  <c r="AH83" i="7" s="1"/>
  <c r="AH111" i="7" a="1"/>
  <c r="AH111" i="7" s="1"/>
  <c r="AH139" i="7" a="1"/>
  <c r="AH139" i="7" s="1"/>
  <c r="AH167" i="7" a="1"/>
  <c r="AH167" i="7" s="1"/>
  <c r="AH195" i="7" a="1"/>
  <c r="AH195" i="7" s="1"/>
  <c r="AH166" i="7" a="1"/>
  <c r="AH166" i="7" s="1"/>
  <c r="AH182" i="7" a="1"/>
  <c r="AH182" i="7" s="1"/>
  <c r="AH194" i="7" a="1"/>
  <c r="AH194" i="7" s="1"/>
  <c r="AH40" i="7" a="1"/>
  <c r="AH40" i="7" s="1"/>
  <c r="AH56" i="7" a="1"/>
  <c r="AH56" i="7" s="1"/>
  <c r="AH68" i="7" a="1"/>
  <c r="AH68" i="7" s="1"/>
  <c r="AH84" i="7" a="1"/>
  <c r="AH84" i="7" s="1"/>
  <c r="AH96" i="7" a="1"/>
  <c r="AH96" i="7" s="1"/>
  <c r="AH112" i="7" a="1"/>
  <c r="AH112" i="7" s="1"/>
  <c r="AH140" i="7" a="1"/>
  <c r="AH140" i="7" s="1"/>
  <c r="AH152" i="7" a="1"/>
  <c r="AH152" i="7" s="1"/>
  <c r="AH168" i="7" a="1"/>
  <c r="AH168" i="7" s="1"/>
  <c r="AH180" i="7" a="1"/>
  <c r="AH180" i="7" s="1"/>
  <c r="AH138" i="7" a="1"/>
  <c r="AH138" i="7" s="1"/>
  <c r="AH153" i="7" a="1"/>
  <c r="AH153" i="7" s="1"/>
  <c r="AH124" i="7" a="1"/>
  <c r="AH124" i="7" s="1"/>
  <c r="AH12" i="7" a="1"/>
  <c r="AH12" i="7" s="1"/>
  <c r="AH13" i="7" a="1"/>
  <c r="AH13" i="7" s="1"/>
  <c r="AH28" i="7" a="1"/>
  <c r="AH28" i="7" s="1"/>
  <c r="AH41" i="7" a="1"/>
  <c r="AH41" i="7" s="1"/>
  <c r="AH27" i="7" a="1"/>
  <c r="AH27" i="7" s="1"/>
  <c r="AG24" i="3" a="1"/>
  <c r="AG24" i="3" s="1"/>
  <c r="AG28" i="3" a="1"/>
  <c r="AG28" i="3" s="1"/>
  <c r="AG48" i="3" a="1"/>
  <c r="AG48" i="3" s="1"/>
  <c r="AG57" i="3" a="1"/>
  <c r="AG57" i="3" s="1"/>
  <c r="AG69" i="3" a="1"/>
  <c r="AG69" i="3" s="1"/>
  <c r="AG93" i="3" a="1"/>
  <c r="AG93" i="3" s="1"/>
  <c r="AG102" i="3" a="1"/>
  <c r="AG102" i="3" s="1"/>
  <c r="AG122" i="3" a="1"/>
  <c r="AG122" i="3" s="1"/>
  <c r="AG126" i="3" a="1"/>
  <c r="AG126" i="3" s="1"/>
  <c r="AG146" i="3" a="1"/>
  <c r="AG146" i="3" s="1"/>
  <c r="AG155" i="3" a="1"/>
  <c r="AG155" i="3" s="1"/>
  <c r="AG167" i="3" a="1"/>
  <c r="AG167" i="3" s="1"/>
  <c r="AG191" i="3" a="1"/>
  <c r="AG191" i="3" s="1"/>
  <c r="AG200" i="3" a="1"/>
  <c r="AG200" i="3" s="1"/>
  <c r="AG49" i="3" a="1"/>
  <c r="AG49" i="3" s="1"/>
  <c r="AG86" i="3" a="1"/>
  <c r="AG86" i="3" s="1"/>
  <c r="AG110" i="3" a="1"/>
  <c r="AG110" i="3" s="1"/>
  <c r="AG147" i="3" a="1"/>
  <c r="AG147" i="3" s="1"/>
  <c r="AG184" i="3" a="1"/>
  <c r="AG184" i="3" s="1"/>
  <c r="AG20" i="3" a="1"/>
  <c r="AG20" i="3" s="1"/>
  <c r="AG21" i="3" a="1"/>
  <c r="AG21" i="3" s="1"/>
  <c r="AG82" i="3" a="1"/>
  <c r="AG82" i="3" s="1"/>
  <c r="AG119" i="3" a="1"/>
  <c r="AG119" i="3" s="1"/>
  <c r="AG156" i="3" a="1"/>
  <c r="AG156" i="3" s="1"/>
  <c r="AG180" i="3" a="1"/>
  <c r="AG180" i="3" s="1"/>
  <c r="AG11" i="3" a="1"/>
  <c r="AG11" i="3" s="1"/>
  <c r="AG8" i="3" a="1"/>
  <c r="AG8" i="3" s="1"/>
  <c r="AG58" i="3" a="1"/>
  <c r="AG58" i="3" s="1"/>
  <c r="AG4" i="3" a="1"/>
  <c r="AG4" i="3" s="1"/>
  <c r="AG37" i="3" a="1"/>
  <c r="AG37" i="3" s="1"/>
  <c r="AG46" i="3" a="1"/>
  <c r="AG46" i="3" s="1"/>
  <c r="AG66" i="3" a="1"/>
  <c r="AG66" i="3" s="1"/>
  <c r="AG70" i="3" a="1"/>
  <c r="AG70" i="3" s="1"/>
  <c r="AG90" i="3" a="1"/>
  <c r="AG90" i="3" s="1"/>
  <c r="AG99" i="3" a="1"/>
  <c r="AG99" i="3" s="1"/>
  <c r="AG111" i="3" a="1"/>
  <c r="AG111" i="3" s="1"/>
  <c r="AG135" i="3" a="1"/>
  <c r="AG135" i="3" s="1"/>
  <c r="AG144" i="3" a="1"/>
  <c r="AG144" i="3" s="1"/>
  <c r="AG164" i="3" a="1"/>
  <c r="AG164" i="3" s="1"/>
  <c r="AG168" i="3" a="1"/>
  <c r="AG168" i="3" s="1"/>
  <c r="AG188" i="3" a="1"/>
  <c r="AG188" i="3" s="1"/>
  <c r="AG197" i="3" a="1"/>
  <c r="AG197" i="3" s="1"/>
  <c r="AG189" i="3" a="1"/>
  <c r="AG189" i="3" s="1"/>
  <c r="AG18" i="3" a="1"/>
  <c r="AG18" i="3" s="1"/>
  <c r="AG38" i="3" a="1"/>
  <c r="AG38" i="3" s="1"/>
  <c r="AG42" i="3" a="1"/>
  <c r="AG42" i="3" s="1"/>
  <c r="AG62" i="3" a="1"/>
  <c r="AG62" i="3" s="1"/>
  <c r="AG71" i="3" a="1"/>
  <c r="AG71" i="3" s="1"/>
  <c r="AG83" i="3" a="1"/>
  <c r="AG83" i="3" s="1"/>
  <c r="AG107" i="3" a="1"/>
  <c r="AG107" i="3" s="1"/>
  <c r="AG116" i="3" a="1"/>
  <c r="AG116" i="3" s="1"/>
  <c r="AG136" i="3" a="1"/>
  <c r="AG136" i="3" s="1"/>
  <c r="AG140" i="3" a="1"/>
  <c r="AG140" i="3" s="1"/>
  <c r="AG160" i="3" a="1"/>
  <c r="AG160" i="3" s="1"/>
  <c r="AG169" i="3" a="1"/>
  <c r="AG169" i="3" s="1"/>
  <c r="AG181" i="3" a="1"/>
  <c r="AG181" i="3" s="1"/>
  <c r="AG6" i="3" a="1"/>
  <c r="AG6" i="3" s="1"/>
  <c r="AG26" i="3" a="1"/>
  <c r="AG26" i="3" s="1"/>
  <c r="AG63" i="3" a="1"/>
  <c r="AG63" i="3" s="1"/>
  <c r="AG100" i="3" a="1"/>
  <c r="AG100" i="3" s="1"/>
  <c r="AG124" i="3" a="1"/>
  <c r="AG124" i="3" s="1"/>
  <c r="AG161" i="3" a="1"/>
  <c r="AG161" i="3" s="1"/>
  <c r="AG14" i="3" a="1"/>
  <c r="AG14" i="3" s="1"/>
  <c r="AG34" i="3" a="1"/>
  <c r="AG34" i="3" s="1"/>
  <c r="AG43" i="3" a="1"/>
  <c r="AG43" i="3" s="1"/>
  <c r="AG55" i="3" a="1"/>
  <c r="AG55" i="3" s="1"/>
  <c r="AG79" i="3" a="1"/>
  <c r="AG79" i="3" s="1"/>
  <c r="AG88" i="3" a="1"/>
  <c r="AG88" i="3" s="1"/>
  <c r="AG108" i="3" a="1"/>
  <c r="AG108" i="3" s="1"/>
  <c r="AG112" i="3" a="1"/>
  <c r="AG112" i="3" s="1"/>
  <c r="AG132" i="3" a="1"/>
  <c r="AG132" i="3" s="1"/>
  <c r="AG141" i="3" a="1"/>
  <c r="AG141" i="3" s="1"/>
  <c r="AG153" i="3" a="1"/>
  <c r="AG153" i="3" s="1"/>
  <c r="AG177" i="3" a="1"/>
  <c r="AG177" i="3" s="1"/>
  <c r="AG186" i="3" a="1"/>
  <c r="AG186" i="3" s="1"/>
  <c r="AG194" i="3" a="1"/>
  <c r="AG194" i="3" s="1"/>
  <c r="AG84" i="3" a="1"/>
  <c r="AG84" i="3" s="1"/>
  <c r="AG125" i="3" a="1"/>
  <c r="AG125" i="3" s="1"/>
  <c r="AG149" i="3" a="1"/>
  <c r="AG149" i="3" s="1"/>
  <c r="AG158" i="3" a="1"/>
  <c r="AG158" i="3" s="1"/>
  <c r="AG178" i="3" a="1"/>
  <c r="AG178" i="3" s="1"/>
  <c r="AG182" i="3" a="1"/>
  <c r="AG182" i="3" s="1"/>
  <c r="AG15" i="3" a="1"/>
  <c r="AG15" i="3" s="1"/>
  <c r="AG27" i="3" a="1"/>
  <c r="AG27" i="3" s="1"/>
  <c r="AG51" i="3" a="1"/>
  <c r="AG51" i="3" s="1"/>
  <c r="AG60" i="3" a="1"/>
  <c r="AG60" i="3" s="1"/>
  <c r="AG80" i="3" a="1"/>
  <c r="AG80" i="3" s="1"/>
  <c r="AG104" i="3" a="1"/>
  <c r="AG104" i="3" s="1"/>
  <c r="AG113" i="3" a="1"/>
  <c r="AG113" i="3" s="1"/>
  <c r="AG44" i="3" a="1"/>
  <c r="AG44" i="3" s="1"/>
  <c r="AG68" i="3" a="1"/>
  <c r="AG68" i="3" s="1"/>
  <c r="AG105" i="3" a="1"/>
  <c r="AG105" i="3" s="1"/>
  <c r="AG142" i="3" a="1"/>
  <c r="AG142" i="3" s="1"/>
  <c r="AG166" i="3" a="1"/>
  <c r="AG166" i="3" s="1"/>
  <c r="AG203" i="3" a="1"/>
  <c r="AG203" i="3" s="1"/>
  <c r="AG195" i="3" a="1"/>
  <c r="AG195" i="3" s="1"/>
  <c r="AH15" i="10" a="1"/>
  <c r="AH15" i="10" s="1"/>
  <c r="AH38" i="10" a="1"/>
  <c r="AH38" i="10" s="1"/>
  <c r="AH94" i="10" a="1"/>
  <c r="AH94" i="10" s="1"/>
  <c r="AG197" i="4" a="1"/>
  <c r="AG197" i="4" s="1"/>
  <c r="AG52" i="4" a="1"/>
  <c r="AG52" i="4" s="1"/>
  <c r="AG150" i="4" a="1"/>
  <c r="AG150" i="4" s="1"/>
  <c r="AG175" i="4" a="1"/>
  <c r="AG175" i="4" s="1"/>
  <c r="AG188" i="4" a="1"/>
  <c r="AG188" i="4" s="1"/>
  <c r="AG9" i="4" a="1"/>
  <c r="AG9" i="4" s="1"/>
  <c r="AG73" i="4" a="1"/>
  <c r="AG73" i="4" s="1"/>
  <c r="AG78" i="4" a="1"/>
  <c r="AG78" i="4" s="1"/>
  <c r="AG82" i="4" a="1"/>
  <c r="AG82" i="4" s="1"/>
  <c r="AG99" i="4" a="1"/>
  <c r="AG99" i="4" s="1"/>
  <c r="AG171" i="4" a="1"/>
  <c r="AG171" i="4" s="1"/>
  <c r="AG176" i="4" a="1"/>
  <c r="AG176" i="4" s="1"/>
  <c r="AG180" i="4" a="1"/>
  <c r="AG180" i="4" s="1"/>
  <c r="AG4" i="4" a="1"/>
  <c r="AG4" i="4" s="1"/>
  <c r="AG14" i="4" a="1"/>
  <c r="AG14" i="4" s="1"/>
  <c r="AG23" i="4" a="1"/>
  <c r="AG23" i="4" s="1"/>
  <c r="AG27" i="4" a="1"/>
  <c r="AG27" i="4" s="1"/>
  <c r="AG35" i="4" a="1"/>
  <c r="AG35" i="4" s="1"/>
  <c r="AG44" i="4" a="1"/>
  <c r="AG44" i="4" s="1"/>
  <c r="AG48" i="4" a="1"/>
  <c r="AG48" i="4" s="1"/>
  <c r="AG61" i="4" a="1"/>
  <c r="AG61" i="4" s="1"/>
  <c r="AG108" i="4" a="1"/>
  <c r="AG108" i="4" s="1"/>
  <c r="AG121" i="4" a="1"/>
  <c r="AG121" i="4" s="1"/>
  <c r="AG125" i="4" a="1"/>
  <c r="AG125" i="4" s="1"/>
  <c r="AG133" i="4" a="1"/>
  <c r="AG133" i="4" s="1"/>
  <c r="AG142" i="4" a="1"/>
  <c r="AG142" i="4" s="1"/>
  <c r="AG146" i="4" a="1"/>
  <c r="AG146" i="4" s="1"/>
  <c r="AG159" i="4" a="1"/>
  <c r="AG159" i="4" s="1"/>
  <c r="AG77" i="4" a="1"/>
  <c r="AG77" i="4" s="1"/>
  <c r="AG66" i="4" a="1"/>
  <c r="AG66" i="4" s="1"/>
  <c r="AG164" i="4" a="1"/>
  <c r="AG164" i="4" s="1"/>
  <c r="AG189" i="4" a="1"/>
  <c r="AG189" i="4" s="1"/>
  <c r="AG202" i="4" a="1"/>
  <c r="AG202" i="4" s="1"/>
  <c r="AG10" i="4" a="1"/>
  <c r="AG10" i="4" s="1"/>
  <c r="AG87" i="4" a="1"/>
  <c r="AG87" i="4" s="1"/>
  <c r="AG92" i="4" a="1"/>
  <c r="AG92" i="4" s="1"/>
  <c r="AG113" i="4" a="1"/>
  <c r="AG113" i="4" s="1"/>
  <c r="AG185" i="4" a="1"/>
  <c r="AG185" i="4" s="1"/>
  <c r="AG90" i="4" a="1"/>
  <c r="AG90" i="4" s="1"/>
  <c r="AG91" i="4" a="1"/>
  <c r="AG91" i="4" s="1"/>
  <c r="AG104" i="4" a="1"/>
  <c r="AG104" i="4" s="1"/>
  <c r="AG15" i="4" a="1"/>
  <c r="AG15" i="4" s="1"/>
  <c r="AG96" i="4" a="1"/>
  <c r="AG96" i="4" s="1"/>
  <c r="AG24" i="4" a="1"/>
  <c r="AG24" i="4" s="1"/>
  <c r="AG37" i="4" a="1"/>
  <c r="AG37" i="4" s="1"/>
  <c r="AG41" i="4" a="1"/>
  <c r="AG41" i="4" s="1"/>
  <c r="AG49" i="4" a="1"/>
  <c r="AG49" i="4" s="1"/>
  <c r="AG58" i="4" a="1"/>
  <c r="AG58" i="4" s="1"/>
  <c r="AG62" i="4" a="1"/>
  <c r="AG62" i="4" s="1"/>
  <c r="AG75" i="4" a="1"/>
  <c r="AG75" i="4" s="1"/>
  <c r="AG122" i="4" a="1"/>
  <c r="AG122" i="4" s="1"/>
  <c r="AG135" i="4" a="1"/>
  <c r="AG135" i="4" s="1"/>
  <c r="AG139" i="4" a="1"/>
  <c r="AG139" i="4" s="1"/>
  <c r="AG147" i="4" a="1"/>
  <c r="AG147" i="4" s="1"/>
  <c r="AG156" i="4" a="1"/>
  <c r="AG156" i="4" s="1"/>
  <c r="AG160" i="4" a="1"/>
  <c r="AG160" i="4" s="1"/>
  <c r="AG173" i="4" a="1"/>
  <c r="AG173" i="4" s="1"/>
  <c r="AG11" i="4" a="1"/>
  <c r="AG11" i="4" s="1"/>
  <c r="AG54" i="4" a="1"/>
  <c r="AG54" i="4" s="1"/>
  <c r="AG71" i="4" a="1"/>
  <c r="AG71" i="4" s="1"/>
  <c r="AG148" i="4" a="1"/>
  <c r="AG148" i="4" s="1"/>
  <c r="AG152" i="4" a="1"/>
  <c r="AG152" i="4" s="1"/>
  <c r="AG169" i="4" a="1"/>
  <c r="AG169" i="4" s="1"/>
  <c r="AG195" i="4" a="1"/>
  <c r="AG195" i="4" s="1"/>
  <c r="AG203" i="4" a="1"/>
  <c r="AG203" i="4" s="1"/>
  <c r="AG199" i="4" a="1"/>
  <c r="AG199" i="4" s="1"/>
  <c r="AG101" i="4" a="1"/>
  <c r="AG101" i="4" s="1"/>
  <c r="AG12" i="4" a="1"/>
  <c r="AG12" i="4" s="1"/>
  <c r="AG38" i="4" a="1"/>
  <c r="AG38" i="4" s="1"/>
  <c r="AG51" i="4" a="1"/>
  <c r="AG51" i="4" s="1"/>
  <c r="AG55" i="4" a="1"/>
  <c r="AG55" i="4" s="1"/>
  <c r="AG63" i="4" a="1"/>
  <c r="AG63" i="4" s="1"/>
  <c r="AG72" i="4" a="1"/>
  <c r="AG72" i="4" s="1"/>
  <c r="AG76" i="4" a="1"/>
  <c r="AG76" i="4" s="1"/>
  <c r="AG89" i="4" a="1"/>
  <c r="AG89" i="4" s="1"/>
  <c r="AG106" i="4" a="1"/>
  <c r="AG106" i="4" s="1"/>
  <c r="AG136" i="4" a="1"/>
  <c r="AG136" i="4" s="1"/>
  <c r="AG149" i="4" a="1"/>
  <c r="AG149" i="4" s="1"/>
  <c r="AG153" i="4" a="1"/>
  <c r="AG153" i="4" s="1"/>
  <c r="AG161" i="4" a="1"/>
  <c r="AG161" i="4" s="1"/>
  <c r="AG170" i="4" a="1"/>
  <c r="AG170" i="4" s="1"/>
  <c r="AG174" i="4" a="1"/>
  <c r="AG174" i="4" s="1"/>
  <c r="AG59" i="4" a="1"/>
  <c r="AG59" i="4" s="1"/>
  <c r="AG85" i="4" a="1"/>
  <c r="AG85" i="4" s="1"/>
  <c r="AG157" i="4" a="1"/>
  <c r="AG157" i="4" s="1"/>
  <c r="AG166" i="4" a="1"/>
  <c r="AG166" i="4" s="1"/>
  <c r="AG183" i="4" a="1"/>
  <c r="AG183" i="4" s="1"/>
  <c r="AG64" i="4" a="1"/>
  <c r="AG64" i="4" s="1"/>
  <c r="AG68" i="4" a="1"/>
  <c r="AG68" i="4" s="1"/>
  <c r="AG8" i="4" a="1"/>
  <c r="AG8" i="4" s="1"/>
  <c r="AG21" i="4" a="1"/>
  <c r="AG21" i="4" s="1"/>
  <c r="AG30" i="4" a="1"/>
  <c r="AG30" i="4" s="1"/>
  <c r="AG34" i="4" a="1"/>
  <c r="AG34" i="4" s="1"/>
  <c r="AG47" i="4" a="1"/>
  <c r="AG47" i="4" s="1"/>
  <c r="AG94" i="4" a="1"/>
  <c r="AG94" i="4" s="1"/>
  <c r="AG107" i="4" a="1"/>
  <c r="AG107" i="4" s="1"/>
  <c r="AG111" i="4" a="1"/>
  <c r="AG111" i="4" s="1"/>
  <c r="AG119" i="4" a="1"/>
  <c r="AG119" i="4" s="1"/>
  <c r="AG128" i="4" a="1"/>
  <c r="AG128" i="4" s="1"/>
  <c r="AG132" i="4" a="1"/>
  <c r="AG132" i="4" s="1"/>
  <c r="AG145" i="4" a="1"/>
  <c r="AG145" i="4" s="1"/>
  <c r="AG162" i="4" a="1"/>
  <c r="AG162" i="4" s="1"/>
  <c r="AG192" i="4" a="1"/>
  <c r="AG192" i="4" s="1"/>
  <c r="AH200" i="10" a="1"/>
  <c r="AH200" i="10" s="1"/>
  <c r="AH201" i="10" a="1"/>
  <c r="AH201" i="10" s="1"/>
  <c r="AH202" i="10" a="1"/>
  <c r="AH202" i="10" s="1"/>
  <c r="AH192" i="10" a="1"/>
  <c r="AH192" i="10" s="1"/>
  <c r="AH186" i="10" a="1"/>
  <c r="AH186" i="10" s="1"/>
  <c r="AH197" i="10" a="1"/>
  <c r="AH197" i="10" s="1"/>
  <c r="AH57" i="10" a="1"/>
  <c r="AH57" i="10" s="1"/>
  <c r="AH24" i="10" a="1"/>
  <c r="AH24" i="10" s="1"/>
  <c r="AH122" i="10" a="1"/>
  <c r="AH122" i="10" s="1"/>
  <c r="AH136" i="10" a="1"/>
  <c r="AH136" i="10" s="1"/>
  <c r="AH71" i="10" a="1"/>
  <c r="AH71" i="10" s="1"/>
  <c r="AH173" i="10" a="1"/>
  <c r="AH173" i="10" s="1"/>
  <c r="AH33" i="10" a="1"/>
  <c r="AH33" i="10" s="1"/>
  <c r="AH75" i="10" a="1"/>
  <c r="AH75" i="10" s="1"/>
  <c r="AH187" i="10" a="1"/>
  <c r="AH187" i="10" s="1"/>
  <c r="AH29" i="10" a="1"/>
  <c r="AH29" i="10" s="1"/>
  <c r="AH131" i="10" a="1"/>
  <c r="AH131" i="10" s="1"/>
  <c r="AH145" i="10" a="1"/>
  <c r="AH145" i="10" s="1"/>
  <c r="AH10" i="10" a="1"/>
  <c r="AH10" i="10" s="1"/>
  <c r="AH99" i="10" a="1"/>
  <c r="AH99" i="10" s="1"/>
  <c r="AH113" i="10" a="1"/>
  <c r="AH113" i="10" s="1"/>
  <c r="AH52" i="10" a="1"/>
  <c r="AH52" i="10" s="1"/>
  <c r="AH19" i="10" a="1"/>
  <c r="AH19" i="10" s="1"/>
  <c r="AH158" i="10" a="1"/>
  <c r="AH158" i="10" s="1"/>
  <c r="AG67" i="6" a="1"/>
  <c r="AG67" i="6" s="1"/>
  <c r="AH47" i="10" a="1"/>
  <c r="AH47" i="10" s="1"/>
  <c r="AH108" i="10" a="1"/>
  <c r="AH108" i="10" s="1"/>
  <c r="AH80" i="10" a="1"/>
  <c r="AH80" i="10" s="1"/>
  <c r="AH61" i="10" a="1"/>
  <c r="AH61" i="10" s="1"/>
  <c r="AH150" i="10" a="1"/>
  <c r="AH150" i="10" s="1"/>
  <c r="AH164" i="10" a="1"/>
  <c r="AH164" i="10" s="1"/>
  <c r="AH178" i="10" a="1"/>
  <c r="AH178" i="10" s="1"/>
  <c r="AH66" i="10" a="1"/>
  <c r="AH66" i="10" s="1"/>
  <c r="AH127" i="10" a="1"/>
  <c r="AH127" i="10" s="1"/>
  <c r="AH89" i="10" a="1"/>
  <c r="AH89" i="10" s="1"/>
  <c r="AH103" i="10" a="1"/>
  <c r="AH103" i="10" s="1"/>
  <c r="AH172" i="10" a="1"/>
  <c r="AH172" i="10" s="1"/>
  <c r="AH43" i="10" a="1"/>
  <c r="AH43" i="10" s="1"/>
  <c r="AH117" i="10" a="1"/>
  <c r="AH117" i="10" s="1"/>
  <c r="AH85" i="10" a="1"/>
  <c r="AH85" i="10" s="1"/>
  <c r="AH7" i="10" a="1"/>
  <c r="AH7" i="10" s="1"/>
  <c r="AH21" i="10" a="1"/>
  <c r="AH21" i="10" s="1"/>
  <c r="AH35" i="10" a="1"/>
  <c r="AH35" i="10" s="1"/>
  <c r="AH49" i="10" a="1"/>
  <c r="AH49" i="10" s="1"/>
  <c r="AH63" i="10" a="1"/>
  <c r="AH63" i="10" s="1"/>
  <c r="AH77" i="10" a="1"/>
  <c r="AH77" i="10" s="1"/>
  <c r="AH91" i="10" a="1"/>
  <c r="AH91" i="10" s="1"/>
  <c r="AH105" i="10" a="1"/>
  <c r="AH105" i="10" s="1"/>
  <c r="AH119" i="10" a="1"/>
  <c r="AH119" i="10" s="1"/>
  <c r="AH147" i="10" a="1"/>
  <c r="AH147" i="10" s="1"/>
  <c r="AH161" i="10" a="1"/>
  <c r="AH161" i="10" s="1"/>
  <c r="AH175" i="10" a="1"/>
  <c r="AH175" i="10" s="1"/>
  <c r="AH189" i="10" a="1"/>
  <c r="AH189" i="10" s="1"/>
  <c r="AH8" i="10" a="1"/>
  <c r="AH8" i="10" s="1"/>
  <c r="AH22" i="10" a="1"/>
  <c r="AH22" i="10" s="1"/>
  <c r="AH36" i="10" a="1"/>
  <c r="AH36" i="10" s="1"/>
  <c r="AH50" i="10" a="1"/>
  <c r="AH50" i="10" s="1"/>
  <c r="AH64" i="10" a="1"/>
  <c r="AH64" i="10" s="1"/>
  <c r="AH78" i="10" a="1"/>
  <c r="AH78" i="10" s="1"/>
  <c r="AH92" i="10" a="1"/>
  <c r="AH92" i="10" s="1"/>
  <c r="AH106" i="10" a="1"/>
  <c r="AH106" i="10" s="1"/>
  <c r="AH120" i="10" a="1"/>
  <c r="AH120" i="10" s="1"/>
  <c r="AH134" i="10" a="1"/>
  <c r="AH134" i="10" s="1"/>
  <c r="AH148" i="10" a="1"/>
  <c r="AH148" i="10" s="1"/>
  <c r="AH162" i="10" a="1"/>
  <c r="AH162" i="10" s="1"/>
  <c r="AH176" i="10" a="1"/>
  <c r="AH176" i="10" s="1"/>
  <c r="AH190" i="10" a="1"/>
  <c r="AH190" i="10" s="1"/>
  <c r="AI161" i="5" a="1"/>
  <c r="AI161" i="5" s="1"/>
  <c r="AI23" i="5" a="1"/>
  <c r="AI23" i="5" s="1"/>
  <c r="AI48" i="5" a="1"/>
  <c r="AI48" i="5" s="1"/>
  <c r="AI53" i="5" a="1"/>
  <c r="AI53" i="5" s="1"/>
  <c r="AI73" i="5" a="1"/>
  <c r="AI73" i="5" s="1"/>
  <c r="AI78" i="5" a="1"/>
  <c r="AI78" i="5" s="1"/>
  <c r="AI91" i="5" a="1"/>
  <c r="AI91" i="5" s="1"/>
  <c r="AI103" i="5" a="1"/>
  <c r="AI103" i="5" s="1"/>
  <c r="AI121" i="5" a="1"/>
  <c r="AI121" i="5" s="1"/>
  <c r="AI125" i="5" a="1"/>
  <c r="AI125" i="5" s="1"/>
  <c r="AI129" i="5" a="1"/>
  <c r="AI129" i="5" s="1"/>
  <c r="AI134" i="5" a="1"/>
  <c r="AI134" i="5" s="1"/>
  <c r="AI139" i="5" a="1"/>
  <c r="AI139" i="5" s="1"/>
  <c r="AI174" i="5" a="1"/>
  <c r="AI174" i="5" s="1"/>
  <c r="AI179" i="5" a="1"/>
  <c r="AI179" i="5" s="1"/>
  <c r="AI187" i="5" a="1"/>
  <c r="AI187" i="5" s="1"/>
  <c r="AI5" i="5" a="1"/>
  <c r="AI5" i="5" s="1"/>
  <c r="AI57" i="5" a="1"/>
  <c r="AI57" i="5" s="1"/>
  <c r="AI66" i="5" a="1"/>
  <c r="AI66" i="5" s="1"/>
  <c r="AI74" i="5" a="1"/>
  <c r="AI74" i="5" s="1"/>
  <c r="AI96" i="5" a="1"/>
  <c r="AI96" i="5" s="1"/>
  <c r="AI130" i="5" a="1"/>
  <c r="AI130" i="5" s="1"/>
  <c r="AI166" i="5" a="1"/>
  <c r="AI166" i="5" s="1"/>
  <c r="AI197" i="5" a="1"/>
  <c r="AI197" i="5" s="1"/>
  <c r="AI6" i="5" a="1"/>
  <c r="AI6" i="5" s="1"/>
  <c r="AI92" i="5" a="1"/>
  <c r="AI92" i="5" s="1"/>
  <c r="AI202" i="5" a="1"/>
  <c r="AI202" i="5" s="1"/>
  <c r="AI20" i="5" a="1"/>
  <c r="AI20" i="5" s="1"/>
  <c r="AI50" i="5" a="1"/>
  <c r="AI50" i="5" s="1"/>
  <c r="AI131" i="5" a="1"/>
  <c r="AI131" i="5" s="1"/>
  <c r="AI21" i="5" a="1"/>
  <c r="AI21" i="5" s="1"/>
  <c r="AI33" i="5" a="1"/>
  <c r="AI33" i="5" s="1"/>
  <c r="AI51" i="5" a="1"/>
  <c r="AI51" i="5" s="1"/>
  <c r="AI76" i="5" a="1"/>
  <c r="AI76" i="5" s="1"/>
  <c r="AI81" i="5" a="1"/>
  <c r="AI81" i="5" s="1"/>
  <c r="AI101" i="5" a="1"/>
  <c r="AI101" i="5" s="1"/>
  <c r="AI106" i="5" a="1"/>
  <c r="AI106" i="5" s="1"/>
  <c r="AI119" i="5" a="1"/>
  <c r="AI119" i="5" s="1"/>
  <c r="AI137" i="5" a="1"/>
  <c r="AI137" i="5" s="1"/>
  <c r="AI145" i="5" a="1"/>
  <c r="AI145" i="5" s="1"/>
  <c r="AI177" i="5" a="1"/>
  <c r="AI177" i="5" s="1"/>
  <c r="AI185" i="5" a="1"/>
  <c r="AI185" i="5" s="1"/>
  <c r="AI190" i="5" a="1"/>
  <c r="AI190" i="5" s="1"/>
  <c r="AI195" i="5" a="1"/>
  <c r="AI195" i="5" s="1"/>
  <c r="AI26" i="5" a="1"/>
  <c r="AI26" i="5" s="1"/>
  <c r="AI85" i="5" a="1"/>
  <c r="AI85" i="5" s="1"/>
  <c r="AI94" i="5" a="1"/>
  <c r="AI94" i="5" s="1"/>
  <c r="AI102" i="5" a="1"/>
  <c r="AI102" i="5" s="1"/>
  <c r="AI124" i="5" a="1"/>
  <c r="AI124" i="5" s="1"/>
  <c r="AI155" i="5" a="1"/>
  <c r="AI155" i="5" s="1"/>
  <c r="AI164" i="5" a="1"/>
  <c r="AI164" i="5" s="1"/>
  <c r="AI186" i="5" a="1"/>
  <c r="AI186" i="5" s="1"/>
  <c r="AI19" i="5" a="1"/>
  <c r="AI19" i="5" s="1"/>
  <c r="AI62" i="5" a="1"/>
  <c r="AI62" i="5" s="1"/>
  <c r="AI87" i="5" a="1"/>
  <c r="AI87" i="5" s="1"/>
  <c r="AI117" i="5" a="1"/>
  <c r="AI117" i="5" s="1"/>
  <c r="AI157" i="5" a="1"/>
  <c r="AI157" i="5" s="1"/>
  <c r="AI162" i="5" a="1"/>
  <c r="AI162" i="5" s="1"/>
  <c r="AI45" i="5" a="1"/>
  <c r="AI45" i="5" s="1"/>
  <c r="AI75" i="5" a="1"/>
  <c r="AI75" i="5" s="1"/>
  <c r="AI118" i="5" a="1"/>
  <c r="AI118" i="5" s="1"/>
  <c r="AI171" i="5" a="1"/>
  <c r="AI171" i="5" s="1"/>
  <c r="AI176" i="5" a="1"/>
  <c r="AI176" i="5" s="1"/>
  <c r="AI39" i="5" a="1"/>
  <c r="AI39" i="5" s="1"/>
  <c r="AI77" i="5" a="1"/>
  <c r="AI77" i="5" s="1"/>
  <c r="AI107" i="5" a="1"/>
  <c r="AI107" i="5" s="1"/>
  <c r="AI133" i="5" a="1"/>
  <c r="AI133" i="5" s="1"/>
  <c r="AI151" i="5" a="1"/>
  <c r="AI151" i="5" s="1"/>
  <c r="AI191" i="5" a="1"/>
  <c r="AI191" i="5" s="1"/>
  <c r="AI43" i="5" a="1"/>
  <c r="AI43" i="5" s="1"/>
  <c r="AI52" i="5" a="1"/>
  <c r="AI52" i="5" s="1"/>
  <c r="AI60" i="5" a="1"/>
  <c r="AI60" i="5" s="1"/>
  <c r="AI82" i="5" a="1"/>
  <c r="AI82" i="5" s="1"/>
  <c r="AI138" i="5" a="1"/>
  <c r="AI138" i="5" s="1"/>
  <c r="AI169" i="5" a="1"/>
  <c r="AI169" i="5" s="1"/>
  <c r="AI178" i="5" a="1"/>
  <c r="AI178" i="5" s="1"/>
  <c r="AI200" i="5" a="1"/>
  <c r="AI200" i="5" s="1"/>
  <c r="AH6" i="10" a="1"/>
  <c r="AH6" i="10" s="1"/>
  <c r="AH20" i="10" a="1"/>
  <c r="AH20" i="10" s="1"/>
  <c r="AH34" i="10" a="1"/>
  <c r="AH34" i="10" s="1"/>
  <c r="AH48" i="10" a="1"/>
  <c r="AH48" i="10" s="1"/>
  <c r="AH62" i="10" a="1"/>
  <c r="AH62" i="10" s="1"/>
  <c r="AH76" i="10" a="1"/>
  <c r="AH76" i="10" s="1"/>
  <c r="AH90" i="10" a="1"/>
  <c r="AH90" i="10" s="1"/>
  <c r="AH104" i="10" a="1"/>
  <c r="AH104" i="10" s="1"/>
  <c r="AH118" i="10" a="1"/>
  <c r="AH118" i="10" s="1"/>
  <c r="AH132" i="10" a="1"/>
  <c r="AH132" i="10" s="1"/>
  <c r="AH146" i="10" a="1"/>
  <c r="AH146" i="10" s="1"/>
  <c r="AH160" i="10" a="1"/>
  <c r="AH160" i="10" s="1"/>
  <c r="AH174" i="10" a="1"/>
  <c r="AH174" i="10" s="1"/>
  <c r="AH188" i="10" a="1"/>
  <c r="AH188" i="10" s="1"/>
  <c r="AH11" i="10" a="1"/>
  <c r="AH11" i="10" s="1"/>
  <c r="AH25" i="10" a="1"/>
  <c r="AH25" i="10" s="1"/>
  <c r="AH39" i="10" a="1"/>
  <c r="AH39" i="10" s="1"/>
  <c r="AH53" i="10" a="1"/>
  <c r="AH53" i="10" s="1"/>
  <c r="AH67" i="10" a="1"/>
  <c r="AH67" i="10" s="1"/>
  <c r="AH81" i="10" a="1"/>
  <c r="AH81" i="10" s="1"/>
  <c r="AH95" i="10" a="1"/>
  <c r="AH95" i="10" s="1"/>
  <c r="AH109" i="10" a="1"/>
  <c r="AH109" i="10" s="1"/>
  <c r="AH123" i="10" a="1"/>
  <c r="AH123" i="10" s="1"/>
  <c r="AH137" i="10" a="1"/>
  <c r="AH137" i="10" s="1"/>
  <c r="AH151" i="10" a="1"/>
  <c r="AH151" i="10" s="1"/>
  <c r="AH165" i="10" a="1"/>
  <c r="AH165" i="10" s="1"/>
  <c r="AH179" i="10" a="1"/>
  <c r="AH179" i="10" s="1"/>
  <c r="AH193" i="10" a="1"/>
  <c r="AH193" i="10" s="1"/>
  <c r="AH16" i="10" a="1"/>
  <c r="AH16" i="10" s="1"/>
  <c r="AH30" i="10" a="1"/>
  <c r="AH30" i="10" s="1"/>
  <c r="AH44" i="10" a="1"/>
  <c r="AH44" i="10" s="1"/>
  <c r="AH58" i="10" a="1"/>
  <c r="AH58" i="10" s="1"/>
  <c r="AH72" i="10" a="1"/>
  <c r="AH72" i="10" s="1"/>
  <c r="AH86" i="10" a="1"/>
  <c r="AH86" i="10" s="1"/>
  <c r="AH100" i="10" a="1"/>
  <c r="AH100" i="10" s="1"/>
  <c r="AH114" i="10" a="1"/>
  <c r="AH114" i="10" s="1"/>
  <c r="AH128" i="10" a="1"/>
  <c r="AH128" i="10" s="1"/>
  <c r="AH142" i="10" a="1"/>
  <c r="AH142" i="10" s="1"/>
  <c r="AH156" i="10" a="1"/>
  <c r="AH156" i="10" s="1"/>
  <c r="AH170" i="10" a="1"/>
  <c r="AH170" i="10" s="1"/>
  <c r="AH184" i="10" a="1"/>
  <c r="AH184" i="10" s="1"/>
  <c r="AH198" i="10" a="1"/>
  <c r="AH198" i="10" s="1"/>
  <c r="AH12" i="10" a="1"/>
  <c r="AH12" i="10" s="1"/>
  <c r="AH26" i="10" a="1"/>
  <c r="AH26" i="10" s="1"/>
  <c r="AH40" i="10" a="1"/>
  <c r="AH40" i="10" s="1"/>
  <c r="AH54" i="10" a="1"/>
  <c r="AH54" i="10" s="1"/>
  <c r="AH68" i="10" a="1"/>
  <c r="AH68" i="10" s="1"/>
  <c r="AH82" i="10" a="1"/>
  <c r="AH82" i="10" s="1"/>
  <c r="AH96" i="10" a="1"/>
  <c r="AH96" i="10" s="1"/>
  <c r="AH110" i="10" a="1"/>
  <c r="AH110" i="10" s="1"/>
  <c r="AH124" i="10" a="1"/>
  <c r="AH124" i="10" s="1"/>
  <c r="AH138" i="10" a="1"/>
  <c r="AH138" i="10" s="1"/>
  <c r="AH152" i="10" a="1"/>
  <c r="AH152" i="10" s="1"/>
  <c r="AH166" i="10" a="1"/>
  <c r="AH166" i="10" s="1"/>
  <c r="AH180" i="10" a="1"/>
  <c r="AH180" i="10" s="1"/>
  <c r="AH194" i="10" a="1"/>
  <c r="AH194" i="10" s="1"/>
  <c r="AH203" i="10" a="1"/>
  <c r="AH203" i="10" s="1"/>
  <c r="AH17" i="10" a="1"/>
  <c r="AH17" i="10" s="1"/>
  <c r="AH31" i="10" a="1"/>
  <c r="AH31" i="10" s="1"/>
  <c r="AH45" i="10" a="1"/>
  <c r="AH45" i="10" s="1"/>
  <c r="AH59" i="10" a="1"/>
  <c r="AH59" i="10" s="1"/>
  <c r="AH73" i="10" a="1"/>
  <c r="AH73" i="10" s="1"/>
  <c r="AH87" i="10" a="1"/>
  <c r="AH87" i="10" s="1"/>
  <c r="AH101" i="10" a="1"/>
  <c r="AH101" i="10" s="1"/>
  <c r="AH115" i="10" a="1"/>
  <c r="AH115" i="10" s="1"/>
  <c r="AH129" i="10" a="1"/>
  <c r="AH129" i="10" s="1"/>
  <c r="AH143" i="10" a="1"/>
  <c r="AH143" i="10" s="1"/>
  <c r="AH157" i="10" a="1"/>
  <c r="AH157" i="10" s="1"/>
  <c r="AH171" i="10" a="1"/>
  <c r="AH171" i="10" s="1"/>
  <c r="AH185" i="10" a="1"/>
  <c r="AH185" i="10" s="1"/>
  <c r="AH199" i="10" a="1"/>
  <c r="AH199" i="10" s="1"/>
  <c r="AH13" i="10" a="1"/>
  <c r="AH13" i="10" s="1"/>
  <c r="AH27" i="10" a="1"/>
  <c r="AH27" i="10" s="1"/>
  <c r="AH41" i="10" a="1"/>
  <c r="AH41" i="10" s="1"/>
  <c r="AH55" i="10" a="1"/>
  <c r="AH55" i="10" s="1"/>
  <c r="AH69" i="10" a="1"/>
  <c r="AH69" i="10" s="1"/>
  <c r="AH83" i="10" a="1"/>
  <c r="AH83" i="10" s="1"/>
  <c r="AH97" i="10" a="1"/>
  <c r="AH97" i="10" s="1"/>
  <c r="AH111" i="10" a="1"/>
  <c r="AH111" i="10" s="1"/>
  <c r="AH125" i="10" a="1"/>
  <c r="AH125" i="10" s="1"/>
  <c r="AH139" i="10" a="1"/>
  <c r="AH139" i="10" s="1"/>
  <c r="AH153" i="10" a="1"/>
  <c r="AH153" i="10" s="1"/>
  <c r="AH167" i="10" a="1"/>
  <c r="AH167" i="10" s="1"/>
  <c r="AH181" i="10" a="1"/>
  <c r="AH181" i="10" s="1"/>
  <c r="AH195" i="10" a="1"/>
  <c r="AH195" i="10" s="1"/>
  <c r="AH4" i="10" a="1"/>
  <c r="AH4" i="10" s="1"/>
  <c r="AH18" i="10" a="1"/>
  <c r="AH18" i="10" s="1"/>
  <c r="AH32" i="10" a="1"/>
  <c r="AH32" i="10" s="1"/>
  <c r="AH46" i="10" a="1"/>
  <c r="AH46" i="10" s="1"/>
  <c r="AH60" i="10" a="1"/>
  <c r="AH60" i="10" s="1"/>
  <c r="AH74" i="10" a="1"/>
  <c r="AH74" i="10" s="1"/>
  <c r="AH88" i="10" a="1"/>
  <c r="AH88" i="10" s="1"/>
  <c r="AH102" i="10" a="1"/>
  <c r="AH102" i="10" s="1"/>
  <c r="AH116" i="10" a="1"/>
  <c r="AH116" i="10" s="1"/>
  <c r="AH130" i="10" a="1"/>
  <c r="AH130" i="10" s="1"/>
  <c r="AH144" i="10" a="1"/>
  <c r="AH144" i="10" s="1"/>
  <c r="AH149" i="10" a="1"/>
  <c r="AH149" i="10" s="1"/>
  <c r="AH163" i="10" a="1"/>
  <c r="AH163" i="10" s="1"/>
  <c r="AH177" i="10" a="1"/>
  <c r="AH177" i="10" s="1"/>
  <c r="AH191" i="10" a="1"/>
  <c r="AH191" i="10" s="1"/>
  <c r="AH9" i="10" a="1"/>
  <c r="AH9" i="10" s="1"/>
  <c r="AH23" i="10" a="1"/>
  <c r="AH23" i="10" s="1"/>
  <c r="AH37" i="10" a="1"/>
  <c r="AH37" i="10" s="1"/>
  <c r="AH51" i="10" a="1"/>
  <c r="AH51" i="10" s="1"/>
  <c r="AH65" i="10" a="1"/>
  <c r="AH65" i="10" s="1"/>
  <c r="AH79" i="10" a="1"/>
  <c r="AH79" i="10" s="1"/>
  <c r="AH93" i="10" a="1"/>
  <c r="AH93" i="10" s="1"/>
  <c r="AH107" i="10" a="1"/>
  <c r="AH107" i="10" s="1"/>
  <c r="AH121" i="10" a="1"/>
  <c r="AH121" i="10" s="1"/>
  <c r="AH135" i="10" a="1"/>
  <c r="AH135" i="10" s="1"/>
  <c r="AH14" i="10" a="1"/>
  <c r="AH14" i="10" s="1"/>
  <c r="AH28" i="10" a="1"/>
  <c r="AH28" i="10" s="1"/>
  <c r="AH42" i="10" a="1"/>
  <c r="AH42" i="10" s="1"/>
  <c r="AH56" i="10" a="1"/>
  <c r="AH56" i="10" s="1"/>
  <c r="AH70" i="10" a="1"/>
  <c r="AH70" i="10" s="1"/>
  <c r="AH84" i="10" a="1"/>
  <c r="AH84" i="10" s="1"/>
  <c r="AH112" i="10" a="1"/>
  <c r="AH112" i="10" s="1"/>
  <c r="AH126" i="10" a="1"/>
  <c r="AH126" i="10" s="1"/>
  <c r="AH140" i="10" a="1"/>
  <c r="AH140" i="10" s="1"/>
  <c r="AH154" i="10" a="1"/>
  <c r="AH154" i="10" s="1"/>
  <c r="AH168" i="10" a="1"/>
  <c r="AH168" i="10" s="1"/>
  <c r="AH182" i="10" a="1"/>
  <c r="AH182" i="10" s="1"/>
  <c r="AH196" i="10" a="1"/>
  <c r="AH196" i="10" s="1"/>
  <c r="AH133" i="10" a="1"/>
  <c r="AH133" i="10" s="1"/>
  <c r="AH98" i="10" a="1"/>
  <c r="AH98" i="10" s="1"/>
  <c r="AG12" i="6" a="1"/>
  <c r="AG12" i="6" s="1"/>
  <c r="AG26" i="6" a="1"/>
  <c r="AG26" i="6" s="1"/>
  <c r="AG40" i="6" a="1"/>
  <c r="AG40" i="6" s="1"/>
  <c r="AG54" i="6" a="1"/>
  <c r="AG54" i="6" s="1"/>
  <c r="AG68" i="6" a="1"/>
  <c r="AG68" i="6" s="1"/>
  <c r="AG82" i="6" a="1"/>
  <c r="AG82" i="6" s="1"/>
  <c r="AG96" i="6" a="1"/>
  <c r="AG96" i="6" s="1"/>
  <c r="AG110" i="6" a="1"/>
  <c r="AG110" i="6" s="1"/>
  <c r="AG124" i="6" a="1"/>
  <c r="AG124" i="6" s="1"/>
  <c r="AG138" i="6" a="1"/>
  <c r="AG138" i="6" s="1"/>
  <c r="AG152" i="6" a="1"/>
  <c r="AG152" i="6" s="1"/>
  <c r="AG166" i="6" a="1"/>
  <c r="AG166" i="6" s="1"/>
  <c r="AG171" i="6" a="1"/>
  <c r="AG171" i="6" s="1"/>
  <c r="AG185" i="6" a="1"/>
  <c r="AG185" i="6" s="1"/>
  <c r="AG199" i="6" a="1"/>
  <c r="AG199" i="6" s="1"/>
  <c r="AG13" i="6" a="1"/>
  <c r="AG13" i="6" s="1"/>
  <c r="AG27" i="6" a="1"/>
  <c r="AG27" i="6" s="1"/>
  <c r="AG41" i="6" a="1"/>
  <c r="AG41" i="6" s="1"/>
  <c r="AG55" i="6" a="1"/>
  <c r="AG55" i="6" s="1"/>
  <c r="AG69" i="6" a="1"/>
  <c r="AG69" i="6" s="1"/>
  <c r="AG83" i="6" a="1"/>
  <c r="AG83" i="6" s="1"/>
  <c r="AG97" i="6" a="1"/>
  <c r="AG97" i="6" s="1"/>
  <c r="AG111" i="6" a="1"/>
  <c r="AG111" i="6" s="1"/>
  <c r="AG125" i="6" a="1"/>
  <c r="AG125" i="6" s="1"/>
  <c r="AG139" i="6" a="1"/>
  <c r="AG139" i="6" s="1"/>
  <c r="AG153" i="6" a="1"/>
  <c r="AG153" i="6" s="1"/>
  <c r="AG172" i="6" a="1"/>
  <c r="AG172" i="6" s="1"/>
  <c r="AG186" i="6" a="1"/>
  <c r="AG186" i="6" s="1"/>
  <c r="AG5" i="6" a="1"/>
  <c r="AG5" i="6" s="1"/>
  <c r="AG19" i="6" a="1"/>
  <c r="AG19" i="6" s="1"/>
  <c r="AG33" i="6" a="1"/>
  <c r="AG33" i="6" s="1"/>
  <c r="AG47" i="6" a="1"/>
  <c r="AG47" i="6" s="1"/>
  <c r="AG61" i="6" a="1"/>
  <c r="AG61" i="6" s="1"/>
  <c r="AG75" i="6" a="1"/>
  <c r="AG75" i="6" s="1"/>
  <c r="AG89" i="6" a="1"/>
  <c r="AG89" i="6" s="1"/>
  <c r="AG103" i="6" a="1"/>
  <c r="AG103" i="6" s="1"/>
  <c r="AG117" i="6" a="1"/>
  <c r="AG117" i="6" s="1"/>
  <c r="AG131" i="6" a="1"/>
  <c r="AG131" i="6" s="1"/>
  <c r="AG159" i="6" a="1"/>
  <c r="AG159" i="6" s="1"/>
  <c r="AG178" i="6" a="1"/>
  <c r="AG178" i="6" s="1"/>
  <c r="AG192" i="6" a="1"/>
  <c r="AG192" i="6" s="1"/>
  <c r="AJ12" i="9" a="1"/>
  <c r="AJ12" i="9" s="1"/>
  <c r="AJ26" i="9" a="1"/>
  <c r="AJ26" i="9" s="1"/>
  <c r="AJ40" i="9" a="1"/>
  <c r="AJ40" i="9" s="1"/>
  <c r="AJ54" i="9" a="1"/>
  <c r="AJ54" i="9" s="1"/>
  <c r="AJ82" i="9" a="1"/>
  <c r="AJ82" i="9" s="1"/>
  <c r="AJ96" i="9" a="1"/>
  <c r="AJ96" i="9" s="1"/>
  <c r="AJ110" i="9" a="1"/>
  <c r="AJ110" i="9" s="1"/>
  <c r="AJ124" i="9" a="1"/>
  <c r="AJ124" i="9" s="1"/>
  <c r="AJ138" i="9" a="1"/>
  <c r="AJ138" i="9" s="1"/>
  <c r="AJ152" i="9" a="1"/>
  <c r="AJ152" i="9" s="1"/>
  <c r="AJ166" i="9" a="1"/>
  <c r="AJ166" i="9" s="1"/>
  <c r="AJ180" i="9" a="1"/>
  <c r="AJ180" i="9" s="1"/>
  <c r="AJ189" i="9" a="1"/>
  <c r="AJ189" i="9" s="1"/>
  <c r="AJ203" i="9" a="1"/>
  <c r="AJ203" i="9" s="1"/>
  <c r="AJ6" i="9" a="1"/>
  <c r="AJ6" i="9" s="1"/>
  <c r="AJ20" i="9" a="1"/>
  <c r="AJ20" i="9" s="1"/>
  <c r="AJ34" i="9" a="1"/>
  <c r="AJ34" i="9" s="1"/>
  <c r="AJ48" i="9" a="1"/>
  <c r="AJ48" i="9" s="1"/>
  <c r="AJ62" i="9" a="1"/>
  <c r="AJ62" i="9" s="1"/>
  <c r="AJ90" i="9" a="1"/>
  <c r="AJ90" i="9" s="1"/>
  <c r="AJ104" i="9" a="1"/>
  <c r="AJ104" i="9" s="1"/>
  <c r="AJ118" i="9" a="1"/>
  <c r="AJ118" i="9" s="1"/>
  <c r="AJ132" i="9" a="1"/>
  <c r="AJ132" i="9" s="1"/>
  <c r="AJ146" i="9" a="1"/>
  <c r="AJ146" i="9" s="1"/>
  <c r="AJ160" i="9" a="1"/>
  <c r="AJ160" i="9" s="1"/>
  <c r="AJ174" i="9" a="1"/>
  <c r="AJ174" i="9" s="1"/>
  <c r="AJ188" i="9" a="1"/>
  <c r="AJ188" i="9" s="1"/>
  <c r="AJ53" i="9" a="1"/>
  <c r="AJ53" i="9" s="1"/>
  <c r="AJ7" i="9" a="1"/>
  <c r="AJ7" i="9" s="1"/>
  <c r="AJ21" i="9" a="1"/>
  <c r="AJ21" i="9" s="1"/>
  <c r="AJ35" i="9" a="1"/>
  <c r="AJ35" i="9" s="1"/>
  <c r="AJ49" i="9" a="1"/>
  <c r="AJ49" i="9" s="1"/>
  <c r="AJ63" i="9" a="1"/>
  <c r="AJ63" i="9" s="1"/>
  <c r="AJ105" i="9" a="1"/>
  <c r="AJ105" i="9" s="1"/>
  <c r="AJ119" i="9" a="1"/>
  <c r="AJ119" i="9" s="1"/>
  <c r="AJ133" i="9" a="1"/>
  <c r="AJ133" i="9" s="1"/>
  <c r="AJ147" i="9" a="1"/>
  <c r="AJ147" i="9" s="1"/>
  <c r="AJ161" i="9" a="1"/>
  <c r="AJ161" i="9" s="1"/>
  <c r="AJ194" i="9" a="1"/>
  <c r="AJ194" i="9" s="1"/>
  <c r="AJ91" i="9" a="1"/>
  <c r="AJ91" i="9" s="1"/>
  <c r="AG17" i="6" a="1"/>
  <c r="AG17" i="6" s="1"/>
  <c r="AG31" i="6" a="1"/>
  <c r="AG31" i="6" s="1"/>
  <c r="AG45" i="6" a="1"/>
  <c r="AG45" i="6" s="1"/>
  <c r="AG59" i="6" a="1"/>
  <c r="AG59" i="6" s="1"/>
  <c r="AG73" i="6" a="1"/>
  <c r="AG73" i="6" s="1"/>
  <c r="AG87" i="6" a="1"/>
  <c r="AG87" i="6" s="1"/>
  <c r="AG101" i="6" a="1"/>
  <c r="AG101" i="6" s="1"/>
  <c r="AG115" i="6" a="1"/>
  <c r="AG115" i="6" s="1"/>
  <c r="AG129" i="6" a="1"/>
  <c r="AG129" i="6" s="1"/>
  <c r="AG143" i="6" a="1"/>
  <c r="AG143" i="6" s="1"/>
  <c r="AG157" i="6" a="1"/>
  <c r="AG157" i="6" s="1"/>
  <c r="AG176" i="6" a="1"/>
  <c r="AG176" i="6" s="1"/>
  <c r="AG190" i="6" a="1"/>
  <c r="AG190" i="6" s="1"/>
  <c r="AG200" i="6" a="1"/>
  <c r="AG200" i="6" s="1"/>
  <c r="AG123" i="6" a="1"/>
  <c r="AG123" i="6" s="1"/>
  <c r="AG137" i="6" a="1"/>
  <c r="AG137" i="6" s="1"/>
  <c r="AG8" i="6" a="1"/>
  <c r="AG8" i="6" s="1"/>
  <c r="AG22" i="6" a="1"/>
  <c r="AG22" i="6" s="1"/>
  <c r="AG36" i="6" a="1"/>
  <c r="AG36" i="6" s="1"/>
  <c r="AG50" i="6" a="1"/>
  <c r="AG50" i="6" s="1"/>
  <c r="AG64" i="6" a="1"/>
  <c r="AG64" i="6" s="1"/>
  <c r="AG78" i="6" a="1"/>
  <c r="AG78" i="6" s="1"/>
  <c r="AG92" i="6" a="1"/>
  <c r="AG92" i="6" s="1"/>
  <c r="AG106" i="6" a="1"/>
  <c r="AG106" i="6" s="1"/>
  <c r="AG120" i="6" a="1"/>
  <c r="AG120" i="6" s="1"/>
  <c r="AG134" i="6" a="1"/>
  <c r="AG134" i="6" s="1"/>
  <c r="AG148" i="6" a="1"/>
  <c r="AG148" i="6" s="1"/>
  <c r="AG162" i="6" a="1"/>
  <c r="AG162" i="6" s="1"/>
  <c r="AG181" i="6" a="1"/>
  <c r="AG181" i="6" s="1"/>
  <c r="AG195" i="6" a="1"/>
  <c r="AG195" i="6" s="1"/>
  <c r="AG151" i="6" a="1"/>
  <c r="AG151" i="6" s="1"/>
  <c r="AG10" i="6" a="1"/>
  <c r="AG10" i="6" s="1"/>
  <c r="AG24" i="6" a="1"/>
  <c r="AG24" i="6" s="1"/>
  <c r="AG165" i="6" a="1"/>
  <c r="AG165" i="6" s="1"/>
  <c r="AG4" i="6" a="1"/>
  <c r="AG4" i="6" s="1"/>
  <c r="AG18" i="6" a="1"/>
  <c r="AG18" i="6" s="1"/>
  <c r="AG32" i="6" a="1"/>
  <c r="AG32" i="6" s="1"/>
  <c r="AG46" i="6" a="1"/>
  <c r="AG46" i="6" s="1"/>
  <c r="AG60" i="6" a="1"/>
  <c r="AG60" i="6" s="1"/>
  <c r="AG74" i="6" a="1"/>
  <c r="AG74" i="6" s="1"/>
  <c r="AG88" i="6" a="1"/>
  <c r="AG88" i="6" s="1"/>
  <c r="AG102" i="6" a="1"/>
  <c r="AG102" i="6" s="1"/>
  <c r="AG116" i="6" a="1"/>
  <c r="AG116" i="6" s="1"/>
  <c r="AG130" i="6" a="1"/>
  <c r="AG130" i="6" s="1"/>
  <c r="AG144" i="6" a="1"/>
  <c r="AG144" i="6" s="1"/>
  <c r="AG158" i="6" a="1"/>
  <c r="AG158" i="6" s="1"/>
  <c r="AG9" i="6" a="1"/>
  <c r="AG9" i="6" s="1"/>
  <c r="AG23" i="6" a="1"/>
  <c r="AG23" i="6" s="1"/>
  <c r="AG37" i="6" a="1"/>
  <c r="AG37" i="6" s="1"/>
  <c r="AG51" i="6" a="1"/>
  <c r="AG51" i="6" s="1"/>
  <c r="AG65" i="6" a="1"/>
  <c r="AG65" i="6" s="1"/>
  <c r="AG79" i="6" a="1"/>
  <c r="AG79" i="6" s="1"/>
  <c r="AG93" i="6" a="1"/>
  <c r="AG93" i="6" s="1"/>
  <c r="AG107" i="6" a="1"/>
  <c r="AG107" i="6" s="1"/>
  <c r="AG121" i="6" a="1"/>
  <c r="AG121" i="6" s="1"/>
  <c r="AG135" i="6" a="1"/>
  <c r="AG135" i="6" s="1"/>
  <c r="AG149" i="6" a="1"/>
  <c r="AG149" i="6" s="1"/>
  <c r="AG163" i="6" a="1"/>
  <c r="AG163" i="6" s="1"/>
  <c r="AG14" i="6" a="1"/>
  <c r="AG14" i="6" s="1"/>
  <c r="AG28" i="6" a="1"/>
  <c r="AG28" i="6" s="1"/>
  <c r="AG42" i="6" a="1"/>
  <c r="AG42" i="6" s="1"/>
  <c r="AG56" i="6" a="1"/>
  <c r="AG56" i="6" s="1"/>
  <c r="AG70" i="6" a="1"/>
  <c r="AG70" i="6" s="1"/>
  <c r="AG84" i="6" a="1"/>
  <c r="AG84" i="6" s="1"/>
  <c r="AG98" i="6" a="1"/>
  <c r="AG98" i="6" s="1"/>
  <c r="AG112" i="6" a="1"/>
  <c r="AG112" i="6" s="1"/>
  <c r="AG126" i="6" a="1"/>
  <c r="AG126" i="6" s="1"/>
  <c r="AG140" i="6" a="1"/>
  <c r="AG140" i="6" s="1"/>
  <c r="AG154" i="6" a="1"/>
  <c r="AG154" i="6" s="1"/>
  <c r="AG38" i="6" a="1"/>
  <c r="AG38" i="6" s="1"/>
  <c r="AG52" i="6" a="1"/>
  <c r="AG52" i="6" s="1"/>
  <c r="AG66" i="6" a="1"/>
  <c r="AG66" i="6" s="1"/>
  <c r="AG80" i="6" a="1"/>
  <c r="AG80" i="6" s="1"/>
  <c r="AG94" i="6" a="1"/>
  <c r="AG94" i="6" s="1"/>
  <c r="AG108" i="6" a="1"/>
  <c r="AG108" i="6" s="1"/>
  <c r="AG122" i="6" a="1"/>
  <c r="AG122" i="6" s="1"/>
  <c r="AG136" i="6" a="1"/>
  <c r="AG136" i="6" s="1"/>
  <c r="AG150" i="6" a="1"/>
  <c r="AG150" i="6" s="1"/>
  <c r="AG164" i="6" a="1"/>
  <c r="AG164" i="6" s="1"/>
  <c r="AG15" i="6" a="1"/>
  <c r="AG15" i="6" s="1"/>
  <c r="AG29" i="6" a="1"/>
  <c r="AG29" i="6" s="1"/>
  <c r="AG43" i="6" a="1"/>
  <c r="AG43" i="6" s="1"/>
  <c r="AG57" i="6" a="1"/>
  <c r="AG57" i="6" s="1"/>
  <c r="AG71" i="6" a="1"/>
  <c r="AG71" i="6" s="1"/>
  <c r="AG85" i="6" a="1"/>
  <c r="AG85" i="6" s="1"/>
  <c r="AG99" i="6" a="1"/>
  <c r="AG99" i="6" s="1"/>
  <c r="AG113" i="6" a="1"/>
  <c r="AG113" i="6" s="1"/>
  <c r="AG127" i="6" a="1"/>
  <c r="AG127" i="6" s="1"/>
  <c r="AG141" i="6" a="1"/>
  <c r="AG141" i="6" s="1"/>
  <c r="AG155" i="6" a="1"/>
  <c r="AG155" i="6" s="1"/>
  <c r="AG188" i="6" a="1"/>
  <c r="AG188" i="6" s="1"/>
  <c r="AG6" i="6" a="1"/>
  <c r="AG6" i="6" s="1"/>
  <c r="AG20" i="6" a="1"/>
  <c r="AG20" i="6" s="1"/>
  <c r="AG34" i="6" a="1"/>
  <c r="AG34" i="6" s="1"/>
  <c r="AG48" i="6" a="1"/>
  <c r="AG48" i="6" s="1"/>
  <c r="AG62" i="6" a="1"/>
  <c r="AG62" i="6" s="1"/>
  <c r="AG76" i="6" a="1"/>
  <c r="AG76" i="6" s="1"/>
  <c r="AG90" i="6" a="1"/>
  <c r="AG90" i="6" s="1"/>
  <c r="AG104" i="6" a="1"/>
  <c r="AG104" i="6" s="1"/>
  <c r="AG118" i="6" a="1"/>
  <c r="AG118" i="6" s="1"/>
  <c r="AG132" i="6" a="1"/>
  <c r="AG132" i="6" s="1"/>
  <c r="AG146" i="6" a="1"/>
  <c r="AG146" i="6" s="1"/>
  <c r="AG160" i="6" a="1"/>
  <c r="AG160" i="6" s="1"/>
  <c r="AG179" i="6" a="1"/>
  <c r="AG179" i="6" s="1"/>
  <c r="AG193" i="6" a="1"/>
  <c r="AG193" i="6" s="1"/>
  <c r="AG16" i="6" a="1"/>
  <c r="AG16" i="6" s="1"/>
  <c r="AG30" i="6" a="1"/>
  <c r="AG30" i="6" s="1"/>
  <c r="AG44" i="6" a="1"/>
  <c r="AG44" i="6" s="1"/>
  <c r="AG58" i="6" a="1"/>
  <c r="AG58" i="6" s="1"/>
  <c r="AG72" i="6" a="1"/>
  <c r="AG72" i="6" s="1"/>
  <c r="AG86" i="6" a="1"/>
  <c r="AG86" i="6" s="1"/>
  <c r="AG100" i="6" a="1"/>
  <c r="AG100" i="6" s="1"/>
  <c r="AG114" i="6" a="1"/>
  <c r="AG114" i="6" s="1"/>
  <c r="AG128" i="6" a="1"/>
  <c r="AG128" i="6" s="1"/>
  <c r="AG142" i="6" a="1"/>
  <c r="AG142" i="6" s="1"/>
  <c r="AG156" i="6" a="1"/>
  <c r="AG156" i="6" s="1"/>
  <c r="AG7" i="6" a="1"/>
  <c r="AG7" i="6" s="1"/>
  <c r="AG21" i="6" a="1"/>
  <c r="AG21" i="6" s="1"/>
  <c r="AG35" i="6" a="1"/>
  <c r="AG35" i="6" s="1"/>
  <c r="AG49" i="6" a="1"/>
  <c r="AG49" i="6" s="1"/>
  <c r="AG63" i="6" a="1"/>
  <c r="AG63" i="6" s="1"/>
  <c r="AG77" i="6" a="1"/>
  <c r="AG77" i="6" s="1"/>
  <c r="AG91" i="6" a="1"/>
  <c r="AG91" i="6" s="1"/>
  <c r="AG105" i="6" a="1"/>
  <c r="AG105" i="6" s="1"/>
  <c r="AG119" i="6" a="1"/>
  <c r="AG119" i="6" s="1"/>
  <c r="AG133" i="6" a="1"/>
  <c r="AG133" i="6" s="1"/>
  <c r="AG147" i="6" a="1"/>
  <c r="AG147" i="6" s="1"/>
  <c r="AG161" i="6" a="1"/>
  <c r="AG161" i="6" s="1"/>
  <c r="AH4" i="7" a="1"/>
  <c r="AH4" i="7" s="1"/>
  <c r="AH18" i="7" a="1"/>
  <c r="AH18" i="7" s="1"/>
  <c r="AH46" i="7" a="1"/>
  <c r="AH46" i="7" s="1"/>
  <c r="AH60" i="7" a="1"/>
  <c r="AH60" i="7" s="1"/>
  <c r="AH74" i="7" a="1"/>
  <c r="AH74" i="7" s="1"/>
  <c r="AH88" i="7" a="1"/>
  <c r="AH88" i="7" s="1"/>
  <c r="AH102" i="7" a="1"/>
  <c r="AH102" i="7" s="1"/>
  <c r="AH116" i="7" a="1"/>
  <c r="AH116" i="7" s="1"/>
  <c r="AH130" i="7" a="1"/>
  <c r="AH130" i="7" s="1"/>
  <c r="AH144" i="7" a="1"/>
  <c r="AH144" i="7" s="1"/>
  <c r="AH196" i="7" a="1"/>
  <c r="AH196" i="7" s="1"/>
  <c r="AH203" i="7" a="1"/>
  <c r="AH203" i="7" s="1"/>
  <c r="AG177" i="6" a="1"/>
  <c r="AG177" i="6" s="1"/>
  <c r="AG191" i="6" a="1"/>
  <c r="AG191" i="6" s="1"/>
  <c r="AG168" i="6" a="1"/>
  <c r="AG168" i="6" s="1"/>
  <c r="AG182" i="6" a="1"/>
  <c r="AG182" i="6" s="1"/>
  <c r="AG196" i="6" a="1"/>
  <c r="AG196" i="6" s="1"/>
  <c r="AG173" i="6" a="1"/>
  <c r="AG173" i="6" s="1"/>
  <c r="AG187" i="6" a="1"/>
  <c r="AG187" i="6" s="1"/>
  <c r="AG201" i="6" a="1"/>
  <c r="AG201" i="6" s="1"/>
  <c r="AG169" i="6" a="1"/>
  <c r="AG169" i="6" s="1"/>
  <c r="AG183" i="6" a="1"/>
  <c r="AG183" i="6" s="1"/>
  <c r="AG197" i="6" a="1"/>
  <c r="AG197" i="6" s="1"/>
  <c r="AG174" i="6" a="1"/>
  <c r="AG174" i="6" s="1"/>
  <c r="AG202" i="6" a="1"/>
  <c r="AG202" i="6" s="1"/>
  <c r="AG170" i="6" a="1"/>
  <c r="AG170" i="6" s="1"/>
  <c r="AG184" i="6" a="1"/>
  <c r="AG184" i="6" s="1"/>
  <c r="AG198" i="6" a="1"/>
  <c r="AG198" i="6" s="1"/>
  <c r="AG189" i="6" a="1"/>
  <c r="AG189" i="6" s="1"/>
  <c r="AG203" i="6" a="1"/>
  <c r="AG203" i="6" s="1"/>
  <c r="AG175" i="6" a="1"/>
  <c r="AG175" i="6" s="1"/>
  <c r="AG180" i="6" a="1"/>
  <c r="AG180" i="6" s="1"/>
  <c r="AG194" i="6" a="1"/>
  <c r="AG194" i="6" s="1"/>
  <c r="AG167" i="6" a="1"/>
  <c r="AG167" i="6" s="1"/>
  <c r="AH158" i="7" a="1"/>
  <c r="AH158" i="7" s="1"/>
  <c r="AH172" i="7" a="1"/>
  <c r="AH172" i="7" s="1"/>
  <c r="AH186" i="7" a="1"/>
  <c r="AH186" i="7" s="1"/>
  <c r="AH200" i="7" a="1"/>
  <c r="AH200" i="7" s="1"/>
  <c r="AH32" i="7" a="1"/>
  <c r="AH32" i="7" s="1"/>
  <c r="AH7" i="7" a="1"/>
  <c r="AH7" i="7" s="1"/>
  <c r="AH21" i="7" a="1"/>
  <c r="AH21" i="7" s="1"/>
  <c r="AH49" i="7" a="1"/>
  <c r="AH49" i="7" s="1"/>
  <c r="AH91" i="7" a="1"/>
  <c r="AH91" i="7" s="1"/>
  <c r="AH105" i="7" a="1"/>
  <c r="AH105" i="7" s="1"/>
  <c r="AH119" i="7" a="1"/>
  <c r="AH119" i="7" s="1"/>
  <c r="AH133" i="7" a="1"/>
  <c r="AH133" i="7" s="1"/>
  <c r="AH147" i="7" a="1"/>
  <c r="AH147" i="7" s="1"/>
  <c r="AH161" i="7" a="1"/>
  <c r="AH161" i="7" s="1"/>
  <c r="AH175" i="7" a="1"/>
  <c r="AH175" i="7" s="1"/>
  <c r="AH189" i="7" a="1"/>
  <c r="AH189" i="7" s="1"/>
  <c r="AH5" i="7" a="1"/>
  <c r="AH5" i="7" s="1"/>
  <c r="AH19" i="7" a="1"/>
  <c r="AH19" i="7" s="1"/>
  <c r="AH33" i="7" a="1"/>
  <c r="AH33" i="7" s="1"/>
  <c r="AH47" i="7" a="1"/>
  <c r="AH47" i="7" s="1"/>
  <c r="AH61" i="7" a="1"/>
  <c r="AH61" i="7" s="1"/>
  <c r="AH75" i="7" a="1"/>
  <c r="AH75" i="7" s="1"/>
  <c r="AH89" i="7" a="1"/>
  <c r="AH89" i="7" s="1"/>
  <c r="AH103" i="7" a="1"/>
  <c r="AH103" i="7" s="1"/>
  <c r="AH117" i="7" a="1"/>
  <c r="AH117" i="7" s="1"/>
  <c r="AH131" i="7" a="1"/>
  <c r="AH131" i="7" s="1"/>
  <c r="AH145" i="7" a="1"/>
  <c r="AH145" i="7" s="1"/>
  <c r="AH159" i="7" a="1"/>
  <c r="AH159" i="7" s="1"/>
  <c r="AH173" i="7" a="1"/>
  <c r="AH173" i="7" s="1"/>
  <c r="AH187" i="7" a="1"/>
  <c r="AH187" i="7" s="1"/>
  <c r="AH63" i="7" a="1"/>
  <c r="AH63" i="7" s="1"/>
  <c r="AH9" i="7" a="1"/>
  <c r="AH9" i="7" s="1"/>
  <c r="AH23" i="7" a="1"/>
  <c r="AH23" i="7" s="1"/>
  <c r="AH37" i="7" a="1"/>
  <c r="AH37" i="7" s="1"/>
  <c r="AH51" i="7" a="1"/>
  <c r="AH51" i="7" s="1"/>
  <c r="AH65" i="7" a="1"/>
  <c r="AH65" i="7" s="1"/>
  <c r="AH79" i="7" a="1"/>
  <c r="AH79" i="7" s="1"/>
  <c r="AH93" i="7" a="1"/>
  <c r="AH93" i="7" s="1"/>
  <c r="AH107" i="7" a="1"/>
  <c r="AH107" i="7" s="1"/>
  <c r="AH121" i="7" a="1"/>
  <c r="AH121" i="7" s="1"/>
  <c r="AH135" i="7" a="1"/>
  <c r="AH135" i="7" s="1"/>
  <c r="AH149" i="7" a="1"/>
  <c r="AH149" i="7" s="1"/>
  <c r="AH163" i="7" a="1"/>
  <c r="AH163" i="7" s="1"/>
  <c r="AH177" i="7" a="1"/>
  <c r="AH177" i="7" s="1"/>
  <c r="AH191" i="7" a="1"/>
  <c r="AH191" i="7" s="1"/>
  <c r="AH77" i="7" a="1"/>
  <c r="AH77" i="7" s="1"/>
  <c r="AH201" i="7" a="1"/>
  <c r="AH201" i="7" s="1"/>
  <c r="AH10" i="7" a="1"/>
  <c r="AH10" i="7" s="1"/>
  <c r="AH24" i="7" a="1"/>
  <c r="AH24" i="7" s="1"/>
  <c r="AH38" i="7" a="1"/>
  <c r="AH38" i="7" s="1"/>
  <c r="AH52" i="7" a="1"/>
  <c r="AH52" i="7" s="1"/>
  <c r="AH66" i="7" a="1"/>
  <c r="AH66" i="7" s="1"/>
  <c r="AH80" i="7" a="1"/>
  <c r="AH80" i="7" s="1"/>
  <c r="AH94" i="7" a="1"/>
  <c r="AH94" i="7" s="1"/>
  <c r="AH108" i="7" a="1"/>
  <c r="AH108" i="7" s="1"/>
  <c r="AH122" i="7" a="1"/>
  <c r="AH122" i="7" s="1"/>
  <c r="AH136" i="7" a="1"/>
  <c r="AH136" i="7" s="1"/>
  <c r="AH150" i="7" a="1"/>
  <c r="AH150" i="7" s="1"/>
  <c r="AH164" i="7" a="1"/>
  <c r="AH164" i="7" s="1"/>
  <c r="AH178" i="7" a="1"/>
  <c r="AH178" i="7" s="1"/>
  <c r="AH192" i="7" a="1"/>
  <c r="AH192" i="7" s="1"/>
  <c r="AH35" i="7" a="1"/>
  <c r="AH35" i="7" s="1"/>
  <c r="AH14" i="7" a="1"/>
  <c r="AH14" i="7" s="1"/>
  <c r="AH15" i="7" a="1"/>
  <c r="AH15" i="7" s="1"/>
  <c r="AH29" i="7" a="1"/>
  <c r="AH29" i="7" s="1"/>
  <c r="AH43" i="7" a="1"/>
  <c r="AH43" i="7" s="1"/>
  <c r="AH57" i="7" a="1"/>
  <c r="AH57" i="7" s="1"/>
  <c r="AH71" i="7" a="1"/>
  <c r="AH71" i="7" s="1"/>
  <c r="AH85" i="7" a="1"/>
  <c r="AH85" i="7" s="1"/>
  <c r="AH99" i="7" a="1"/>
  <c r="AH99" i="7" s="1"/>
  <c r="AH113" i="7" a="1"/>
  <c r="AH113" i="7" s="1"/>
  <c r="AH127" i="7" a="1"/>
  <c r="AH127" i="7" s="1"/>
  <c r="AH141" i="7" a="1"/>
  <c r="AH141" i="7" s="1"/>
  <c r="AH155" i="7" a="1"/>
  <c r="AH155" i="7" s="1"/>
  <c r="AH169" i="7" a="1"/>
  <c r="AH169" i="7" s="1"/>
  <c r="AH183" i="7" a="1"/>
  <c r="AH183" i="7" s="1"/>
  <c r="AH197" i="7" a="1"/>
  <c r="AH197" i="7" s="1"/>
  <c r="AH6" i="7" a="1"/>
  <c r="AH6" i="7" s="1"/>
  <c r="AH20" i="7" a="1"/>
  <c r="AH20" i="7" s="1"/>
  <c r="AH34" i="7" a="1"/>
  <c r="AH34" i="7" s="1"/>
  <c r="AH48" i="7" a="1"/>
  <c r="AH48" i="7" s="1"/>
  <c r="AH62" i="7" a="1"/>
  <c r="AH62" i="7" s="1"/>
  <c r="AH76" i="7" a="1"/>
  <c r="AH76" i="7" s="1"/>
  <c r="AH90" i="7" a="1"/>
  <c r="AH90" i="7" s="1"/>
  <c r="AH104" i="7" a="1"/>
  <c r="AH104" i="7" s="1"/>
  <c r="AH118" i="7" a="1"/>
  <c r="AH118" i="7" s="1"/>
  <c r="AH132" i="7" a="1"/>
  <c r="AH132" i="7" s="1"/>
  <c r="AH146" i="7" a="1"/>
  <c r="AH146" i="7" s="1"/>
  <c r="AH160" i="7" a="1"/>
  <c r="AH160" i="7" s="1"/>
  <c r="AH174" i="7" a="1"/>
  <c r="AH174" i="7" s="1"/>
  <c r="AH188" i="7" a="1"/>
  <c r="AH188" i="7" s="1"/>
  <c r="AH202" i="7" a="1"/>
  <c r="AH202" i="7" s="1"/>
  <c r="AH11" i="7" a="1"/>
  <c r="AH11" i="7" s="1"/>
  <c r="AH25" i="7" a="1"/>
  <c r="AH25" i="7" s="1"/>
  <c r="AH39" i="7" a="1"/>
  <c r="AH39" i="7" s="1"/>
  <c r="AH53" i="7" a="1"/>
  <c r="AH53" i="7" s="1"/>
  <c r="AH67" i="7" a="1"/>
  <c r="AH67" i="7" s="1"/>
  <c r="AH81" i="7" a="1"/>
  <c r="AH81" i="7" s="1"/>
  <c r="AH95" i="7" a="1"/>
  <c r="AH95" i="7" s="1"/>
  <c r="AH109" i="7" a="1"/>
  <c r="AH109" i="7" s="1"/>
  <c r="AH123" i="7" a="1"/>
  <c r="AH123" i="7" s="1"/>
  <c r="AH137" i="7" a="1"/>
  <c r="AH137" i="7" s="1"/>
  <c r="AH151" i="7" a="1"/>
  <c r="AH151" i="7" s="1"/>
  <c r="AH165" i="7" a="1"/>
  <c r="AH165" i="7" s="1"/>
  <c r="AH179" i="7" a="1"/>
  <c r="AH179" i="7" s="1"/>
  <c r="AH193" i="7" a="1"/>
  <c r="AH193" i="7" s="1"/>
  <c r="AH16" i="7" a="1"/>
  <c r="AH16" i="7" s="1"/>
  <c r="AH30" i="7" a="1"/>
  <c r="AH30" i="7" s="1"/>
  <c r="AH44" i="7" a="1"/>
  <c r="AH44" i="7" s="1"/>
  <c r="AH58" i="7" a="1"/>
  <c r="AH58" i="7" s="1"/>
  <c r="AH72" i="7" a="1"/>
  <c r="AH72" i="7" s="1"/>
  <c r="AH86" i="7" a="1"/>
  <c r="AH86" i="7" s="1"/>
  <c r="AH100" i="7" a="1"/>
  <c r="AH100" i="7" s="1"/>
  <c r="AH114" i="7" a="1"/>
  <c r="AH114" i="7" s="1"/>
  <c r="AH128" i="7" a="1"/>
  <c r="AH128" i="7" s="1"/>
  <c r="AH142" i="7" a="1"/>
  <c r="AH142" i="7" s="1"/>
  <c r="AH156" i="7" a="1"/>
  <c r="AH156" i="7" s="1"/>
  <c r="AH170" i="7" a="1"/>
  <c r="AH170" i="7" s="1"/>
  <c r="AH184" i="7" a="1"/>
  <c r="AH184" i="7" s="1"/>
  <c r="AH198" i="7" a="1"/>
  <c r="AH198" i="7" s="1"/>
  <c r="AH17" i="7" a="1"/>
  <c r="AH17" i="7" s="1"/>
  <c r="AH31" i="7" a="1"/>
  <c r="AH31" i="7" s="1"/>
  <c r="AH45" i="7" a="1"/>
  <c r="AH45" i="7" s="1"/>
  <c r="AH59" i="7" a="1"/>
  <c r="AH59" i="7" s="1"/>
  <c r="AH73" i="7" a="1"/>
  <c r="AH73" i="7" s="1"/>
  <c r="AH87" i="7" a="1"/>
  <c r="AH87" i="7" s="1"/>
  <c r="AH101" i="7" a="1"/>
  <c r="AH101" i="7" s="1"/>
  <c r="AH115" i="7" a="1"/>
  <c r="AH115" i="7" s="1"/>
  <c r="AH129" i="7" a="1"/>
  <c r="AH129" i="7" s="1"/>
  <c r="AH143" i="7" a="1"/>
  <c r="AH143" i="7" s="1"/>
  <c r="AH157" i="7" a="1"/>
  <c r="AH157" i="7" s="1"/>
  <c r="AH171" i="7" a="1"/>
  <c r="AH171" i="7" s="1"/>
  <c r="AH185" i="7" a="1"/>
  <c r="AH185" i="7" s="1"/>
  <c r="AH199" i="7" a="1"/>
  <c r="AH199" i="7" s="1"/>
  <c r="AH8" i="7" a="1"/>
  <c r="AH8" i="7" s="1"/>
  <c r="AH22" i="7" a="1"/>
  <c r="AH22" i="7" s="1"/>
  <c r="AH36" i="7" a="1"/>
  <c r="AH36" i="7" s="1"/>
  <c r="AH50" i="7" a="1"/>
  <c r="AH50" i="7" s="1"/>
  <c r="AH64" i="7" a="1"/>
  <c r="AH64" i="7" s="1"/>
  <c r="AH78" i="7" a="1"/>
  <c r="AH78" i="7" s="1"/>
  <c r="AH92" i="7" a="1"/>
  <c r="AH92" i="7" s="1"/>
  <c r="AH106" i="7" a="1"/>
  <c r="AH106" i="7" s="1"/>
  <c r="AH120" i="7" a="1"/>
  <c r="AH120" i="7" s="1"/>
  <c r="AH134" i="7" a="1"/>
  <c r="AH134" i="7" s="1"/>
  <c r="AH148" i="7" a="1"/>
  <c r="AH148" i="7" s="1"/>
  <c r="AH162" i="7" a="1"/>
  <c r="AH162" i="7" s="1"/>
  <c r="AH176" i="7" a="1"/>
  <c r="AH176" i="7" s="1"/>
  <c r="AH190" i="7" a="1"/>
  <c r="AH190" i="7" s="1"/>
  <c r="AJ120" i="8" a="1"/>
  <c r="AJ120" i="8" s="1"/>
  <c r="AJ134" i="8" a="1"/>
  <c r="AJ134" i="8" s="1"/>
  <c r="AJ148" i="8" a="1"/>
  <c r="AJ148" i="8" s="1"/>
  <c r="AJ162" i="8" a="1"/>
  <c r="AJ162" i="8" s="1"/>
  <c r="AJ176" i="8" a="1"/>
  <c r="AJ176" i="8" s="1"/>
  <c r="AJ190" i="8" a="1"/>
  <c r="AJ190" i="8" s="1"/>
  <c r="AJ11" i="8" a="1"/>
  <c r="AJ11" i="8" s="1"/>
  <c r="AJ25" i="8" a="1"/>
  <c r="AJ25" i="8" s="1"/>
  <c r="AJ39" i="8" a="1"/>
  <c r="AJ39" i="8" s="1"/>
  <c r="AJ53" i="8" a="1"/>
  <c r="AJ53" i="8" s="1"/>
  <c r="AJ67" i="8" a="1"/>
  <c r="AJ67" i="8" s="1"/>
  <c r="AJ81" i="8" a="1"/>
  <c r="AJ81" i="8" s="1"/>
  <c r="AJ95" i="8" a="1"/>
  <c r="AJ95" i="8" s="1"/>
  <c r="AJ109" i="8" a="1"/>
  <c r="AJ109" i="8" s="1"/>
  <c r="AJ123" i="8" a="1"/>
  <c r="AJ123" i="8" s="1"/>
  <c r="AJ137" i="8" a="1"/>
  <c r="AJ137" i="8" s="1"/>
  <c r="AJ151" i="8" a="1"/>
  <c r="AJ151" i="8" s="1"/>
  <c r="AJ165" i="8" a="1"/>
  <c r="AJ165" i="8" s="1"/>
  <c r="AJ179" i="8" a="1"/>
  <c r="AJ179" i="8" s="1"/>
  <c r="AJ193" i="8" a="1"/>
  <c r="AJ193" i="8" s="1"/>
  <c r="AJ8" i="8" a="1"/>
  <c r="AJ8" i="8" s="1"/>
  <c r="AJ22" i="8" a="1"/>
  <c r="AJ22" i="8" s="1"/>
  <c r="AJ36" i="8" a="1"/>
  <c r="AJ36" i="8" s="1"/>
  <c r="AJ50" i="8" a="1"/>
  <c r="AJ50" i="8" s="1"/>
  <c r="AJ78" i="8" a="1"/>
  <c r="AJ78" i="8" s="1"/>
  <c r="AJ92" i="8" a="1"/>
  <c r="AJ92" i="8" s="1"/>
  <c r="AJ106" i="8" a="1"/>
  <c r="AJ106" i="8" s="1"/>
  <c r="AJ64" i="8" a="1"/>
  <c r="AJ64" i="8" s="1"/>
  <c r="AJ93" i="8" a="1"/>
  <c r="AJ93" i="8" s="1"/>
  <c r="AJ107" i="8" a="1"/>
  <c r="AJ107" i="8" s="1"/>
  <c r="AJ121" i="8" a="1"/>
  <c r="AJ121" i="8" s="1"/>
  <c r="AJ135" i="8" a="1"/>
  <c r="AJ135" i="8" s="1"/>
  <c r="AJ149" i="8" a="1"/>
  <c r="AJ149" i="8" s="1"/>
  <c r="AJ163" i="8" a="1"/>
  <c r="AJ163" i="8" s="1"/>
  <c r="AJ177" i="8" a="1"/>
  <c r="AJ177" i="8" s="1"/>
  <c r="AJ191" i="8" a="1"/>
  <c r="AJ191" i="8" s="1"/>
  <c r="AJ17" i="9" a="1"/>
  <c r="AJ17" i="9" s="1"/>
  <c r="AJ31" i="9" a="1"/>
  <c r="AJ31" i="9" s="1"/>
  <c r="AJ45" i="9" a="1"/>
  <c r="AJ45" i="9" s="1"/>
  <c r="AJ59" i="9" a="1"/>
  <c r="AJ59" i="9" s="1"/>
  <c r="AJ77" i="9" a="1"/>
  <c r="AJ77" i="9" s="1"/>
  <c r="AJ68" i="9" a="1"/>
  <c r="AJ68" i="9" s="1"/>
  <c r="AJ202" i="9" a="1"/>
  <c r="AJ202" i="9" s="1"/>
  <c r="AJ73" i="9" a="1"/>
  <c r="AJ73" i="9" s="1"/>
  <c r="AJ87" i="9" a="1"/>
  <c r="AJ87" i="9" s="1"/>
  <c r="AJ101" i="9" a="1"/>
  <c r="AJ101" i="9" s="1"/>
  <c r="AJ115" i="9" a="1"/>
  <c r="AJ115" i="9" s="1"/>
  <c r="AJ129" i="9" a="1"/>
  <c r="AJ129" i="9" s="1"/>
  <c r="AJ143" i="9" a="1"/>
  <c r="AJ143" i="9" s="1"/>
  <c r="AJ157" i="9" a="1"/>
  <c r="AJ157" i="9" s="1"/>
  <c r="AJ171" i="9" a="1"/>
  <c r="AJ171" i="9" s="1"/>
  <c r="AJ185" i="9" a="1"/>
  <c r="AJ185" i="9" s="1"/>
  <c r="AJ199" i="9" a="1"/>
  <c r="AJ199" i="9" s="1"/>
  <c r="AJ76" i="9" a="1"/>
  <c r="AJ76" i="9" s="1"/>
  <c r="AJ173" i="9" a="1"/>
  <c r="AJ173" i="9" s="1"/>
  <c r="AJ187" i="9" a="1"/>
  <c r="AJ187" i="9" s="1"/>
  <c r="AJ175" i="9" a="1"/>
  <c r="AJ175" i="9" s="1"/>
  <c r="AJ19" i="9" a="1"/>
  <c r="AJ19" i="9" s="1"/>
  <c r="AJ33" i="9" a="1"/>
  <c r="AJ33" i="9" s="1"/>
  <c r="AJ47" i="9" a="1"/>
  <c r="AJ47" i="9" s="1"/>
  <c r="AJ61" i="9" a="1"/>
  <c r="AJ61" i="9" s="1"/>
  <c r="AJ75" i="9" a="1"/>
  <c r="AJ75" i="9" s="1"/>
  <c r="AJ89" i="9" a="1"/>
  <c r="AJ89" i="9" s="1"/>
  <c r="AJ103" i="9" a="1"/>
  <c r="AJ103" i="9" s="1"/>
  <c r="AJ117" i="9" a="1"/>
  <c r="AJ117" i="9" s="1"/>
  <c r="AJ131" i="9" a="1"/>
  <c r="AJ131" i="9" s="1"/>
  <c r="AJ145" i="9" a="1"/>
  <c r="AJ145" i="9" s="1"/>
  <c r="AJ159" i="9" a="1"/>
  <c r="AJ159" i="9" s="1"/>
  <c r="AJ8" i="9" a="1"/>
  <c r="AJ8" i="9" s="1"/>
  <c r="AJ22" i="9" a="1"/>
  <c r="AJ22" i="9" s="1"/>
  <c r="AJ36" i="9" a="1"/>
  <c r="AJ36" i="9" s="1"/>
  <c r="AJ50" i="9" a="1"/>
  <c r="AJ50" i="9" s="1"/>
  <c r="AJ64" i="9" a="1"/>
  <c r="AJ64" i="9" s="1"/>
  <c r="AJ78" i="9" a="1"/>
  <c r="AJ78" i="9" s="1"/>
  <c r="AJ92" i="9" a="1"/>
  <c r="AJ92" i="9" s="1"/>
  <c r="AJ106" i="9" a="1"/>
  <c r="AJ106" i="9" s="1"/>
  <c r="AJ120" i="9" a="1"/>
  <c r="AJ120" i="9" s="1"/>
  <c r="AJ134" i="9" a="1"/>
  <c r="AJ134" i="9" s="1"/>
  <c r="AJ148" i="9" a="1"/>
  <c r="AJ148" i="9" s="1"/>
  <c r="AJ162" i="9" a="1"/>
  <c r="AJ162" i="9" s="1"/>
  <c r="AJ176" i="9" a="1"/>
  <c r="AJ176" i="9" s="1"/>
  <c r="AJ190" i="9" a="1"/>
  <c r="AJ190" i="9" s="1"/>
  <c r="AJ201" i="9" a="1"/>
  <c r="AJ201" i="9" s="1"/>
  <c r="AJ13" i="9" a="1"/>
  <c r="AJ13" i="9" s="1"/>
  <c r="AJ27" i="9" a="1"/>
  <c r="AJ27" i="9" s="1"/>
  <c r="AJ41" i="9" a="1"/>
  <c r="AJ41" i="9" s="1"/>
  <c r="AJ55" i="9" a="1"/>
  <c r="AJ55" i="9" s="1"/>
  <c r="AJ69" i="9" a="1"/>
  <c r="AJ69" i="9" s="1"/>
  <c r="AJ83" i="9" a="1"/>
  <c r="AJ83" i="9" s="1"/>
  <c r="AJ97" i="9" a="1"/>
  <c r="AJ97" i="9" s="1"/>
  <c r="AJ111" i="9" a="1"/>
  <c r="AJ111" i="9" s="1"/>
  <c r="AJ125" i="9" a="1"/>
  <c r="AJ125" i="9" s="1"/>
  <c r="AJ139" i="9" a="1"/>
  <c r="AJ139" i="9" s="1"/>
  <c r="AJ153" i="9" a="1"/>
  <c r="AJ153" i="9" s="1"/>
  <c r="AJ167" i="9" a="1"/>
  <c r="AJ167" i="9" s="1"/>
  <c r="AJ181" i="9" a="1"/>
  <c r="AJ181" i="9" s="1"/>
  <c r="AJ195" i="9" a="1"/>
  <c r="AJ195" i="9" s="1"/>
  <c r="AJ18" i="9" a="1"/>
  <c r="AJ18" i="9" s="1"/>
  <c r="AJ32" i="9" a="1"/>
  <c r="AJ32" i="9" s="1"/>
  <c r="AJ46" i="9" a="1"/>
  <c r="AJ46" i="9" s="1"/>
  <c r="AJ60" i="9" a="1"/>
  <c r="AJ60" i="9" s="1"/>
  <c r="AJ74" i="9" a="1"/>
  <c r="AJ74" i="9" s="1"/>
  <c r="AJ88" i="9" a="1"/>
  <c r="AJ88" i="9" s="1"/>
  <c r="AJ102" i="9" a="1"/>
  <c r="AJ102" i="9" s="1"/>
  <c r="AJ116" i="9" a="1"/>
  <c r="AJ116" i="9" s="1"/>
  <c r="AJ130" i="9" a="1"/>
  <c r="AJ130" i="9" s="1"/>
  <c r="AJ144" i="9" a="1"/>
  <c r="AJ144" i="9" s="1"/>
  <c r="AJ158" i="9" a="1"/>
  <c r="AJ158" i="9" s="1"/>
  <c r="AJ172" i="9" a="1"/>
  <c r="AJ172" i="9" s="1"/>
  <c r="AJ186" i="9" a="1"/>
  <c r="AJ186" i="9" s="1"/>
  <c r="AJ200" i="9" a="1"/>
  <c r="AJ200" i="9" s="1"/>
  <c r="AJ9" i="9" a="1"/>
  <c r="AJ9" i="9" s="1"/>
  <c r="AJ23" i="9" a="1"/>
  <c r="AJ23" i="9" s="1"/>
  <c r="AJ37" i="9" a="1"/>
  <c r="AJ37" i="9" s="1"/>
  <c r="AJ51" i="9" a="1"/>
  <c r="AJ51" i="9" s="1"/>
  <c r="AJ65" i="9" a="1"/>
  <c r="AJ65" i="9" s="1"/>
  <c r="AJ79" i="9" a="1"/>
  <c r="AJ79" i="9" s="1"/>
  <c r="AJ93" i="9" a="1"/>
  <c r="AJ93" i="9" s="1"/>
  <c r="AJ107" i="9" a="1"/>
  <c r="AJ107" i="9" s="1"/>
  <c r="AJ121" i="9" a="1"/>
  <c r="AJ121" i="9" s="1"/>
  <c r="AJ135" i="9" a="1"/>
  <c r="AJ135" i="9" s="1"/>
  <c r="AJ149" i="9" a="1"/>
  <c r="AJ149" i="9" s="1"/>
  <c r="AJ163" i="9" a="1"/>
  <c r="AJ163" i="9" s="1"/>
  <c r="AJ177" i="9" a="1"/>
  <c r="AJ177" i="9" s="1"/>
  <c r="AJ191" i="9" a="1"/>
  <c r="AJ191" i="9" s="1"/>
  <c r="AJ14" i="9" a="1"/>
  <c r="AJ14" i="9" s="1"/>
  <c r="AJ28" i="9" a="1"/>
  <c r="AJ28" i="9" s="1"/>
  <c r="AJ42" i="9" a="1"/>
  <c r="AJ42" i="9" s="1"/>
  <c r="AJ56" i="9" a="1"/>
  <c r="AJ56" i="9" s="1"/>
  <c r="AJ70" i="9" a="1"/>
  <c r="AJ70" i="9" s="1"/>
  <c r="AJ84" i="9" a="1"/>
  <c r="AJ84" i="9" s="1"/>
  <c r="AJ98" i="9" a="1"/>
  <c r="AJ98" i="9" s="1"/>
  <c r="AJ112" i="9" a="1"/>
  <c r="AJ112" i="9" s="1"/>
  <c r="AJ126" i="9" a="1"/>
  <c r="AJ126" i="9" s="1"/>
  <c r="AJ140" i="9" a="1"/>
  <c r="AJ140" i="9" s="1"/>
  <c r="AJ154" i="9" a="1"/>
  <c r="AJ154" i="9" s="1"/>
  <c r="AJ168" i="9" a="1"/>
  <c r="AJ168" i="9" s="1"/>
  <c r="AJ182" i="9" a="1"/>
  <c r="AJ182" i="9" s="1"/>
  <c r="AJ196" i="9" a="1"/>
  <c r="AJ196" i="9" s="1"/>
  <c r="AJ10" i="9" a="1"/>
  <c r="AJ10" i="9" s="1"/>
  <c r="AJ24" i="9" a="1"/>
  <c r="AJ24" i="9" s="1"/>
  <c r="AJ38" i="9" a="1"/>
  <c r="AJ38" i="9" s="1"/>
  <c r="AJ52" i="9" a="1"/>
  <c r="AJ52" i="9" s="1"/>
  <c r="AJ66" i="9" a="1"/>
  <c r="AJ66" i="9" s="1"/>
  <c r="AJ80" i="9" a="1"/>
  <c r="AJ80" i="9" s="1"/>
  <c r="AJ94" i="9" a="1"/>
  <c r="AJ94" i="9" s="1"/>
  <c r="AJ108" i="9" a="1"/>
  <c r="AJ108" i="9" s="1"/>
  <c r="AJ136" i="9" a="1"/>
  <c r="AJ136" i="9" s="1"/>
  <c r="AJ150" i="9" a="1"/>
  <c r="AJ150" i="9" s="1"/>
  <c r="AJ164" i="9" a="1"/>
  <c r="AJ164" i="9" s="1"/>
  <c r="AJ178" i="9" a="1"/>
  <c r="AJ178" i="9" s="1"/>
  <c r="AJ192" i="9" a="1"/>
  <c r="AJ192" i="9" s="1"/>
  <c r="AJ15" i="9" a="1"/>
  <c r="AJ15" i="9" s="1"/>
  <c r="AJ29" i="9" a="1"/>
  <c r="AJ29" i="9" s="1"/>
  <c r="AJ43" i="9" a="1"/>
  <c r="AJ43" i="9" s="1"/>
  <c r="AJ57" i="9" a="1"/>
  <c r="AJ57" i="9" s="1"/>
  <c r="AJ71" i="9" a="1"/>
  <c r="AJ71" i="9" s="1"/>
  <c r="AJ85" i="9" a="1"/>
  <c r="AJ85" i="9" s="1"/>
  <c r="AJ99" i="9" a="1"/>
  <c r="AJ99" i="9" s="1"/>
  <c r="AJ113" i="9" a="1"/>
  <c r="AJ113" i="9" s="1"/>
  <c r="AJ127" i="9" a="1"/>
  <c r="AJ127" i="9" s="1"/>
  <c r="AJ141" i="9" a="1"/>
  <c r="AJ141" i="9" s="1"/>
  <c r="AJ155" i="9" a="1"/>
  <c r="AJ155" i="9" s="1"/>
  <c r="AJ169" i="9" a="1"/>
  <c r="AJ169" i="9" s="1"/>
  <c r="AJ183" i="9" a="1"/>
  <c r="AJ183" i="9" s="1"/>
  <c r="AJ197" i="9" a="1"/>
  <c r="AJ197" i="9" s="1"/>
  <c r="AJ11" i="9" a="1"/>
  <c r="AJ11" i="9" s="1"/>
  <c r="AJ25" i="9" a="1"/>
  <c r="AJ25" i="9" s="1"/>
  <c r="AJ39" i="9" a="1"/>
  <c r="AJ39" i="9" s="1"/>
  <c r="AJ67" i="9" a="1"/>
  <c r="AJ67" i="9" s="1"/>
  <c r="AJ81" i="9" a="1"/>
  <c r="AJ81" i="9" s="1"/>
  <c r="AJ95" i="9" a="1"/>
  <c r="AJ95" i="9" s="1"/>
  <c r="AJ109" i="9" a="1"/>
  <c r="AJ109" i="9" s="1"/>
  <c r="AJ123" i="9" a="1"/>
  <c r="AJ123" i="9" s="1"/>
  <c r="AJ137" i="9" a="1"/>
  <c r="AJ137" i="9" s="1"/>
  <c r="AJ151" i="9" a="1"/>
  <c r="AJ151" i="9" s="1"/>
  <c r="AJ165" i="9" a="1"/>
  <c r="AJ165" i="9" s="1"/>
  <c r="AJ179" i="9" a="1"/>
  <c r="AJ179" i="9" s="1"/>
  <c r="AJ193" i="9" a="1"/>
  <c r="AJ193" i="9" s="1"/>
  <c r="AJ16" i="9" a="1"/>
  <c r="AJ16" i="9" s="1"/>
  <c r="AJ30" i="9" a="1"/>
  <c r="AJ30" i="9" s="1"/>
  <c r="AJ44" i="9" a="1"/>
  <c r="AJ44" i="9" s="1"/>
  <c r="AJ58" i="9" a="1"/>
  <c r="AJ58" i="9" s="1"/>
  <c r="AJ72" i="9" a="1"/>
  <c r="AJ72" i="9" s="1"/>
  <c r="AJ86" i="9" a="1"/>
  <c r="AJ86" i="9" s="1"/>
  <c r="AJ100" i="9" a="1"/>
  <c r="AJ100" i="9" s="1"/>
  <c r="AJ114" i="9" a="1"/>
  <c r="AJ114" i="9" s="1"/>
  <c r="AJ128" i="9" a="1"/>
  <c r="AJ128" i="9" s="1"/>
  <c r="AJ142" i="9" a="1"/>
  <c r="AJ142" i="9" s="1"/>
  <c r="AJ156" i="9" a="1"/>
  <c r="AJ156" i="9" s="1"/>
  <c r="AJ170" i="9" a="1"/>
  <c r="AJ170" i="9" s="1"/>
  <c r="AJ184" i="9" a="1"/>
  <c r="AJ184" i="9" s="1"/>
  <c r="AJ198" i="9" a="1"/>
  <c r="AJ198" i="9" s="1"/>
  <c r="AJ19" i="8" a="1"/>
  <c r="AJ19" i="8" s="1"/>
  <c r="AJ33" i="8" a="1"/>
  <c r="AJ33" i="8" s="1"/>
  <c r="AJ47" i="8" a="1"/>
  <c r="AJ47" i="8" s="1"/>
  <c r="AJ61" i="8" a="1"/>
  <c r="AJ61" i="8" s="1"/>
  <c r="AJ75" i="8" a="1"/>
  <c r="AJ75" i="8" s="1"/>
  <c r="AJ89" i="8" a="1"/>
  <c r="AJ89" i="8" s="1"/>
  <c r="AJ103" i="8" a="1"/>
  <c r="AJ103" i="8" s="1"/>
  <c r="AJ117" i="8" a="1"/>
  <c r="AJ117" i="8" s="1"/>
  <c r="AJ131" i="8" a="1"/>
  <c r="AJ131" i="8" s="1"/>
  <c r="AJ145" i="8" a="1"/>
  <c r="AJ145" i="8" s="1"/>
  <c r="AJ159" i="8" a="1"/>
  <c r="AJ159" i="8" s="1"/>
  <c r="AJ173" i="8" a="1"/>
  <c r="AJ173" i="8" s="1"/>
  <c r="AJ187" i="8" a="1"/>
  <c r="AJ187" i="8" s="1"/>
  <c r="AJ201" i="8" a="1"/>
  <c r="AJ201" i="8" s="1"/>
  <c r="AJ12" i="8" a="1"/>
  <c r="AJ12" i="8" s="1"/>
  <c r="AJ26" i="8" a="1"/>
  <c r="AJ26" i="8" s="1"/>
  <c r="AJ40" i="8" a="1"/>
  <c r="AJ40" i="8" s="1"/>
  <c r="AJ54" i="8" a="1"/>
  <c r="AJ54" i="8" s="1"/>
  <c r="AJ68" i="8" a="1"/>
  <c r="AJ68" i="8" s="1"/>
  <c r="AJ82" i="8" a="1"/>
  <c r="AJ82" i="8" s="1"/>
  <c r="AJ96" i="8" a="1"/>
  <c r="AJ96" i="8" s="1"/>
  <c r="AJ110" i="8" a="1"/>
  <c r="AJ110" i="8" s="1"/>
  <c r="AJ124" i="8" a="1"/>
  <c r="AJ124" i="8" s="1"/>
  <c r="AJ138" i="8" a="1"/>
  <c r="AJ138" i="8" s="1"/>
  <c r="AJ152" i="8" a="1"/>
  <c r="AJ152" i="8" s="1"/>
  <c r="AJ166" i="8" a="1"/>
  <c r="AJ166" i="8" s="1"/>
  <c r="AJ194" i="8" a="1"/>
  <c r="AJ194" i="8" s="1"/>
  <c r="AJ17" i="8" a="1"/>
  <c r="AJ17" i="8" s="1"/>
  <c r="AJ31" i="8" a="1"/>
  <c r="AJ31" i="8" s="1"/>
  <c r="AJ45" i="8" a="1"/>
  <c r="AJ45" i="8" s="1"/>
  <c r="AJ59" i="8" a="1"/>
  <c r="AJ59" i="8" s="1"/>
  <c r="AJ73" i="8" a="1"/>
  <c r="AJ73" i="8" s="1"/>
  <c r="AJ87" i="8" a="1"/>
  <c r="AJ87" i="8" s="1"/>
  <c r="AJ101" i="8" a="1"/>
  <c r="AJ101" i="8" s="1"/>
  <c r="AJ115" i="8" a="1"/>
  <c r="AJ115" i="8" s="1"/>
  <c r="AJ129" i="8" a="1"/>
  <c r="AJ129" i="8" s="1"/>
  <c r="AJ143" i="8" a="1"/>
  <c r="AJ143" i="8" s="1"/>
  <c r="AJ157" i="8" a="1"/>
  <c r="AJ157" i="8" s="1"/>
  <c r="AJ171" i="8" a="1"/>
  <c r="AJ171" i="8" s="1"/>
  <c r="AJ185" i="8" a="1"/>
  <c r="AJ185" i="8" s="1"/>
  <c r="AJ199" i="8" a="1"/>
  <c r="AJ199" i="8" s="1"/>
  <c r="AJ27" i="8" a="1"/>
  <c r="AJ27" i="8" s="1"/>
  <c r="AJ13" i="8" a="1"/>
  <c r="AJ13" i="8" s="1"/>
  <c r="AJ41" i="8" a="1"/>
  <c r="AJ41" i="8" s="1"/>
  <c r="AJ55" i="8" a="1"/>
  <c r="AJ55" i="8" s="1"/>
  <c r="AJ69" i="8" a="1"/>
  <c r="AJ69" i="8" s="1"/>
  <c r="AJ83" i="8" a="1"/>
  <c r="AJ83" i="8" s="1"/>
  <c r="AJ97" i="8" a="1"/>
  <c r="AJ97" i="8" s="1"/>
  <c r="AJ111" i="8" a="1"/>
  <c r="AJ111" i="8" s="1"/>
  <c r="AJ125" i="8" a="1"/>
  <c r="AJ125" i="8" s="1"/>
  <c r="AJ139" i="8" a="1"/>
  <c r="AJ139" i="8" s="1"/>
  <c r="AJ153" i="8" a="1"/>
  <c r="AJ153" i="8" s="1"/>
  <c r="AJ167" i="8" a="1"/>
  <c r="AJ167" i="8" s="1"/>
  <c r="AJ181" i="8" a="1"/>
  <c r="AJ181" i="8" s="1"/>
  <c r="AJ195" i="8" a="1"/>
  <c r="AJ195" i="8" s="1"/>
  <c r="AJ18" i="8" a="1"/>
  <c r="AJ18" i="8" s="1"/>
  <c r="AJ32" i="8" a="1"/>
  <c r="AJ32" i="8" s="1"/>
  <c r="AJ46" i="8" a="1"/>
  <c r="AJ46" i="8" s="1"/>
  <c r="AJ60" i="8" a="1"/>
  <c r="AJ60" i="8" s="1"/>
  <c r="AJ74" i="8" a="1"/>
  <c r="AJ74" i="8" s="1"/>
  <c r="AJ88" i="8" a="1"/>
  <c r="AJ88" i="8" s="1"/>
  <c r="AJ102" i="8" a="1"/>
  <c r="AJ102" i="8" s="1"/>
  <c r="AJ116" i="8" a="1"/>
  <c r="AJ116" i="8" s="1"/>
  <c r="AJ130" i="8" a="1"/>
  <c r="AJ130" i="8" s="1"/>
  <c r="AJ144" i="8" a="1"/>
  <c r="AJ144" i="8" s="1"/>
  <c r="AJ158" i="8" a="1"/>
  <c r="AJ158" i="8" s="1"/>
  <c r="AJ172" i="8" a="1"/>
  <c r="AJ172" i="8" s="1"/>
  <c r="AJ186" i="8" a="1"/>
  <c r="AJ186" i="8" s="1"/>
  <c r="AJ200" i="8" a="1"/>
  <c r="AJ200" i="8" s="1"/>
  <c r="AJ9" i="8" a="1"/>
  <c r="AJ9" i="8" s="1"/>
  <c r="AJ23" i="8" a="1"/>
  <c r="AJ23" i="8" s="1"/>
  <c r="AJ37" i="8" a="1"/>
  <c r="AJ37" i="8" s="1"/>
  <c r="AJ51" i="8" a="1"/>
  <c r="AJ51" i="8" s="1"/>
  <c r="AJ65" i="8" a="1"/>
  <c r="AJ65" i="8" s="1"/>
  <c r="AJ79" i="8" a="1"/>
  <c r="AJ79" i="8" s="1"/>
  <c r="AJ14" i="8" a="1"/>
  <c r="AJ14" i="8" s="1"/>
  <c r="AJ28" i="8" a="1"/>
  <c r="AJ28" i="8" s="1"/>
  <c r="AJ42" i="8" a="1"/>
  <c r="AJ42" i="8" s="1"/>
  <c r="AJ56" i="8" a="1"/>
  <c r="AJ56" i="8" s="1"/>
  <c r="AJ70" i="8" a="1"/>
  <c r="AJ70" i="8" s="1"/>
  <c r="AJ84" i="8" a="1"/>
  <c r="AJ84" i="8" s="1"/>
  <c r="AJ98" i="8" a="1"/>
  <c r="AJ98" i="8" s="1"/>
  <c r="AJ112" i="8" a="1"/>
  <c r="AJ112" i="8" s="1"/>
  <c r="AJ126" i="8" a="1"/>
  <c r="AJ126" i="8" s="1"/>
  <c r="AJ140" i="8" a="1"/>
  <c r="AJ140" i="8" s="1"/>
  <c r="AJ154" i="8" a="1"/>
  <c r="AJ154" i="8" s="1"/>
  <c r="AJ168" i="8" a="1"/>
  <c r="AJ168" i="8" s="1"/>
  <c r="AJ182" i="8" a="1"/>
  <c r="AJ182" i="8" s="1"/>
  <c r="AJ196" i="8" a="1"/>
  <c r="AJ196" i="8" s="1"/>
  <c r="AJ10" i="8" a="1"/>
  <c r="AJ10" i="8" s="1"/>
  <c r="AJ24" i="8" a="1"/>
  <c r="AJ24" i="8" s="1"/>
  <c r="AJ38" i="8" a="1"/>
  <c r="AJ38" i="8" s="1"/>
  <c r="AJ52" i="8" a="1"/>
  <c r="AJ52" i="8" s="1"/>
  <c r="AJ66" i="8" a="1"/>
  <c r="AJ66" i="8" s="1"/>
  <c r="AJ80" i="8" a="1"/>
  <c r="AJ80" i="8" s="1"/>
  <c r="AJ94" i="8" a="1"/>
  <c r="AJ94" i="8" s="1"/>
  <c r="AJ108" i="8" a="1"/>
  <c r="AJ108" i="8" s="1"/>
  <c r="AJ122" i="8" a="1"/>
  <c r="AJ122" i="8" s="1"/>
  <c r="AJ136" i="8" a="1"/>
  <c r="AJ136" i="8" s="1"/>
  <c r="AJ150" i="8" a="1"/>
  <c r="AJ150" i="8" s="1"/>
  <c r="AJ164" i="8" a="1"/>
  <c r="AJ164" i="8" s="1"/>
  <c r="AJ178" i="8" a="1"/>
  <c r="AJ178" i="8" s="1"/>
  <c r="AJ192" i="8" a="1"/>
  <c r="AJ192" i="8" s="1"/>
  <c r="AJ15" i="8" a="1"/>
  <c r="AJ15" i="8" s="1"/>
  <c r="AJ29" i="8" a="1"/>
  <c r="AJ29" i="8" s="1"/>
  <c r="AJ43" i="8" a="1"/>
  <c r="AJ43" i="8" s="1"/>
  <c r="AJ57" i="8" a="1"/>
  <c r="AJ57" i="8" s="1"/>
  <c r="AJ71" i="8" a="1"/>
  <c r="AJ71" i="8" s="1"/>
  <c r="AJ85" i="8" a="1"/>
  <c r="AJ85" i="8" s="1"/>
  <c r="AJ99" i="8" a="1"/>
  <c r="AJ99" i="8" s="1"/>
  <c r="AJ113" i="8" a="1"/>
  <c r="AJ113" i="8" s="1"/>
  <c r="AJ127" i="8" a="1"/>
  <c r="AJ127" i="8" s="1"/>
  <c r="AJ141" i="8" a="1"/>
  <c r="AJ141" i="8" s="1"/>
  <c r="AJ155" i="8" a="1"/>
  <c r="AJ155" i="8" s="1"/>
  <c r="AJ169" i="8" a="1"/>
  <c r="AJ169" i="8" s="1"/>
  <c r="AJ183" i="8" a="1"/>
  <c r="AJ183" i="8" s="1"/>
  <c r="AJ197" i="8" a="1"/>
  <c r="AJ197" i="8" s="1"/>
  <c r="AJ6" i="8" a="1"/>
  <c r="AJ6" i="8" s="1"/>
  <c r="AJ20" i="8" a="1"/>
  <c r="AJ20" i="8" s="1"/>
  <c r="AJ34" i="8" a="1"/>
  <c r="AJ34" i="8" s="1"/>
  <c r="AJ48" i="8" a="1"/>
  <c r="AJ48" i="8" s="1"/>
  <c r="AJ62" i="8" a="1"/>
  <c r="AJ62" i="8" s="1"/>
  <c r="AJ76" i="8" a="1"/>
  <c r="AJ76" i="8" s="1"/>
  <c r="AJ90" i="8" a="1"/>
  <c r="AJ90" i="8" s="1"/>
  <c r="AJ104" i="8" a="1"/>
  <c r="AJ104" i="8" s="1"/>
  <c r="AJ118" i="8" a="1"/>
  <c r="AJ118" i="8" s="1"/>
  <c r="AJ132" i="8" a="1"/>
  <c r="AJ132" i="8" s="1"/>
  <c r="AJ146" i="8" a="1"/>
  <c r="AJ146" i="8" s="1"/>
  <c r="AJ160" i="8" a="1"/>
  <c r="AJ160" i="8" s="1"/>
  <c r="AJ174" i="8" a="1"/>
  <c r="AJ174" i="8" s="1"/>
  <c r="AJ188" i="8" a="1"/>
  <c r="AJ188" i="8" s="1"/>
  <c r="AJ202" i="8" a="1"/>
  <c r="AJ202" i="8" s="1"/>
  <c r="AJ16" i="8" a="1"/>
  <c r="AJ16" i="8" s="1"/>
  <c r="AJ30" i="8" a="1"/>
  <c r="AJ30" i="8" s="1"/>
  <c r="AJ44" i="8" a="1"/>
  <c r="AJ44" i="8" s="1"/>
  <c r="AJ58" i="8" a="1"/>
  <c r="AJ58" i="8" s="1"/>
  <c r="AJ72" i="8" a="1"/>
  <c r="AJ72" i="8" s="1"/>
  <c r="AJ86" i="8" a="1"/>
  <c r="AJ86" i="8" s="1"/>
  <c r="AJ100" i="8" a="1"/>
  <c r="AJ100" i="8" s="1"/>
  <c r="AJ114" i="8" a="1"/>
  <c r="AJ114" i="8" s="1"/>
  <c r="AJ128" i="8" a="1"/>
  <c r="AJ128" i="8" s="1"/>
  <c r="AJ142" i="8" a="1"/>
  <c r="AJ142" i="8" s="1"/>
  <c r="AJ156" i="8" a="1"/>
  <c r="AJ156" i="8" s="1"/>
  <c r="AJ170" i="8" a="1"/>
  <c r="AJ170" i="8" s="1"/>
  <c r="AJ184" i="8" a="1"/>
  <c r="AJ184" i="8" s="1"/>
  <c r="AJ198" i="8" a="1"/>
  <c r="AJ198" i="8" s="1"/>
  <c r="AJ7" i="8" a="1"/>
  <c r="AJ7" i="8" s="1"/>
  <c r="AJ21" i="8" a="1"/>
  <c r="AJ21" i="8" s="1"/>
  <c r="AJ35" i="8" a="1"/>
  <c r="AJ35" i="8" s="1"/>
  <c r="AJ49" i="8" a="1"/>
  <c r="AJ49" i="8" s="1"/>
  <c r="AJ63" i="8" a="1"/>
  <c r="AJ63" i="8" s="1"/>
  <c r="AJ77" i="8" a="1"/>
  <c r="AJ77" i="8" s="1"/>
  <c r="AJ91" i="8" a="1"/>
  <c r="AJ91" i="8" s="1"/>
  <c r="AJ105" i="8" a="1"/>
  <c r="AJ105" i="8" s="1"/>
  <c r="AJ119" i="8" a="1"/>
  <c r="AJ119" i="8" s="1"/>
  <c r="AJ133" i="8" a="1"/>
  <c r="AJ133" i="8" s="1"/>
  <c r="AJ147" i="8" a="1"/>
  <c r="AJ147" i="8" s="1"/>
  <c r="AJ161" i="8" a="1"/>
  <c r="AJ161" i="8" s="1"/>
  <c r="AJ175" i="8" a="1"/>
  <c r="AJ175" i="8" s="1"/>
  <c r="AJ189" i="8" a="1"/>
  <c r="AJ189" i="8" s="1"/>
  <c r="AJ203" i="8" a="1"/>
  <c r="AJ203" i="8" s="1"/>
  <c r="AG6" i="4" a="1"/>
  <c r="AG6" i="4" s="1"/>
  <c r="AG7" i="4" a="1"/>
  <c r="AG7" i="4" s="1"/>
  <c r="AG5" i="4" a="1"/>
  <c r="AG5" i="4" s="1"/>
  <c r="AG13" i="3" a="1"/>
  <c r="AG13" i="3" s="1"/>
  <c r="AG10" i="3" a="1"/>
  <c r="AG10" i="3" s="1"/>
  <c r="AG7" i="3" a="1"/>
  <c r="AG7" i="3" s="1"/>
  <c r="AI8" i="5" a="1"/>
  <c r="AI8" i="5" s="1"/>
  <c r="AI4" i="5" a="1"/>
  <c r="AI4" i="5" s="1"/>
  <c r="AI9" i="5" a="1"/>
  <c r="AI9" i="5" s="1"/>
  <c r="AI10" i="5" a="1"/>
  <c r="AI10" i="5" s="1"/>
  <c r="AG204" i="9"/>
  <c r="AH204" i="9"/>
  <c r="AI204" i="9"/>
  <c r="AI122" i="9" l="1"/>
  <c r="AJ122" i="9"/>
  <c r="AI122" i="9" a="1"/>
  <c r="AJ122" i="9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4" authorId="0" shapeId="0" xr:uid="{7620C117-2853-4174-BB5C-13CD5F017459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P4" authorId="0" shapeId="0" xr:uid="{BAA50D53-84EA-43FB-BE76-12930239C438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Muhammad Rafique / CoolCare MRO Solar Energy</author>
  </authors>
  <commentList>
    <comment ref="M4" authorId="0" shapeId="0" xr:uid="{FCDCF434-B053-4148-A26E-14BC4589996F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4" authorId="0" shapeId="0" xr:uid="{A13DE82F-72FD-4CC0-B550-325979681D8A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Y90" authorId="1" shapeId="0" xr:uid="{34B8C3CC-9879-4340-B454-184CD289BD58}">
      <text>
        <r>
          <rPr>
            <b/>
            <sz val="9"/>
            <color indexed="81"/>
            <rFont val="Tahoma"/>
            <family val="2"/>
          </rPr>
          <t>Muhammad Rafique / CoolCare MRO Solar Energy:</t>
        </r>
        <r>
          <rPr>
            <sz val="9"/>
            <color indexed="81"/>
            <rFont val="Tahoma"/>
            <family val="2"/>
          </rPr>
          <t xml:space="preserve">
No Space</t>
        </r>
      </text>
    </comment>
    <comment ref="Y175" authorId="1" shapeId="0" xr:uid="{9515636A-AED2-464F-BD2A-2968D8A01FE5}">
      <text>
        <r>
          <rPr>
            <b/>
            <sz val="9"/>
            <color indexed="81"/>
            <rFont val="Tahoma"/>
            <family val="2"/>
          </rPr>
          <t>Muhammad Rafique / CoolCare MRO Solar Energy:</t>
        </r>
        <r>
          <rPr>
            <sz val="9"/>
            <color indexed="81"/>
            <rFont val="Tahoma"/>
            <family val="2"/>
          </rPr>
          <t xml:space="preserve">
No Space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" authorId="0" shapeId="0" xr:uid="{5194DE58-427B-4F53-BD73-6614C4AA79C2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M4" authorId="0" shapeId="0" xr:uid="{03DA5C25-20AD-4460-85F7-9714982925B3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C97BB26C-BF5B-44C0-BE2A-397E0475CCF3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4" authorId="0" shapeId="0" xr:uid="{46306E48-2CCF-4C31-87B1-A0CBE2B08DD3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A91F54A7-D383-47CD-BF00-327BEE0B180E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O4" authorId="0" shapeId="0" xr:uid="{E107752E-199B-429B-92EB-B6E64F612357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4" authorId="0" shapeId="0" xr:uid="{F121F98D-2253-4E36-B42F-48B51A1A5022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P4" authorId="0" shapeId="0" xr:uid="{0B0AB7E5-CC0F-494D-973E-E69B92909805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4" authorId="0" shapeId="0" xr:uid="{111BD031-096C-4FC9-8DDE-21CD12269F08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P4" authorId="0" shapeId="0" xr:uid="{A3E6180C-6354-47AA-8885-0D6461448A41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2051FD7C-E07C-46D5-95A5-B2FAC970AF4A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6B96FD35-D9DC-4E78-A332-E1BE7EC0C24B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4" authorId="0" shapeId="0" xr:uid="{6BF1915F-B679-40EB-97D7-2A550BC7CB02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22" authorId="0" shapeId="0" xr:uid="{E3ADE745-9628-4557-AB1F-9D900988A38A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81" authorId="0" shapeId="0" xr:uid="{D789E028-5708-4172-8FED-A2FE4268D6B5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N136" authorId="0" shapeId="0" xr:uid="{85445533-8BDD-402F-B3CD-3C328ACF7E2F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" authorId="0" shapeId="0" xr:uid="{5F40989B-357D-4BFE-8BE9-F420DFA6C8BC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41492B84-5855-4A9A-816D-EAE441BF7C6E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O4" authorId="0" shapeId="0" xr:uid="{DFA3FB08-82F6-4CD2-8811-A754C8BEAE58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" authorId="0" shapeId="0" xr:uid="{6FC4E10A-E94F-4047-91CA-43949914BCC8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  <comment ref="M4" authorId="0" shapeId="0" xr:uid="{D5743215-3B20-4EB2-B1D2-50F2EAC57F6F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D22F1825-9A10-4A55-BCA9-08694D2CAA36}">
      <text>
        <r>
          <rPr>
            <sz val="10"/>
            <color rgb="FF000000"/>
            <rFont val="Arial"/>
            <family val="2"/>
            <scheme val="minor"/>
          </rPr>
          <t>4/2/2025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<sst xmlns="http://schemas.openxmlformats.org/spreadsheetml/2006/main" count="52788" uniqueCount="11511">
  <si>
    <t>Report Date</t>
  </si>
  <si>
    <t>Project</t>
  </si>
  <si>
    <t>Schools Information</t>
  </si>
  <si>
    <t>Installation Start date</t>
  </si>
  <si>
    <t xml:space="preserve">Mechanical </t>
  </si>
  <si>
    <t>Electrcical</t>
  </si>
  <si>
    <t>Energized</t>
  </si>
  <si>
    <t>COC signed</t>
  </si>
  <si>
    <t>Installation
Completion
Date</t>
  </si>
  <si>
    <t>Not Started</t>
  </si>
  <si>
    <t>In Progress</t>
  </si>
  <si>
    <t>Completed</t>
  </si>
  <si>
    <t>School Status</t>
  </si>
  <si>
    <t>School ID</t>
  </si>
  <si>
    <t>School Name (Arabic)</t>
  </si>
  <si>
    <t>School Name
 (English)</t>
  </si>
  <si>
    <r>
      <t xml:space="preserve">School Level 
</t>
    </r>
    <r>
      <rPr>
        <b/>
        <sz val="8"/>
        <color theme="1"/>
        <rFont val="Calibri"/>
        <family val="2"/>
      </rPr>
      <t>(Primary / Intermediate / Secondary)</t>
    </r>
  </si>
  <si>
    <r>
      <t xml:space="preserve">School Gender
</t>
    </r>
    <r>
      <rPr>
        <b/>
        <sz val="8"/>
        <color theme="1"/>
        <rFont val="Calibri"/>
        <family val="2"/>
      </rPr>
      <t>(Boys / Girls)</t>
    </r>
  </si>
  <si>
    <t>Region</t>
  </si>
  <si>
    <t>City</t>
  </si>
  <si>
    <t>School
 Coordinates</t>
  </si>
  <si>
    <t>SEC Meter NO.</t>
  </si>
  <si>
    <t>SEC Account NO.</t>
  </si>
  <si>
    <t>Survey Completion Date</t>
  </si>
  <si>
    <t xml:space="preserve"> Completion  of  Foundation</t>
  </si>
  <si>
    <t xml:space="preserve">PV Mounting Structure </t>
  </si>
  <si>
    <t xml:space="preserve">PV Module Installation </t>
  </si>
  <si>
    <t>Completion for Earthing</t>
  </si>
  <si>
    <t xml:space="preserve">Cable Tray  Installation </t>
  </si>
  <si>
    <t>Extension DC Cables</t>
  </si>
  <si>
    <t>Completion of LV AC Cables</t>
  </si>
  <si>
    <t xml:space="preserve">Inverters Installation </t>
  </si>
  <si>
    <t>SMDB panel installation</t>
  </si>
  <si>
    <t>Data Logger installation</t>
  </si>
  <si>
    <t xml:space="preserve">DIGITAL METER </t>
  </si>
  <si>
    <t xml:space="preserve">Breaker </t>
  </si>
  <si>
    <t>C T</t>
  </si>
  <si>
    <t>Stage</t>
  </si>
  <si>
    <t>Qassim-1</t>
  </si>
  <si>
    <t>SS-ZAM-QAS1001</t>
  </si>
  <si>
    <t>Qassim</t>
  </si>
  <si>
    <t>Buraidah</t>
  </si>
  <si>
    <t>KFM2020660194530</t>
  </si>
  <si>
    <t>Primary</t>
  </si>
  <si>
    <t>Boys</t>
  </si>
  <si>
    <t>SS-ZAM-QAS1002</t>
  </si>
  <si>
    <t>KFM2020660194245</t>
  </si>
  <si>
    <t>Intermediate</t>
  </si>
  <si>
    <t>Girls</t>
  </si>
  <si>
    <t>SS-ZAM-QAS1003</t>
  </si>
  <si>
    <t>KFM2020660194807</t>
  </si>
  <si>
    <t>Secondary</t>
  </si>
  <si>
    <t>NA</t>
  </si>
  <si>
    <t>SS-ZAM-QAS1004</t>
  </si>
  <si>
    <t>KFM2020660194808</t>
  </si>
  <si>
    <t>SS-ZAM-QAS1005</t>
  </si>
  <si>
    <t>SS-ZAM-QAS1006</t>
  </si>
  <si>
    <t>SS-ZAM-QAS1007</t>
  </si>
  <si>
    <t>SS-ZAM-QAS1008</t>
  </si>
  <si>
    <t>SS-ZAM-QAS1009</t>
  </si>
  <si>
    <t>SS-ZAM-QAS1010</t>
  </si>
  <si>
    <t>SS-ZAM-QAS1011</t>
  </si>
  <si>
    <t>SS-ZAM-QAS1012</t>
  </si>
  <si>
    <t>SS-ZAM-QAS1013</t>
  </si>
  <si>
    <t>SS-ZAM-QAS1014</t>
  </si>
  <si>
    <t>SS-ZAM-QAS1015</t>
  </si>
  <si>
    <t>SS-ZAM-QAS1016</t>
  </si>
  <si>
    <t>SS-ZAM-QAS1017</t>
  </si>
  <si>
    <t>SS-ZAM-QAS1018</t>
  </si>
  <si>
    <t>SS-ZAM-QAS1019</t>
  </si>
  <si>
    <t>SS-ZAM-QAS1020</t>
  </si>
  <si>
    <t>SS-ZAM-QAS1021</t>
  </si>
  <si>
    <t>SS-ZAM-QAS1022</t>
  </si>
  <si>
    <t>SS-ZAM-QAS1023</t>
  </si>
  <si>
    <t>SS-ZAM-QAS1024</t>
  </si>
  <si>
    <t>SS-ZAM-QAS1025</t>
  </si>
  <si>
    <t>SS-ZAM-QAS1026</t>
  </si>
  <si>
    <t>SS-ZAM-QAS1027</t>
  </si>
  <si>
    <t>SS-ZAM-QAS1028</t>
  </si>
  <si>
    <t>SS-ZAM-QAS1029</t>
  </si>
  <si>
    <t>SS-ZAM-QAS1030</t>
  </si>
  <si>
    <t>SS-ZAM-QAS1031</t>
  </si>
  <si>
    <t>SS-ZAM-QAS1032</t>
  </si>
  <si>
    <t>SS-ZAM-QAS1033</t>
  </si>
  <si>
    <t>SS-ZAM-QAS1034</t>
  </si>
  <si>
    <t>SS-ZAM-QAS1035</t>
  </si>
  <si>
    <t>SS-ZAM-QAS1036</t>
  </si>
  <si>
    <t>SS-ZAM-QAS1037</t>
  </si>
  <si>
    <t>SS-ZAM-QAS1038</t>
  </si>
  <si>
    <t>SS-ZAM-QAS1039</t>
  </si>
  <si>
    <t>SS-ZAM-QAS1040</t>
  </si>
  <si>
    <t>SS-ZAM-QAS1041</t>
  </si>
  <si>
    <t>SS-ZAM-QAS1042</t>
  </si>
  <si>
    <t>SS-ZAM-QAS1043</t>
  </si>
  <si>
    <t>SS-ZAM-QAS1044</t>
  </si>
  <si>
    <t>SS-ZAM-QAS1045</t>
  </si>
  <si>
    <t>SS-ZAM-QAS1046</t>
  </si>
  <si>
    <t>SS-ZAM-QAS1047</t>
  </si>
  <si>
    <t>SS-ZAM-QAS1048</t>
  </si>
  <si>
    <t>SS-ZAM-QAS1049</t>
  </si>
  <si>
    <t>SS-ZAM-QAS1050</t>
  </si>
  <si>
    <t>SS-ZAM-QAS1051</t>
  </si>
  <si>
    <t>SS-ZAM-QAS1052</t>
  </si>
  <si>
    <t>SS-ZAM-QAS1053</t>
  </si>
  <si>
    <t>SS-ZAM-QAS1054</t>
  </si>
  <si>
    <t>SS-ZAM-QAS1055</t>
  </si>
  <si>
    <t>SS-ZAM-QAS1056</t>
  </si>
  <si>
    <t>SS-ZAM-QAS1057</t>
  </si>
  <si>
    <t>SS-ZAM-QAS1058</t>
  </si>
  <si>
    <t>SS-ZAM-QAS1059</t>
  </si>
  <si>
    <t>SS-ZAM-QAS1060</t>
  </si>
  <si>
    <t>SS-ZAM-QAS1061</t>
  </si>
  <si>
    <t>SS-ZAM-QAS1062</t>
  </si>
  <si>
    <t>SS-ZAM-QAS1063</t>
  </si>
  <si>
    <t>SS-ZAM-QAS1064</t>
  </si>
  <si>
    <t>SS-ZAM-QAS1065</t>
  </si>
  <si>
    <t>SS-ZAM-QAS1066</t>
  </si>
  <si>
    <t>SS-ZAM-QAS1067</t>
  </si>
  <si>
    <t>SS-ZAM-QAS1068</t>
  </si>
  <si>
    <t>SS-ZAM-QAS1069</t>
  </si>
  <si>
    <t>SS-ZAM-QAS1070</t>
  </si>
  <si>
    <t>SS-ZAM-QAS1071</t>
  </si>
  <si>
    <t>SS-ZAM-QAS1072</t>
  </si>
  <si>
    <t>SS-ZAM-QAS1073</t>
  </si>
  <si>
    <t>SS-ZAM-QAS1074</t>
  </si>
  <si>
    <t>SS-ZAM-QAS1075</t>
  </si>
  <si>
    <t>SS-ZAM-QAS1076</t>
  </si>
  <si>
    <t>SS-ZAM-QAS1077</t>
  </si>
  <si>
    <t>SS-ZAM-QAS1078</t>
  </si>
  <si>
    <t>SS-ZAM-QAS1079</t>
  </si>
  <si>
    <t>SS-ZAM-QAS1080</t>
  </si>
  <si>
    <t>SS-ZAM-QAS1081</t>
  </si>
  <si>
    <t>SS-ZAM-QAS1082</t>
  </si>
  <si>
    <t>SS-ZAM-QAS1083</t>
  </si>
  <si>
    <t>SS-ZAM-QAS1084</t>
  </si>
  <si>
    <t>SS-ZAM-QAS1085</t>
  </si>
  <si>
    <t>SS-ZAM-QAS1086</t>
  </si>
  <si>
    <t>SS-ZAM-QAS1087</t>
  </si>
  <si>
    <t>SS-ZAM-QAS1088</t>
  </si>
  <si>
    <t>SS-ZAM-QAS1089</t>
  </si>
  <si>
    <t>SS-ZAM-QAS1090</t>
  </si>
  <si>
    <t>SS-ZAM-QAS1091</t>
  </si>
  <si>
    <t>SS-ZAM-QAS1092</t>
  </si>
  <si>
    <t>SS-ZAM-QAS1093</t>
  </si>
  <si>
    <t>SS-ZAM-QAS1094</t>
  </si>
  <si>
    <t>SS-ZAM-QAS1095</t>
  </si>
  <si>
    <t>SS-ZAM-QAS1096</t>
  </si>
  <si>
    <t>SS-ZAM-QAS1097</t>
  </si>
  <si>
    <t>SS-ZAM-QAS1098</t>
  </si>
  <si>
    <t>SS-ZAM-QAS1099</t>
  </si>
  <si>
    <t>SS-ZAM-QAS1100</t>
  </si>
  <si>
    <t>SS-ZAM-QAS1101</t>
  </si>
  <si>
    <t>SS-ZAM-QAS1102</t>
  </si>
  <si>
    <t>SS-ZAM-QAS1103</t>
  </si>
  <si>
    <t>SS-ZAM-QAS1104</t>
  </si>
  <si>
    <t>SS-ZAM-QAS1105</t>
  </si>
  <si>
    <t>SS-ZAM-QAS1106</t>
  </si>
  <si>
    <t>SS-ZAM-QAS1107</t>
  </si>
  <si>
    <t>SS-ZAM-QAS1108</t>
  </si>
  <si>
    <t>SS-ZAM-QAS1109</t>
  </si>
  <si>
    <t>SS-ZAM-QAS1110</t>
  </si>
  <si>
    <t>SS-ZAM-QAS1111</t>
  </si>
  <si>
    <t>SS-ZAM-QAS1112</t>
  </si>
  <si>
    <t>SS-ZAM-QAS1113</t>
  </si>
  <si>
    <t>SS-ZAM-QAS1114</t>
  </si>
  <si>
    <t>SS-ZAM-QAS1115</t>
  </si>
  <si>
    <t>SS-ZAM-QAS1116</t>
  </si>
  <si>
    <t>SS-ZAM-QAS1117</t>
  </si>
  <si>
    <t>SS-ZAM-QAS1118</t>
  </si>
  <si>
    <t>SS-ZAM-QAS1119</t>
  </si>
  <si>
    <t>SS-ZAM-QAS1120</t>
  </si>
  <si>
    <t>SS-ZAM-QAS1121</t>
  </si>
  <si>
    <t>SS-ZAM-QAS1122</t>
  </si>
  <si>
    <t>SS-ZAM-QAS1123</t>
  </si>
  <si>
    <t>SS-ZAM-QAS1124</t>
  </si>
  <si>
    <t>SS-ZAM-QAS1125</t>
  </si>
  <si>
    <t>SS-ZAM-QAS1126</t>
  </si>
  <si>
    <t>SS-ZAM-QAS1127</t>
  </si>
  <si>
    <t>SS-ZAM-QAS1128</t>
  </si>
  <si>
    <t>SS-ZAM-QAS1129</t>
  </si>
  <si>
    <t>SS-ZAM-QAS1130</t>
  </si>
  <si>
    <t>SS-ZAM-QAS1131</t>
  </si>
  <si>
    <t>SS-ZAM-QAS1132</t>
  </si>
  <si>
    <t>SS-ZAM-QAS1133</t>
  </si>
  <si>
    <t>SS-ZAM-QAS1134</t>
  </si>
  <si>
    <t>SS-ZAM-QAS1135</t>
  </si>
  <si>
    <t>SS-ZAM-QAS1136</t>
  </si>
  <si>
    <t>SS-ZAM-QAS1137</t>
  </si>
  <si>
    <t>SS-ZAM-QAS1138</t>
  </si>
  <si>
    <t>SS-ZAM-QAS1139</t>
  </si>
  <si>
    <t>SS-ZAM-QAS1140</t>
  </si>
  <si>
    <t>SS-ZAM-QAS1141</t>
  </si>
  <si>
    <t>SS-ZAM-QAS1142</t>
  </si>
  <si>
    <t>SS-ZAM-QAS1143</t>
  </si>
  <si>
    <t>SS-ZAM-QAS1144</t>
  </si>
  <si>
    <t>SS-ZAM-QAS1145</t>
  </si>
  <si>
    <t>SS-ZAM-QAS1146</t>
  </si>
  <si>
    <t>SS-ZAM-QAS1147</t>
  </si>
  <si>
    <t>SS-ZAM-QAS1148</t>
  </si>
  <si>
    <t>SS-ZAM-QAS1149</t>
  </si>
  <si>
    <t>SS-ZAM-QAS1150</t>
  </si>
  <si>
    <t>SS-ZAM-QAS1151</t>
  </si>
  <si>
    <t>SS-ZAM-QAS1152</t>
  </si>
  <si>
    <t>SS-ZAM-QAS1153</t>
  </si>
  <si>
    <t>SS-ZAM-QAS1154</t>
  </si>
  <si>
    <t>SS-ZAM-QAS1155</t>
  </si>
  <si>
    <t>SS-ZAM-QAS1156</t>
  </si>
  <si>
    <t>SS-ZAM-QAS1157</t>
  </si>
  <si>
    <t>SS-ZAM-QAS1158</t>
  </si>
  <si>
    <t>SS-ZAM-QAS1159</t>
  </si>
  <si>
    <t>SS-ZAM-QAS1160</t>
  </si>
  <si>
    <t>SS-ZAM-QAS1161</t>
  </si>
  <si>
    <t>SS-ZAM-QAS1162</t>
  </si>
  <si>
    <t>SS-ZAM-QAS1163</t>
  </si>
  <si>
    <t>SS-ZAM-QAS1164</t>
  </si>
  <si>
    <t>SS-ZAM-QAS1165</t>
  </si>
  <si>
    <t>SS-ZAM-QAS1166</t>
  </si>
  <si>
    <t>SS-ZAM-QAS1167</t>
  </si>
  <si>
    <t>SS-ZAM-QAS1168</t>
  </si>
  <si>
    <t>SS-ZAM-QAS1169</t>
  </si>
  <si>
    <t>SS-ZAM-QAS1170</t>
  </si>
  <si>
    <t>SS-ZAM-QAS1171</t>
  </si>
  <si>
    <t>SS-ZAM-QAS1172</t>
  </si>
  <si>
    <t>SS-ZAM-QAS1173</t>
  </si>
  <si>
    <t>SS-ZAM-QAS1174</t>
  </si>
  <si>
    <t>SS-ZAM-QAS1175</t>
  </si>
  <si>
    <t>SS-ZAM-QAS1176</t>
  </si>
  <si>
    <t>SS-ZAM-QAS1177</t>
  </si>
  <si>
    <t>SS-ZAM-QAS1178</t>
  </si>
  <si>
    <t>SS-ZAM-QAS1179</t>
  </si>
  <si>
    <t>SS-ZAM-QAS1180</t>
  </si>
  <si>
    <t>SS-ZAM-QAS1181</t>
  </si>
  <si>
    <t>SS-ZAM-QAS1182</t>
  </si>
  <si>
    <t>SS-ZAM-QAS1183</t>
  </si>
  <si>
    <t>SS-ZAM-QAS1184</t>
  </si>
  <si>
    <t>SS-ZAM-QAS1185</t>
  </si>
  <si>
    <t>SS-ZAM-QAS1186</t>
  </si>
  <si>
    <t>SS-ZAM-QAS1187</t>
  </si>
  <si>
    <t>SS-ZAM-QAS1188</t>
  </si>
  <si>
    <t>SS-ZAM-QAS1189</t>
  </si>
  <si>
    <t>SS-ZAM-QAS1190</t>
  </si>
  <si>
    <t>SS-ZAM-QAS1191</t>
  </si>
  <si>
    <t>SS-ZAM-QAS1192</t>
  </si>
  <si>
    <t>SS-ZAM-QAS1193</t>
  </si>
  <si>
    <t>SS-ZAM-QAS1194</t>
  </si>
  <si>
    <t>SS-ZAM-QAS1195</t>
  </si>
  <si>
    <t>SS-ZAM-QAS1196</t>
  </si>
  <si>
    <t>SS-ZAM-QAS1197</t>
  </si>
  <si>
    <t>SS-ZAM-QAS1198</t>
  </si>
  <si>
    <t>SS-ZAM-QAS1199</t>
  </si>
  <si>
    <t>SS-ZAM-QAS1200</t>
  </si>
  <si>
    <t>Total</t>
  </si>
  <si>
    <t>Dammam-1</t>
  </si>
  <si>
    <t>SS-ZAM-DAM1001</t>
  </si>
  <si>
    <t>SS-ZAM-DAM1002</t>
  </si>
  <si>
    <t>SS-ZAM-DAM1003</t>
  </si>
  <si>
    <t>SS-ZAM-DAM1004</t>
  </si>
  <si>
    <t>SS-ZAM-DAM1005</t>
  </si>
  <si>
    <t>SS-ZAM-DAM1006</t>
  </si>
  <si>
    <t>SS-ZAM-DAM1007</t>
  </si>
  <si>
    <t>SS-ZAM-DAM1008</t>
  </si>
  <si>
    <t>SS-ZAM-DAM1009</t>
  </si>
  <si>
    <t>SS-ZAM-DAM1010</t>
  </si>
  <si>
    <t>SS-ZAM-DAM1011</t>
  </si>
  <si>
    <t>SS-ZAM-DAM1012</t>
  </si>
  <si>
    <t>SS-ZAM-DAM1013</t>
  </si>
  <si>
    <t>SS-ZAM-DAM1014</t>
  </si>
  <si>
    <t>SS-ZAM-DAM1015</t>
  </si>
  <si>
    <t>SS-ZAM-DAM1016</t>
  </si>
  <si>
    <t>SS-ZAM-DAM1017</t>
  </si>
  <si>
    <t>SS-ZAM-DAM1018</t>
  </si>
  <si>
    <t>SS-ZAM-DAM1019</t>
  </si>
  <si>
    <t>SS-ZAM-DAM1020</t>
  </si>
  <si>
    <t>SS-ZAM-DAM1021</t>
  </si>
  <si>
    <t>SS-ZAM-DAM1022</t>
  </si>
  <si>
    <t>SS-ZAM-DAM1023</t>
  </si>
  <si>
    <t>SS-ZAM-DAM1024</t>
  </si>
  <si>
    <t>SS-ZAM-DAM1025</t>
  </si>
  <si>
    <t>SS-ZAM-DAM1026</t>
  </si>
  <si>
    <t>SS-ZAM-DAM1027</t>
  </si>
  <si>
    <t>SS-ZAM-DAM1028</t>
  </si>
  <si>
    <t>SS-ZAM-DAM1029</t>
  </si>
  <si>
    <t>SS-ZAM-DAM1030</t>
  </si>
  <si>
    <t>SS-ZAM-DAM1031</t>
  </si>
  <si>
    <t>SS-ZAM-DAM1032</t>
  </si>
  <si>
    <t>SS-ZAM-DAM1033</t>
  </si>
  <si>
    <t>SS-ZAM-DAM1034</t>
  </si>
  <si>
    <t>SS-ZAM-DAM1035</t>
  </si>
  <si>
    <t>SS-ZAM-DAM1036</t>
  </si>
  <si>
    <t>SS-ZAM-DAM1037</t>
  </si>
  <si>
    <t>SS-ZAM-DAM1038</t>
  </si>
  <si>
    <t>SS-ZAM-DAM1039</t>
  </si>
  <si>
    <t>SS-ZAM-DAM1040</t>
  </si>
  <si>
    <t>SS-ZAM-DAM1041</t>
  </si>
  <si>
    <t>SS-ZAM-DAM1042</t>
  </si>
  <si>
    <t>SS-ZAM-DAM1043</t>
  </si>
  <si>
    <t>SS-ZAM-DAM1044</t>
  </si>
  <si>
    <t>SS-ZAM-DAM1045</t>
  </si>
  <si>
    <t>SS-ZAM-DAM1046</t>
  </si>
  <si>
    <t>SS-ZAM-DAM1047</t>
  </si>
  <si>
    <t>SS-ZAM-DAM1048</t>
  </si>
  <si>
    <t>SS-ZAM-DAM1049</t>
  </si>
  <si>
    <t>SS-ZAM-DAM1050</t>
  </si>
  <si>
    <t>SS-ZAM-DAM1051</t>
  </si>
  <si>
    <t>SS-ZAM-DAM1052</t>
  </si>
  <si>
    <t>SS-ZAM-DAM1053</t>
  </si>
  <si>
    <t>SS-ZAM-DAM1054</t>
  </si>
  <si>
    <t>SS-ZAM-DAM1055</t>
  </si>
  <si>
    <t>SS-ZAM-DAM1056</t>
  </si>
  <si>
    <t>SS-ZAM-DAM1057</t>
  </si>
  <si>
    <t>SS-ZAM-DAM1058</t>
  </si>
  <si>
    <t>SS-ZAM-DAM1059</t>
  </si>
  <si>
    <t>SS-ZAM-DAM1060</t>
  </si>
  <si>
    <t>SS-ZAM-DAM1061</t>
  </si>
  <si>
    <t>SS-ZAM-DAM1062</t>
  </si>
  <si>
    <t>SS-ZAM-DAM1063</t>
  </si>
  <si>
    <t>SS-ZAM-DAM1064</t>
  </si>
  <si>
    <t>SS-ZAM-DAM1065</t>
  </si>
  <si>
    <t>SS-ZAM-DAM1066</t>
  </si>
  <si>
    <t>SS-ZAM-DAM1067</t>
  </si>
  <si>
    <t>SS-ZAM-DAM1068</t>
  </si>
  <si>
    <t>SS-ZAM-DAM1069</t>
  </si>
  <si>
    <t>SS-ZAM-DAM1070</t>
  </si>
  <si>
    <t>SS-ZAM-DAM1071</t>
  </si>
  <si>
    <t>SS-ZAM-DAM1072</t>
  </si>
  <si>
    <t>SS-ZAM-DAM1073</t>
  </si>
  <si>
    <t>SS-ZAM-DAM1074</t>
  </si>
  <si>
    <t>SS-ZAM-DAM1075</t>
  </si>
  <si>
    <t>SS-ZAM-DAM1076</t>
  </si>
  <si>
    <t>SS-ZAM-DAM1077</t>
  </si>
  <si>
    <t>SS-ZAM-DAM1078</t>
  </si>
  <si>
    <t>SS-ZAM-DAM1079</t>
  </si>
  <si>
    <t>SS-ZAM-DAM1080</t>
  </si>
  <si>
    <t>SS-ZAM-DAM1081</t>
  </si>
  <si>
    <t>SS-ZAM-DAM1082</t>
  </si>
  <si>
    <t>SS-ZAM-DAM1083</t>
  </si>
  <si>
    <t>SS-ZAM-DAM1084</t>
  </si>
  <si>
    <t>SS-ZAM-DAM1085</t>
  </si>
  <si>
    <t>SS-ZAM-DAM1086</t>
  </si>
  <si>
    <t>SS-ZAM-DAM1087</t>
  </si>
  <si>
    <t>SS-ZAM-DAM1088</t>
  </si>
  <si>
    <t>SS-ZAM-DAM1089</t>
  </si>
  <si>
    <t>SS-ZAM-DAM1090</t>
  </si>
  <si>
    <t>SS-ZAM-DAM1091</t>
  </si>
  <si>
    <t>SS-ZAM-DAM1092</t>
  </si>
  <si>
    <t>SS-ZAM-DAM1093</t>
  </si>
  <si>
    <t>SS-ZAM-DAM1094</t>
  </si>
  <si>
    <t>SS-ZAM-DAM1095</t>
  </si>
  <si>
    <t>SS-ZAM-DAM1096</t>
  </si>
  <si>
    <t>SS-ZAM-DAM1097</t>
  </si>
  <si>
    <t>SS-ZAM-DAM1098</t>
  </si>
  <si>
    <t>SS-ZAM-DAM1099</t>
  </si>
  <si>
    <t>SS-ZAM-DAM1100</t>
  </si>
  <si>
    <t>SS-ZAM-DAM1101</t>
  </si>
  <si>
    <t>SS-ZAM-DAM1102</t>
  </si>
  <si>
    <t>SS-ZAM-DAM1103</t>
  </si>
  <si>
    <t>SS-ZAM-DAM1104</t>
  </si>
  <si>
    <t>SS-ZAM-DAM1105</t>
  </si>
  <si>
    <t>SS-ZAM-DAM1106</t>
  </si>
  <si>
    <t>SS-ZAM-DAM1107</t>
  </si>
  <si>
    <t>SS-ZAM-DAM1108</t>
  </si>
  <si>
    <t>SS-ZAM-DAM1109</t>
  </si>
  <si>
    <t>SS-ZAM-DAM1110</t>
  </si>
  <si>
    <t>SS-ZAM-DAM1111</t>
  </si>
  <si>
    <t>SS-ZAM-DAM1112</t>
  </si>
  <si>
    <t>SS-ZAM-DAM1113</t>
  </si>
  <si>
    <t>SS-ZAM-DAM1114</t>
  </si>
  <si>
    <t>SS-ZAM-DAM1115</t>
  </si>
  <si>
    <t>SS-ZAM-DAM1116</t>
  </si>
  <si>
    <t>SS-ZAM-DAM1117</t>
  </si>
  <si>
    <t>SS-ZAM-DAM1118</t>
  </si>
  <si>
    <t>SS-ZAM-DAM1119</t>
  </si>
  <si>
    <t>SS-ZAM-DAM1120</t>
  </si>
  <si>
    <t>SS-ZAM-DAM1121</t>
  </si>
  <si>
    <t>SS-ZAM-DAM1122</t>
  </si>
  <si>
    <t>SS-ZAM-DAM1123</t>
  </si>
  <si>
    <t>SS-ZAM-DAM1124</t>
  </si>
  <si>
    <t>SS-ZAM-DAM1125</t>
  </si>
  <si>
    <t>SS-ZAM-DAM1126</t>
  </si>
  <si>
    <t>SS-ZAM-DAM1127</t>
  </si>
  <si>
    <t>SS-ZAM-DAM1128</t>
  </si>
  <si>
    <t>SS-ZAM-DAM1129</t>
  </si>
  <si>
    <t>SS-ZAM-DAM1130</t>
  </si>
  <si>
    <t>SS-ZAM-DAM1131</t>
  </si>
  <si>
    <t>SS-ZAM-DAM1132</t>
  </si>
  <si>
    <t>SS-ZAM-DAM1133</t>
  </si>
  <si>
    <t>SS-ZAM-DAM1134</t>
  </si>
  <si>
    <t>SS-ZAM-DAM1135</t>
  </si>
  <si>
    <t>SS-ZAM-DAM1136</t>
  </si>
  <si>
    <t>SS-ZAM-DAM1137</t>
  </si>
  <si>
    <t>SS-ZAM-DAM1138</t>
  </si>
  <si>
    <t>SS-ZAM-DAM1139</t>
  </si>
  <si>
    <t>SS-ZAM-DAM1140</t>
  </si>
  <si>
    <t>SS-ZAM-DAM1141</t>
  </si>
  <si>
    <t>SS-ZAM-DAM1142</t>
  </si>
  <si>
    <t>SS-ZAM-DAM1143</t>
  </si>
  <si>
    <t>SS-ZAM-DAM1144</t>
  </si>
  <si>
    <t>SS-ZAM-DAM1145</t>
  </si>
  <si>
    <t>SS-ZAM-DAM1146</t>
  </si>
  <si>
    <t>SS-ZAM-DAM1147</t>
  </si>
  <si>
    <t>SS-ZAM-DAM1148</t>
  </si>
  <si>
    <t>SS-ZAM-DAM1149</t>
  </si>
  <si>
    <t>SS-ZAM-DAM1150</t>
  </si>
  <si>
    <t>SS-ZAM-DAM1151</t>
  </si>
  <si>
    <t>SS-ZAM-DAM1152</t>
  </si>
  <si>
    <t>SS-ZAM-DAM1153</t>
  </si>
  <si>
    <t>SS-ZAM-DAM1154</t>
  </si>
  <si>
    <t>SS-ZAM-DAM1155</t>
  </si>
  <si>
    <t>SS-ZAM-DAM1156</t>
  </si>
  <si>
    <t>SS-ZAM-DAM1157</t>
  </si>
  <si>
    <t>SS-ZAM-DAM1158</t>
  </si>
  <si>
    <t>SS-ZAM-DAM1159</t>
  </si>
  <si>
    <t>SS-ZAM-DAM1160</t>
  </si>
  <si>
    <t>SS-ZAM-DAM1161</t>
  </si>
  <si>
    <t>SS-ZAM-DAM1162</t>
  </si>
  <si>
    <t>SS-ZAM-DAM1163</t>
  </si>
  <si>
    <t>SS-ZAM-DAM1164</t>
  </si>
  <si>
    <t>SS-ZAM-DAM1165</t>
  </si>
  <si>
    <t>SS-ZAM-DAM1166</t>
  </si>
  <si>
    <t>SS-ZAM-DAM1167</t>
  </si>
  <si>
    <t>SS-ZAM-DAM1168</t>
  </si>
  <si>
    <t>SS-ZAM-DAM1169</t>
  </si>
  <si>
    <t>SS-ZAM-DAM1170</t>
  </si>
  <si>
    <t>SS-ZAM-DAM1171</t>
  </si>
  <si>
    <t>SS-ZAM-DAM1172</t>
  </si>
  <si>
    <t>SS-ZAM-DAM1173</t>
  </si>
  <si>
    <t>SS-ZAM-DAM1174</t>
  </si>
  <si>
    <t>SS-ZAM-DAM1175</t>
  </si>
  <si>
    <t>SS-ZAM-DAM1176</t>
  </si>
  <si>
    <t>SS-ZAM-DAM1177</t>
  </si>
  <si>
    <t>SS-ZAM-DAM1178</t>
  </si>
  <si>
    <t>SS-ZAM-DAM1179</t>
  </si>
  <si>
    <t>SS-ZAM-DAM1180</t>
  </si>
  <si>
    <t>SS-ZAM-DAM1181</t>
  </si>
  <si>
    <t>SS-ZAM-DAM1182</t>
  </si>
  <si>
    <t>SS-ZAM-DAM1183</t>
  </si>
  <si>
    <t>SS-ZAM-DAM1184</t>
  </si>
  <si>
    <t>SS-ZAM-DAM1185</t>
  </si>
  <si>
    <t>SS-ZAM-DAM1186</t>
  </si>
  <si>
    <t>SS-ZAM-DAM1187</t>
  </si>
  <si>
    <t>SS-ZAM-DAM1188</t>
  </si>
  <si>
    <t>SS-ZAM-DAM1189</t>
  </si>
  <si>
    <t>SS-ZAM-DAM1190</t>
  </si>
  <si>
    <t>SS-ZAM-DAM1191</t>
  </si>
  <si>
    <t>SS-ZAM-DAM1192</t>
  </si>
  <si>
    <t>SS-ZAM-DAM1193</t>
  </si>
  <si>
    <t>SS-ZAM-DAM1194</t>
  </si>
  <si>
    <t>SS-ZAM-DAM1195</t>
  </si>
  <si>
    <t>SS-ZAM-DAM1196</t>
  </si>
  <si>
    <t>SS-ZAM-DAM1197</t>
  </si>
  <si>
    <t>SS-ZAM-DAM1198</t>
  </si>
  <si>
    <t>SS-ZAM-DAM1199</t>
  </si>
  <si>
    <t>SS-ZAM-DAM1200</t>
  </si>
  <si>
    <t>SS-ZAM-MAD1001</t>
  </si>
  <si>
    <t>SS-ZAM-MAD1002</t>
  </si>
  <si>
    <t>SS-ZAM-MAD1003</t>
  </si>
  <si>
    <t>SS-ZAM-MAD1004</t>
  </si>
  <si>
    <t>SS-ZAM-MAD1005</t>
  </si>
  <si>
    <t>SS-ZAM-MAD1006</t>
  </si>
  <si>
    <t>SS-ZAM-MAD1007</t>
  </si>
  <si>
    <t>SS-ZAM-MAD1008</t>
  </si>
  <si>
    <t>SS-ZAM-MAD1009</t>
  </si>
  <si>
    <t>SS-ZAM-MAD1010</t>
  </si>
  <si>
    <t>SS-ZAM-MAD1011</t>
  </si>
  <si>
    <t>SS-ZAM-MAD1012</t>
  </si>
  <si>
    <t>SS-ZAM-MAD1013</t>
  </si>
  <si>
    <t>SS-ZAM-MAD1014</t>
  </si>
  <si>
    <t>SS-ZAM-MAD1015</t>
  </si>
  <si>
    <t>SS-ZAM-MAD1016</t>
  </si>
  <si>
    <t>SS-ZAM-MAD1017</t>
  </si>
  <si>
    <t>SS-ZAM-MAD1018</t>
  </si>
  <si>
    <t>SS-ZAM-MAD1019</t>
  </si>
  <si>
    <t>SS-ZAM-MAD1020</t>
  </si>
  <si>
    <t>SS-ZAM-MAD1021</t>
  </si>
  <si>
    <t>SS-ZAM-MAD1022</t>
  </si>
  <si>
    <t>SS-ZAM-MAD1023</t>
  </si>
  <si>
    <t>SS-ZAM-MAD1024</t>
  </si>
  <si>
    <t>SS-ZAM-MAD1025</t>
  </si>
  <si>
    <t>SS-ZAM-MAD1026</t>
  </si>
  <si>
    <t>SS-ZAM-MAD1027</t>
  </si>
  <si>
    <t>SS-ZAM-MAD1028</t>
  </si>
  <si>
    <t>SS-ZAM-MAD1029</t>
  </si>
  <si>
    <t>SS-ZAM-MAD1030</t>
  </si>
  <si>
    <t>SS-ZAM-MAD1031</t>
  </si>
  <si>
    <t>SS-ZAM-MAD1032</t>
  </si>
  <si>
    <t>SS-ZAM-MAD1033</t>
  </si>
  <si>
    <t>SS-ZAM-MAD1034</t>
  </si>
  <si>
    <t>SS-ZAM-MAD1035</t>
  </si>
  <si>
    <t>SS-ZAM-MAD1036</t>
  </si>
  <si>
    <t>SS-ZAM-MAD1037</t>
  </si>
  <si>
    <t>SS-ZAM-MAD1038</t>
  </si>
  <si>
    <t>SS-ZAM-MAD1039</t>
  </si>
  <si>
    <t>SS-ZAM-MAD1040</t>
  </si>
  <si>
    <t>SS-ZAM-MAD1041</t>
  </si>
  <si>
    <t>SS-ZAM-MAD1042</t>
  </si>
  <si>
    <t>SS-ZAM-MAD1043</t>
  </si>
  <si>
    <t>SS-ZAM-MAD1044</t>
  </si>
  <si>
    <t>SS-ZAM-MAD1045</t>
  </si>
  <si>
    <t>SS-ZAM-MAD1046</t>
  </si>
  <si>
    <t>SS-ZAM-MAD1047</t>
  </si>
  <si>
    <t>SS-ZAM-MAD1048</t>
  </si>
  <si>
    <t>SS-ZAM-MAD1049</t>
  </si>
  <si>
    <t>SS-ZAM-MAD1050</t>
  </si>
  <si>
    <t>SS-ZAM-MAD1051</t>
  </si>
  <si>
    <t>SS-ZAM-MAD1052</t>
  </si>
  <si>
    <t>SS-ZAM-MAD1053</t>
  </si>
  <si>
    <t>SS-ZAM-MAD1054</t>
  </si>
  <si>
    <t>SS-ZAM-MAD1055</t>
  </si>
  <si>
    <t>SS-ZAM-MAD1056</t>
  </si>
  <si>
    <t>SS-ZAM-MAD1057</t>
  </si>
  <si>
    <t>SS-ZAM-MAD1058</t>
  </si>
  <si>
    <t>SS-ZAM-MAD1059</t>
  </si>
  <si>
    <t>SS-ZAM-MAD1060</t>
  </si>
  <si>
    <t>SS-ZAM-MAD1061</t>
  </si>
  <si>
    <t>SS-ZAM-MAD1062</t>
  </si>
  <si>
    <t>SS-ZAM-MAD1063</t>
  </si>
  <si>
    <t>SS-ZAM-MAD1064</t>
  </si>
  <si>
    <t>SS-ZAM-MAD1065</t>
  </si>
  <si>
    <t>SS-ZAM-MAD1066</t>
  </si>
  <si>
    <t>SS-ZAM-MAD1067</t>
  </si>
  <si>
    <t>SS-ZAM-MAD1068</t>
  </si>
  <si>
    <t>SS-ZAM-MAD1069</t>
  </si>
  <si>
    <t>SS-ZAM-MAD1070</t>
  </si>
  <si>
    <t>SS-ZAM-MAD1071</t>
  </si>
  <si>
    <t>SS-ZAM-MAD1072</t>
  </si>
  <si>
    <t>SS-ZAM-MAD1073</t>
  </si>
  <si>
    <t>SS-ZAM-MAD1074</t>
  </si>
  <si>
    <t>SS-ZAM-MAD1075</t>
  </si>
  <si>
    <t>SS-ZAM-MAD1076</t>
  </si>
  <si>
    <t>SS-ZAM-MAD1077</t>
  </si>
  <si>
    <t>SS-ZAM-MAD1078</t>
  </si>
  <si>
    <t>SS-ZAM-MAD1079</t>
  </si>
  <si>
    <t>SS-ZAM-MAD1080</t>
  </si>
  <si>
    <t>SS-ZAM-MAD1081</t>
  </si>
  <si>
    <t>SS-ZAM-MAD1082</t>
  </si>
  <si>
    <t>SS-ZAM-MAD1083</t>
  </si>
  <si>
    <t>SS-ZAM-MAD1084</t>
  </si>
  <si>
    <t>SS-ZAM-MAD1085</t>
  </si>
  <si>
    <t>SS-ZAM-MAD1086</t>
  </si>
  <si>
    <t>SS-ZAM-MAD1087</t>
  </si>
  <si>
    <t>SS-ZAM-MAD1088</t>
  </si>
  <si>
    <t>SS-ZAM-MAD1089</t>
  </si>
  <si>
    <t>SS-ZAM-MAD1090</t>
  </si>
  <si>
    <t>SS-ZAM-MAD1091</t>
  </si>
  <si>
    <t>SS-ZAM-MAD1092</t>
  </si>
  <si>
    <t>SS-ZAM-MAD1093</t>
  </si>
  <si>
    <t>SS-ZAM-MAD1094</t>
  </si>
  <si>
    <t>SS-ZAM-MAD1095</t>
  </si>
  <si>
    <t>SS-ZAM-MAD1096</t>
  </si>
  <si>
    <t>SS-ZAM-MAD1097</t>
  </si>
  <si>
    <t>SS-ZAM-MAD1098</t>
  </si>
  <si>
    <t>SS-ZAM-MAD1099</t>
  </si>
  <si>
    <t>SS-ZAM-MAD1100</t>
  </si>
  <si>
    <t>SS-ZAM-MAD1101</t>
  </si>
  <si>
    <t>SS-ZAM-MAD1102</t>
  </si>
  <si>
    <t>SS-ZAM-MAD1103</t>
  </si>
  <si>
    <t>SS-ZAM-MAD1104</t>
  </si>
  <si>
    <t>SS-ZAM-MAD1105</t>
  </si>
  <si>
    <t>SS-ZAM-MAD1106</t>
  </si>
  <si>
    <t>SS-ZAM-MAD1107</t>
  </si>
  <si>
    <t>SS-ZAM-MAD1108</t>
  </si>
  <si>
    <t>SS-ZAM-MAD1109</t>
  </si>
  <si>
    <t>SS-ZAM-MAD1110</t>
  </si>
  <si>
    <t>SS-ZAM-MAD1111</t>
  </si>
  <si>
    <t>SS-ZAM-MAD1112</t>
  </si>
  <si>
    <t>SS-ZAM-MAD1113</t>
  </si>
  <si>
    <t>SS-ZAM-MAD1114</t>
  </si>
  <si>
    <t>SS-ZAM-MAD1115</t>
  </si>
  <si>
    <t>SS-ZAM-MAD1116</t>
  </si>
  <si>
    <t>SS-ZAM-MAD1117</t>
  </si>
  <si>
    <t>SS-ZAM-MAD1118</t>
  </si>
  <si>
    <t>SS-ZAM-MAD1119</t>
  </si>
  <si>
    <t>SS-ZAM-MAD1120</t>
  </si>
  <si>
    <t>SS-ZAM-MAD1121</t>
  </si>
  <si>
    <t>SS-ZAM-MAD1122</t>
  </si>
  <si>
    <t>SS-ZAM-MAD1123</t>
  </si>
  <si>
    <t>SS-ZAM-MAD1124</t>
  </si>
  <si>
    <t>SS-ZAM-MAD1125</t>
  </si>
  <si>
    <t>SS-ZAM-MAD1126</t>
  </si>
  <si>
    <t>SS-ZAM-MAD1127</t>
  </si>
  <si>
    <t>SS-ZAM-MAD1128</t>
  </si>
  <si>
    <t>SS-ZAM-MAD1129</t>
  </si>
  <si>
    <t>SS-ZAM-MAD1130</t>
  </si>
  <si>
    <t>SS-ZAM-MAD1131</t>
  </si>
  <si>
    <t>SS-ZAM-MAD1132</t>
  </si>
  <si>
    <t>SS-ZAM-MAD1133</t>
  </si>
  <si>
    <t>SS-ZAM-MAD1134</t>
  </si>
  <si>
    <t>SS-ZAM-MAD1135</t>
  </si>
  <si>
    <t>SS-ZAM-MAD1136</t>
  </si>
  <si>
    <t>SS-ZAM-MAD1137</t>
  </si>
  <si>
    <t>SS-ZAM-MAD1138</t>
  </si>
  <si>
    <t>SS-ZAM-MAD1139</t>
  </si>
  <si>
    <t>SS-ZAM-MAD1140</t>
  </si>
  <si>
    <t>SS-ZAM-MAD1141</t>
  </si>
  <si>
    <t>SS-ZAM-MAD1142</t>
  </si>
  <si>
    <t>SS-ZAM-MAD1143</t>
  </si>
  <si>
    <t>SS-ZAM-MAD1144</t>
  </si>
  <si>
    <t>SS-ZAM-MAD1145</t>
  </si>
  <si>
    <t>SS-ZAM-MAD1146</t>
  </si>
  <si>
    <t>SS-ZAM-MAD1147</t>
  </si>
  <si>
    <t>SS-ZAM-MAD1148</t>
  </si>
  <si>
    <t>SS-ZAM-MAD1149</t>
  </si>
  <si>
    <t>SS-ZAM-MAD1150</t>
  </si>
  <si>
    <t>SS-ZAM-MAD1151</t>
  </si>
  <si>
    <t>SS-ZAM-MAD1152</t>
  </si>
  <si>
    <t>SS-ZAM-MAD1153</t>
  </si>
  <si>
    <t>SS-ZAM-MAD1154</t>
  </si>
  <si>
    <t>SS-ZAM-MAD1155</t>
  </si>
  <si>
    <t>SS-ZAM-MAD1156</t>
  </si>
  <si>
    <t>SS-ZAM-MAD1157</t>
  </si>
  <si>
    <t>SS-ZAM-MAD1158</t>
  </si>
  <si>
    <t>SS-ZAM-MAD1159</t>
  </si>
  <si>
    <t>SS-ZAM-MAD1160</t>
  </si>
  <si>
    <t>SS-ZAM-MAD1161</t>
  </si>
  <si>
    <t>SS-ZAM-MAD1162</t>
  </si>
  <si>
    <t>SS-ZAM-MAD1163</t>
  </si>
  <si>
    <t>SS-ZAM-MAD1164</t>
  </si>
  <si>
    <t>SS-ZAM-MAD1165</t>
  </si>
  <si>
    <t>SS-ZAM-MAD1166</t>
  </si>
  <si>
    <t>SS-ZAM-MAD1167</t>
  </si>
  <si>
    <t>SS-ZAM-MAD1168</t>
  </si>
  <si>
    <t>SS-ZAM-MAD1169</t>
  </si>
  <si>
    <t>SS-ZAM-MAD1170</t>
  </si>
  <si>
    <t>SS-ZAM-MAD1171</t>
  </si>
  <si>
    <t>SS-ZAM-MAD1172</t>
  </si>
  <si>
    <t>SS-ZAM-MAD1173</t>
  </si>
  <si>
    <t>SS-ZAM-MAD1174</t>
  </si>
  <si>
    <t>SS-ZAM-MAD1175</t>
  </si>
  <si>
    <t>SS-ZAM-MAD1176</t>
  </si>
  <si>
    <t>SS-ZAM-MAD1177</t>
  </si>
  <si>
    <t>SS-ZAM-MAD1178</t>
  </si>
  <si>
    <t>SS-ZAM-MAD1179</t>
  </si>
  <si>
    <t>SS-ZAM-MAD1180</t>
  </si>
  <si>
    <t>SS-ZAM-MAD1181</t>
  </si>
  <si>
    <t>SS-ZAM-MAD1182</t>
  </si>
  <si>
    <t>SS-ZAM-MAD1183</t>
  </si>
  <si>
    <t>SS-ZAM-MAD1184</t>
  </si>
  <si>
    <t>SS-ZAM-MAD1185</t>
  </si>
  <si>
    <t>SS-ZAM-MAD1186</t>
  </si>
  <si>
    <t>SS-ZAM-MAD1187</t>
  </si>
  <si>
    <t>SS-ZAM-MAD1188</t>
  </si>
  <si>
    <t>SS-ZAM-MAD1189</t>
  </si>
  <si>
    <t>SS-ZAM-MAD1190</t>
  </si>
  <si>
    <t>SS-ZAM-MAD1191</t>
  </si>
  <si>
    <t>SS-ZAM-MAD1192</t>
  </si>
  <si>
    <t>SS-ZAM-MAD1193</t>
  </si>
  <si>
    <t>SS-ZAM-MAD1194</t>
  </si>
  <si>
    <t>SS-ZAM-MAD1195</t>
  </si>
  <si>
    <t>SS-ZAM-MAD1196</t>
  </si>
  <si>
    <t>SS-ZAM-MAD1197</t>
  </si>
  <si>
    <t>SS-ZAM-MAD1198</t>
  </si>
  <si>
    <t>SS-ZAM-MAD1199</t>
  </si>
  <si>
    <t>SS-ZAM-MAD1200</t>
  </si>
  <si>
    <t>SS-ZAM-JAD1001</t>
  </si>
  <si>
    <t>SS-ZAM-JAD1002</t>
  </si>
  <si>
    <t>SS-ZAM-JAD1003</t>
  </si>
  <si>
    <t>SS-ZAM-JAD1004</t>
  </si>
  <si>
    <t>SS-ZAM-JAD1005</t>
  </si>
  <si>
    <t>SS-ZAM-JAD1006</t>
  </si>
  <si>
    <t>SS-ZAM-JAD1007</t>
  </si>
  <si>
    <t>SS-ZAM-JAD1008</t>
  </si>
  <si>
    <t>SS-ZAM-JAD1009</t>
  </si>
  <si>
    <t>SS-ZAM-JAD1010</t>
  </si>
  <si>
    <t>SS-ZAM-JAD1011</t>
  </si>
  <si>
    <t>SS-ZAM-JAD1012</t>
  </si>
  <si>
    <t>SS-ZAM-JAD1013</t>
  </si>
  <si>
    <t>SS-ZAM-JAD1014</t>
  </si>
  <si>
    <t>SS-ZAM-JAD1015</t>
  </si>
  <si>
    <t>SS-ZAM-JAD1016</t>
  </si>
  <si>
    <t>SS-ZAM-JAD1017</t>
  </si>
  <si>
    <t>SS-ZAM-JAD1018</t>
  </si>
  <si>
    <t>SS-ZAM-JAD1019</t>
  </si>
  <si>
    <t>SS-ZAM-JAD1020</t>
  </si>
  <si>
    <t>SS-ZAM-JAD1021</t>
  </si>
  <si>
    <t>SS-ZAM-JAD1022</t>
  </si>
  <si>
    <t>SS-ZAM-JAD1023</t>
  </si>
  <si>
    <t>SS-ZAM-JAD1024</t>
  </si>
  <si>
    <t>SS-ZAM-JAD1025</t>
  </si>
  <si>
    <t>SS-ZAM-JAD1026</t>
  </si>
  <si>
    <t>SS-ZAM-JAD1027</t>
  </si>
  <si>
    <t>SS-ZAM-JAD1028</t>
  </si>
  <si>
    <t>SS-ZAM-JAD1029</t>
  </si>
  <si>
    <t>SS-ZAM-JAD1030</t>
  </si>
  <si>
    <t>SS-ZAM-JAD1031</t>
  </si>
  <si>
    <t>SS-ZAM-JAD1032</t>
  </si>
  <si>
    <t>SS-ZAM-JAD1033</t>
  </si>
  <si>
    <t>SS-ZAM-JAD1034</t>
  </si>
  <si>
    <t>SS-ZAM-JAD1035</t>
  </si>
  <si>
    <t>SS-ZAM-JAD1036</t>
  </si>
  <si>
    <t>SS-ZAM-JAD1037</t>
  </si>
  <si>
    <t>SS-ZAM-JAD1038</t>
  </si>
  <si>
    <t>SS-ZAM-JAD1039</t>
  </si>
  <si>
    <t>SS-ZAM-JAD1040</t>
  </si>
  <si>
    <t>SS-ZAM-JAD1041</t>
  </si>
  <si>
    <t>SS-ZAM-JAD1042</t>
  </si>
  <si>
    <t>SS-ZAM-JAD1043</t>
  </si>
  <si>
    <t>SS-ZAM-JAD1044</t>
  </si>
  <si>
    <t>SS-ZAM-JAD1045</t>
  </si>
  <si>
    <t>SS-ZAM-JAD1046</t>
  </si>
  <si>
    <t>SS-ZAM-JAD1047</t>
  </si>
  <si>
    <t>SS-ZAM-JAD1048</t>
  </si>
  <si>
    <t>SS-ZAM-JAD1049</t>
  </si>
  <si>
    <t>SS-ZAM-JAD1050</t>
  </si>
  <si>
    <t>SS-ZAM-JAD1051</t>
  </si>
  <si>
    <t>SS-ZAM-JAD1052</t>
  </si>
  <si>
    <t>SS-ZAM-JAD1053</t>
  </si>
  <si>
    <t>SS-ZAM-JAD1054</t>
  </si>
  <si>
    <t>SS-ZAM-JAD1055</t>
  </si>
  <si>
    <t>SS-ZAM-JAD1056</t>
  </si>
  <si>
    <t>SS-ZAM-JAD1057</t>
  </si>
  <si>
    <t>SS-ZAM-JAD1058</t>
  </si>
  <si>
    <t>SS-ZAM-JAD1059</t>
  </si>
  <si>
    <t>SS-ZAM-JAD1060</t>
  </si>
  <si>
    <t>SS-ZAM-JAD1061</t>
  </si>
  <si>
    <t>SS-ZAM-JAD1062</t>
  </si>
  <si>
    <t>SS-ZAM-JAD1063</t>
  </si>
  <si>
    <t>SS-ZAM-JAD1064</t>
  </si>
  <si>
    <t>SS-ZAM-JAD1065</t>
  </si>
  <si>
    <t>SS-ZAM-JAD1066</t>
  </si>
  <si>
    <t>SS-ZAM-JAD1067</t>
  </si>
  <si>
    <t>SS-ZAM-JAD1068</t>
  </si>
  <si>
    <t>SS-ZAM-JAD1069</t>
  </si>
  <si>
    <t>SS-ZAM-JAD1070</t>
  </si>
  <si>
    <t>SS-ZAM-JAD1071</t>
  </si>
  <si>
    <t>SS-ZAM-JAD1072</t>
  </si>
  <si>
    <t>SS-ZAM-JAD1073</t>
  </si>
  <si>
    <t>SS-ZAM-JAD1074</t>
  </si>
  <si>
    <t>SS-ZAM-JAD1075</t>
  </si>
  <si>
    <t>SS-ZAM-JAD1076</t>
  </si>
  <si>
    <t>SS-ZAM-JAD1077</t>
  </si>
  <si>
    <t>SS-ZAM-JAD1078</t>
  </si>
  <si>
    <t>SS-ZAM-JAD1079</t>
  </si>
  <si>
    <t>SS-ZAM-JAD1080</t>
  </si>
  <si>
    <t>SS-ZAM-JAD1081</t>
  </si>
  <si>
    <t>SS-ZAM-JAD1082</t>
  </si>
  <si>
    <t>SS-ZAM-JAD1083</t>
  </si>
  <si>
    <t>SS-ZAM-JAD1084</t>
  </si>
  <si>
    <t>SS-ZAM-JAD1085</t>
  </si>
  <si>
    <t>SS-ZAM-JAD1086</t>
  </si>
  <si>
    <t>SS-ZAM-JAD1087</t>
  </si>
  <si>
    <t>SS-ZAM-JAD1088</t>
  </si>
  <si>
    <t>SS-ZAM-JAD1089</t>
  </si>
  <si>
    <t>SS-ZAM-JAD1090</t>
  </si>
  <si>
    <t>SS-ZAM-JAD1091</t>
  </si>
  <si>
    <t>SS-ZAM-JAD1092</t>
  </si>
  <si>
    <t>SS-ZAM-JAD1093</t>
  </si>
  <si>
    <t>SS-ZAM-JAD1094</t>
  </si>
  <si>
    <t>SS-ZAM-JAD1095</t>
  </si>
  <si>
    <t>SS-ZAM-JAD1096</t>
  </si>
  <si>
    <t>SS-ZAM-JAD1097</t>
  </si>
  <si>
    <t>SS-ZAM-JAD1098</t>
  </si>
  <si>
    <t>SS-ZAM-JAD1099</t>
  </si>
  <si>
    <t>SS-ZAM-JAD1100</t>
  </si>
  <si>
    <t>SS-ZAM-JAD1101</t>
  </si>
  <si>
    <t>SS-ZAM-JAD1102</t>
  </si>
  <si>
    <t>SS-ZAM-JAD1103</t>
  </si>
  <si>
    <t>SS-ZAM-JAD1104</t>
  </si>
  <si>
    <t>SS-ZAM-JAD1105</t>
  </si>
  <si>
    <t>SS-ZAM-JAD1106</t>
  </si>
  <si>
    <t>SS-ZAM-JAD1107</t>
  </si>
  <si>
    <t>SS-ZAM-JAD1108</t>
  </si>
  <si>
    <t>SS-ZAM-JAD1109</t>
  </si>
  <si>
    <t>SS-ZAM-JAD1110</t>
  </si>
  <si>
    <t>SS-ZAM-JAD1111</t>
  </si>
  <si>
    <t>SS-ZAM-JAD1112</t>
  </si>
  <si>
    <t>SS-ZAM-JAD1113</t>
  </si>
  <si>
    <t>SS-ZAM-JAD1114</t>
  </si>
  <si>
    <t>SS-ZAM-JAD1115</t>
  </si>
  <si>
    <t>SS-ZAM-JAD1116</t>
  </si>
  <si>
    <t>SS-ZAM-JAD1117</t>
  </si>
  <si>
    <t>SS-ZAM-JAD1118</t>
  </si>
  <si>
    <t>SS-ZAM-JAD1119</t>
  </si>
  <si>
    <t>SS-ZAM-JAD1120</t>
  </si>
  <si>
    <t>SS-ZAM-JAD1121</t>
  </si>
  <si>
    <t>SS-ZAM-JAD1122</t>
  </si>
  <si>
    <t>SS-ZAM-JAD1123</t>
  </si>
  <si>
    <t>SS-ZAM-JAD1124</t>
  </si>
  <si>
    <t>SS-ZAM-JAD1125</t>
  </si>
  <si>
    <t>SS-ZAM-JAD1126</t>
  </si>
  <si>
    <t>SS-ZAM-JAD1127</t>
  </si>
  <si>
    <t>SS-ZAM-JAD1128</t>
  </si>
  <si>
    <t>SS-ZAM-JAD1129</t>
  </si>
  <si>
    <t>SS-ZAM-JAD1130</t>
  </si>
  <si>
    <t>SS-ZAM-JAD1131</t>
  </si>
  <si>
    <t>SS-ZAM-JAD1132</t>
  </si>
  <si>
    <t>SS-ZAM-JAD1133</t>
  </si>
  <si>
    <t>SS-ZAM-JAD1134</t>
  </si>
  <si>
    <t>SS-ZAM-JAD1135</t>
  </si>
  <si>
    <t>SS-ZAM-JAD1136</t>
  </si>
  <si>
    <t>SS-ZAM-JAD1137</t>
  </si>
  <si>
    <t>SS-ZAM-JAD1138</t>
  </si>
  <si>
    <t>SS-ZAM-JAD1139</t>
  </si>
  <si>
    <t>SS-ZAM-JAD1140</t>
  </si>
  <si>
    <t>SS-ZAM-JAD1141</t>
  </si>
  <si>
    <t>SS-ZAM-JAD1142</t>
  </si>
  <si>
    <t>SS-ZAM-JAD1143</t>
  </si>
  <si>
    <t>SS-ZAM-JAD1144</t>
  </si>
  <si>
    <t>SS-ZAM-JAD1145</t>
  </si>
  <si>
    <t>SS-ZAM-JAD1146</t>
  </si>
  <si>
    <t>SS-ZAM-JAD1147</t>
  </si>
  <si>
    <t>SS-ZAM-JAD1148</t>
  </si>
  <si>
    <t>SS-ZAM-JAD1149</t>
  </si>
  <si>
    <t>SS-ZAM-JAD1150</t>
  </si>
  <si>
    <t>SS-ZAM-JAD1151</t>
  </si>
  <si>
    <t>SS-ZAM-JAD1152</t>
  </si>
  <si>
    <t>SS-ZAM-JAD1153</t>
  </si>
  <si>
    <t>SS-ZAM-JAD1154</t>
  </si>
  <si>
    <t>SS-ZAM-JAD1155</t>
  </si>
  <si>
    <t>SS-ZAM-JAD1156</t>
  </si>
  <si>
    <t>SS-ZAM-JAD1157</t>
  </si>
  <si>
    <t>SS-ZAM-JAD1158</t>
  </si>
  <si>
    <t>SS-ZAM-JAD1159</t>
  </si>
  <si>
    <t>SS-ZAM-JAD1160</t>
  </si>
  <si>
    <t>SS-ZAM-JAD1161</t>
  </si>
  <si>
    <t>SS-ZAM-JAD1162</t>
  </si>
  <si>
    <t>SS-ZAM-JAD1163</t>
  </si>
  <si>
    <t>SS-ZAM-JAD1164</t>
  </si>
  <si>
    <t>SS-ZAM-JAD1165</t>
  </si>
  <si>
    <t>SS-ZAM-JAD1166</t>
  </si>
  <si>
    <t>SS-ZAM-JAD1167</t>
  </si>
  <si>
    <t>SS-ZAM-JAD1168</t>
  </si>
  <si>
    <t>SS-ZAM-JAD1169</t>
  </si>
  <si>
    <t>SS-ZAM-JAD1170</t>
  </si>
  <si>
    <t>SS-ZAM-JAD1171</t>
  </si>
  <si>
    <t>SS-ZAM-JAD1172</t>
  </si>
  <si>
    <t>SS-ZAM-JAD1173</t>
  </si>
  <si>
    <t>SS-ZAM-JAD1174</t>
  </si>
  <si>
    <t>SS-ZAM-JAD1175</t>
  </si>
  <si>
    <t>SS-ZAM-JAD1176</t>
  </si>
  <si>
    <t>SS-ZAM-JAD1177</t>
  </si>
  <si>
    <t>SS-ZAM-JAD1178</t>
  </si>
  <si>
    <t>SS-ZAM-JAD1179</t>
  </si>
  <si>
    <t>SS-ZAM-JAD1180</t>
  </si>
  <si>
    <t>SS-ZAM-JAD1181</t>
  </si>
  <si>
    <t>SS-ZAM-JAD1182</t>
  </si>
  <si>
    <t>SS-ZAM-JAD1183</t>
  </si>
  <si>
    <t>SS-ZAM-JAD1184</t>
  </si>
  <si>
    <t>SS-ZAM-JAD1185</t>
  </si>
  <si>
    <t>SS-ZAM-JAD1186</t>
  </si>
  <si>
    <t>SS-ZAM-JAD1187</t>
  </si>
  <si>
    <t>SS-ZAM-JAD1188</t>
  </si>
  <si>
    <t>SS-ZAM-JAD1189</t>
  </si>
  <si>
    <t>SS-ZAM-JAD1190</t>
  </si>
  <si>
    <t>SS-ZAM-JAD1191</t>
  </si>
  <si>
    <t>SS-ZAM-JAD1192</t>
  </si>
  <si>
    <t>SS-ZAM-JAD1193</t>
  </si>
  <si>
    <t>SS-ZAM-JAD1194</t>
  </si>
  <si>
    <t>SS-ZAM-JAD1195</t>
  </si>
  <si>
    <t>SS-ZAM-JAD1196</t>
  </si>
  <si>
    <t>SS-ZAM-JAD1197</t>
  </si>
  <si>
    <t>SS-ZAM-JAD1198</t>
  </si>
  <si>
    <t>SS-ZAM-JAD1199</t>
  </si>
  <si>
    <t>SS-ZAM-JAD1200</t>
  </si>
  <si>
    <t>SS-ZAM-MAK1001</t>
  </si>
  <si>
    <t>SS-ZAM-MAK1002</t>
  </si>
  <si>
    <t>SS-ZAM-MAK1003</t>
  </si>
  <si>
    <t>SS-ZAM-MAK1004</t>
  </si>
  <si>
    <t>SS-ZAM-MAK1005</t>
  </si>
  <si>
    <t>SS-ZAM-MAK1006</t>
  </si>
  <si>
    <t>SS-ZAM-MAK1007</t>
  </si>
  <si>
    <t>SS-ZAM-MAK1008</t>
  </si>
  <si>
    <t>SS-ZAM-MAK1009</t>
  </si>
  <si>
    <t>SS-ZAM-MAK1010</t>
  </si>
  <si>
    <t>SS-ZAM-MAK1011</t>
  </si>
  <si>
    <t>SS-ZAM-MAK1012</t>
  </si>
  <si>
    <t>SS-ZAM-MAK1013</t>
  </si>
  <si>
    <t>SS-ZAM-MAK1014</t>
  </si>
  <si>
    <t>SS-ZAM-MAK1015</t>
  </si>
  <si>
    <t>SS-ZAM-MAK1016</t>
  </si>
  <si>
    <t>SS-ZAM-MAK1017</t>
  </si>
  <si>
    <t>SS-ZAM-MAK1018</t>
  </si>
  <si>
    <t>SS-ZAM-MAK1019</t>
  </si>
  <si>
    <t>SS-ZAM-MAK1020</t>
  </si>
  <si>
    <t>SS-ZAM-MAK1021</t>
  </si>
  <si>
    <t>SS-ZAM-MAK1022</t>
  </si>
  <si>
    <t>SS-ZAM-MAK1023</t>
  </si>
  <si>
    <t>SS-ZAM-MAK1024</t>
  </si>
  <si>
    <t>SS-ZAM-MAK1025</t>
  </si>
  <si>
    <t>SS-ZAM-MAK1026</t>
  </si>
  <si>
    <t>SS-ZAM-MAK1027</t>
  </si>
  <si>
    <t>SS-ZAM-MAK1028</t>
  </si>
  <si>
    <t>SS-ZAM-MAK1029</t>
  </si>
  <si>
    <t>SS-ZAM-MAK1030</t>
  </si>
  <si>
    <t>SS-ZAM-MAK1031</t>
  </si>
  <si>
    <t>SS-ZAM-MAK1032</t>
  </si>
  <si>
    <t>SS-ZAM-MAK1033</t>
  </si>
  <si>
    <t>SS-ZAM-MAK1034</t>
  </si>
  <si>
    <t>SS-ZAM-MAK1035</t>
  </si>
  <si>
    <t>SS-ZAM-MAK1036</t>
  </si>
  <si>
    <t>SS-ZAM-MAK1037</t>
  </si>
  <si>
    <t>SS-ZAM-MAK1038</t>
  </si>
  <si>
    <t>SS-ZAM-MAK1039</t>
  </si>
  <si>
    <t>SS-ZAM-MAK1040</t>
  </si>
  <si>
    <t>SS-ZAM-MAK1041</t>
  </si>
  <si>
    <t>SS-ZAM-MAK1042</t>
  </si>
  <si>
    <t>SS-ZAM-MAK1043</t>
  </si>
  <si>
    <t>SS-ZAM-MAK1044</t>
  </si>
  <si>
    <t>SS-ZAM-MAK1045</t>
  </si>
  <si>
    <t>SS-ZAM-MAK1046</t>
  </si>
  <si>
    <t>SS-ZAM-MAK1047</t>
  </si>
  <si>
    <t>SS-ZAM-MAK1048</t>
  </si>
  <si>
    <t>SS-ZAM-MAK1049</t>
  </si>
  <si>
    <t>SS-ZAM-MAK1050</t>
  </si>
  <si>
    <t>SS-ZAM-MAK1051</t>
  </si>
  <si>
    <t>SS-ZAM-MAK1052</t>
  </si>
  <si>
    <t>SS-ZAM-MAK1053</t>
  </si>
  <si>
    <t>SS-ZAM-MAK1054</t>
  </si>
  <si>
    <t>SS-ZAM-MAK1055</t>
  </si>
  <si>
    <t>SS-ZAM-MAK1056</t>
  </si>
  <si>
    <t>SS-ZAM-MAK1057</t>
  </si>
  <si>
    <t>SS-ZAM-MAK1058</t>
  </si>
  <si>
    <t>SS-ZAM-MAK1059</t>
  </si>
  <si>
    <t>SS-ZAM-MAK1060</t>
  </si>
  <si>
    <t>SS-ZAM-MAK1061</t>
  </si>
  <si>
    <t>SS-ZAM-MAK1062</t>
  </si>
  <si>
    <t>SS-ZAM-MAK1063</t>
  </si>
  <si>
    <t>SS-ZAM-MAK1064</t>
  </si>
  <si>
    <t>SS-ZAM-MAK1065</t>
  </si>
  <si>
    <t>SS-ZAM-MAK1066</t>
  </si>
  <si>
    <t>SS-ZAM-MAK1067</t>
  </si>
  <si>
    <t>SS-ZAM-MAK1068</t>
  </si>
  <si>
    <t>SS-ZAM-MAK1069</t>
  </si>
  <si>
    <t>SS-ZAM-MAK1070</t>
  </si>
  <si>
    <t>SS-ZAM-MAK1071</t>
  </si>
  <si>
    <t>SS-ZAM-MAK1072</t>
  </si>
  <si>
    <t>SS-ZAM-MAK1073</t>
  </si>
  <si>
    <t>SS-ZAM-MAK1074</t>
  </si>
  <si>
    <t>SS-ZAM-MAK1075</t>
  </si>
  <si>
    <t>SS-ZAM-MAK1076</t>
  </si>
  <si>
    <t>SS-ZAM-MAK1077</t>
  </si>
  <si>
    <t>SS-ZAM-MAK1078</t>
  </si>
  <si>
    <t>SS-ZAM-MAK1079</t>
  </si>
  <si>
    <t>SS-ZAM-MAK1080</t>
  </si>
  <si>
    <t>SS-ZAM-MAK1081</t>
  </si>
  <si>
    <t>SS-ZAM-MAK1082</t>
  </si>
  <si>
    <t>SS-ZAM-MAK1083</t>
  </si>
  <si>
    <t>SS-ZAM-MAK1084</t>
  </si>
  <si>
    <t>SS-ZAM-MAK1085</t>
  </si>
  <si>
    <t>SS-ZAM-MAK1086</t>
  </si>
  <si>
    <t>SS-ZAM-MAK1087</t>
  </si>
  <si>
    <t>SS-ZAM-MAK1088</t>
  </si>
  <si>
    <t>SS-ZAM-MAK1089</t>
  </si>
  <si>
    <t>SS-ZAM-MAK1090</t>
  </si>
  <si>
    <t>SS-ZAM-MAK1091</t>
  </si>
  <si>
    <t>SS-ZAM-MAK1092</t>
  </si>
  <si>
    <t>SS-ZAM-MAK1093</t>
  </si>
  <si>
    <t>SS-ZAM-MAK1094</t>
  </si>
  <si>
    <t>SS-ZAM-MAK1095</t>
  </si>
  <si>
    <t>SS-ZAM-MAK1096</t>
  </si>
  <si>
    <t>SS-ZAM-MAK1097</t>
  </si>
  <si>
    <t>SS-ZAM-MAK1098</t>
  </si>
  <si>
    <t>SS-ZAM-MAK1099</t>
  </si>
  <si>
    <t>SS-ZAM-MAK1100</t>
  </si>
  <si>
    <t>SS-ZAM-MAK1101</t>
  </si>
  <si>
    <t>SS-ZAM-MAK1102</t>
  </si>
  <si>
    <t>SS-ZAM-MAK1103</t>
  </si>
  <si>
    <t>SS-ZAM-MAK1104</t>
  </si>
  <si>
    <t>SS-ZAM-MAK1105</t>
  </si>
  <si>
    <t>SS-ZAM-MAK1106</t>
  </si>
  <si>
    <t>SS-ZAM-MAK1107</t>
  </si>
  <si>
    <t>SS-ZAM-MAK1108</t>
  </si>
  <si>
    <t>SS-ZAM-MAK1109</t>
  </si>
  <si>
    <t>SS-ZAM-MAK1110</t>
  </si>
  <si>
    <t>SS-ZAM-MAK1111</t>
  </si>
  <si>
    <t>SS-ZAM-MAK1112</t>
  </si>
  <si>
    <t>SS-ZAM-MAK1113</t>
  </si>
  <si>
    <t>SS-ZAM-MAK1114</t>
  </si>
  <si>
    <t>SS-ZAM-MAK1115</t>
  </si>
  <si>
    <t>SS-ZAM-MAK1116</t>
  </si>
  <si>
    <t>SS-ZAM-MAK1117</t>
  </si>
  <si>
    <t>SS-ZAM-MAK1118</t>
  </si>
  <si>
    <t>SS-ZAM-MAK1119</t>
  </si>
  <si>
    <t>SS-ZAM-MAK1120</t>
  </si>
  <si>
    <t>SS-ZAM-MAK1121</t>
  </si>
  <si>
    <t>SS-ZAM-MAK1122</t>
  </si>
  <si>
    <t>SS-ZAM-MAK1123</t>
  </si>
  <si>
    <t>SS-ZAM-MAK1124</t>
  </si>
  <si>
    <t>SS-ZAM-MAK1125</t>
  </si>
  <si>
    <t>SS-ZAM-MAK1126</t>
  </si>
  <si>
    <t>SS-ZAM-MAK1127</t>
  </si>
  <si>
    <t>SS-ZAM-MAK1128</t>
  </si>
  <si>
    <t>SS-ZAM-MAK1129</t>
  </si>
  <si>
    <t>SS-ZAM-MAK1130</t>
  </si>
  <si>
    <t>SS-ZAM-MAK1131</t>
  </si>
  <si>
    <t>SS-ZAM-MAK1132</t>
  </si>
  <si>
    <t>SS-ZAM-MAK1133</t>
  </si>
  <si>
    <t>SS-ZAM-MAK1134</t>
  </si>
  <si>
    <t>SS-ZAM-MAK1135</t>
  </si>
  <si>
    <t>SS-ZAM-MAK1136</t>
  </si>
  <si>
    <t>SS-ZAM-MAK1137</t>
  </si>
  <si>
    <t>SS-ZAM-MAK1138</t>
  </si>
  <si>
    <t>SS-ZAM-MAK1139</t>
  </si>
  <si>
    <t>SS-ZAM-MAK1140</t>
  </si>
  <si>
    <t>SS-ZAM-MAK1141</t>
  </si>
  <si>
    <t>SS-ZAM-MAK1142</t>
  </si>
  <si>
    <t>SS-ZAM-MAK1143</t>
  </si>
  <si>
    <t>SS-ZAM-MAK1144</t>
  </si>
  <si>
    <t>SS-ZAM-MAK1145</t>
  </si>
  <si>
    <t>SS-ZAM-MAK1146</t>
  </si>
  <si>
    <t>SS-ZAM-MAK1147</t>
  </si>
  <si>
    <t>SS-ZAM-MAK1148</t>
  </si>
  <si>
    <t>SS-ZAM-MAK1149</t>
  </si>
  <si>
    <t>SS-ZAM-MAK1150</t>
  </si>
  <si>
    <t>SS-ZAM-MAK1151</t>
  </si>
  <si>
    <t>SS-ZAM-MAK1152</t>
  </si>
  <si>
    <t>SS-ZAM-MAK1153</t>
  </si>
  <si>
    <t>SS-ZAM-MAK1154</t>
  </si>
  <si>
    <t>SS-ZAM-MAK1155</t>
  </si>
  <si>
    <t>SS-ZAM-MAK1156</t>
  </si>
  <si>
    <t>SS-ZAM-MAK1157</t>
  </si>
  <si>
    <t>SS-ZAM-MAK1158</t>
  </si>
  <si>
    <t>SS-ZAM-MAK1159</t>
  </si>
  <si>
    <t>SS-ZAM-MAK1160</t>
  </si>
  <si>
    <t>SS-ZAM-MAK1161</t>
  </si>
  <si>
    <t>SS-ZAM-MAK1162</t>
  </si>
  <si>
    <t>SS-ZAM-MAK1163</t>
  </si>
  <si>
    <t>SS-ZAM-MAK1164</t>
  </si>
  <si>
    <t>SS-ZAM-MAK1165</t>
  </si>
  <si>
    <t>SS-ZAM-MAK1166</t>
  </si>
  <si>
    <t>SS-ZAM-MAK1167</t>
  </si>
  <si>
    <t>SS-ZAM-MAK1168</t>
  </si>
  <si>
    <t>SS-ZAM-MAK1169</t>
  </si>
  <si>
    <t>SS-ZAM-MAK1170</t>
  </si>
  <si>
    <t>SS-ZAM-MAK1171</t>
  </si>
  <si>
    <t>SS-ZAM-MAK1172</t>
  </si>
  <si>
    <t>SS-ZAM-MAK1173</t>
  </si>
  <si>
    <t>SS-ZAM-MAK1174</t>
  </si>
  <si>
    <t>SS-ZAM-MAK1175</t>
  </si>
  <si>
    <t>SS-ZAM-MAK1176</t>
  </si>
  <si>
    <t>SS-ZAM-MAK1177</t>
  </si>
  <si>
    <t>SS-ZAM-MAK1178</t>
  </si>
  <si>
    <t>SS-ZAM-MAK1179</t>
  </si>
  <si>
    <t>SS-ZAM-MAK1180</t>
  </si>
  <si>
    <t>SS-ZAM-MAK1181</t>
  </si>
  <si>
    <t>SS-ZAM-MAK1182</t>
  </si>
  <si>
    <t>SS-ZAM-MAK1183</t>
  </si>
  <si>
    <t>SS-ZAM-MAK1184</t>
  </si>
  <si>
    <t>SS-ZAM-MAK1185</t>
  </si>
  <si>
    <t>SS-ZAM-MAK1186</t>
  </si>
  <si>
    <t>SS-ZAM-MAK1187</t>
  </si>
  <si>
    <t>SS-ZAM-MAK1188</t>
  </si>
  <si>
    <t>SS-ZAM-MAK1189</t>
  </si>
  <si>
    <t>SS-ZAM-MAK1190</t>
  </si>
  <si>
    <t>SS-ZAM-MAK1191</t>
  </si>
  <si>
    <t>SS-ZAM-MAK1192</t>
  </si>
  <si>
    <t>SS-ZAM-MAK1193</t>
  </si>
  <si>
    <t>SS-ZAM-MAK1194</t>
  </si>
  <si>
    <t>SS-ZAM-MAK1195</t>
  </si>
  <si>
    <t>SS-ZAM-MAK1196</t>
  </si>
  <si>
    <t>SS-ZAM-MAK1197</t>
  </si>
  <si>
    <t>SS-ZAM-MAK1198</t>
  </si>
  <si>
    <t>SS-ZAM-MAK1199</t>
  </si>
  <si>
    <t>SS-ZAM-MAK1200</t>
  </si>
  <si>
    <t>Makkah-1</t>
  </si>
  <si>
    <t>Jeddah-1</t>
  </si>
  <si>
    <t>Madina -1</t>
  </si>
  <si>
    <t>SS-ZAM-NB1001</t>
  </si>
  <si>
    <t>SS-ZAM-NB1002</t>
  </si>
  <si>
    <t>SS-ZAM-NB1003</t>
  </si>
  <si>
    <t>SS-ZAM-NB1004</t>
  </si>
  <si>
    <t>SS-ZAM-NB1005</t>
  </si>
  <si>
    <t>SS-ZAM-NB1006</t>
  </si>
  <si>
    <t>SS-ZAM-NB1007</t>
  </si>
  <si>
    <t>SS-ZAM-NB1008</t>
  </si>
  <si>
    <t>SS-ZAM-NB1009</t>
  </si>
  <si>
    <t>SS-ZAM-NB1010</t>
  </si>
  <si>
    <t>SS-ZAM-NB1011</t>
  </si>
  <si>
    <t>SS-ZAM-NB1012</t>
  </si>
  <si>
    <t>SS-ZAM-NB1013</t>
  </si>
  <si>
    <t>SS-ZAM-NB1014</t>
  </si>
  <si>
    <t>SS-ZAM-NB1015</t>
  </si>
  <si>
    <t>SS-ZAM-NB1016</t>
  </si>
  <si>
    <t>SS-ZAM-NB1017</t>
  </si>
  <si>
    <t>SS-ZAM-NB1018</t>
  </si>
  <si>
    <t>SS-ZAM-NB1019</t>
  </si>
  <si>
    <t>SS-ZAM-NB1020</t>
  </si>
  <si>
    <t>SS-ZAM-NB1021</t>
  </si>
  <si>
    <t>SS-ZAM-NB1022</t>
  </si>
  <si>
    <t>SS-ZAM-NB1023</t>
  </si>
  <si>
    <t>SS-ZAM-NB1024</t>
  </si>
  <si>
    <t>SS-ZAM-NB1025</t>
  </si>
  <si>
    <t>SS-ZAM-NB1026</t>
  </si>
  <si>
    <t>SS-ZAM-NB1027</t>
  </si>
  <si>
    <t>SS-ZAM-NB1028</t>
  </si>
  <si>
    <t>SS-ZAM-NB1029</t>
  </si>
  <si>
    <t>SS-ZAM-NB1030</t>
  </si>
  <si>
    <t>SS-ZAM-NB1031</t>
  </si>
  <si>
    <t>SS-ZAM-NB1032</t>
  </si>
  <si>
    <t>SS-ZAM-NB1033</t>
  </si>
  <si>
    <t>SS-ZAM-NB1034</t>
  </si>
  <si>
    <t>SS-ZAM-NB1035</t>
  </si>
  <si>
    <t>SS-ZAM-NB1036</t>
  </si>
  <si>
    <t>SS-ZAM-NB1037</t>
  </si>
  <si>
    <t>SS-ZAM-NB1038</t>
  </si>
  <si>
    <t>SS-ZAM-NB1039</t>
  </si>
  <si>
    <t>SS-ZAM-NB1040</t>
  </si>
  <si>
    <t>SS-ZAM-NB1041</t>
  </si>
  <si>
    <t>SS-ZAM-NB1042</t>
  </si>
  <si>
    <t>SS-ZAM-NB1043</t>
  </si>
  <si>
    <t>SS-ZAM-NB1044</t>
  </si>
  <si>
    <t>SS-ZAM-NB1045</t>
  </si>
  <si>
    <t>SS-ZAM-NB1046</t>
  </si>
  <si>
    <t>SS-ZAM-NB1047</t>
  </si>
  <si>
    <t>SS-ZAM-NB1048</t>
  </si>
  <si>
    <t>SS-ZAM-NB1049</t>
  </si>
  <si>
    <t>SS-ZAM-NB1050</t>
  </si>
  <si>
    <t>SS-ZAM-NB1051</t>
  </si>
  <si>
    <t>SS-ZAM-NB1052</t>
  </si>
  <si>
    <t>SS-ZAM-NB1053</t>
  </si>
  <si>
    <t>SS-ZAM-NB1054</t>
  </si>
  <si>
    <t>SS-ZAM-NB1055</t>
  </si>
  <si>
    <t>SS-ZAM-NB1056</t>
  </si>
  <si>
    <t>SS-ZAM-NB1057</t>
  </si>
  <si>
    <t>SS-ZAM-NB1058</t>
  </si>
  <si>
    <t>SS-ZAM-NB1059</t>
  </si>
  <si>
    <t>SS-ZAM-NB1060</t>
  </si>
  <si>
    <t>SS-ZAM-NB1061</t>
  </si>
  <si>
    <t>SS-ZAM-NB1062</t>
  </si>
  <si>
    <t>SS-ZAM-NB1063</t>
  </si>
  <si>
    <t>SS-ZAM-NB1064</t>
  </si>
  <si>
    <t>SS-ZAM-NB1065</t>
  </si>
  <si>
    <t>SS-ZAM-NB1066</t>
  </si>
  <si>
    <t>SS-ZAM-NB1067</t>
  </si>
  <si>
    <t>SS-ZAM-NB1068</t>
  </si>
  <si>
    <t>SS-ZAM-NB1069</t>
  </si>
  <si>
    <t>SS-ZAM-NB1070</t>
  </si>
  <si>
    <t>SS-ZAM-NB1071</t>
  </si>
  <si>
    <t>SS-ZAM-NB1072</t>
  </si>
  <si>
    <t>SS-ZAM-NB1073</t>
  </si>
  <si>
    <t>SS-ZAM-NB1074</t>
  </si>
  <si>
    <t>SS-ZAM-NB1075</t>
  </si>
  <si>
    <t>SS-ZAM-NB1076</t>
  </si>
  <si>
    <t>SS-ZAM-NB1077</t>
  </si>
  <si>
    <t>SS-ZAM-NB1078</t>
  </si>
  <si>
    <t>SS-ZAM-NB1079</t>
  </si>
  <si>
    <t>SS-ZAM-NB1080</t>
  </si>
  <si>
    <t>SS-ZAM-NB1081</t>
  </si>
  <si>
    <t>SS-ZAM-NB1082</t>
  </si>
  <si>
    <t>SS-ZAM-NB1083</t>
  </si>
  <si>
    <t>SS-ZAM-NB1084</t>
  </si>
  <si>
    <t>SS-ZAM-NB1085</t>
  </si>
  <si>
    <t>SS-ZAM-NB1086</t>
  </si>
  <si>
    <t>SS-ZAM-NB1087</t>
  </si>
  <si>
    <t>SS-ZAM-NB1088</t>
  </si>
  <si>
    <t>SS-ZAM-NB1089</t>
  </si>
  <si>
    <t>SS-ZAM-NB1090</t>
  </si>
  <si>
    <t>SS-ZAM-NB1091</t>
  </si>
  <si>
    <t>SS-ZAM-NB1092</t>
  </si>
  <si>
    <t>SS-ZAM-NB1093</t>
  </si>
  <si>
    <t>SS-ZAM-NB1094</t>
  </si>
  <si>
    <t>SS-ZAM-NB1095</t>
  </si>
  <si>
    <t>SS-ZAM-NB1096</t>
  </si>
  <si>
    <t>SS-ZAM-NB1097</t>
  </si>
  <si>
    <t>SS-ZAM-NB1098</t>
  </si>
  <si>
    <t>SS-ZAM-NB1099</t>
  </si>
  <si>
    <t>SS-ZAM-NB1100</t>
  </si>
  <si>
    <t>SS-ZAM-NB1101</t>
  </si>
  <si>
    <t>SS-ZAM-NB1102</t>
  </si>
  <si>
    <t>SS-ZAM-NB1103</t>
  </si>
  <si>
    <t>SS-ZAM-NB1104</t>
  </si>
  <si>
    <t>SS-ZAM-NB1105</t>
  </si>
  <si>
    <t>SS-ZAM-NB1106</t>
  </si>
  <si>
    <t>SS-ZAM-NB1107</t>
  </si>
  <si>
    <t>SS-ZAM-NB1108</t>
  </si>
  <si>
    <t>SS-ZAM-NB1109</t>
  </si>
  <si>
    <t>SS-ZAM-NB1110</t>
  </si>
  <si>
    <t>SS-ZAM-NB1111</t>
  </si>
  <si>
    <t>SS-ZAM-NB1112</t>
  </si>
  <si>
    <t>SS-ZAM-NB1113</t>
  </si>
  <si>
    <t>SS-ZAM-NB1114</t>
  </si>
  <si>
    <t>SS-ZAM-NB1115</t>
  </si>
  <si>
    <t>SS-ZAM-NB1116</t>
  </si>
  <si>
    <t>SS-ZAM-NB1117</t>
  </si>
  <si>
    <t>SS-ZAM-NB1118</t>
  </si>
  <si>
    <t>SS-ZAM-NB1119</t>
  </si>
  <si>
    <t>SS-ZAM-NB1120</t>
  </si>
  <si>
    <t>SS-ZAM-NB1121</t>
  </si>
  <si>
    <t>SS-ZAM-NB1122</t>
  </si>
  <si>
    <t>SS-ZAM-NB1123</t>
  </si>
  <si>
    <t>SS-ZAM-NB1124</t>
  </si>
  <si>
    <t>SS-ZAM-NB1125</t>
  </si>
  <si>
    <t>SS-ZAM-NB1126</t>
  </si>
  <si>
    <t>SS-ZAM-NB1127</t>
  </si>
  <si>
    <t>SS-ZAM-NB1128</t>
  </si>
  <si>
    <t>SS-ZAM-NB1129</t>
  </si>
  <si>
    <t>SS-ZAM-NB1130</t>
  </si>
  <si>
    <t>SS-ZAM-NB1131</t>
  </si>
  <si>
    <t>SS-ZAM-NB1132</t>
  </si>
  <si>
    <t>SS-ZAM-NB1133</t>
  </si>
  <si>
    <t>SS-ZAM-NB1134</t>
  </si>
  <si>
    <t>SS-ZAM-NB1135</t>
  </si>
  <si>
    <t>SS-ZAM-NB1136</t>
  </si>
  <si>
    <t>SS-ZAM-NB1137</t>
  </si>
  <si>
    <t>SS-ZAM-NB1138</t>
  </si>
  <si>
    <t>SS-ZAM-NB1139</t>
  </si>
  <si>
    <t>SS-ZAM-NB1140</t>
  </si>
  <si>
    <t>SS-ZAM-NB1141</t>
  </si>
  <si>
    <t>SS-ZAM-NB1142</t>
  </si>
  <si>
    <t>SS-ZAM-NB1143</t>
  </si>
  <si>
    <t>SS-ZAM-NB1144</t>
  </si>
  <si>
    <t>SS-ZAM-NB1145</t>
  </si>
  <si>
    <t>SS-ZAM-NB1146</t>
  </si>
  <si>
    <t>SS-ZAM-NB1147</t>
  </si>
  <si>
    <t>SS-ZAM-NB1148</t>
  </si>
  <si>
    <t>SS-ZAM-NB1149</t>
  </si>
  <si>
    <t>SS-ZAM-NB1150</t>
  </si>
  <si>
    <t>SS-ZAM-NB1151</t>
  </si>
  <si>
    <t>SS-ZAM-NB1152</t>
  </si>
  <si>
    <t>SS-ZAM-NB1153</t>
  </si>
  <si>
    <t>SS-ZAM-NB1154</t>
  </si>
  <si>
    <t>SS-ZAM-NB1155</t>
  </si>
  <si>
    <t>SS-ZAM-NB1156</t>
  </si>
  <si>
    <t>SS-ZAM-NB1157</t>
  </si>
  <si>
    <t>SS-ZAM-NB1158</t>
  </si>
  <si>
    <t>SS-ZAM-NB1159</t>
  </si>
  <si>
    <t>SS-ZAM-NB1160</t>
  </si>
  <si>
    <t>SS-ZAM-NB1161</t>
  </si>
  <si>
    <t>SS-ZAM-NB1162</t>
  </si>
  <si>
    <t>SS-ZAM-NB1163</t>
  </si>
  <si>
    <t>SS-ZAM-NB1164</t>
  </si>
  <si>
    <t>SS-ZAM-NB1165</t>
  </si>
  <si>
    <t>SS-ZAM-NB1166</t>
  </si>
  <si>
    <t>SS-ZAM-NB1167</t>
  </si>
  <si>
    <t>SS-ZAM-NB1168</t>
  </si>
  <si>
    <t>SS-ZAM-NB1169</t>
  </si>
  <si>
    <t>SS-ZAM-NB1170</t>
  </si>
  <si>
    <t>SS-ZAM-NB1171</t>
  </si>
  <si>
    <t>SS-ZAM-NB1172</t>
  </si>
  <si>
    <t>SS-ZAM-NB1173</t>
  </si>
  <si>
    <t>SS-ZAM-NB1174</t>
  </si>
  <si>
    <t>SS-ZAM-NB1175</t>
  </si>
  <si>
    <t>SS-ZAM-NB1176</t>
  </si>
  <si>
    <t>SS-ZAM-NB1177</t>
  </si>
  <si>
    <t>SS-ZAM-NB1178</t>
  </si>
  <si>
    <t>SS-ZAM-NB1179</t>
  </si>
  <si>
    <t>SS-ZAM-NB1180</t>
  </si>
  <si>
    <t>SS-ZAM-NB1181</t>
  </si>
  <si>
    <t>SS-ZAM-NB1182</t>
  </si>
  <si>
    <t>SS-ZAM-NB1183</t>
  </si>
  <si>
    <t>SS-ZAM-NB1184</t>
  </si>
  <si>
    <t>SS-ZAM-NB1185</t>
  </si>
  <si>
    <t>SS-ZAM-NB1186</t>
  </si>
  <si>
    <t>SS-ZAM-NB1187</t>
  </si>
  <si>
    <t>SS-ZAM-NB1188</t>
  </si>
  <si>
    <t>SS-ZAM-NB1189</t>
  </si>
  <si>
    <t>SS-ZAM-NB1190</t>
  </si>
  <si>
    <t>SS-ZAM-NB1191</t>
  </si>
  <si>
    <t>SS-ZAM-NB1192</t>
  </si>
  <si>
    <t>SS-ZAM-NB1193</t>
  </si>
  <si>
    <t>SS-ZAM-NB1194</t>
  </si>
  <si>
    <t>SS-ZAM-NB1195</t>
  </si>
  <si>
    <t>SS-ZAM-NB1196</t>
  </si>
  <si>
    <t>SS-ZAM-NB1197</t>
  </si>
  <si>
    <t>SS-ZAM-NB1198</t>
  </si>
  <si>
    <t>SS-ZAM-NB1199</t>
  </si>
  <si>
    <t>SS-ZAM-NB1200</t>
  </si>
  <si>
    <t>NB-1</t>
  </si>
  <si>
    <t>Al Jouf-1</t>
  </si>
  <si>
    <t>SS-ZAM-JOUF1001</t>
  </si>
  <si>
    <t>SS-ZAM-JOUF1002</t>
  </si>
  <si>
    <t>SS-ZAM-JOUF1003</t>
  </si>
  <si>
    <t>SS-ZAM-JOUF1004</t>
  </si>
  <si>
    <t>SS-ZAM-JOUF1005</t>
  </si>
  <si>
    <t>SS-ZAM-JOUF1006</t>
  </si>
  <si>
    <t>SS-ZAM-JOUF1007</t>
  </si>
  <si>
    <t>SS-ZAM-JOUF1008</t>
  </si>
  <si>
    <t>SS-ZAM-JOUF1009</t>
  </si>
  <si>
    <t>SS-ZAM-JOUF1010</t>
  </si>
  <si>
    <t>SS-ZAM-JOUF1011</t>
  </si>
  <si>
    <t>SS-ZAM-JOUF1012</t>
  </si>
  <si>
    <t>SS-ZAM-JOUF1013</t>
  </si>
  <si>
    <t>SS-ZAM-JOUF1014</t>
  </si>
  <si>
    <t>SS-ZAM-JOUF1015</t>
  </si>
  <si>
    <t>SS-ZAM-JOUF1016</t>
  </si>
  <si>
    <t>SS-ZAM-JOUF1017</t>
  </si>
  <si>
    <t>SS-ZAM-JOUF1018</t>
  </si>
  <si>
    <t>SS-ZAM-JOUF1019</t>
  </si>
  <si>
    <t>SS-ZAM-JOUF1020</t>
  </si>
  <si>
    <t>SS-ZAM-JOUF1021</t>
  </si>
  <si>
    <t>SS-ZAM-JOUF1022</t>
  </si>
  <si>
    <t>SS-ZAM-JOUF1023</t>
  </si>
  <si>
    <t>SS-ZAM-JOUF1024</t>
  </si>
  <si>
    <t>SS-ZAM-JOUF1025</t>
  </si>
  <si>
    <t>SS-ZAM-JOUF1026</t>
  </si>
  <si>
    <t>SS-ZAM-JOUF1027</t>
  </si>
  <si>
    <t>SS-ZAM-JOUF1028</t>
  </si>
  <si>
    <t>SS-ZAM-JOUF1029</t>
  </si>
  <si>
    <t>SS-ZAM-JOUF1030</t>
  </si>
  <si>
    <t>SS-ZAM-JOUF1031</t>
  </si>
  <si>
    <t>SS-ZAM-JOUF1032</t>
  </si>
  <si>
    <t>SS-ZAM-JOUF1033</t>
  </si>
  <si>
    <t>SS-ZAM-JOUF1034</t>
  </si>
  <si>
    <t>SS-ZAM-JOUF1035</t>
  </si>
  <si>
    <t>SS-ZAM-JOUF1036</t>
  </si>
  <si>
    <t>SS-ZAM-JOUF1037</t>
  </si>
  <si>
    <t>SS-ZAM-JOUF1038</t>
  </si>
  <si>
    <t>SS-ZAM-JOUF1039</t>
  </si>
  <si>
    <t>SS-ZAM-JOUF1040</t>
  </si>
  <si>
    <t>SS-ZAM-JOUF1041</t>
  </si>
  <si>
    <t>SS-ZAM-JOUF1042</t>
  </si>
  <si>
    <t>SS-ZAM-JOUF1043</t>
  </si>
  <si>
    <t>SS-ZAM-JOUF1044</t>
  </si>
  <si>
    <t>SS-ZAM-JOUF1045</t>
  </si>
  <si>
    <t>SS-ZAM-JOUF1046</t>
  </si>
  <si>
    <t>SS-ZAM-JOUF1047</t>
  </si>
  <si>
    <t>SS-ZAM-JOUF1048</t>
  </si>
  <si>
    <t>SS-ZAM-JOUF1049</t>
  </si>
  <si>
    <t>SS-ZAM-JOUF1050</t>
  </si>
  <si>
    <t>SS-ZAM-JOUF1051</t>
  </si>
  <si>
    <t>SS-ZAM-JOUF1052</t>
  </si>
  <si>
    <t>SS-ZAM-JOUF1053</t>
  </si>
  <si>
    <t>SS-ZAM-JOUF1054</t>
  </si>
  <si>
    <t>SS-ZAM-JOUF1055</t>
  </si>
  <si>
    <t>SS-ZAM-JOUF1056</t>
  </si>
  <si>
    <t>SS-ZAM-JOUF1057</t>
  </si>
  <si>
    <t>SS-ZAM-JOUF1058</t>
  </si>
  <si>
    <t>SS-ZAM-JOUF1059</t>
  </si>
  <si>
    <t>SS-ZAM-JOUF1060</t>
  </si>
  <si>
    <t>SS-ZAM-JOUF1061</t>
  </si>
  <si>
    <t>SS-ZAM-JOUF1062</t>
  </si>
  <si>
    <t>SS-ZAM-JOUF1063</t>
  </si>
  <si>
    <t>SS-ZAM-JOUF1064</t>
  </si>
  <si>
    <t>SS-ZAM-JOUF1065</t>
  </si>
  <si>
    <t>SS-ZAM-JOUF1066</t>
  </si>
  <si>
    <t>SS-ZAM-JOUF1067</t>
  </si>
  <si>
    <t>SS-ZAM-JOUF1068</t>
  </si>
  <si>
    <t>SS-ZAM-JOUF1069</t>
  </si>
  <si>
    <t>SS-ZAM-JOUF1070</t>
  </si>
  <si>
    <t>SS-ZAM-JOUF1071</t>
  </si>
  <si>
    <t>SS-ZAM-JOUF1072</t>
  </si>
  <si>
    <t>SS-ZAM-JOUF1073</t>
  </si>
  <si>
    <t>SS-ZAM-JOUF1074</t>
  </si>
  <si>
    <t>SS-ZAM-JOUF1075</t>
  </si>
  <si>
    <t>SS-ZAM-JOUF1076</t>
  </si>
  <si>
    <t>SS-ZAM-JOUF1077</t>
  </si>
  <si>
    <t>SS-ZAM-JOUF1078</t>
  </si>
  <si>
    <t>SS-ZAM-JOUF1079</t>
  </si>
  <si>
    <t>SS-ZAM-JOUF1080</t>
  </si>
  <si>
    <t>SS-ZAM-JOUF1081</t>
  </si>
  <si>
    <t>SS-ZAM-JOUF1082</t>
  </si>
  <si>
    <t>SS-ZAM-JOUF1083</t>
  </si>
  <si>
    <t>SS-ZAM-JOUF1084</t>
  </si>
  <si>
    <t>SS-ZAM-JOUF1085</t>
  </si>
  <si>
    <t>SS-ZAM-JOUF1086</t>
  </si>
  <si>
    <t>SS-ZAM-JOUF1087</t>
  </si>
  <si>
    <t>SS-ZAM-JOUF1088</t>
  </si>
  <si>
    <t>SS-ZAM-JOUF1089</t>
  </si>
  <si>
    <t>SS-ZAM-JOUF1090</t>
  </si>
  <si>
    <t>SS-ZAM-JOUF1091</t>
  </si>
  <si>
    <t>SS-ZAM-JOUF1092</t>
  </si>
  <si>
    <t>SS-ZAM-JOUF1093</t>
  </si>
  <si>
    <t>SS-ZAM-JOUF1094</t>
  </si>
  <si>
    <t>SS-ZAM-JOUF1095</t>
  </si>
  <si>
    <t>SS-ZAM-JOUF1096</t>
  </si>
  <si>
    <t>SS-ZAM-JOUF1097</t>
  </si>
  <si>
    <t>SS-ZAM-JOUF1098</t>
  </si>
  <si>
    <t>SS-ZAM-JOUF1099</t>
  </si>
  <si>
    <t>SS-ZAM-JOUF1100</t>
  </si>
  <si>
    <t>SS-ZAM-JOUF1101</t>
  </si>
  <si>
    <t>SS-ZAM-JOUF1102</t>
  </si>
  <si>
    <t>SS-ZAM-JOUF1103</t>
  </si>
  <si>
    <t>SS-ZAM-JOUF1104</t>
  </si>
  <si>
    <t>SS-ZAM-JOUF1105</t>
  </si>
  <si>
    <t>SS-ZAM-JOUF1106</t>
  </si>
  <si>
    <t>SS-ZAM-JOUF1107</t>
  </si>
  <si>
    <t>SS-ZAM-JOUF1108</t>
  </si>
  <si>
    <t>SS-ZAM-JOUF1109</t>
  </si>
  <si>
    <t>SS-ZAM-JOUF1110</t>
  </si>
  <si>
    <t>SS-ZAM-JOUF1111</t>
  </si>
  <si>
    <t>SS-ZAM-JOUF1112</t>
  </si>
  <si>
    <t>SS-ZAM-JOUF1113</t>
  </si>
  <si>
    <t>SS-ZAM-JOUF1114</t>
  </si>
  <si>
    <t>SS-ZAM-JOUF1115</t>
  </si>
  <si>
    <t>SS-ZAM-JOUF1116</t>
  </si>
  <si>
    <t>SS-ZAM-JOUF1117</t>
  </si>
  <si>
    <t>SS-ZAM-JOUF1118</t>
  </si>
  <si>
    <t>SS-ZAM-JOUF1119</t>
  </si>
  <si>
    <t>SS-ZAM-JOUF1120</t>
  </si>
  <si>
    <t>SS-ZAM-JOUF1121</t>
  </si>
  <si>
    <t>SS-ZAM-JOUF1122</t>
  </si>
  <si>
    <t>SS-ZAM-JOUF1123</t>
  </si>
  <si>
    <t>SS-ZAM-JOUF1124</t>
  </si>
  <si>
    <t>SS-ZAM-JOUF1125</t>
  </si>
  <si>
    <t>SS-ZAM-JOUF1126</t>
  </si>
  <si>
    <t>SS-ZAM-JOUF1127</t>
  </si>
  <si>
    <t>SS-ZAM-JOUF1128</t>
  </si>
  <si>
    <t>SS-ZAM-JOUF1129</t>
  </si>
  <si>
    <t>SS-ZAM-JOUF1130</t>
  </si>
  <si>
    <t>SS-ZAM-JOUF1131</t>
  </si>
  <si>
    <t>SS-ZAM-JOUF1132</t>
  </si>
  <si>
    <t>SS-ZAM-JOUF1133</t>
  </si>
  <si>
    <t>SS-ZAM-JOUF1134</t>
  </si>
  <si>
    <t>SS-ZAM-JOUF1135</t>
  </si>
  <si>
    <t>SS-ZAM-JOUF1136</t>
  </si>
  <si>
    <t>SS-ZAM-JOUF1137</t>
  </si>
  <si>
    <t>SS-ZAM-JOUF1138</t>
  </si>
  <si>
    <t>SS-ZAM-JOUF1139</t>
  </si>
  <si>
    <t>SS-ZAM-JOUF1140</t>
  </si>
  <si>
    <t>SS-ZAM-JOUF1141</t>
  </si>
  <si>
    <t>SS-ZAM-JOUF1142</t>
  </si>
  <si>
    <t>SS-ZAM-JOUF1143</t>
  </si>
  <si>
    <t>SS-ZAM-JOUF1144</t>
  </si>
  <si>
    <t>SS-ZAM-JOUF1145</t>
  </si>
  <si>
    <t>SS-ZAM-JOUF1146</t>
  </si>
  <si>
    <t>SS-ZAM-JOUF1147</t>
  </si>
  <si>
    <t>SS-ZAM-JOUF1148</t>
  </si>
  <si>
    <t>SS-ZAM-JOUF1149</t>
  </si>
  <si>
    <t>SS-ZAM-JOUF1150</t>
  </si>
  <si>
    <t>SS-ZAM-JOUF1151</t>
  </si>
  <si>
    <t>SS-ZAM-JOUF1152</t>
  </si>
  <si>
    <t>SS-ZAM-JOUF1153</t>
  </si>
  <si>
    <t>SS-ZAM-JOUF1154</t>
  </si>
  <si>
    <t>SS-ZAM-JOUF1155</t>
  </si>
  <si>
    <t>SS-ZAM-JOUF1156</t>
  </si>
  <si>
    <t>SS-ZAM-JOUF1157</t>
  </si>
  <si>
    <t>SS-ZAM-JOUF1158</t>
  </si>
  <si>
    <t>SS-ZAM-JOUF1159</t>
  </si>
  <si>
    <t>SS-ZAM-JOUF1160</t>
  </si>
  <si>
    <t>SS-ZAM-JOUF1161</t>
  </si>
  <si>
    <t>SS-ZAM-JOUF1162</t>
  </si>
  <si>
    <t>SS-ZAM-JOUF1163</t>
  </si>
  <si>
    <t>SS-ZAM-JOUF1164</t>
  </si>
  <si>
    <t>SS-ZAM-JOUF1165</t>
  </si>
  <si>
    <t>SS-ZAM-JOUF1166</t>
  </si>
  <si>
    <t>SS-ZAM-JOUF1167</t>
  </si>
  <si>
    <t>SS-ZAM-JOUF1168</t>
  </si>
  <si>
    <t>SS-ZAM-JOUF1169</t>
  </si>
  <si>
    <t>SS-ZAM-JOUF1170</t>
  </si>
  <si>
    <t>SS-ZAM-JOUF1171</t>
  </si>
  <si>
    <t>SS-ZAM-JOUF1172</t>
  </si>
  <si>
    <t>SS-ZAM-JOUF1173</t>
  </si>
  <si>
    <t>SS-ZAM-JOUF1174</t>
  </si>
  <si>
    <t>SS-ZAM-JOUF1175</t>
  </si>
  <si>
    <t>SS-ZAM-JOUF1176</t>
  </si>
  <si>
    <t>SS-ZAM-JOUF1177</t>
  </si>
  <si>
    <t>SS-ZAM-JOUF1178</t>
  </si>
  <si>
    <t>SS-ZAM-JOUF1179</t>
  </si>
  <si>
    <t>SS-ZAM-JOUF1180</t>
  </si>
  <si>
    <t>SS-ZAM-JOUF1181</t>
  </si>
  <si>
    <t>SS-ZAM-JOUF1182</t>
  </si>
  <si>
    <t>SS-ZAM-JOUF1183</t>
  </si>
  <si>
    <t>SS-ZAM-JOUF1184</t>
  </si>
  <si>
    <t>SS-ZAM-JOUF1185</t>
  </si>
  <si>
    <t>SS-ZAM-JOUF1186</t>
  </si>
  <si>
    <t>SS-ZAM-JOUF1187</t>
  </si>
  <si>
    <t>SS-ZAM-JOUF1188</t>
  </si>
  <si>
    <t>SS-ZAM-JOUF1189</t>
  </si>
  <si>
    <t>SS-ZAM-JOUF1190</t>
  </si>
  <si>
    <t>SS-ZAM-JOUF1191</t>
  </si>
  <si>
    <t>SS-ZAM-JOUF1192</t>
  </si>
  <si>
    <t>SS-ZAM-JOUF1193</t>
  </si>
  <si>
    <t>SS-ZAM-JOUF1194</t>
  </si>
  <si>
    <t>SS-ZAM-JOUF1195</t>
  </si>
  <si>
    <t>SS-ZAM-JOUF1196</t>
  </si>
  <si>
    <t>SS-ZAM-JOUF1197</t>
  </si>
  <si>
    <t>SS-ZAM-JOUF1198</t>
  </si>
  <si>
    <t>SS-ZAM-JOUF1199</t>
  </si>
  <si>
    <t>SS-ZAM-JOUF1200</t>
  </si>
  <si>
    <t>SS-ZAM-HAIL1001</t>
  </si>
  <si>
    <t>SS-ZAM-HAIL1002</t>
  </si>
  <si>
    <t>SS-ZAM-HAIL1003</t>
  </si>
  <si>
    <t>SS-ZAM-HAIL1004</t>
  </si>
  <si>
    <t>SS-ZAM-HAIL1005</t>
  </si>
  <si>
    <t>SS-ZAM-HAIL1006</t>
  </si>
  <si>
    <t>SS-ZAM-HAIL1007</t>
  </si>
  <si>
    <t>SS-ZAM-HAIL1008</t>
  </si>
  <si>
    <t>SS-ZAM-HAIL1009</t>
  </si>
  <si>
    <t>SS-ZAM-HAIL1010</t>
  </si>
  <si>
    <t>SS-ZAM-HAIL1011</t>
  </si>
  <si>
    <t>SS-ZAM-HAIL1012</t>
  </si>
  <si>
    <t>SS-ZAM-HAIL1013</t>
  </si>
  <si>
    <t>SS-ZAM-HAIL1014</t>
  </si>
  <si>
    <t>SS-ZAM-HAIL1015</t>
  </si>
  <si>
    <t>SS-ZAM-HAIL1016</t>
  </si>
  <si>
    <t>SS-ZAM-HAIL1017</t>
  </si>
  <si>
    <t>SS-ZAM-HAIL1018</t>
  </si>
  <si>
    <t>SS-ZAM-HAIL1019</t>
  </si>
  <si>
    <t>SS-ZAM-HAIL1020</t>
  </si>
  <si>
    <t>SS-ZAM-HAIL1021</t>
  </si>
  <si>
    <t>SS-ZAM-HAIL1022</t>
  </si>
  <si>
    <t>SS-ZAM-HAIL1023</t>
  </si>
  <si>
    <t>SS-ZAM-HAIL1024</t>
  </si>
  <si>
    <t>SS-ZAM-HAIL1025</t>
  </si>
  <si>
    <t>SS-ZAM-HAIL1026</t>
  </si>
  <si>
    <t>SS-ZAM-HAIL1027</t>
  </si>
  <si>
    <t>SS-ZAM-HAIL1028</t>
  </si>
  <si>
    <t>SS-ZAM-HAIL1029</t>
  </si>
  <si>
    <t>SS-ZAM-HAIL1030</t>
  </si>
  <si>
    <t>SS-ZAM-HAIL1031</t>
  </si>
  <si>
    <t>SS-ZAM-HAIL1032</t>
  </si>
  <si>
    <t>SS-ZAM-HAIL1033</t>
  </si>
  <si>
    <t>SS-ZAM-HAIL1034</t>
  </si>
  <si>
    <t>SS-ZAM-HAIL1035</t>
  </si>
  <si>
    <t>SS-ZAM-HAIL1036</t>
  </si>
  <si>
    <t>SS-ZAM-HAIL1037</t>
  </si>
  <si>
    <t>SS-ZAM-HAIL1038</t>
  </si>
  <si>
    <t>SS-ZAM-HAIL1039</t>
  </si>
  <si>
    <t>SS-ZAM-HAIL1040</t>
  </si>
  <si>
    <t>SS-ZAM-HAIL1041</t>
  </si>
  <si>
    <t>SS-ZAM-HAIL1042</t>
  </si>
  <si>
    <t>SS-ZAM-HAIL1043</t>
  </si>
  <si>
    <t>SS-ZAM-HAIL1044</t>
  </si>
  <si>
    <t>SS-ZAM-HAIL1045</t>
  </si>
  <si>
    <t>SS-ZAM-HAIL1046</t>
  </si>
  <si>
    <t>SS-ZAM-HAIL1047</t>
  </si>
  <si>
    <t>SS-ZAM-HAIL1048</t>
  </si>
  <si>
    <t>SS-ZAM-HAIL1049</t>
  </si>
  <si>
    <t>SS-ZAM-HAIL1050</t>
  </si>
  <si>
    <t>SS-ZAM-HAIL1051</t>
  </si>
  <si>
    <t>SS-ZAM-HAIL1052</t>
  </si>
  <si>
    <t>SS-ZAM-HAIL1053</t>
  </si>
  <si>
    <t>SS-ZAM-HAIL1054</t>
  </si>
  <si>
    <t>SS-ZAM-HAIL1055</t>
  </si>
  <si>
    <t>SS-ZAM-HAIL1056</t>
  </si>
  <si>
    <t>SS-ZAM-HAIL1057</t>
  </si>
  <si>
    <t>SS-ZAM-HAIL1058</t>
  </si>
  <si>
    <t>SS-ZAM-HAIL1059</t>
  </si>
  <si>
    <t>SS-ZAM-HAIL1060</t>
  </si>
  <si>
    <t>SS-ZAM-HAIL1061</t>
  </si>
  <si>
    <t>SS-ZAM-HAIL1062</t>
  </si>
  <si>
    <t>SS-ZAM-HAIL1063</t>
  </si>
  <si>
    <t>SS-ZAM-HAIL1064</t>
  </si>
  <si>
    <t>SS-ZAM-HAIL1065</t>
  </si>
  <si>
    <t>SS-ZAM-HAIL1066</t>
  </si>
  <si>
    <t>SS-ZAM-HAIL1067</t>
  </si>
  <si>
    <t>SS-ZAM-HAIL1068</t>
  </si>
  <si>
    <t>SS-ZAM-HAIL1069</t>
  </si>
  <si>
    <t>SS-ZAM-HAIL1070</t>
  </si>
  <si>
    <t>SS-ZAM-HAIL1071</t>
  </si>
  <si>
    <t>SS-ZAM-HAIL1072</t>
  </si>
  <si>
    <t>SS-ZAM-HAIL1073</t>
  </si>
  <si>
    <t>SS-ZAM-HAIL1074</t>
  </si>
  <si>
    <t>SS-ZAM-HAIL1075</t>
  </si>
  <si>
    <t>SS-ZAM-HAIL1076</t>
  </si>
  <si>
    <t>SS-ZAM-HAIL1077</t>
  </si>
  <si>
    <t>SS-ZAM-HAIL1078</t>
  </si>
  <si>
    <t>SS-ZAM-HAIL1079</t>
  </si>
  <si>
    <t>SS-ZAM-HAIL1080</t>
  </si>
  <si>
    <t>SS-ZAM-HAIL1081</t>
  </si>
  <si>
    <t>SS-ZAM-HAIL1082</t>
  </si>
  <si>
    <t>SS-ZAM-HAIL1083</t>
  </si>
  <si>
    <t>SS-ZAM-HAIL1084</t>
  </si>
  <si>
    <t>SS-ZAM-HAIL1085</t>
  </si>
  <si>
    <t>SS-ZAM-HAIL1086</t>
  </si>
  <si>
    <t>SS-ZAM-HAIL1087</t>
  </si>
  <si>
    <t>SS-ZAM-HAIL1088</t>
  </si>
  <si>
    <t>SS-ZAM-HAIL1089</t>
  </si>
  <si>
    <t>SS-ZAM-HAIL1090</t>
  </si>
  <si>
    <t>SS-ZAM-HAIL1091</t>
  </si>
  <si>
    <t>SS-ZAM-HAIL1092</t>
  </si>
  <si>
    <t>SS-ZAM-HAIL1093</t>
  </si>
  <si>
    <t>SS-ZAM-HAIL1094</t>
  </si>
  <si>
    <t>SS-ZAM-HAIL1095</t>
  </si>
  <si>
    <t>SS-ZAM-HAIL1096</t>
  </si>
  <si>
    <t>SS-ZAM-HAIL1097</t>
  </si>
  <si>
    <t>SS-ZAM-HAIL1098</t>
  </si>
  <si>
    <t>SS-ZAM-HAIL1099</t>
  </si>
  <si>
    <t>SS-ZAM-HAIL1100</t>
  </si>
  <si>
    <t>SS-ZAM-HAIL1101</t>
  </si>
  <si>
    <t>SS-ZAM-HAIL1102</t>
  </si>
  <si>
    <t>SS-ZAM-HAIL1103</t>
  </si>
  <si>
    <t>SS-ZAM-HAIL1104</t>
  </si>
  <si>
    <t>SS-ZAM-HAIL1105</t>
  </si>
  <si>
    <t>SS-ZAM-HAIL1106</t>
  </si>
  <si>
    <t>SS-ZAM-HAIL1107</t>
  </si>
  <si>
    <t>SS-ZAM-HAIL1108</t>
  </si>
  <si>
    <t>SS-ZAM-HAIL1109</t>
  </si>
  <si>
    <t>SS-ZAM-HAIL1110</t>
  </si>
  <si>
    <t>SS-ZAM-HAIL1111</t>
  </si>
  <si>
    <t>SS-ZAM-HAIL1112</t>
  </si>
  <si>
    <t>SS-ZAM-HAIL1113</t>
  </si>
  <si>
    <t>SS-ZAM-HAIL1114</t>
  </si>
  <si>
    <t>SS-ZAM-HAIL1115</t>
  </si>
  <si>
    <t>SS-ZAM-HAIL1116</t>
  </si>
  <si>
    <t>SS-ZAM-HAIL1117</t>
  </si>
  <si>
    <t>SS-ZAM-HAIL1118</t>
  </si>
  <si>
    <t>SS-ZAM-HAIL1119</t>
  </si>
  <si>
    <t>SS-ZAM-HAIL1120</t>
  </si>
  <si>
    <t>SS-ZAM-HAIL1121</t>
  </si>
  <si>
    <t>SS-ZAM-HAIL1122</t>
  </si>
  <si>
    <t>SS-ZAM-HAIL1123</t>
  </si>
  <si>
    <t>SS-ZAM-HAIL1124</t>
  </si>
  <si>
    <t>SS-ZAM-HAIL1125</t>
  </si>
  <si>
    <t>SS-ZAM-HAIL1126</t>
  </si>
  <si>
    <t>SS-ZAM-HAIL1127</t>
  </si>
  <si>
    <t>SS-ZAM-HAIL1128</t>
  </si>
  <si>
    <t>SS-ZAM-HAIL1129</t>
  </si>
  <si>
    <t>SS-ZAM-HAIL1130</t>
  </si>
  <si>
    <t>SS-ZAM-HAIL1131</t>
  </si>
  <si>
    <t>SS-ZAM-HAIL1132</t>
  </si>
  <si>
    <t>SS-ZAM-HAIL1133</t>
  </si>
  <si>
    <t>SS-ZAM-HAIL1134</t>
  </si>
  <si>
    <t>SS-ZAM-HAIL1135</t>
  </si>
  <si>
    <t>SS-ZAM-HAIL1136</t>
  </si>
  <si>
    <t>SS-ZAM-HAIL1137</t>
  </si>
  <si>
    <t>SS-ZAM-HAIL1138</t>
  </si>
  <si>
    <t>SS-ZAM-HAIL1139</t>
  </si>
  <si>
    <t>SS-ZAM-HAIL1140</t>
  </si>
  <si>
    <t>SS-ZAM-HAIL1141</t>
  </si>
  <si>
    <t>SS-ZAM-HAIL1142</t>
  </si>
  <si>
    <t>SS-ZAM-HAIL1143</t>
  </si>
  <si>
    <t>SS-ZAM-HAIL1144</t>
  </si>
  <si>
    <t>SS-ZAM-HAIL1145</t>
  </si>
  <si>
    <t>SS-ZAM-HAIL1146</t>
  </si>
  <si>
    <t>SS-ZAM-HAIL1147</t>
  </si>
  <si>
    <t>SS-ZAM-HAIL1148</t>
  </si>
  <si>
    <t>SS-ZAM-HAIL1149</t>
  </si>
  <si>
    <t>SS-ZAM-HAIL1150</t>
  </si>
  <si>
    <t>SS-ZAM-HAIL1151</t>
  </si>
  <si>
    <t>SS-ZAM-HAIL1152</t>
  </si>
  <si>
    <t>SS-ZAM-HAIL1153</t>
  </si>
  <si>
    <t>SS-ZAM-HAIL1154</t>
  </si>
  <si>
    <t>SS-ZAM-HAIL1155</t>
  </si>
  <si>
    <t>SS-ZAM-HAIL1156</t>
  </si>
  <si>
    <t>SS-ZAM-HAIL1157</t>
  </si>
  <si>
    <t>SS-ZAM-HAIL1158</t>
  </si>
  <si>
    <t>SS-ZAM-HAIL1159</t>
  </si>
  <si>
    <t>SS-ZAM-HAIL1160</t>
  </si>
  <si>
    <t>SS-ZAM-HAIL1161</t>
  </si>
  <si>
    <t>SS-ZAM-HAIL1162</t>
  </si>
  <si>
    <t>SS-ZAM-HAIL1163</t>
  </si>
  <si>
    <t>SS-ZAM-HAIL1164</t>
  </si>
  <si>
    <t>SS-ZAM-HAIL1165</t>
  </si>
  <si>
    <t>SS-ZAM-HAIL1166</t>
  </si>
  <si>
    <t>SS-ZAM-HAIL1167</t>
  </si>
  <si>
    <t>SS-ZAM-HAIL1168</t>
  </si>
  <si>
    <t>SS-ZAM-HAIL1169</t>
  </si>
  <si>
    <t>SS-ZAM-HAIL1170</t>
  </si>
  <si>
    <t>SS-ZAM-HAIL1171</t>
  </si>
  <si>
    <t>SS-ZAM-HAIL1172</t>
  </si>
  <si>
    <t>SS-ZAM-HAIL1173</t>
  </si>
  <si>
    <t>SS-ZAM-HAIL1174</t>
  </si>
  <si>
    <t>SS-ZAM-HAIL1175</t>
  </si>
  <si>
    <t>SS-ZAM-HAIL1176</t>
  </si>
  <si>
    <t>SS-ZAM-HAIL1177</t>
  </si>
  <si>
    <t>SS-ZAM-HAIL1178</t>
  </si>
  <si>
    <t>SS-ZAM-HAIL1179</t>
  </si>
  <si>
    <t>SS-ZAM-HAIL1180</t>
  </si>
  <si>
    <t>SS-ZAM-HAIL1181</t>
  </si>
  <si>
    <t>SS-ZAM-HAIL1182</t>
  </si>
  <si>
    <t>SS-ZAM-HAIL1183</t>
  </si>
  <si>
    <t>SS-ZAM-HAIL1184</t>
  </si>
  <si>
    <t>SS-ZAM-HAIL1185</t>
  </si>
  <si>
    <t>SS-ZAM-HAIL1186</t>
  </si>
  <si>
    <t>SS-ZAM-HAIL1187</t>
  </si>
  <si>
    <t>SS-ZAM-HAIL1188</t>
  </si>
  <si>
    <t>SS-ZAM-HAIL1189</t>
  </si>
  <si>
    <t>SS-ZAM-HAIL1190</t>
  </si>
  <si>
    <t>SS-ZAM-HAIL1191</t>
  </si>
  <si>
    <t>SS-ZAM-HAIL1192</t>
  </si>
  <si>
    <t>SS-ZAM-HAIL1193</t>
  </si>
  <si>
    <t>SS-ZAM-HAIL1194</t>
  </si>
  <si>
    <t>SS-ZAM-HAIL1195</t>
  </si>
  <si>
    <t>SS-ZAM-HAIL1196</t>
  </si>
  <si>
    <t>SS-ZAM-HAIL1197</t>
  </si>
  <si>
    <t>SS-ZAM-HAIL1198</t>
  </si>
  <si>
    <t>SS-ZAM-HAIL1199</t>
  </si>
  <si>
    <t>SS-ZAM-HAIL1200</t>
  </si>
  <si>
    <t>Najran -1</t>
  </si>
  <si>
    <t>SS-ZAM-NJR1001</t>
  </si>
  <si>
    <t>SS-ZAM-NJR1002</t>
  </si>
  <si>
    <t>SS-ZAM-NJR1003</t>
  </si>
  <si>
    <t>SS-ZAM-NJR1004</t>
  </si>
  <si>
    <t>SS-ZAM-NJR1005</t>
  </si>
  <si>
    <t>SS-ZAM-NJR1006</t>
  </si>
  <si>
    <t>SS-ZAM-NJR1007</t>
  </si>
  <si>
    <t>SS-ZAM-NJR1008</t>
  </si>
  <si>
    <t>SS-ZAM-NJR1009</t>
  </si>
  <si>
    <t>SS-ZAM-NJR1010</t>
  </si>
  <si>
    <t>SS-ZAM-NJR1011</t>
  </si>
  <si>
    <t>SS-ZAM-NJR1012</t>
  </si>
  <si>
    <t>SS-ZAM-NJR1013</t>
  </si>
  <si>
    <t>SS-ZAM-NJR1014</t>
  </si>
  <si>
    <t>SS-ZAM-NJR1015</t>
  </si>
  <si>
    <t>SS-ZAM-NJR1016</t>
  </si>
  <si>
    <t>SS-ZAM-NJR1017</t>
  </si>
  <si>
    <t>SS-ZAM-NJR1018</t>
  </si>
  <si>
    <t>SS-ZAM-NJR1019</t>
  </si>
  <si>
    <t>SS-ZAM-NJR1020</t>
  </si>
  <si>
    <t>SS-ZAM-NJR1021</t>
  </si>
  <si>
    <t>SS-ZAM-NJR1022</t>
  </si>
  <si>
    <t>SS-ZAM-NJR1023</t>
  </si>
  <si>
    <t>SS-ZAM-NJR1024</t>
  </si>
  <si>
    <t>SS-ZAM-NJR1025</t>
  </si>
  <si>
    <t>SS-ZAM-NJR1026</t>
  </si>
  <si>
    <t>SS-ZAM-NJR1027</t>
  </si>
  <si>
    <t>SS-ZAM-NJR1028</t>
  </si>
  <si>
    <t>SS-ZAM-NJR1029</t>
  </si>
  <si>
    <t>SS-ZAM-NJR1030</t>
  </si>
  <si>
    <t>SS-ZAM-NJR1031</t>
  </si>
  <si>
    <t>SS-ZAM-NJR1032</t>
  </si>
  <si>
    <t>SS-ZAM-NJR1033</t>
  </si>
  <si>
    <t>SS-ZAM-NJR1034</t>
  </si>
  <si>
    <t>SS-ZAM-NJR1035</t>
  </si>
  <si>
    <t>SS-ZAM-NJR1036</t>
  </si>
  <si>
    <t>SS-ZAM-NJR1037</t>
  </si>
  <si>
    <t>SS-ZAM-NJR1038</t>
  </si>
  <si>
    <t>SS-ZAM-NJR1039</t>
  </si>
  <si>
    <t>SS-ZAM-NJR1040</t>
  </si>
  <si>
    <t>SS-ZAM-NJR1041</t>
  </si>
  <si>
    <t>SS-ZAM-NJR1042</t>
  </si>
  <si>
    <t>SS-ZAM-NJR1043</t>
  </si>
  <si>
    <t>SS-ZAM-NJR1044</t>
  </si>
  <si>
    <t>SS-ZAM-NJR1045</t>
  </si>
  <si>
    <t>SS-ZAM-NJR1046</t>
  </si>
  <si>
    <t>SS-ZAM-NJR1047</t>
  </si>
  <si>
    <t>SS-ZAM-NJR1048</t>
  </si>
  <si>
    <t>SS-ZAM-NJR1049</t>
  </si>
  <si>
    <t>SS-ZAM-NJR1050</t>
  </si>
  <si>
    <t>SS-ZAM-NJR1051</t>
  </si>
  <si>
    <t>SS-ZAM-NJR1052</t>
  </si>
  <si>
    <t>SS-ZAM-NJR1053</t>
  </si>
  <si>
    <t>SS-ZAM-NJR1054</t>
  </si>
  <si>
    <t>SS-ZAM-NJR1055</t>
  </si>
  <si>
    <t>SS-ZAM-NJR1056</t>
  </si>
  <si>
    <t>SS-ZAM-NJR1057</t>
  </si>
  <si>
    <t>SS-ZAM-NJR1058</t>
  </si>
  <si>
    <t>SS-ZAM-NJR1059</t>
  </si>
  <si>
    <t>SS-ZAM-NJR1060</t>
  </si>
  <si>
    <t>SS-ZAM-NJR1061</t>
  </si>
  <si>
    <t>SS-ZAM-NJR1062</t>
  </si>
  <si>
    <t>SS-ZAM-NJR1063</t>
  </si>
  <si>
    <t>SS-ZAM-NJR1064</t>
  </si>
  <si>
    <t>SS-ZAM-NJR1065</t>
  </si>
  <si>
    <t>SS-ZAM-NJR1066</t>
  </si>
  <si>
    <t>SS-ZAM-NJR1067</t>
  </si>
  <si>
    <t>SS-ZAM-NJR1068</t>
  </si>
  <si>
    <t>SS-ZAM-NJR1069</t>
  </si>
  <si>
    <t>SS-ZAM-NJR1070</t>
  </si>
  <si>
    <t>SS-ZAM-NJR1071</t>
  </si>
  <si>
    <t>SS-ZAM-NJR1072</t>
  </si>
  <si>
    <t>SS-ZAM-NJR1073</t>
  </si>
  <si>
    <t>SS-ZAM-NJR1074</t>
  </si>
  <si>
    <t>SS-ZAM-NJR1075</t>
  </si>
  <si>
    <t>SS-ZAM-NJR1076</t>
  </si>
  <si>
    <t>SS-ZAM-NJR1077</t>
  </si>
  <si>
    <t>SS-ZAM-NJR1078</t>
  </si>
  <si>
    <t>SS-ZAM-NJR1079</t>
  </si>
  <si>
    <t>SS-ZAM-NJR1080</t>
  </si>
  <si>
    <t>SS-ZAM-NJR1081</t>
  </si>
  <si>
    <t>SS-ZAM-NJR1082</t>
  </si>
  <si>
    <t>SS-ZAM-NJR1083</t>
  </si>
  <si>
    <t>SS-ZAM-NJR1084</t>
  </si>
  <si>
    <t>SS-ZAM-NJR1085</t>
  </si>
  <si>
    <t>SS-ZAM-NJR1086</t>
  </si>
  <si>
    <t>SS-ZAM-NJR1087</t>
  </si>
  <si>
    <t>SS-ZAM-NJR1088</t>
  </si>
  <si>
    <t>SS-ZAM-NJR1089</t>
  </si>
  <si>
    <t>SS-ZAM-NJR1090</t>
  </si>
  <si>
    <t>SS-ZAM-NJR1091</t>
  </si>
  <si>
    <t>SS-ZAM-NJR1092</t>
  </si>
  <si>
    <t>SS-ZAM-NJR1093</t>
  </si>
  <si>
    <t>SS-ZAM-NJR1094</t>
  </si>
  <si>
    <t>SS-ZAM-NJR1095</t>
  </si>
  <si>
    <t>SS-ZAM-NJR1096</t>
  </si>
  <si>
    <t>SS-ZAM-NJR1097</t>
  </si>
  <si>
    <t>SS-ZAM-NJR1098</t>
  </si>
  <si>
    <t>SS-ZAM-NJR1099</t>
  </si>
  <si>
    <t>SS-ZAM-NJR1100</t>
  </si>
  <si>
    <t>SS-ZAM-NJR1101</t>
  </si>
  <si>
    <t>SS-ZAM-NJR1102</t>
  </si>
  <si>
    <t>SS-ZAM-NJR1103</t>
  </si>
  <si>
    <t>SS-ZAM-NJR1104</t>
  </si>
  <si>
    <t>SS-ZAM-NJR1105</t>
  </si>
  <si>
    <t>SS-ZAM-NJR1106</t>
  </si>
  <si>
    <t>SS-ZAM-NJR1107</t>
  </si>
  <si>
    <t>SS-ZAM-NJR1108</t>
  </si>
  <si>
    <t>SS-ZAM-NJR1109</t>
  </si>
  <si>
    <t>SS-ZAM-NJR1110</t>
  </si>
  <si>
    <t>SS-ZAM-NJR1111</t>
  </si>
  <si>
    <t>SS-ZAM-NJR1112</t>
  </si>
  <si>
    <t>SS-ZAM-NJR1113</t>
  </si>
  <si>
    <t>SS-ZAM-NJR1114</t>
  </si>
  <si>
    <t>SS-ZAM-NJR1115</t>
  </si>
  <si>
    <t>SS-ZAM-NJR1116</t>
  </si>
  <si>
    <t>SS-ZAM-NJR1117</t>
  </si>
  <si>
    <t>SS-ZAM-NJR1118</t>
  </si>
  <si>
    <t>SS-ZAM-NJR1119</t>
  </si>
  <si>
    <t>SS-ZAM-NJR1120</t>
  </si>
  <si>
    <t>SS-ZAM-NJR1121</t>
  </si>
  <si>
    <t>SS-ZAM-NJR1122</t>
  </si>
  <si>
    <t>SS-ZAM-NJR1123</t>
  </si>
  <si>
    <t>SS-ZAM-NJR1124</t>
  </si>
  <si>
    <t>SS-ZAM-NJR1125</t>
  </si>
  <si>
    <t>SS-ZAM-NJR1126</t>
  </si>
  <si>
    <t>SS-ZAM-NJR1127</t>
  </si>
  <si>
    <t>SS-ZAM-NJR1128</t>
  </si>
  <si>
    <t>SS-ZAM-NJR1129</t>
  </si>
  <si>
    <t>SS-ZAM-NJR1130</t>
  </si>
  <si>
    <t>SS-ZAM-NJR1131</t>
  </si>
  <si>
    <t>SS-ZAM-NJR1132</t>
  </si>
  <si>
    <t>SS-ZAM-NJR1133</t>
  </si>
  <si>
    <t>SS-ZAM-NJR1134</t>
  </si>
  <si>
    <t>SS-ZAM-NJR1135</t>
  </si>
  <si>
    <t>SS-ZAM-NJR1136</t>
  </si>
  <si>
    <t>SS-ZAM-NJR1137</t>
  </si>
  <si>
    <t>SS-ZAM-NJR1138</t>
  </si>
  <si>
    <t>SS-ZAM-NJR1139</t>
  </si>
  <si>
    <t>SS-ZAM-NJR1140</t>
  </si>
  <si>
    <t>SS-ZAM-NJR1141</t>
  </si>
  <si>
    <t>SS-ZAM-NJR1142</t>
  </si>
  <si>
    <t>SS-ZAM-NJR1143</t>
  </si>
  <si>
    <t>SS-ZAM-NJR1144</t>
  </si>
  <si>
    <t>SS-ZAM-NJR1145</t>
  </si>
  <si>
    <t>SS-ZAM-NJR1146</t>
  </si>
  <si>
    <t>SS-ZAM-NJR1147</t>
  </si>
  <si>
    <t>SS-ZAM-NJR1148</t>
  </si>
  <si>
    <t>SS-ZAM-NJR1149</t>
  </si>
  <si>
    <t>SS-ZAM-NJR1150</t>
  </si>
  <si>
    <t>SS-ZAM-NJR1151</t>
  </si>
  <si>
    <t>SS-ZAM-NJR1152</t>
  </si>
  <si>
    <t>SS-ZAM-NJR1153</t>
  </si>
  <si>
    <t>SS-ZAM-NJR1154</t>
  </si>
  <si>
    <t>SS-ZAM-NJR1155</t>
  </si>
  <si>
    <t>SS-ZAM-NJR1156</t>
  </si>
  <si>
    <t>SS-ZAM-NJR1157</t>
  </si>
  <si>
    <t>SS-ZAM-NJR1158</t>
  </si>
  <si>
    <t>SS-ZAM-NJR1159</t>
  </si>
  <si>
    <t>SS-ZAM-NJR1160</t>
  </si>
  <si>
    <t>SS-ZAM-NJR1161</t>
  </si>
  <si>
    <t>SS-ZAM-NJR1162</t>
  </si>
  <si>
    <t>SS-ZAM-NJR1163</t>
  </si>
  <si>
    <t>SS-ZAM-NJR1164</t>
  </si>
  <si>
    <t>SS-ZAM-NJR1165</t>
  </si>
  <si>
    <t>SS-ZAM-NJR1166</t>
  </si>
  <si>
    <t>SS-ZAM-NJR1167</t>
  </si>
  <si>
    <t>SS-ZAM-NJR1168</t>
  </si>
  <si>
    <t>SS-ZAM-NJR1169</t>
  </si>
  <si>
    <t>SS-ZAM-NJR1170</t>
  </si>
  <si>
    <t>SS-ZAM-NJR1171</t>
  </si>
  <si>
    <t>SS-ZAM-NJR1172</t>
  </si>
  <si>
    <t>SS-ZAM-NJR1173</t>
  </si>
  <si>
    <t>SS-ZAM-NJR1174</t>
  </si>
  <si>
    <t>SS-ZAM-NJR1175</t>
  </si>
  <si>
    <t>SS-ZAM-NJR1176</t>
  </si>
  <si>
    <t>SS-ZAM-NJR1177</t>
  </si>
  <si>
    <t>SS-ZAM-NJR1178</t>
  </si>
  <si>
    <t>SS-ZAM-NJR1179</t>
  </si>
  <si>
    <t>SS-ZAM-NJR1180</t>
  </si>
  <si>
    <t>SS-ZAM-NJR1181</t>
  </si>
  <si>
    <t>SS-ZAM-NJR1182</t>
  </si>
  <si>
    <t>SS-ZAM-NJR1183</t>
  </si>
  <si>
    <t>SS-ZAM-NJR1184</t>
  </si>
  <si>
    <t>SS-ZAM-NJR1185</t>
  </si>
  <si>
    <t>SS-ZAM-NJR1186</t>
  </si>
  <si>
    <t>SS-ZAM-NJR1187</t>
  </si>
  <si>
    <t>SS-ZAM-NJR1188</t>
  </si>
  <si>
    <t>SS-ZAM-NJR1189</t>
  </si>
  <si>
    <t>SS-ZAM-NJR1190</t>
  </si>
  <si>
    <t>SS-ZAM-NJR1191</t>
  </si>
  <si>
    <t>SS-ZAM-NJR1192</t>
  </si>
  <si>
    <t>SS-ZAM-NJR1193</t>
  </si>
  <si>
    <t>SS-ZAM-NJR1194</t>
  </si>
  <si>
    <t>SS-ZAM-NJR1195</t>
  </si>
  <si>
    <t>SS-ZAM-NJR1196</t>
  </si>
  <si>
    <t>SS-ZAM-NJR1197</t>
  </si>
  <si>
    <t>SS-ZAM-NJR1198</t>
  </si>
  <si>
    <t>SS-ZAM-NJR1199</t>
  </si>
  <si>
    <t>SS-ZAM-NJR1200</t>
  </si>
  <si>
    <t>Jazan-1</t>
  </si>
  <si>
    <t>SS-ZAM-JAZ1001</t>
  </si>
  <si>
    <t>SS-ZAM-JAZ1002</t>
  </si>
  <si>
    <t>SS-ZAM-JAZ1003</t>
  </si>
  <si>
    <t>SS-ZAM-JAZ1004</t>
  </si>
  <si>
    <t>SS-ZAM-JAZ1005</t>
  </si>
  <si>
    <t>SS-ZAM-JAZ1006</t>
  </si>
  <si>
    <t>SS-ZAM-JAZ1007</t>
  </si>
  <si>
    <t>SS-ZAM-JAZ1008</t>
  </si>
  <si>
    <t>SS-ZAM-JAZ1009</t>
  </si>
  <si>
    <t>SS-ZAM-JAZ1010</t>
  </si>
  <si>
    <t>SS-ZAM-JAZ1011</t>
  </si>
  <si>
    <t>SS-ZAM-JAZ1012</t>
  </si>
  <si>
    <t>SS-ZAM-JAZ1013</t>
  </si>
  <si>
    <t>SS-ZAM-JAZ1014</t>
  </si>
  <si>
    <t>SS-ZAM-JAZ1015</t>
  </si>
  <si>
    <t>SS-ZAM-JAZ1016</t>
  </si>
  <si>
    <t>SS-ZAM-JAZ1017</t>
  </si>
  <si>
    <t>SS-ZAM-JAZ1018</t>
  </si>
  <si>
    <t>SS-ZAM-JAZ1019</t>
  </si>
  <si>
    <t>SS-ZAM-JAZ1020</t>
  </si>
  <si>
    <t>SS-ZAM-JAZ1021</t>
  </si>
  <si>
    <t>SS-ZAM-JAZ1022</t>
  </si>
  <si>
    <t>SS-ZAM-JAZ1023</t>
  </si>
  <si>
    <t>SS-ZAM-JAZ1024</t>
  </si>
  <si>
    <t>SS-ZAM-JAZ1025</t>
  </si>
  <si>
    <t>SS-ZAM-JAZ1026</t>
  </si>
  <si>
    <t>SS-ZAM-JAZ1027</t>
  </si>
  <si>
    <t>SS-ZAM-JAZ1028</t>
  </si>
  <si>
    <t>SS-ZAM-JAZ1029</t>
  </si>
  <si>
    <t>SS-ZAM-JAZ1030</t>
  </si>
  <si>
    <t>SS-ZAM-JAZ1031</t>
  </si>
  <si>
    <t>SS-ZAM-JAZ1032</t>
  </si>
  <si>
    <t>SS-ZAM-JAZ1033</t>
  </si>
  <si>
    <t>SS-ZAM-JAZ1034</t>
  </si>
  <si>
    <t>SS-ZAM-JAZ1035</t>
  </si>
  <si>
    <t>SS-ZAM-JAZ1036</t>
  </si>
  <si>
    <t>SS-ZAM-JAZ1037</t>
  </si>
  <si>
    <t>SS-ZAM-JAZ1038</t>
  </si>
  <si>
    <t>SS-ZAM-JAZ1039</t>
  </si>
  <si>
    <t>SS-ZAM-JAZ1040</t>
  </si>
  <si>
    <t>SS-ZAM-JAZ1041</t>
  </si>
  <si>
    <t>SS-ZAM-JAZ1042</t>
  </si>
  <si>
    <t>SS-ZAM-JAZ1043</t>
  </si>
  <si>
    <t>SS-ZAM-JAZ1044</t>
  </si>
  <si>
    <t>SS-ZAM-JAZ1045</t>
  </si>
  <si>
    <t>SS-ZAM-JAZ1046</t>
  </si>
  <si>
    <t>SS-ZAM-JAZ1047</t>
  </si>
  <si>
    <t>SS-ZAM-JAZ1048</t>
  </si>
  <si>
    <t>SS-ZAM-JAZ1049</t>
  </si>
  <si>
    <t>SS-ZAM-JAZ1050</t>
  </si>
  <si>
    <t>SS-ZAM-JAZ1051</t>
  </si>
  <si>
    <t>SS-ZAM-JAZ1052</t>
  </si>
  <si>
    <t>SS-ZAM-JAZ1053</t>
  </si>
  <si>
    <t>SS-ZAM-JAZ1054</t>
  </si>
  <si>
    <t>SS-ZAM-JAZ1055</t>
  </si>
  <si>
    <t>SS-ZAM-JAZ1056</t>
  </si>
  <si>
    <t>SS-ZAM-JAZ1057</t>
  </si>
  <si>
    <t>SS-ZAM-JAZ1058</t>
  </si>
  <si>
    <t>SS-ZAM-JAZ1059</t>
  </si>
  <si>
    <t>SS-ZAM-JAZ1060</t>
  </si>
  <si>
    <t>SS-ZAM-JAZ1061</t>
  </si>
  <si>
    <t>SS-ZAM-JAZ1062</t>
  </si>
  <si>
    <t>SS-ZAM-JAZ1063</t>
  </si>
  <si>
    <t>SS-ZAM-JAZ1064</t>
  </si>
  <si>
    <t>SS-ZAM-JAZ1065</t>
  </si>
  <si>
    <t>SS-ZAM-JAZ1066</t>
  </si>
  <si>
    <t>SS-ZAM-JAZ1067</t>
  </si>
  <si>
    <t>SS-ZAM-JAZ1068</t>
  </si>
  <si>
    <t>SS-ZAM-JAZ1069</t>
  </si>
  <si>
    <t>SS-ZAM-JAZ1070</t>
  </si>
  <si>
    <t>SS-ZAM-JAZ1071</t>
  </si>
  <si>
    <t>SS-ZAM-JAZ1072</t>
  </si>
  <si>
    <t>SS-ZAM-JAZ1073</t>
  </si>
  <si>
    <t>SS-ZAM-JAZ1074</t>
  </si>
  <si>
    <t>SS-ZAM-JAZ1075</t>
  </si>
  <si>
    <t>SS-ZAM-JAZ1076</t>
  </si>
  <si>
    <t>SS-ZAM-JAZ1077</t>
  </si>
  <si>
    <t>SS-ZAM-JAZ1078</t>
  </si>
  <si>
    <t>SS-ZAM-JAZ1079</t>
  </si>
  <si>
    <t>SS-ZAM-JAZ1080</t>
  </si>
  <si>
    <t>SS-ZAM-JAZ1081</t>
  </si>
  <si>
    <t>SS-ZAM-JAZ1082</t>
  </si>
  <si>
    <t>SS-ZAM-JAZ1083</t>
  </si>
  <si>
    <t>SS-ZAM-JAZ1084</t>
  </si>
  <si>
    <t>SS-ZAM-JAZ1085</t>
  </si>
  <si>
    <t>SS-ZAM-JAZ1086</t>
  </si>
  <si>
    <t>SS-ZAM-JAZ1087</t>
  </si>
  <si>
    <t>SS-ZAM-JAZ1088</t>
  </si>
  <si>
    <t>SS-ZAM-JAZ1089</t>
  </si>
  <si>
    <t>SS-ZAM-JAZ1090</t>
  </si>
  <si>
    <t>SS-ZAM-JAZ1091</t>
  </si>
  <si>
    <t>SS-ZAM-JAZ1092</t>
  </si>
  <si>
    <t>SS-ZAM-JAZ1093</t>
  </si>
  <si>
    <t>SS-ZAM-JAZ1094</t>
  </si>
  <si>
    <t>SS-ZAM-JAZ1095</t>
  </si>
  <si>
    <t>SS-ZAM-JAZ1096</t>
  </si>
  <si>
    <t>SS-ZAM-JAZ1097</t>
  </si>
  <si>
    <t>SS-ZAM-JAZ1098</t>
  </si>
  <si>
    <t>SS-ZAM-JAZ1099</t>
  </si>
  <si>
    <t>SS-ZAM-JAZ1100</t>
  </si>
  <si>
    <t>SS-ZAM-JAZ1101</t>
  </si>
  <si>
    <t>SS-ZAM-JAZ1102</t>
  </si>
  <si>
    <t>SS-ZAM-JAZ1103</t>
  </si>
  <si>
    <t>SS-ZAM-JAZ1104</t>
  </si>
  <si>
    <t>SS-ZAM-JAZ1105</t>
  </si>
  <si>
    <t>SS-ZAM-JAZ1106</t>
  </si>
  <si>
    <t>SS-ZAM-JAZ1107</t>
  </si>
  <si>
    <t>SS-ZAM-JAZ1108</t>
  </si>
  <si>
    <t>SS-ZAM-JAZ1109</t>
  </si>
  <si>
    <t>SS-ZAM-JAZ1110</t>
  </si>
  <si>
    <t>SS-ZAM-JAZ1111</t>
  </si>
  <si>
    <t>SS-ZAM-JAZ1112</t>
  </si>
  <si>
    <t>SS-ZAM-JAZ1113</t>
  </si>
  <si>
    <t>SS-ZAM-JAZ1114</t>
  </si>
  <si>
    <t>SS-ZAM-JAZ1115</t>
  </si>
  <si>
    <t>SS-ZAM-JAZ1116</t>
  </si>
  <si>
    <t>SS-ZAM-JAZ1117</t>
  </si>
  <si>
    <t>SS-ZAM-JAZ1118</t>
  </si>
  <si>
    <t>SS-ZAM-JAZ1119</t>
  </si>
  <si>
    <t>SS-ZAM-JAZ1120</t>
  </si>
  <si>
    <t>SS-ZAM-JAZ1121</t>
  </si>
  <si>
    <t>SS-ZAM-JAZ1122</t>
  </si>
  <si>
    <t>SS-ZAM-JAZ1123</t>
  </si>
  <si>
    <t>SS-ZAM-JAZ1124</t>
  </si>
  <si>
    <t>SS-ZAM-JAZ1125</t>
  </si>
  <si>
    <t>SS-ZAM-JAZ1126</t>
  </si>
  <si>
    <t>SS-ZAM-JAZ1127</t>
  </si>
  <si>
    <t>SS-ZAM-JAZ1128</t>
  </si>
  <si>
    <t>SS-ZAM-JAZ1129</t>
  </si>
  <si>
    <t>SS-ZAM-JAZ1130</t>
  </si>
  <si>
    <t>SS-ZAM-JAZ1131</t>
  </si>
  <si>
    <t>SS-ZAM-JAZ1132</t>
  </si>
  <si>
    <t>SS-ZAM-JAZ1133</t>
  </si>
  <si>
    <t>SS-ZAM-JAZ1134</t>
  </si>
  <si>
    <t>SS-ZAM-JAZ1135</t>
  </si>
  <si>
    <t>SS-ZAM-JAZ1136</t>
  </si>
  <si>
    <t>SS-ZAM-JAZ1137</t>
  </si>
  <si>
    <t>SS-ZAM-JAZ1138</t>
  </si>
  <si>
    <t>SS-ZAM-JAZ1139</t>
  </si>
  <si>
    <t>SS-ZAM-JAZ1140</t>
  </si>
  <si>
    <t>SS-ZAM-JAZ1141</t>
  </si>
  <si>
    <t>SS-ZAM-JAZ1142</t>
  </si>
  <si>
    <t>SS-ZAM-JAZ1143</t>
  </si>
  <si>
    <t>SS-ZAM-JAZ1144</t>
  </si>
  <si>
    <t>SS-ZAM-JAZ1145</t>
  </si>
  <si>
    <t>SS-ZAM-JAZ1146</t>
  </si>
  <si>
    <t>SS-ZAM-JAZ1147</t>
  </si>
  <si>
    <t>SS-ZAM-JAZ1148</t>
  </si>
  <si>
    <t>SS-ZAM-JAZ1149</t>
  </si>
  <si>
    <t>SS-ZAM-JAZ1150</t>
  </si>
  <si>
    <t>SS-ZAM-JAZ1151</t>
  </si>
  <si>
    <t>SS-ZAM-JAZ1152</t>
  </si>
  <si>
    <t>SS-ZAM-JAZ1153</t>
  </si>
  <si>
    <t>SS-ZAM-JAZ1154</t>
  </si>
  <si>
    <t>SS-ZAM-JAZ1155</t>
  </si>
  <si>
    <t>SS-ZAM-JAZ1156</t>
  </si>
  <si>
    <t>SS-ZAM-JAZ1157</t>
  </si>
  <si>
    <t>SS-ZAM-JAZ1158</t>
  </si>
  <si>
    <t>SS-ZAM-JAZ1159</t>
  </si>
  <si>
    <t>SS-ZAM-JAZ1160</t>
  </si>
  <si>
    <t>SS-ZAM-JAZ1161</t>
  </si>
  <si>
    <t>SS-ZAM-JAZ1162</t>
  </si>
  <si>
    <t>SS-ZAM-JAZ1163</t>
  </si>
  <si>
    <t>SS-ZAM-JAZ1164</t>
  </si>
  <si>
    <t>SS-ZAM-JAZ1165</t>
  </si>
  <si>
    <t>SS-ZAM-JAZ1166</t>
  </si>
  <si>
    <t>SS-ZAM-JAZ1167</t>
  </si>
  <si>
    <t>SS-ZAM-JAZ1168</t>
  </si>
  <si>
    <t>SS-ZAM-JAZ1169</t>
  </si>
  <si>
    <t>SS-ZAM-JAZ1170</t>
  </si>
  <si>
    <t>SS-ZAM-JAZ1171</t>
  </si>
  <si>
    <t>SS-ZAM-JAZ1172</t>
  </si>
  <si>
    <t>SS-ZAM-JAZ1173</t>
  </si>
  <si>
    <t>SS-ZAM-JAZ1174</t>
  </si>
  <si>
    <t>SS-ZAM-JAZ1175</t>
  </si>
  <si>
    <t>SS-ZAM-JAZ1176</t>
  </si>
  <si>
    <t>SS-ZAM-JAZ1177</t>
  </si>
  <si>
    <t>SS-ZAM-JAZ1178</t>
  </si>
  <si>
    <t>SS-ZAM-JAZ1179</t>
  </si>
  <si>
    <t>SS-ZAM-JAZ1180</t>
  </si>
  <si>
    <t>SS-ZAM-JAZ1181</t>
  </si>
  <si>
    <t>SS-ZAM-JAZ1182</t>
  </si>
  <si>
    <t>SS-ZAM-JAZ1183</t>
  </si>
  <si>
    <t>SS-ZAM-JAZ1184</t>
  </si>
  <si>
    <t>SS-ZAM-JAZ1185</t>
  </si>
  <si>
    <t>SS-ZAM-JAZ1186</t>
  </si>
  <si>
    <t>SS-ZAM-JAZ1187</t>
  </si>
  <si>
    <t>SS-ZAM-JAZ1188</t>
  </si>
  <si>
    <t>SS-ZAM-JAZ1189</t>
  </si>
  <si>
    <t>SS-ZAM-JAZ1190</t>
  </si>
  <si>
    <t>SS-ZAM-JAZ1191</t>
  </si>
  <si>
    <t>SS-ZAM-JAZ1192</t>
  </si>
  <si>
    <t>SS-ZAM-JAZ1193</t>
  </si>
  <si>
    <t>SS-ZAM-JAZ1194</t>
  </si>
  <si>
    <t>SS-ZAM-JAZ1195</t>
  </si>
  <si>
    <t>SS-ZAM-JAZ1196</t>
  </si>
  <si>
    <t>SS-ZAM-JAZ1197</t>
  </si>
  <si>
    <t>SS-ZAM-JAZ1198</t>
  </si>
  <si>
    <t>SS-ZAM-JAZ1199</t>
  </si>
  <si>
    <t>SS-ZAM-JAZ1200</t>
  </si>
  <si>
    <t>Al Hasa-1</t>
  </si>
  <si>
    <t>SS-ZAM-HASA1001</t>
  </si>
  <si>
    <t>SS-ZAM-HASA1002</t>
  </si>
  <si>
    <t>SS-ZAM-HASA1003</t>
  </si>
  <si>
    <t>SS-ZAM-HASA1004</t>
  </si>
  <si>
    <t>SS-ZAM-HASA1005</t>
  </si>
  <si>
    <t>SS-ZAM-HASA1006</t>
  </si>
  <si>
    <t>SS-ZAM-HASA1007</t>
  </si>
  <si>
    <t>SS-ZAM-HASA1008</t>
  </si>
  <si>
    <t>SS-ZAM-HASA1009</t>
  </si>
  <si>
    <t>SS-ZAM-HASA1010</t>
  </si>
  <si>
    <t>SS-ZAM-HASA1011</t>
  </si>
  <si>
    <t>SS-ZAM-HASA1012</t>
  </si>
  <si>
    <t>SS-ZAM-HASA1013</t>
  </si>
  <si>
    <t>SS-ZAM-HASA1014</t>
  </si>
  <si>
    <t>SS-ZAM-HASA1015</t>
  </si>
  <si>
    <t>SS-ZAM-HASA1016</t>
  </si>
  <si>
    <t>SS-ZAM-HASA1017</t>
  </si>
  <si>
    <t>SS-ZAM-HASA1018</t>
  </si>
  <si>
    <t>SS-ZAM-HASA1019</t>
  </si>
  <si>
    <t>SS-ZAM-HASA1020</t>
  </si>
  <si>
    <t>SS-ZAM-HASA1021</t>
  </si>
  <si>
    <t>SS-ZAM-HASA1022</t>
  </si>
  <si>
    <t>SS-ZAM-HASA1023</t>
  </si>
  <si>
    <t>SS-ZAM-HASA1024</t>
  </si>
  <si>
    <t>SS-ZAM-HASA1025</t>
  </si>
  <si>
    <t>SS-ZAM-HASA1026</t>
  </si>
  <si>
    <t>SS-ZAM-HASA1027</t>
  </si>
  <si>
    <t>SS-ZAM-HASA1028</t>
  </si>
  <si>
    <t>SS-ZAM-HASA1029</t>
  </si>
  <si>
    <t>SS-ZAM-HASA1030</t>
  </si>
  <si>
    <t>SS-ZAM-HASA1031</t>
  </si>
  <si>
    <t>SS-ZAM-HASA1032</t>
  </si>
  <si>
    <t>SS-ZAM-HASA1033</t>
  </si>
  <si>
    <t>SS-ZAM-HASA1034</t>
  </si>
  <si>
    <t>SS-ZAM-HASA1035</t>
  </si>
  <si>
    <t>SS-ZAM-HASA1036</t>
  </si>
  <si>
    <t>SS-ZAM-HASA1037</t>
  </si>
  <si>
    <t>SS-ZAM-HASA1038</t>
  </si>
  <si>
    <t>SS-ZAM-HASA1039</t>
  </si>
  <si>
    <t>SS-ZAM-HASA1040</t>
  </si>
  <si>
    <t>SS-ZAM-HASA1041</t>
  </si>
  <si>
    <t>SS-ZAM-HASA1042</t>
  </si>
  <si>
    <t>SS-ZAM-HASA1043</t>
  </si>
  <si>
    <t>SS-ZAM-HASA1044</t>
  </si>
  <si>
    <t>SS-ZAM-HASA1045</t>
  </si>
  <si>
    <t>SS-ZAM-HASA1046</t>
  </si>
  <si>
    <t>SS-ZAM-HASA1047</t>
  </si>
  <si>
    <t>SS-ZAM-HASA1048</t>
  </si>
  <si>
    <t>SS-ZAM-HASA1049</t>
  </si>
  <si>
    <t>SS-ZAM-HASA1050</t>
  </si>
  <si>
    <t>SS-ZAM-HASA1051</t>
  </si>
  <si>
    <t>SS-ZAM-HASA1052</t>
  </si>
  <si>
    <t>SS-ZAM-HASA1053</t>
  </si>
  <si>
    <t>SS-ZAM-HASA1054</t>
  </si>
  <si>
    <t>SS-ZAM-HASA1055</t>
  </si>
  <si>
    <t>SS-ZAM-HASA1056</t>
  </si>
  <si>
    <t>SS-ZAM-HASA1057</t>
  </si>
  <si>
    <t>SS-ZAM-HASA1058</t>
  </si>
  <si>
    <t>SS-ZAM-HASA1059</t>
  </si>
  <si>
    <t>SS-ZAM-HASA1060</t>
  </si>
  <si>
    <t>SS-ZAM-HASA1061</t>
  </si>
  <si>
    <t>SS-ZAM-HASA1062</t>
  </si>
  <si>
    <t>SS-ZAM-HASA1063</t>
  </si>
  <si>
    <t>SS-ZAM-HASA1064</t>
  </si>
  <si>
    <t>SS-ZAM-HASA1065</t>
  </si>
  <si>
    <t>SS-ZAM-HASA1066</t>
  </si>
  <si>
    <t>SS-ZAM-HASA1067</t>
  </si>
  <si>
    <t>SS-ZAM-HASA1068</t>
  </si>
  <si>
    <t>SS-ZAM-HASA1069</t>
  </si>
  <si>
    <t>SS-ZAM-HASA1070</t>
  </si>
  <si>
    <t>SS-ZAM-HASA1071</t>
  </si>
  <si>
    <t>SS-ZAM-HASA1072</t>
  </si>
  <si>
    <t>SS-ZAM-HASA1073</t>
  </si>
  <si>
    <t>SS-ZAM-HASA1074</t>
  </si>
  <si>
    <t>SS-ZAM-HASA1075</t>
  </si>
  <si>
    <t>SS-ZAM-HASA1076</t>
  </si>
  <si>
    <t>SS-ZAM-HASA1077</t>
  </si>
  <si>
    <t>SS-ZAM-HASA1078</t>
  </si>
  <si>
    <t>SS-ZAM-HASA1079</t>
  </si>
  <si>
    <t>SS-ZAM-HASA1080</t>
  </si>
  <si>
    <t>SS-ZAM-HASA1081</t>
  </si>
  <si>
    <t>SS-ZAM-HASA1082</t>
  </si>
  <si>
    <t>SS-ZAM-HASA1083</t>
  </si>
  <si>
    <t>SS-ZAM-HASA1084</t>
  </si>
  <si>
    <t>SS-ZAM-HASA1085</t>
  </si>
  <si>
    <t>SS-ZAM-HASA1086</t>
  </si>
  <si>
    <t>SS-ZAM-HASA1087</t>
  </si>
  <si>
    <t>SS-ZAM-HASA1088</t>
  </si>
  <si>
    <t>SS-ZAM-HASA1089</t>
  </si>
  <si>
    <t>SS-ZAM-HASA1090</t>
  </si>
  <si>
    <t>SS-ZAM-HASA1091</t>
  </si>
  <si>
    <t>SS-ZAM-HASA1092</t>
  </si>
  <si>
    <t>SS-ZAM-HASA1093</t>
  </si>
  <si>
    <t>SS-ZAM-HASA1094</t>
  </si>
  <si>
    <t>SS-ZAM-HASA1095</t>
  </si>
  <si>
    <t>SS-ZAM-HASA1096</t>
  </si>
  <si>
    <t>SS-ZAM-HASA1097</t>
  </si>
  <si>
    <t>SS-ZAM-HASA1098</t>
  </si>
  <si>
    <t>SS-ZAM-HASA1099</t>
  </si>
  <si>
    <t>SS-ZAM-HASA1100</t>
  </si>
  <si>
    <t>SS-ZAM-HASA1101</t>
  </si>
  <si>
    <t>SS-ZAM-HASA1102</t>
  </si>
  <si>
    <t>SS-ZAM-HASA1103</t>
  </si>
  <si>
    <t>SS-ZAM-HASA1104</t>
  </si>
  <si>
    <t>SS-ZAM-HASA1105</t>
  </si>
  <si>
    <t>SS-ZAM-HASA1106</t>
  </si>
  <si>
    <t>SS-ZAM-HASA1107</t>
  </si>
  <si>
    <t>SS-ZAM-HASA1108</t>
  </si>
  <si>
    <t>SS-ZAM-HASA1109</t>
  </si>
  <si>
    <t>SS-ZAM-HASA1110</t>
  </si>
  <si>
    <t>SS-ZAM-HASA1111</t>
  </si>
  <si>
    <t>SS-ZAM-HASA1112</t>
  </si>
  <si>
    <t>SS-ZAM-HASA1113</t>
  </si>
  <si>
    <t>SS-ZAM-HASA1114</t>
  </si>
  <si>
    <t>SS-ZAM-HASA1115</t>
  </si>
  <si>
    <t>SS-ZAM-HASA1116</t>
  </si>
  <si>
    <t>SS-ZAM-HASA1117</t>
  </si>
  <si>
    <t>SS-ZAM-HASA1118</t>
  </si>
  <si>
    <t>SS-ZAM-HASA1119</t>
  </si>
  <si>
    <t>SS-ZAM-HASA1120</t>
  </si>
  <si>
    <t>SS-ZAM-HASA1121</t>
  </si>
  <si>
    <t>SS-ZAM-HASA1122</t>
  </si>
  <si>
    <t>SS-ZAM-HASA1123</t>
  </si>
  <si>
    <t>SS-ZAM-HASA1124</t>
  </si>
  <si>
    <t>SS-ZAM-HASA1125</t>
  </si>
  <si>
    <t>SS-ZAM-HASA1126</t>
  </si>
  <si>
    <t>SS-ZAM-HASA1127</t>
  </si>
  <si>
    <t>SS-ZAM-HASA1128</t>
  </si>
  <si>
    <t>SS-ZAM-HASA1129</t>
  </si>
  <si>
    <t>SS-ZAM-HASA1130</t>
  </si>
  <si>
    <t>SS-ZAM-HASA1131</t>
  </si>
  <si>
    <t>SS-ZAM-HASA1132</t>
  </si>
  <si>
    <t>SS-ZAM-HASA1133</t>
  </si>
  <si>
    <t>SS-ZAM-HASA1134</t>
  </si>
  <si>
    <t>SS-ZAM-HASA1135</t>
  </si>
  <si>
    <t>SS-ZAM-HASA1136</t>
  </si>
  <si>
    <t>SS-ZAM-HASA1137</t>
  </si>
  <si>
    <t>SS-ZAM-HASA1138</t>
  </si>
  <si>
    <t>SS-ZAM-HASA1139</t>
  </si>
  <si>
    <t>SS-ZAM-HASA1140</t>
  </si>
  <si>
    <t>SS-ZAM-HASA1141</t>
  </si>
  <si>
    <t>SS-ZAM-HASA1142</t>
  </si>
  <si>
    <t>SS-ZAM-HASA1143</t>
  </si>
  <si>
    <t>SS-ZAM-HASA1144</t>
  </si>
  <si>
    <t>SS-ZAM-HASA1145</t>
  </si>
  <si>
    <t>SS-ZAM-HASA1146</t>
  </si>
  <si>
    <t>SS-ZAM-HASA1147</t>
  </si>
  <si>
    <t>SS-ZAM-HASA1148</t>
  </si>
  <si>
    <t>SS-ZAM-HASA1149</t>
  </si>
  <si>
    <t>SS-ZAM-HASA1150</t>
  </si>
  <si>
    <t>SS-ZAM-HASA1151</t>
  </si>
  <si>
    <t>SS-ZAM-HASA1152</t>
  </si>
  <si>
    <t>SS-ZAM-HASA1153</t>
  </si>
  <si>
    <t>SS-ZAM-HASA1154</t>
  </si>
  <si>
    <t>SS-ZAM-HASA1155</t>
  </si>
  <si>
    <t>SS-ZAM-HASA1156</t>
  </si>
  <si>
    <t>SS-ZAM-HASA1157</t>
  </si>
  <si>
    <t>SS-ZAM-HASA1158</t>
  </si>
  <si>
    <t>SS-ZAM-HASA1159</t>
  </si>
  <si>
    <t>SS-ZAM-HASA1160</t>
  </si>
  <si>
    <t>SS-ZAM-HASA1161</t>
  </si>
  <si>
    <t>SS-ZAM-HASA1162</t>
  </si>
  <si>
    <t>SS-ZAM-HASA1163</t>
  </si>
  <si>
    <t>SS-ZAM-HASA1164</t>
  </si>
  <si>
    <t>SS-ZAM-HASA1165</t>
  </si>
  <si>
    <t>SS-ZAM-HASA1166</t>
  </si>
  <si>
    <t>SS-ZAM-HASA1167</t>
  </si>
  <si>
    <t>SS-ZAM-HASA1168</t>
  </si>
  <si>
    <t>SS-ZAM-HASA1169</t>
  </si>
  <si>
    <t>SS-ZAM-HASA1170</t>
  </si>
  <si>
    <t>SS-ZAM-HASA1171</t>
  </si>
  <si>
    <t>SS-ZAM-HASA1172</t>
  </si>
  <si>
    <t>SS-ZAM-HASA1173</t>
  </si>
  <si>
    <t>SS-ZAM-HASA1174</t>
  </si>
  <si>
    <t>SS-ZAM-HASA1175</t>
  </si>
  <si>
    <t>SS-ZAM-HASA1176</t>
  </si>
  <si>
    <t>SS-ZAM-HASA1177</t>
  </si>
  <si>
    <t>SS-ZAM-HASA1178</t>
  </si>
  <si>
    <t>SS-ZAM-HASA1179</t>
  </si>
  <si>
    <t>SS-ZAM-HASA1180</t>
  </si>
  <si>
    <t>SS-ZAM-HASA1181</t>
  </si>
  <si>
    <t>SS-ZAM-HASA1182</t>
  </si>
  <si>
    <t>SS-ZAM-HASA1183</t>
  </si>
  <si>
    <t>SS-ZAM-HASA1184</t>
  </si>
  <si>
    <t>SS-ZAM-HASA1185</t>
  </si>
  <si>
    <t>SS-ZAM-HASA1186</t>
  </si>
  <si>
    <t>SS-ZAM-HASA1187</t>
  </si>
  <si>
    <t>SS-ZAM-HASA1188</t>
  </si>
  <si>
    <t>SS-ZAM-HASA1189</t>
  </si>
  <si>
    <t>SS-ZAM-HASA1190</t>
  </si>
  <si>
    <t>SS-ZAM-HASA1191</t>
  </si>
  <si>
    <t>SS-ZAM-HASA1192</t>
  </si>
  <si>
    <t>SS-ZAM-HASA1193</t>
  </si>
  <si>
    <t>SS-ZAM-HASA1194</t>
  </si>
  <si>
    <t>SS-ZAM-HASA1195</t>
  </si>
  <si>
    <t>SS-ZAM-HASA1196</t>
  </si>
  <si>
    <t>SS-ZAM-HASA1197</t>
  </si>
  <si>
    <t>SS-ZAM-HASA1198</t>
  </si>
  <si>
    <t>SS-ZAM-HASA1199</t>
  </si>
  <si>
    <t>SS-ZAM-HASA1200</t>
  </si>
  <si>
    <t>Riyadh- 3</t>
  </si>
  <si>
    <t>SS-ZAM-RYD1001</t>
  </si>
  <si>
    <t>SS-ZAM-RYD1002</t>
  </si>
  <si>
    <t>SS-ZAM-RYD1003</t>
  </si>
  <si>
    <t>SS-ZAM-RYD1004</t>
  </si>
  <si>
    <t>SS-ZAM-RYD1005</t>
  </si>
  <si>
    <t>SS-ZAM-RYD1006</t>
  </si>
  <si>
    <t>SS-ZAM-RYD1007</t>
  </si>
  <si>
    <t>SS-ZAM-RYD1008</t>
  </si>
  <si>
    <t>SS-ZAM-RYD1009</t>
  </si>
  <si>
    <t>SS-ZAM-RYD1010</t>
  </si>
  <si>
    <t>SS-ZAM-RYD1011</t>
  </si>
  <si>
    <t>SS-ZAM-RYD1012</t>
  </si>
  <si>
    <t>SS-ZAM-RYD1013</t>
  </si>
  <si>
    <t>SS-ZAM-RYD1014</t>
  </si>
  <si>
    <t>SS-ZAM-RYD1015</t>
  </si>
  <si>
    <t>SS-ZAM-RYD1016</t>
  </si>
  <si>
    <t>SS-ZAM-RYD1017</t>
  </si>
  <si>
    <t>SS-ZAM-RYD1018</t>
  </si>
  <si>
    <t>SS-ZAM-RYD1019</t>
  </si>
  <si>
    <t>SS-ZAM-RYD1020</t>
  </si>
  <si>
    <t>SS-ZAM-RYD1021</t>
  </si>
  <si>
    <t>SS-ZAM-RYD1022</t>
  </si>
  <si>
    <t>SS-ZAM-RYD1023</t>
  </si>
  <si>
    <t>SS-ZAM-RYD1024</t>
  </si>
  <si>
    <t>SS-ZAM-RYD1025</t>
  </si>
  <si>
    <t>SS-ZAM-RYD1026</t>
  </si>
  <si>
    <t>SS-ZAM-RYD1027</t>
  </si>
  <si>
    <t>SS-ZAM-RYD1028</t>
  </si>
  <si>
    <t>SS-ZAM-RYD1029</t>
  </si>
  <si>
    <t>SS-ZAM-RYD1030</t>
  </si>
  <si>
    <t>SS-ZAM-RYD1031</t>
  </si>
  <si>
    <t>SS-ZAM-RYD1032</t>
  </si>
  <si>
    <t>SS-ZAM-RYD1033</t>
  </si>
  <si>
    <t>SS-ZAM-RYD1034</t>
  </si>
  <si>
    <t>SS-ZAM-RYD1035</t>
  </si>
  <si>
    <t>SS-ZAM-RYD1036</t>
  </si>
  <si>
    <t>SS-ZAM-RYD1037</t>
  </si>
  <si>
    <t>SS-ZAM-RYD1038</t>
  </si>
  <si>
    <t>SS-ZAM-RYD1039</t>
  </si>
  <si>
    <t>SS-ZAM-RYD1040</t>
  </si>
  <si>
    <t>SS-ZAM-RYD1041</t>
  </si>
  <si>
    <t>SS-ZAM-RYD1042</t>
  </si>
  <si>
    <t>SS-ZAM-RYD1043</t>
  </si>
  <si>
    <t>SS-ZAM-RYD1044</t>
  </si>
  <si>
    <t>SS-ZAM-RYD1045</t>
  </si>
  <si>
    <t>SS-ZAM-RYD1046</t>
  </si>
  <si>
    <t>SS-ZAM-RYD1047</t>
  </si>
  <si>
    <t>SS-ZAM-RYD1048</t>
  </si>
  <si>
    <t>SS-ZAM-RYD1049</t>
  </si>
  <si>
    <t>SS-ZAM-RYD1050</t>
  </si>
  <si>
    <t>SS-ZAM-RYD1051</t>
  </si>
  <si>
    <t>SS-ZAM-RYD1052</t>
  </si>
  <si>
    <t>SS-ZAM-RYD1053</t>
  </si>
  <si>
    <t>SS-ZAM-RYD1054</t>
  </si>
  <si>
    <t>SS-ZAM-RYD1055</t>
  </si>
  <si>
    <t>SS-ZAM-RYD1056</t>
  </si>
  <si>
    <t>SS-ZAM-RYD1057</t>
  </si>
  <si>
    <t>SS-ZAM-RYD1058</t>
  </si>
  <si>
    <t>SS-ZAM-RYD1059</t>
  </si>
  <si>
    <t>SS-ZAM-RYD1060</t>
  </si>
  <si>
    <t>SS-ZAM-RYD1061</t>
  </si>
  <si>
    <t>SS-ZAM-RYD1062</t>
  </si>
  <si>
    <t>SS-ZAM-RYD1063</t>
  </si>
  <si>
    <t>SS-ZAM-RYD1064</t>
  </si>
  <si>
    <t>SS-ZAM-RYD1065</t>
  </si>
  <si>
    <t>SS-ZAM-RYD1066</t>
  </si>
  <si>
    <t>SS-ZAM-RYD1067</t>
  </si>
  <si>
    <t>SS-ZAM-RYD1068</t>
  </si>
  <si>
    <t>SS-ZAM-RYD1069</t>
  </si>
  <si>
    <t>SS-ZAM-RYD1070</t>
  </si>
  <si>
    <t>SS-ZAM-RYD1071</t>
  </si>
  <si>
    <t>SS-ZAM-RYD1072</t>
  </si>
  <si>
    <t>SS-ZAM-RYD1073</t>
  </si>
  <si>
    <t>SS-ZAM-RYD1074</t>
  </si>
  <si>
    <t>SS-ZAM-RYD1075</t>
  </si>
  <si>
    <t>SS-ZAM-RYD1076</t>
  </si>
  <si>
    <t>SS-ZAM-RYD1077</t>
  </si>
  <si>
    <t>SS-ZAM-RYD1078</t>
  </si>
  <si>
    <t>SS-ZAM-RYD1079</t>
  </si>
  <si>
    <t>SS-ZAM-RYD1080</t>
  </si>
  <si>
    <t>SS-ZAM-RYD1081</t>
  </si>
  <si>
    <t>SS-ZAM-RYD1082</t>
  </si>
  <si>
    <t>SS-ZAM-RYD1083</t>
  </si>
  <si>
    <t>SS-ZAM-RYD1084</t>
  </si>
  <si>
    <t>SS-ZAM-RYD1085</t>
  </si>
  <si>
    <t>SS-ZAM-RYD1086</t>
  </si>
  <si>
    <t>SS-ZAM-RYD1087</t>
  </si>
  <si>
    <t>SS-ZAM-RYD1088</t>
  </si>
  <si>
    <t>SS-ZAM-RYD1089</t>
  </si>
  <si>
    <t>SS-ZAM-RYD1090</t>
  </si>
  <si>
    <t>SS-ZAM-RYD1091</t>
  </si>
  <si>
    <t>SS-ZAM-RYD1092</t>
  </si>
  <si>
    <t>SS-ZAM-RYD1093</t>
  </si>
  <si>
    <t>SS-ZAM-RYD1094</t>
  </si>
  <si>
    <t>SS-ZAM-RYD1095</t>
  </si>
  <si>
    <t>SS-ZAM-RYD1096</t>
  </si>
  <si>
    <t>SS-ZAM-RYD1097</t>
  </si>
  <si>
    <t>SS-ZAM-RYD1098</t>
  </si>
  <si>
    <t>SS-ZAM-RYD1099</t>
  </si>
  <si>
    <t>SS-ZAM-RYD1100</t>
  </si>
  <si>
    <t>SS-ZAM-RYD1101</t>
  </si>
  <si>
    <t>SS-ZAM-RYD1102</t>
  </si>
  <si>
    <t>SS-ZAM-RYD1103</t>
  </si>
  <si>
    <t>SS-ZAM-RYD1104</t>
  </si>
  <si>
    <t>SS-ZAM-RYD1105</t>
  </si>
  <si>
    <t>SS-ZAM-RYD1106</t>
  </si>
  <si>
    <t>SS-ZAM-RYD1107</t>
  </si>
  <si>
    <t>SS-ZAM-RYD1108</t>
  </si>
  <si>
    <t>SS-ZAM-RYD1109</t>
  </si>
  <si>
    <t>SS-ZAM-RYD1110</t>
  </si>
  <si>
    <t>SS-ZAM-RYD1111</t>
  </si>
  <si>
    <t>SS-ZAM-RYD1112</t>
  </si>
  <si>
    <t>SS-ZAM-RYD1113</t>
  </si>
  <si>
    <t>SS-ZAM-RYD1114</t>
  </si>
  <si>
    <t>SS-ZAM-RYD1115</t>
  </si>
  <si>
    <t>SS-ZAM-RYD1116</t>
  </si>
  <si>
    <t>SS-ZAM-RYD1117</t>
  </si>
  <si>
    <t>SS-ZAM-RYD1118</t>
  </si>
  <si>
    <t>SS-ZAM-RYD1119</t>
  </si>
  <si>
    <t>SS-ZAM-RYD1120</t>
  </si>
  <si>
    <t>SS-ZAM-RYD1121</t>
  </si>
  <si>
    <t>SS-ZAM-RYD1122</t>
  </si>
  <si>
    <t>SS-ZAM-RYD1123</t>
  </si>
  <si>
    <t>SS-ZAM-RYD1124</t>
  </si>
  <si>
    <t>SS-ZAM-RYD1125</t>
  </si>
  <si>
    <t>SS-ZAM-RYD1126</t>
  </si>
  <si>
    <t>SS-ZAM-RYD1127</t>
  </si>
  <si>
    <t>SS-ZAM-RYD1128</t>
  </si>
  <si>
    <t>SS-ZAM-RYD1129</t>
  </si>
  <si>
    <t>SS-ZAM-RYD1130</t>
  </si>
  <si>
    <t>SS-ZAM-RYD1131</t>
  </si>
  <si>
    <t>SS-ZAM-RYD1132</t>
  </si>
  <si>
    <t>SS-ZAM-RYD1133</t>
  </si>
  <si>
    <t>SS-ZAM-RYD1134</t>
  </si>
  <si>
    <t>SS-ZAM-RYD1135</t>
  </si>
  <si>
    <t>SS-ZAM-RYD1136</t>
  </si>
  <si>
    <t>SS-ZAM-RYD1137</t>
  </si>
  <si>
    <t>SS-ZAM-RYD1138</t>
  </si>
  <si>
    <t>SS-ZAM-RYD1139</t>
  </si>
  <si>
    <t>SS-ZAM-RYD1140</t>
  </si>
  <si>
    <t>SS-ZAM-RYD1141</t>
  </si>
  <si>
    <t>SS-ZAM-RYD1142</t>
  </si>
  <si>
    <t>SS-ZAM-RYD1143</t>
  </si>
  <si>
    <t>SS-ZAM-RYD1144</t>
  </si>
  <si>
    <t>SS-ZAM-RYD1145</t>
  </si>
  <si>
    <t>SS-ZAM-RYD1146</t>
  </si>
  <si>
    <t>SS-ZAM-RYD1147</t>
  </si>
  <si>
    <t>SS-ZAM-RYD1148</t>
  </si>
  <si>
    <t>SS-ZAM-RYD1149</t>
  </si>
  <si>
    <t>SS-ZAM-RYD1150</t>
  </si>
  <si>
    <t>SS-ZAM-RYD1151</t>
  </si>
  <si>
    <t>SS-ZAM-RYD1152</t>
  </si>
  <si>
    <t>SS-ZAM-RYD1153</t>
  </si>
  <si>
    <t>SS-ZAM-RYD1154</t>
  </si>
  <si>
    <t>SS-ZAM-RYD1155</t>
  </si>
  <si>
    <t>SS-ZAM-RYD1156</t>
  </si>
  <si>
    <t>SS-ZAM-RYD1157</t>
  </si>
  <si>
    <t>SS-ZAM-RYD1158</t>
  </si>
  <si>
    <t>SS-ZAM-RYD1159</t>
  </si>
  <si>
    <t>SS-ZAM-RYD1160</t>
  </si>
  <si>
    <t>SS-ZAM-RYD1161</t>
  </si>
  <si>
    <t>SS-ZAM-RYD1162</t>
  </si>
  <si>
    <t>SS-ZAM-RYD1163</t>
  </si>
  <si>
    <t>SS-ZAM-RYD1164</t>
  </si>
  <si>
    <t>SS-ZAM-RYD1165</t>
  </si>
  <si>
    <t>SS-ZAM-RYD1166</t>
  </si>
  <si>
    <t>SS-ZAM-RYD1167</t>
  </si>
  <si>
    <t>SS-ZAM-RYD1168</t>
  </si>
  <si>
    <t>SS-ZAM-RYD1169</t>
  </si>
  <si>
    <t>SS-ZAM-RYD1170</t>
  </si>
  <si>
    <t>SS-ZAM-RYD1171</t>
  </si>
  <si>
    <t>SS-ZAM-RYD1172</t>
  </si>
  <si>
    <t>SS-ZAM-RYD1173</t>
  </si>
  <si>
    <t>SS-ZAM-RYD1174</t>
  </si>
  <si>
    <t>SS-ZAM-RYD1175</t>
  </si>
  <si>
    <t>SS-ZAM-RYD1176</t>
  </si>
  <si>
    <t>SS-ZAM-RYD1177</t>
  </si>
  <si>
    <t>SS-ZAM-RYD1178</t>
  </si>
  <si>
    <t>SS-ZAM-RYD1179</t>
  </si>
  <si>
    <t>SS-ZAM-RYD1180</t>
  </si>
  <si>
    <t>SS-ZAM-RYD1181</t>
  </si>
  <si>
    <t>SS-ZAM-RYD1182</t>
  </si>
  <si>
    <t>SS-ZAM-RYD1183</t>
  </si>
  <si>
    <t>SS-ZAM-RYD1184</t>
  </si>
  <si>
    <t>SS-ZAM-RYD1185</t>
  </si>
  <si>
    <t>SS-ZAM-RYD1186</t>
  </si>
  <si>
    <t>SS-ZAM-RYD1187</t>
  </si>
  <si>
    <t>SS-ZAM-RYD1188</t>
  </si>
  <si>
    <t>SS-ZAM-RYD1189</t>
  </si>
  <si>
    <t>SS-ZAM-RYD1190</t>
  </si>
  <si>
    <t>SS-ZAM-RYD1191</t>
  </si>
  <si>
    <t>SS-ZAM-RYD1192</t>
  </si>
  <si>
    <t>SS-ZAM-RYD1193</t>
  </si>
  <si>
    <t>SS-ZAM-RYD1194</t>
  </si>
  <si>
    <t>SS-ZAM-RYD1195</t>
  </si>
  <si>
    <t>SS-ZAM-RYD1196</t>
  </si>
  <si>
    <t>SS-ZAM-RYD1197</t>
  </si>
  <si>
    <t>SS-ZAM-RYD1198</t>
  </si>
  <si>
    <t>SS-ZAM-RYD1199</t>
  </si>
  <si>
    <t>SS-ZAM-RYD1200</t>
  </si>
  <si>
    <t>Makkah-2</t>
  </si>
  <si>
    <t>SS-ZAM-MAK-2-1001</t>
  </si>
  <si>
    <t>SS-ZAM-MAK-2-1002</t>
  </si>
  <si>
    <t>SS-ZAM-MAK-2-1003</t>
  </si>
  <si>
    <t>SS-ZAM-MAK-2-1004</t>
  </si>
  <si>
    <t>SS-ZAM-MAK-2-1005</t>
  </si>
  <si>
    <t>SS-ZAM-MAK-2-1006</t>
  </si>
  <si>
    <t>SS-ZAM-MAK-2-1007</t>
  </si>
  <si>
    <t>SS-ZAM-MAK-2-1008</t>
  </si>
  <si>
    <t>SS-ZAM-MAK-2-1009</t>
  </si>
  <si>
    <t>SS-ZAM-MAK-2-1010</t>
  </si>
  <si>
    <t>SS-ZAM-MAK-2-1011</t>
  </si>
  <si>
    <t>SS-ZAM-MAK-2-1012</t>
  </si>
  <si>
    <t>SS-ZAM-MAK-2-1013</t>
  </si>
  <si>
    <t>SS-ZAM-MAK-2-1014</t>
  </si>
  <si>
    <t>SS-ZAM-MAK-2-1015</t>
  </si>
  <si>
    <t>SS-ZAM-MAK-2-1016</t>
  </si>
  <si>
    <t>SS-ZAM-MAK-2-1017</t>
  </si>
  <si>
    <t>SS-ZAM-MAK-2-1018</t>
  </si>
  <si>
    <t>SS-ZAM-MAK-2-1019</t>
  </si>
  <si>
    <t>SS-ZAM-MAK-2-1020</t>
  </si>
  <si>
    <t>SS-ZAM-MAK-2-1021</t>
  </si>
  <si>
    <t>SS-ZAM-MAK-2-1022</t>
  </si>
  <si>
    <t>SS-ZAM-MAK-2-1023</t>
  </si>
  <si>
    <t>SS-ZAM-MAK-2-1024</t>
  </si>
  <si>
    <t>SS-ZAM-MAK-2-1025</t>
  </si>
  <si>
    <t>SS-ZAM-MAK-2-1026</t>
  </si>
  <si>
    <t>SS-ZAM-MAK-2-1027</t>
  </si>
  <si>
    <t>SS-ZAM-MAK-2-1028</t>
  </si>
  <si>
    <t>SS-ZAM-MAK-2-1029</t>
  </si>
  <si>
    <t>SS-ZAM-MAK-2-1030</t>
  </si>
  <si>
    <t>SS-ZAM-MAK-2-1031</t>
  </si>
  <si>
    <t>SS-ZAM-MAK-2-1032</t>
  </si>
  <si>
    <t>SS-ZAM-MAK-2-1033</t>
  </si>
  <si>
    <t>SS-ZAM-MAK-2-1034</t>
  </si>
  <si>
    <t>SS-ZAM-MAK-2-1035</t>
  </si>
  <si>
    <t>SS-ZAM-MAK-2-1036</t>
  </si>
  <si>
    <t>SS-ZAM-MAK-2-1037</t>
  </si>
  <si>
    <t>SS-ZAM-MAK-2-1038</t>
  </si>
  <si>
    <t>SS-ZAM-MAK-2-1039</t>
  </si>
  <si>
    <t>SS-ZAM-MAK-2-1040</t>
  </si>
  <si>
    <t>SS-ZAM-MAK-2-1041</t>
  </si>
  <si>
    <t>SS-ZAM-MAK-2-1042</t>
  </si>
  <si>
    <t>SS-ZAM-MAK-2-1043</t>
  </si>
  <si>
    <t>SS-ZAM-MAK-2-1044</t>
  </si>
  <si>
    <t>SS-ZAM-MAK-2-1045</t>
  </si>
  <si>
    <t>SS-ZAM-MAK-2-1046</t>
  </si>
  <si>
    <t>SS-ZAM-MAK-2-1047</t>
  </si>
  <si>
    <t>SS-ZAM-MAK-2-1048</t>
  </si>
  <si>
    <t>SS-ZAM-MAK-2-1049</t>
  </si>
  <si>
    <t>SS-ZAM-MAK-2-1050</t>
  </si>
  <si>
    <t>SS-ZAM-MAK-2-1051</t>
  </si>
  <si>
    <t>SS-ZAM-MAK-2-1052</t>
  </si>
  <si>
    <t>SS-ZAM-MAK-2-1053</t>
  </si>
  <si>
    <t>SS-ZAM-MAK-2-1054</t>
  </si>
  <si>
    <t>SS-ZAM-MAK-2-1055</t>
  </si>
  <si>
    <t>SS-ZAM-MAK-2-1056</t>
  </si>
  <si>
    <t>SS-ZAM-MAK-2-1057</t>
  </si>
  <si>
    <t>SS-ZAM-MAK-2-1058</t>
  </si>
  <si>
    <t>SS-ZAM-MAK-2-1059</t>
  </si>
  <si>
    <t>SS-ZAM-MAK-2-1060</t>
  </si>
  <si>
    <t>SS-ZAM-MAK-2-1061</t>
  </si>
  <si>
    <t>SS-ZAM-MAK-2-1062</t>
  </si>
  <si>
    <t>SS-ZAM-MAK-2-1063</t>
  </si>
  <si>
    <t>SS-ZAM-MAK-2-1064</t>
  </si>
  <si>
    <t>SS-ZAM-MAK-2-1065</t>
  </si>
  <si>
    <t>SS-ZAM-MAK-2-1066</t>
  </si>
  <si>
    <t>SS-ZAM-MAK-2-1067</t>
  </si>
  <si>
    <t>SS-ZAM-MAK-2-1068</t>
  </si>
  <si>
    <t>SS-ZAM-MAK-2-1069</t>
  </si>
  <si>
    <t>SS-ZAM-MAK-2-1070</t>
  </si>
  <si>
    <t>SS-ZAM-MAK-2-1071</t>
  </si>
  <si>
    <t>SS-ZAM-MAK-2-1072</t>
  </si>
  <si>
    <t>SS-ZAM-MAK-2-1073</t>
  </si>
  <si>
    <t>SS-ZAM-MAK-2-1074</t>
  </si>
  <si>
    <t>SS-ZAM-MAK-2-1075</t>
  </si>
  <si>
    <t>SS-ZAM-MAK-2-1076</t>
  </si>
  <si>
    <t>SS-ZAM-MAK-2-1077</t>
  </si>
  <si>
    <t>SS-ZAM-MAK-2-1078</t>
  </si>
  <si>
    <t>SS-ZAM-MAK-2-1079</t>
  </si>
  <si>
    <t>SS-ZAM-MAK-2-1080</t>
  </si>
  <si>
    <t>SS-ZAM-MAK-2-1081</t>
  </si>
  <si>
    <t>SS-ZAM-MAK-2-1082</t>
  </si>
  <si>
    <t>SS-ZAM-MAK-2-1083</t>
  </si>
  <si>
    <t>SS-ZAM-MAK-2-1084</t>
  </si>
  <si>
    <t>SS-ZAM-MAK-2-1085</t>
  </si>
  <si>
    <t>SS-ZAM-MAK-2-1086</t>
  </si>
  <si>
    <t>SS-ZAM-MAK-2-1087</t>
  </si>
  <si>
    <t>SS-ZAM-MAK-2-1088</t>
  </si>
  <si>
    <t>SS-ZAM-MAK-2-1089</t>
  </si>
  <si>
    <t>SS-ZAM-MAK-2-1090</t>
  </si>
  <si>
    <t>SS-ZAM-MAK-2-1091</t>
  </si>
  <si>
    <t>SS-ZAM-MAK-2-1092</t>
  </si>
  <si>
    <t>SS-ZAM-MAK-2-1093</t>
  </si>
  <si>
    <t>SS-ZAM-MAK-2-1094</t>
  </si>
  <si>
    <t>SS-ZAM-MAK-2-1095</t>
  </si>
  <si>
    <t>SS-ZAM-MAK-2-1096</t>
  </si>
  <si>
    <t>SS-ZAM-MAK-2-1097</t>
  </si>
  <si>
    <t>SS-ZAM-MAK-2-1098</t>
  </si>
  <si>
    <t>SS-ZAM-MAK-2-1099</t>
  </si>
  <si>
    <t>SS-ZAM-MAK-2-1100</t>
  </si>
  <si>
    <t>SS-ZAM-MAK-2-1101</t>
  </si>
  <si>
    <t>SS-ZAM-MAK-2-1102</t>
  </si>
  <si>
    <t>SS-ZAM-MAK-2-1103</t>
  </si>
  <si>
    <t>SS-ZAM-MAK-2-1104</t>
  </si>
  <si>
    <t>SS-ZAM-MAK-2-1105</t>
  </si>
  <si>
    <t>SS-ZAM-MAK-2-1106</t>
  </si>
  <si>
    <t>SS-ZAM-MAK-2-1107</t>
  </si>
  <si>
    <t>SS-ZAM-MAK-2-1108</t>
  </si>
  <si>
    <t>SS-ZAM-MAK-2-1109</t>
  </si>
  <si>
    <t>SS-ZAM-MAK-2-1110</t>
  </si>
  <si>
    <t>SS-ZAM-MAK-2-1111</t>
  </si>
  <si>
    <t>SS-ZAM-MAK-2-1112</t>
  </si>
  <si>
    <t>SS-ZAM-MAK-2-1113</t>
  </si>
  <si>
    <t>SS-ZAM-MAK-2-1114</t>
  </si>
  <si>
    <t>SS-ZAM-MAK-2-1115</t>
  </si>
  <si>
    <t>SS-ZAM-MAK-2-1116</t>
  </si>
  <si>
    <t>SS-ZAM-MAK-2-1117</t>
  </si>
  <si>
    <t>SS-ZAM-MAK-2-1118</t>
  </si>
  <si>
    <t>SS-ZAM-MAK-2-1119</t>
  </si>
  <si>
    <t>SS-ZAM-MAK-2-1120</t>
  </si>
  <si>
    <t>SS-ZAM-MAK-2-1121</t>
  </si>
  <si>
    <t>SS-ZAM-MAK-2-1122</t>
  </si>
  <si>
    <t>SS-ZAM-MAK-2-1123</t>
  </si>
  <si>
    <t>SS-ZAM-MAK-2-1124</t>
  </si>
  <si>
    <t>SS-ZAM-MAK-2-1125</t>
  </si>
  <si>
    <t>SS-ZAM-MAK-2-1126</t>
  </si>
  <si>
    <t>SS-ZAM-MAK-2-1127</t>
  </si>
  <si>
    <t>SS-ZAM-MAK-2-1128</t>
  </si>
  <si>
    <t>SS-ZAM-MAK-2-1129</t>
  </si>
  <si>
    <t>SS-ZAM-MAK-2-1130</t>
  </si>
  <si>
    <t>SS-ZAM-MAK-2-1131</t>
  </si>
  <si>
    <t>SS-ZAM-MAK-2-1132</t>
  </si>
  <si>
    <t>SS-ZAM-MAK-2-1133</t>
  </si>
  <si>
    <t>SS-ZAM-MAK-2-1134</t>
  </si>
  <si>
    <t>SS-ZAM-MAK-2-1135</t>
  </si>
  <si>
    <t>SS-ZAM-MAK-2-1136</t>
  </si>
  <si>
    <t>SS-ZAM-MAK-2-1137</t>
  </si>
  <si>
    <t>SS-ZAM-MAK-2-1138</t>
  </si>
  <si>
    <t>SS-ZAM-MAK-2-1139</t>
  </si>
  <si>
    <t>SS-ZAM-MAK-2-1140</t>
  </si>
  <si>
    <t>SS-ZAM-MAK-2-1141</t>
  </si>
  <si>
    <t>SS-ZAM-MAK-2-1142</t>
  </si>
  <si>
    <t>SS-ZAM-MAK-2-1143</t>
  </si>
  <si>
    <t>SS-ZAM-MAK-2-1144</t>
  </si>
  <si>
    <t>SS-ZAM-MAK-2-1145</t>
  </si>
  <si>
    <t>SS-ZAM-MAK-2-1146</t>
  </si>
  <si>
    <t>SS-ZAM-MAK-2-1147</t>
  </si>
  <si>
    <t>SS-ZAM-MAK-2-1148</t>
  </si>
  <si>
    <t>SS-ZAM-MAK-2-1149</t>
  </si>
  <si>
    <t>SS-ZAM-MAK-2-1150</t>
  </si>
  <si>
    <t>SS-ZAM-MAK-2-1151</t>
  </si>
  <si>
    <t>SS-ZAM-MAK-2-1152</t>
  </si>
  <si>
    <t>SS-ZAM-MAK-2-1153</t>
  </si>
  <si>
    <t>SS-ZAM-MAK-2-1154</t>
  </si>
  <si>
    <t>SS-ZAM-MAK-2-1155</t>
  </si>
  <si>
    <t>SS-ZAM-MAK-2-1156</t>
  </si>
  <si>
    <t>SS-ZAM-MAK-2-1157</t>
  </si>
  <si>
    <t>SS-ZAM-MAK-2-1158</t>
  </si>
  <si>
    <t>SS-ZAM-MAK-2-1159</t>
  </si>
  <si>
    <t>SS-ZAM-MAK-2-1160</t>
  </si>
  <si>
    <t>SS-ZAM-MAK-2-1161</t>
  </si>
  <si>
    <t>SS-ZAM-MAK-2-1162</t>
  </si>
  <si>
    <t>SS-ZAM-MAK-2-1163</t>
  </si>
  <si>
    <t>SS-ZAM-MAK-2-1164</t>
  </si>
  <si>
    <t>SS-ZAM-MAK-2-1165</t>
  </si>
  <si>
    <t>SS-ZAM-MAK-2-1166</t>
  </si>
  <si>
    <t>SS-ZAM-MAK-2-1167</t>
  </si>
  <si>
    <t>SS-ZAM-MAK-2-1168</t>
  </si>
  <si>
    <t>SS-ZAM-MAK-2-1169</t>
  </si>
  <si>
    <t>SS-ZAM-MAK-2-1170</t>
  </si>
  <si>
    <t>SS-ZAM-MAK-2-1171</t>
  </si>
  <si>
    <t>SS-ZAM-MAK-2-1172</t>
  </si>
  <si>
    <t>SS-ZAM-MAK-2-1173</t>
  </si>
  <si>
    <t>SS-ZAM-MAK-2-1174</t>
  </si>
  <si>
    <t>SS-ZAM-MAK-2-1175</t>
  </si>
  <si>
    <t>SS-ZAM-MAK-2-1176</t>
  </si>
  <si>
    <t>SS-ZAM-MAK-2-1177</t>
  </si>
  <si>
    <t>SS-ZAM-MAK-2-1178</t>
  </si>
  <si>
    <t>SS-ZAM-MAK-2-1179</t>
  </si>
  <si>
    <t>SS-ZAM-MAK-2-1180</t>
  </si>
  <si>
    <t>SS-ZAM-MAK-2-1181</t>
  </si>
  <si>
    <t>SS-ZAM-MAK-2-1182</t>
  </si>
  <si>
    <t>SS-ZAM-MAK-2-1183</t>
  </si>
  <si>
    <t>SS-ZAM-MAK-2-1184</t>
  </si>
  <si>
    <t>SS-ZAM-MAK-2-1185</t>
  </si>
  <si>
    <t>SS-ZAM-MAK-2-1186</t>
  </si>
  <si>
    <t>SS-ZAM-MAK-2-1187</t>
  </si>
  <si>
    <t>SS-ZAM-MAK-2-1188</t>
  </si>
  <si>
    <t>SS-ZAM-MAK-2-1189</t>
  </si>
  <si>
    <t>SS-ZAM-MAK-2-1190</t>
  </si>
  <si>
    <t>SS-ZAM-MAK-2-1191</t>
  </si>
  <si>
    <t>SS-ZAM-MAK-2-1192</t>
  </si>
  <si>
    <t>SS-ZAM-MAK-2-1193</t>
  </si>
  <si>
    <t>SS-ZAM-MAK-2-1194</t>
  </si>
  <si>
    <t>SS-ZAM-MAK-2-1195</t>
  </si>
  <si>
    <t>SS-ZAM-MAK-2-1196</t>
  </si>
  <si>
    <t>SS-ZAM-MAK-2-1197</t>
  </si>
  <si>
    <t>SS-ZAM-MAK-2-1198</t>
  </si>
  <si>
    <t>SS-ZAM-MAK-2-1199</t>
  </si>
  <si>
    <t>SS-ZAM-MAK-2-1200</t>
  </si>
  <si>
    <t>Schools Coordinates</t>
  </si>
  <si>
    <t>ب/ العز بن عبدالسلام  بنين</t>
  </si>
  <si>
    <t>م/ عبدالقدوس الأنصاري  بنين</t>
  </si>
  <si>
    <t>ث/ الثالثة والعشرون بالمدينة (مقررات)  بنات</t>
  </si>
  <si>
    <t>ث/ السابعة بالمدينة  بنات</t>
  </si>
  <si>
    <t>ب/ الثالثة والسبعون بنات</t>
  </si>
  <si>
    <t>ث/ عبدالعزيز الربيع (مقررات)  بنين</t>
  </si>
  <si>
    <t>م/ علي بن أبي طالب  بنين</t>
  </si>
  <si>
    <t>ث/ الامير مقرن بنين</t>
  </si>
  <si>
    <t>ب/ الثانية عشر بالمدينة  بنات</t>
  </si>
  <si>
    <t>ب/ عامر بن ربيعة  بنين</t>
  </si>
  <si>
    <t>ب/ العزيزية  بنين</t>
  </si>
  <si>
    <t>ب/ حاطب بن أبي بلتعة  بنين</t>
  </si>
  <si>
    <t>ب/ وائل بن حجر الحضرمي  بنين</t>
  </si>
  <si>
    <t>الروضة السادسة والاربعون بنات</t>
  </si>
  <si>
    <t>ب/ الرابعة بالمدينة  بنات</t>
  </si>
  <si>
    <t>ث/ التاسعة بالمدينة  بنات</t>
  </si>
  <si>
    <t>ث/ ميمونة بنت الحارث  بنات</t>
  </si>
  <si>
    <t>م/ الخامسة والعشرون بالمدينة  بنات</t>
  </si>
  <si>
    <t xml:space="preserve">متوسطة الحسن بن علي بنين </t>
  </si>
  <si>
    <t xml:space="preserve">م/ السادسة والسبعون بنات </t>
  </si>
  <si>
    <t>ب/ التاسعة والسبعون بالمدينة  بنات</t>
  </si>
  <si>
    <t>ب/ زيد الخير  بنين</t>
  </si>
  <si>
    <t>م/ الثالثة عشر بالمدينة  بنات</t>
  </si>
  <si>
    <t>ث/ النعمان بن مالك  بنين</t>
  </si>
  <si>
    <t>ب/ الفهدية  بنين</t>
  </si>
  <si>
    <t>م/ الثلاثون بالمدينة  بنات</t>
  </si>
  <si>
    <t>ب/ الشيخ محمد بن صالح بن عثيمين  بنين</t>
  </si>
  <si>
    <t>ب/ أسعد بن زرارة  بنين</t>
  </si>
  <si>
    <t>ب/ دار التقوى  بنين</t>
  </si>
  <si>
    <t>ث/ الثانية عشرة بالمدينة (مقررات)  بنات</t>
  </si>
  <si>
    <t>ب/ الثامنة والعشرون بعد المائة بنات</t>
  </si>
  <si>
    <t>ث/ الإمام السمهودي (مقررات)  بنين</t>
  </si>
  <si>
    <t>ث/ الأولى بالمدينة (مقررات)  بنات</t>
  </si>
  <si>
    <t>ب/ الثلاثون بعد المائة بالمدينة  بنات</t>
  </si>
  <si>
    <t>ث/ الأقصى  بنين</t>
  </si>
  <si>
    <t>ب/ الأحنف بن قيس التميمي  بنين</t>
  </si>
  <si>
    <t>ث/ النهروان (مقررات)  بنين</t>
  </si>
  <si>
    <t>ب/ الإمام احمد بن حنبل  بنين</t>
  </si>
  <si>
    <t>ب/ المحمدية  بنين</t>
  </si>
  <si>
    <t>ب/ المقداد بن عمرو  بنين</t>
  </si>
  <si>
    <t>ب/ زيد بن حارثة  بنين</t>
  </si>
  <si>
    <t>م/ النعمان بن مقرن بنين</t>
  </si>
  <si>
    <t>ب/ عمرو بن الجموح الأنصاري  بنين</t>
  </si>
  <si>
    <t>ب/ الثانية والعشرون بعد المائة  بنات</t>
  </si>
  <si>
    <t>ث/ الثامنة عشر بنات</t>
  </si>
  <si>
    <t>ث/ الحادية عشرة بالمدينة (مقررات)  بنات</t>
  </si>
  <si>
    <t>ث/ أبي سفيان بن حرب  بنين</t>
  </si>
  <si>
    <t>ب/ ابن منظور  بنين</t>
  </si>
  <si>
    <t>ث/ الأندلس  بنين</t>
  </si>
  <si>
    <t>ب/ الحسين بن علي  بنين</t>
  </si>
  <si>
    <t>ث/ عمر بن علي بن أبي طالب  بنين</t>
  </si>
  <si>
    <t>م/ هشام بن عامر الأنصاري  بنين</t>
  </si>
  <si>
    <t>ب/ الثالثة لتحفيظ القرآن الكريم بالمدينة  بنات</t>
  </si>
  <si>
    <t>ب/ سعيد بن الحارث القرشي بنين</t>
  </si>
  <si>
    <t>م/ نعيم بن عبدالله النحام  بنين</t>
  </si>
  <si>
    <t>ث/ هشام بن العاص  بنين</t>
  </si>
  <si>
    <t>ث/ الثالثة والأربعون بالمدينة  بنات</t>
  </si>
  <si>
    <t>م/ عباد بن بشر الأنصاري  بنين</t>
  </si>
  <si>
    <t>م/ السادسة والأربعون بالمدينة  بنات</t>
  </si>
  <si>
    <t>ب/ السابعة عشر بالمدينة  بنات</t>
  </si>
  <si>
    <t>م/ الإمام الشوكاني لتحفيظ القرآن الكريم  بنين</t>
  </si>
  <si>
    <t>ب/ شوران  بنين</t>
  </si>
  <si>
    <t>ث/ الثامنة والأربعون بالمدينة (مقررات)  بنات</t>
  </si>
  <si>
    <t>ث/ السابعة والأربعون بالمدينة  بنات</t>
  </si>
  <si>
    <t>ب/ وادي بطحان  بنين</t>
  </si>
  <si>
    <t>م/ الإمام الذهبي لتحفيظ القرآن الكريم  بنين</t>
  </si>
  <si>
    <t>م/ شجاع بن وهب بن ربيعة  بنين</t>
  </si>
  <si>
    <t>ب/ جابر بن سمرة العامري  بنين</t>
  </si>
  <si>
    <t>ب/ التاسعة والأربعون بالمدينة  بنات</t>
  </si>
  <si>
    <t>م/ ابن هشام  بنين</t>
  </si>
  <si>
    <t>هـ/ التاسع والأربعون للبنات</t>
  </si>
  <si>
    <t>ب/ الستون بالمدينة  بنات</t>
  </si>
  <si>
    <t>ب/ الرابعة والخمسون بالمدينة  بنات</t>
  </si>
  <si>
    <t>ث/ أم القرى بنين</t>
  </si>
  <si>
    <t>الروضة الحادية عشر بنات</t>
  </si>
  <si>
    <t>ث/ الأولى بالعاقول  بنات</t>
  </si>
  <si>
    <t>ب/ سكينة بنت ابي وقاص  بنات</t>
  </si>
  <si>
    <t>ب/ عمار بن ياسر  بنين</t>
  </si>
  <si>
    <t>ث/ القدس  بنين</t>
  </si>
  <si>
    <t>ث/ الجرف  بنين</t>
  </si>
  <si>
    <t>م/ الرابعة والعشرون بالمدينة  بنات</t>
  </si>
  <si>
    <t>م/ الحادية والستون بالمدينة  بنات</t>
  </si>
  <si>
    <t>ب/ السقاف  بنين</t>
  </si>
  <si>
    <t>ب/ الثامنة والثلاثون بالمدينة  بنات</t>
  </si>
  <si>
    <t>ب/ عقيل بن أبي طالب  بنين</t>
  </si>
  <si>
    <t>م/ الامام نافع الليثي بنين</t>
  </si>
  <si>
    <t>م/ عبدالله بن أم مكتوم  بنين</t>
  </si>
  <si>
    <t>ب/ العاشرة بالمدينة  بنات</t>
  </si>
  <si>
    <t>ب/ الشيخ عبدالعزيز بن صالح  بنين</t>
  </si>
  <si>
    <t>م/ حواء بنات</t>
  </si>
  <si>
    <t>م/ الخمسون بالمدينة  بنات</t>
  </si>
  <si>
    <t>ب/ هالة بنت عوف  بنات</t>
  </si>
  <si>
    <t>الروضة السابعة بنات</t>
  </si>
  <si>
    <t>الروضة الخامسة بنات</t>
  </si>
  <si>
    <t>ث/ الأمير عبدالمحسن بن عبدالعزيز (مقررات)  بنين</t>
  </si>
  <si>
    <t>م/ التاسعة عشرة بالمدينة  بنات</t>
  </si>
  <si>
    <t>الروضة السادسة بنات</t>
  </si>
  <si>
    <t>م/ الأربعون بالمدينة  بنات</t>
  </si>
  <si>
    <t>ب/ الرابعة بعد المائة بالمدينة  بنات</t>
  </si>
  <si>
    <t>م/ عبدالله بن مظعون  بنين</t>
  </si>
  <si>
    <t>ث/ السادسة والأربعون بالمدينة  بنات</t>
  </si>
  <si>
    <t>ث/ التاسعة عشرة بالمدينة (مقررات)  بنات</t>
  </si>
  <si>
    <t>ث/ الأمير عبدالمجيد بن عبدالعزيز(مقررات)  بنين</t>
  </si>
  <si>
    <t>ب/ الثامنة والسبعون بالمدينة  بنات</t>
  </si>
  <si>
    <t>ب/ الثانية بالمدينة  بنات</t>
  </si>
  <si>
    <t>ث/ ابن حزم بنين</t>
  </si>
  <si>
    <t>الروضة السابعة والعشرون بنات</t>
  </si>
  <si>
    <t>ب/ سلمى بنت قيس  بنات</t>
  </si>
  <si>
    <t>ب/ بني النجار  بنين</t>
  </si>
  <si>
    <t>ب/ الحادية والعشرون بعد المائة بالمدينة  بنات</t>
  </si>
  <si>
    <t>م/ الثامنة والثلاثون بالمدينة  بنات</t>
  </si>
  <si>
    <t>ث/ الثانية والخمسون بنات</t>
  </si>
  <si>
    <t>ب/ الثالثة والستون بالمدينة  بنات</t>
  </si>
  <si>
    <t>ث/ العشرون بالمدينة  بنات</t>
  </si>
  <si>
    <t>م/ الثامنة والعشرون بالمدينة  بنات</t>
  </si>
  <si>
    <t>ب/ الرابعة والعشرون بالمدينة  بنات</t>
  </si>
  <si>
    <t>ب/ السابعة والخمسون بالمدينة  بنات</t>
  </si>
  <si>
    <t>ب/ الخامسة عشر بعد المائة بالمدينة  بنات</t>
  </si>
  <si>
    <t>ب/ التاسعة لتحفيظ القرآن الكريم بـالمدينة  بنات</t>
  </si>
  <si>
    <t>ب/ التاسعة بعد المائة بالمدينة  بنات</t>
  </si>
  <si>
    <t>ب/ عبدالله بن جحش  بنين</t>
  </si>
  <si>
    <t>ب/ ذي الشهادتين  بنين</t>
  </si>
  <si>
    <t>ب/ السادسة والأربعون بالمدينة  بنات</t>
  </si>
  <si>
    <t>م/ الحادية والخمسون بالمدينة  بنات</t>
  </si>
  <si>
    <t>م/ الأرقم بن أبي الأرقم  بنين</t>
  </si>
  <si>
    <t>ب/ السعودية  بنين</t>
  </si>
  <si>
    <t>م/ الثامنة عشر بالمدينة  بنات</t>
  </si>
  <si>
    <t>ب/ الثانية والستون بالمدينة  بنات</t>
  </si>
  <si>
    <t>ث/ المأمون  بنين</t>
  </si>
  <si>
    <t xml:space="preserve">ب/ صفية بن عمر بن الخطاب </t>
  </si>
  <si>
    <t>م/ الأولى لتحفيظ القرآن الكريم بـالمدينة  بنات</t>
  </si>
  <si>
    <t>ب/ عبدالله بن عمرو بن العاص  بنين</t>
  </si>
  <si>
    <t>ث/ الرابعة والعشرون بالمدينة (مقررات)  بنات</t>
  </si>
  <si>
    <t xml:space="preserve">ث/ الأمير محمد بن عبدالعزيز </t>
  </si>
  <si>
    <t>م/ الرابعة والثلاثون بالمدينة  بنات</t>
  </si>
  <si>
    <t>ث/ السادسة والعشرون بالمدينة  بنات</t>
  </si>
  <si>
    <t>م/ الشيخ محمد بن ابراهيم  بنين</t>
  </si>
  <si>
    <t xml:space="preserve">الابتدائية السابعة والسبعون بنات </t>
  </si>
  <si>
    <t>ب/ معاذ بن الحارث  بنين</t>
  </si>
  <si>
    <t>ث/ الملك عبدالله بن عبدالعزيز  بنين</t>
  </si>
  <si>
    <t>ب/ مجاهد بن جبر  بنين</t>
  </si>
  <si>
    <t>ب/ الثامنة والتسعون بالمدينة  بنات</t>
  </si>
  <si>
    <t>م/ الرابعة والسبعون بالمدينة  بنات</t>
  </si>
  <si>
    <t>ب/ عبادة بن قيس الأنصاري  بنين</t>
  </si>
  <si>
    <t>ث/ مأرز الإيمان (مقررات)  بنين</t>
  </si>
  <si>
    <t>م/ الشيخ عبدالعزيز بن باز  بنين</t>
  </si>
  <si>
    <t>ب/ الثالثة والخمسون بالمدينة  بنات</t>
  </si>
  <si>
    <t>م/ عمرو بن عثمان القرشي بنين</t>
  </si>
  <si>
    <t>الروضة الخامسة عشر بنات</t>
  </si>
  <si>
    <t>ب/ الثالثة والثلاثون بالمدينة  بنات</t>
  </si>
  <si>
    <t>ب/ صفية بنت عبدالمطلب بنات</t>
  </si>
  <si>
    <t xml:space="preserve">ب/ مكة المكرمة </t>
  </si>
  <si>
    <t>م/ السابعة عشر بالمدينة  بنات</t>
  </si>
  <si>
    <t>ث/ دار الأبرار (مقررات)  بنين</t>
  </si>
  <si>
    <t>ب/ أبي أيوب الأنصاري  بنين</t>
  </si>
  <si>
    <t>ب/ أبي بن كعب لتحفيظ القران الكريم  بنين</t>
  </si>
  <si>
    <t>م/ الثانية والعشرون   بنات</t>
  </si>
  <si>
    <t>ب/ أبي الطيب المتنبي  بنين</t>
  </si>
  <si>
    <t xml:space="preserve">الروضة الحادية والعشرون بالمدينة </t>
  </si>
  <si>
    <t>ب/ المنذر بن قيس  بنين</t>
  </si>
  <si>
    <t xml:space="preserve">ثانوية السادسة </t>
  </si>
  <si>
    <t>م/ الخوارزمي  بنين</t>
  </si>
  <si>
    <t>ب/ العاشرة بعد المائة بالمدينة  بنات</t>
  </si>
  <si>
    <t>م/ الثانية والسبعون بالمدينة  بنات</t>
  </si>
  <si>
    <t>ث/ التاسعة والعشرون بالمدينة (مقررات)  بنات</t>
  </si>
  <si>
    <t>ب/ العريض  بنين</t>
  </si>
  <si>
    <t>ث/ الخامسة والعشرون بالمدينة  بنات</t>
  </si>
  <si>
    <t>ث/ الخامسة عشر بالمدينة  بنات</t>
  </si>
  <si>
    <t>ب/ السادسة والعشرون بعد المائة بالمدينة  بنات</t>
  </si>
  <si>
    <t>م/ السبعون بالمدينة  بنات</t>
  </si>
  <si>
    <t>الروضة الخامسة والعشرون بنات</t>
  </si>
  <si>
    <t>م/ عمر بن الخطاب  بنين</t>
  </si>
  <si>
    <t>ث/ أبي بكر الرازي  بنين</t>
  </si>
  <si>
    <t>ث/ دار الإيمان (مقررات)  بنين</t>
  </si>
  <si>
    <t>ب/ حمزة بن عبدالمطلب  بنين</t>
  </si>
  <si>
    <t>ث/ الاميرة نورة بنت عبدالرحمن بنات</t>
  </si>
  <si>
    <t>ب/ نسيبة بنت الحارث بنات</t>
  </si>
  <si>
    <t>م/ السادسة والعشرون بالمدينة  بنات</t>
  </si>
  <si>
    <t>المدرسة الإبتدائية الثلاثون</t>
  </si>
  <si>
    <t>الابتدائية العشرون (طفولة مبكرة)</t>
  </si>
  <si>
    <t>متوسطة القعقاع بن عمرو</t>
  </si>
  <si>
    <t>المدرسة الابتدائية الثانية بنات لتحفيظ القرآن الكريم</t>
  </si>
  <si>
    <t>الثانوية الثامنة والعشرون والمتوسطة الثانية والثلاثون</t>
  </si>
  <si>
    <t>المتوسطة الثامنه والستون</t>
  </si>
  <si>
    <t>المدرسة الواحدة والسبعون المتوسطة</t>
  </si>
  <si>
    <t>مدرسة عقبة بن عامر الابتدائية وكعب بن عدي المتوسطة</t>
  </si>
  <si>
    <t>المدرسة الواحد والستون الإبتدائية</t>
  </si>
  <si>
    <t>مدرسة محمد بن سليمان بن رفاعة المتوسطة</t>
  </si>
  <si>
    <t>مدرسة حطين الابتدائية (طفولة مبكرة )</t>
  </si>
  <si>
    <t>ثانوية رقية بنت النبي ﷺ</t>
  </si>
  <si>
    <t>مدرسة الإمام حمزة بن حبيب الزيات</t>
  </si>
  <si>
    <t>مدرسة الثانوية الخامسة</t>
  </si>
  <si>
    <t>المتوسطة السابعه والثلاثون</t>
  </si>
  <si>
    <t>لمدرسة الابتدائية الثانية والثمانون للبنات</t>
  </si>
  <si>
    <t>ثانوية عاصم بن الحكم</t>
  </si>
  <si>
    <t>ثانوية العباس بن عبدالمطلب بنين</t>
  </si>
  <si>
    <t>ثانوية ابن القيم</t>
  </si>
  <si>
    <t>مدرسة محمد بن سعود الثانوية للبنين</t>
  </si>
  <si>
    <t>مدرسة وهب بن سعد الابتدائية</t>
  </si>
  <si>
    <t>Primary Al-Izz ibn Abd al-Salam Banin</t>
  </si>
  <si>
    <t>Intermediate Abdul Quddus Al-Ansari Banin</t>
  </si>
  <si>
    <t>High Twenty-third in the city (curriculum) Girls</t>
  </si>
  <si>
    <t>High Seventh Girls School in the City</t>
  </si>
  <si>
    <t>Primary Seventy-third girls</t>
  </si>
  <si>
    <t>High Abdulaziz Al-Rabee (Curriculum) Boys</t>
  </si>
  <si>
    <t>Intermediate Ali bin Abi Talib Banin</t>
  </si>
  <si>
    <t>Prince Muqrin Binin</t>
  </si>
  <si>
    <t>Primary Twelfth in the city, girls</t>
  </si>
  <si>
    <t>Primary Amer bin Rabi’ah Banin</t>
  </si>
  <si>
    <t>Primary Al-Aziziyah Banin</t>
  </si>
  <si>
    <t>Primary Hatib ibn Abi Balta’ah Banin</t>
  </si>
  <si>
    <t>Primary Wael bin Hajar Al-Hadrami Banin</t>
  </si>
  <si>
    <t>Kindergarten number forty-six, girls</t>
  </si>
  <si>
    <t>Primary Fourth in the city, girls</t>
  </si>
  <si>
    <t>Ninth grade girls in the city</t>
  </si>
  <si>
    <t>High Maimouna bint Al-Harith girls</t>
  </si>
  <si>
    <t>Intermediate Twenty-fifth in the city, girls</t>
  </si>
  <si>
    <t>Al-Hassan Bin Ali Intermediate School for Boys</t>
  </si>
  <si>
    <t>Intermediate Seventy-sixth Girls</t>
  </si>
  <si>
    <t>Primary Seventy-ninth in the city, girls</t>
  </si>
  <si>
    <t>Primary Zaid Al-Khair Banin</t>
  </si>
  <si>
    <t>Intermediate Thirteenth in the city, girls</t>
  </si>
  <si>
    <t>High Al-Nu'man bin Malik Banin</t>
  </si>
  <si>
    <t>Primary Al-Fahdiyah Banin</t>
  </si>
  <si>
    <t>Intermediate Thirty in the city, girls</t>
  </si>
  <si>
    <t>Primary Sheikh Muhammad bin Saleh bin Uthaymeen, sons</t>
  </si>
  <si>
    <t>Primary As'ad ibn Zurarah Banu</t>
  </si>
  <si>
    <t>Primary Dar Al-Taqwa for Boys</t>
  </si>
  <si>
    <t>Twelfth grade in the city (curriculum) for girls</t>
  </si>
  <si>
    <t>Primary One hundred and twenty-eighth girls</t>
  </si>
  <si>
    <t>Imam Al-Samhudi (Curriculum) Boys</t>
  </si>
  <si>
    <t>First secondary school in the city (curriculum) for girls</t>
  </si>
  <si>
    <t>Primary Thirty after one hundred in the city, girls</t>
  </si>
  <si>
    <t>Al-Aqsa Boys</t>
  </si>
  <si>
    <t>Primary Al-Ahnaf ibn Qays al-Tamimi Banin</t>
  </si>
  <si>
    <t>Al-Nahrawan (Curriculum) Boys</t>
  </si>
  <si>
    <t>Primary Imam Ahmad ibn Hanbal Banin</t>
  </si>
  <si>
    <t>Primary Mohammedia Benin</t>
  </si>
  <si>
    <t>Primary Al-Miqdad ibn Amr ibn</t>
  </si>
  <si>
    <t>Primary Zayd ibn Haritha Banin</t>
  </si>
  <si>
    <t>Intermediate Al-Nu'man bin Muqrin Banin</t>
  </si>
  <si>
    <t>Primary Amr ibn al-Jamuh al-Ansari Banin</t>
  </si>
  <si>
    <t>Primary One hundred and twenty-second girls</t>
  </si>
  <si>
    <t>High Eighteenth Girls</t>
  </si>
  <si>
    <t>High Eleventh in the city (curriculum) Girls</t>
  </si>
  <si>
    <t>High Abu Sufyan bin Harb Banin</t>
  </si>
  <si>
    <t>Primary Ibn Manzur Banin</t>
  </si>
  <si>
    <t>High Al-Andalus Boys</t>
  </si>
  <si>
    <t>Primary Al-Hussein bin Ali binin</t>
  </si>
  <si>
    <t>High Omar bin Ali bin Abi Talib bin</t>
  </si>
  <si>
    <t>Intermediate Hisham bin Amer Al-Ansari Banin</t>
  </si>
  <si>
    <t>Primary Saeed bin Al-Harith Al-Qurashi Banin</t>
  </si>
  <si>
    <t>Intermediate Naeem bin Abdullah Al-Nahham Banin</t>
  </si>
  <si>
    <t>High Hisham bin Al-Aas Boys</t>
  </si>
  <si>
    <t>High Forty-third in the city, girls</t>
  </si>
  <si>
    <t>Intermediate Abbad bin Bishr Al-Ansari Banin</t>
  </si>
  <si>
    <t>Intermediate Forty-sixth in the city, girls</t>
  </si>
  <si>
    <t>Primary Seventeenth in the city, girls</t>
  </si>
  <si>
    <t>Imam Al-Shawkani School for Quran Memorization (Boys)</t>
  </si>
  <si>
    <t>Primary Shuran Banin</t>
  </si>
  <si>
    <t>High Forty-eighth in the city (curriculum) Girls</t>
  </si>
  <si>
    <t>High Forty-seventh in the city, girls</t>
  </si>
  <si>
    <t>Primary Wadi Bat'han Banin</t>
  </si>
  <si>
    <t>Imam Al-Dhahabi School for Quran Memorization (Boys)</t>
  </si>
  <si>
    <t>Intermediate Shuja' bin Wahb bin Rabi'ah bin Banin</t>
  </si>
  <si>
    <t>Primary Jaber bin Samra Al-Amri, sons</t>
  </si>
  <si>
    <t>Primary Forty-ninth in the city, girls</t>
  </si>
  <si>
    <t>Intermediate Ibn Hisham Banin</t>
  </si>
  <si>
    <t>E/ Forty-ninth for girls</t>
  </si>
  <si>
    <t>Primary Sixty girls in the city</t>
  </si>
  <si>
    <t>Primary Fifty-fourth in the city, girls</t>
  </si>
  <si>
    <t>High Umm Al-Qura Boys</t>
  </si>
  <si>
    <t>Eleventh Kindergarten for Girls</t>
  </si>
  <si>
    <t>High First in Al-Aqoul, girls</t>
  </si>
  <si>
    <t>Primary Sakina bint Abi Waqqas, daughters</t>
  </si>
  <si>
    <t>Primary Ammar bin Yasir Banin</t>
  </si>
  <si>
    <t>Jerusalem Boys</t>
  </si>
  <si>
    <t>Al-Jarf Boys</t>
  </si>
  <si>
    <t>Intermediate Twenty-fourth in the city, girls</t>
  </si>
  <si>
    <t>Intermediate Sixty-one in the city, girls</t>
  </si>
  <si>
    <t>Primary Al-Saqqaf Banin</t>
  </si>
  <si>
    <t>Primary Thirty-eighth in the city, girls</t>
  </si>
  <si>
    <t>Primary Aqeel bin Abi Talib, sons</t>
  </si>
  <si>
    <t>Imam Nafi' al-Laythi Boys' School</t>
  </si>
  <si>
    <t>Abdullah bin Umm Maktoum Banin</t>
  </si>
  <si>
    <t>Primary Tenth in the city, girls</t>
  </si>
  <si>
    <t>Primary Sheikh Abdulaziz bin Saleh Banin</t>
  </si>
  <si>
    <t>Intermediate Hawa Banat</t>
  </si>
  <si>
    <t>Intermediate Al-Khamsoun, girls of the city</t>
  </si>
  <si>
    <t>Primary Hala bint Awf Banat</t>
  </si>
  <si>
    <t>Seventh Kindergarten for Girls</t>
  </si>
  <si>
    <t>Fifth Kindergarten for Girls</t>
  </si>
  <si>
    <t>Intermediate Nineteenth in the city, girls</t>
  </si>
  <si>
    <t>Sixth Kindergarten for Girls</t>
  </si>
  <si>
    <t>Intermediate Al-Arba'un, girls of the city</t>
  </si>
  <si>
    <t>Primary The 104th in the city, girls</t>
  </si>
  <si>
    <t>Intermediate Abdullah bin Mazoun Banin</t>
  </si>
  <si>
    <t>High Forty-sixth in the city, girls</t>
  </si>
  <si>
    <t>High Nineteenth in the city (curriculum) Girls</t>
  </si>
  <si>
    <t>Primary Seventy-eighth in the city, girls</t>
  </si>
  <si>
    <t>Primary Second in the city, girls</t>
  </si>
  <si>
    <t>Ibn Hazm Banin</t>
  </si>
  <si>
    <t>The twenty-seventh kindergarten for girls</t>
  </si>
  <si>
    <t>Primary Salma bint Qais Banat</t>
  </si>
  <si>
    <t>Primary Bani Najjar Banin</t>
  </si>
  <si>
    <t>Primary One hundred and twenty-first in the city, girls</t>
  </si>
  <si>
    <t>Intermediate Thirty-eighth in the city, girls</t>
  </si>
  <si>
    <t>High Fifty-second Girls</t>
  </si>
  <si>
    <t>Primary Sixty-third in the city, girls</t>
  </si>
  <si>
    <t>High Twenty girls in the city</t>
  </si>
  <si>
    <t>Intermediate Twenty-eighth in the city, girls</t>
  </si>
  <si>
    <t>Primary Twenty-fourth in the city, girls</t>
  </si>
  <si>
    <t>Primary Fifty-seventh in the city, girls</t>
  </si>
  <si>
    <t>Primary One hundred and fifteenth in the city, girls</t>
  </si>
  <si>
    <t>Primary Ninth Quran Memorization Center in Madinah (Girls)</t>
  </si>
  <si>
    <t>Primary One hundred and nine in the city, girls</t>
  </si>
  <si>
    <t>Primary Abdullah bin Jahsh Banin</t>
  </si>
  <si>
    <t>Primary Two-testimony boys</t>
  </si>
  <si>
    <t>Primary Forty-sixth in the city, girls</t>
  </si>
  <si>
    <t>Intermediate Fifty-first in the city, girls</t>
  </si>
  <si>
    <t>Intermediate Al-Arqam bin Abi Al-Arqam bin</t>
  </si>
  <si>
    <t>Primary Saudi Arabia, Benin</t>
  </si>
  <si>
    <t>Intermediate Eighteenth in the city, girls</t>
  </si>
  <si>
    <t>Primary Sixty-second in the city, girls</t>
  </si>
  <si>
    <t>High Al-Ma'moun Banin</t>
  </si>
  <si>
    <t>Primary Safiyya bint Umar ibn al-Khattab</t>
  </si>
  <si>
    <t>First Quran Memorization School for Girls in Madinah</t>
  </si>
  <si>
    <t>Primary Abdullah bin Amr bin Al-Aas bin</t>
  </si>
  <si>
    <t>High Twenty-fourth in the city (curriculum) Girls</t>
  </si>
  <si>
    <t>High Prince Mohammed bin Abdulaziz</t>
  </si>
  <si>
    <t>Intermediate Thirty-fourth in the city, girls</t>
  </si>
  <si>
    <t>High Twenty-sixth in the city, girls</t>
  </si>
  <si>
    <t>Sheikh Mohammed bin Ibrahim Banin</t>
  </si>
  <si>
    <t>Seventy-seventh Girls' Elementary School</t>
  </si>
  <si>
    <t>Primary Mu'adh ibn al-Harith ibn</t>
  </si>
  <si>
    <t>King Abdullah bin Abdulaziz, sons</t>
  </si>
  <si>
    <t>Primary Mujahid bin Jabr binin</t>
  </si>
  <si>
    <t>Primary Ninety-eighth in the city, girls</t>
  </si>
  <si>
    <t>Intermediate Seventy-fourth in the city, girls</t>
  </si>
  <si>
    <t>Primary Ubadah ibn Qays al-Ansari Banin</t>
  </si>
  <si>
    <t>High Marz Al-Iman (Curriculum) Boys</t>
  </si>
  <si>
    <t>Intermediate Sheikh Abdulaziz bin Baz Banin</t>
  </si>
  <si>
    <t>Primary Fifty-third in the city, girls</t>
  </si>
  <si>
    <t>Intermediate Amr bin Othman Al-Qurashi Banin</t>
  </si>
  <si>
    <t>Fifteenth Kindergarten for Girls</t>
  </si>
  <si>
    <t>Primary Thirty-third in the city, girls</t>
  </si>
  <si>
    <t>Primary Safiyya bint Abd al-Muttalib, daughters</t>
  </si>
  <si>
    <t>Primary Mecca</t>
  </si>
  <si>
    <t>Intermediate Seventeenth in the city, girls</t>
  </si>
  <si>
    <t>High Dar Al-Abrar (Curriculum) Boys</t>
  </si>
  <si>
    <t>Primary Abu Ayyub al-Ansari Banin</t>
  </si>
  <si>
    <t>Intermediate Twenty-second Girls</t>
  </si>
  <si>
    <t>Primary Abu al-Tayyib al-Mutanabbi Banin</t>
  </si>
  <si>
    <t>The twenty-first kindergarten in the city</t>
  </si>
  <si>
    <t>Primary Al-Mundhir ibn Qays ibn Banin</t>
  </si>
  <si>
    <t>Sixth Secondary</t>
  </si>
  <si>
    <t>Al-Khwarizmi Boys</t>
  </si>
  <si>
    <t>Primary One hundred tenth in the city, girls</t>
  </si>
  <si>
    <t>Intermediate Seventy-two in the city, girls</t>
  </si>
  <si>
    <t>High Twenty-ninth in the city (curriculum) Girls</t>
  </si>
  <si>
    <t>Primary Al-Aridh Banin</t>
  </si>
  <si>
    <t>High Twenty-fifth in the city, girls</t>
  </si>
  <si>
    <t>High Fifteenth in the city, girls</t>
  </si>
  <si>
    <t>Primary The 126th in the city, girls</t>
  </si>
  <si>
    <t>Intermediate Al-Sab'un in the city, girls</t>
  </si>
  <si>
    <t>The twenty-fifth kindergarten for girls</t>
  </si>
  <si>
    <t>Omar Ibn Al-Khattab Boys</t>
  </si>
  <si>
    <t>High Abu Bakr Al-Razi Boys</t>
  </si>
  <si>
    <t>High Dar Al-Iman (Curriculum) Boys</t>
  </si>
  <si>
    <t>Primary Hamza bin Abdul-Muttalib Banin</t>
  </si>
  <si>
    <t>Princess Noura bint Abdulrahman's daughters</t>
  </si>
  <si>
    <t>Primary Nusaybah bint al-Harith daughters</t>
  </si>
  <si>
    <t>Intermediate Twenty-sixth in the city, girls</t>
  </si>
  <si>
    <t>Thirtieth Elementary School</t>
  </si>
  <si>
    <t>The twentieth elementary school (early childhood)</t>
  </si>
  <si>
    <t>Al-Qaqa'a Bin Amr Intermediate School</t>
  </si>
  <si>
    <t>Second Girls' Primary School for Memorizing the Holy Quran</t>
  </si>
  <si>
    <t>The 28th High School and the 32nd Intermediate School</t>
  </si>
  <si>
    <t>Sixty-eighth Intermediate School</t>
  </si>
  <si>
    <t>Seventy-oneth Intermediate School</t>
  </si>
  <si>
    <t>Sixty-oneth Elementary School</t>
  </si>
  <si>
    <t>Mohammed Bin Suleiman Bin Rifaa Intermediate School</t>
  </si>
  <si>
    <t>Hattin Elementary School (Early Childhood)</t>
  </si>
  <si>
    <t>Ruqayya Bint Al-Nabi Secondary School ﷺ</t>
  </si>
  <si>
    <t>Imam Hamza Bin Habib Al-Zayyat School</t>
  </si>
  <si>
    <t>Fifth High School</t>
  </si>
  <si>
    <t>The thirty-seventh intermediate</t>
  </si>
  <si>
    <t>For the 82nd Girls' Elementary School</t>
  </si>
  <si>
    <t>Asim Bin Al-Hakam High School</t>
  </si>
  <si>
    <t>Al-Abbas Bin Abdul-Muttalib Secondary School for Boys</t>
  </si>
  <si>
    <t>Ibn Al-Qayyim High School</t>
  </si>
  <si>
    <t>Mohammed Bin Saud Secondary School for Boys</t>
  </si>
  <si>
    <t>Wahb Bin Saad Elementary School</t>
  </si>
  <si>
    <t>24.469814346876298, 39.58362062449357</t>
  </si>
  <si>
    <t>24.480399865261763, 39.58252889565849</t>
  </si>
  <si>
    <t>24.485641008756367, 39.57631054003615</t>
  </si>
  <si>
    <t>24.479669094325818, 39.583173042570195</t>
  </si>
  <si>
    <t>24.475087344020427, 39.589074813471186</t>
  </si>
  <si>
    <t>24.451718343683417, 39.62110025332814</t>
  </si>
  <si>
    <t>24.48655897240963, 39.595975417105706</t>
  </si>
  <si>
    <t>24.47057611075996, 39.55365960915235</t>
  </si>
  <si>
    <t>24.45751180237377, 39.49284319565786</t>
  </si>
  <si>
    <t>24.460973739451177, 39.526892756992744</t>
  </si>
  <si>
    <t>24.45471032054875, 39.54163438798704</t>
  </si>
  <si>
    <t>24.4667655089983, 39.516636022646445</t>
  </si>
  <si>
    <t>24.495107568862885, 39.52466019565901</t>
  </si>
  <si>
    <t>24.484402159047537, 39.575310066823356</t>
  </si>
  <si>
    <t>24.4374870795406, 39.5012915599554</t>
  </si>
  <si>
    <t>24.45375146565906, 39.5335756269543</t>
  </si>
  <si>
    <t>24.461635992493026, 39.52132053297037</t>
  </si>
  <si>
    <t>24.466589355055284, 39.63180121702137</t>
  </si>
  <si>
    <t>24.452992641847615, 39.60021729565754</t>
  </si>
  <si>
    <t>24.420121370673446, 39.59346495702121</t>
  </si>
  <si>
    <t>24.49362236472899, 39.59758916682364</t>
  </si>
  <si>
    <t>24.45747021370707, 39.65815938233104</t>
  </si>
  <si>
    <t>24.481992151083617, 39.62413889549428</t>
  </si>
  <si>
    <t>24.51575553356764, 39.576170824494874</t>
  </si>
  <si>
    <t>24.483817216347965, 39.67131298031749</t>
  </si>
  <si>
    <t>24.42544971324434, 39.51254386682151</t>
  </si>
  <si>
    <t>24.550006757049694, 39.567479953331485</t>
  </si>
  <si>
    <t>24.434505731057527, 39.61309931438188</t>
  </si>
  <si>
    <t>24.45219037523838, 39.613366212845854</t>
  </si>
  <si>
    <t>24.50919938515398, 39.56628646307346</t>
  </si>
  <si>
    <t>24.464520858721826, 39.56311976682266</t>
  </si>
  <si>
    <t>24.46011833080322, 39.60583369565784</t>
  </si>
  <si>
    <t>24.460146771352406, 39.62804603604637</t>
  </si>
  <si>
    <t>24.45319545293729, 39.685906741429804</t>
  </si>
  <si>
    <t>24.448951946090638, 39.639251055175116</t>
  </si>
  <si>
    <t>24.476188677737532, 39.64491786682309</t>
  </si>
  <si>
    <t>24.483561832121183, 39.67760176682322</t>
  </si>
  <si>
    <t>24.463380223042375, 39.635069995658085</t>
  </si>
  <si>
    <t>24.455731969817045, 39.61488549565756</t>
  </si>
  <si>
    <t>24.62811382552191, 39.587752452941174</t>
  </si>
  <si>
    <t>24.459228248450664, 39.64226601895186</t>
  </si>
  <si>
    <t>24.480848300239053, 39.51730762449392</t>
  </si>
  <si>
    <t>24.49328199181534, 39.60833358031779</t>
  </si>
  <si>
    <t>24.46935589364079, 39.5996774954499</t>
  </si>
  <si>
    <t>24.46409990232988, 39.58732227672561</t>
  </si>
  <si>
    <t>24.481387217308963, 39.624383520352424</t>
  </si>
  <si>
    <t>24.479012016149273, 39.62992616497609</t>
  </si>
  <si>
    <t>24.551487545578052, 39.750950172270336</t>
  </si>
  <si>
    <t>24.54078200170585, 39.66216297070265</t>
  </si>
  <si>
    <t>24.445744082663172, 39.63303446682197</t>
  </si>
  <si>
    <t>24.423596022121565, 39.59101300915081</t>
  </si>
  <si>
    <t>24.43439546491611, 39.59767096866867</t>
  </si>
  <si>
    <t>24.45649410235953, 39.667215439834315</t>
  </si>
  <si>
    <t>24.48694197199314, 39.572613364976434</t>
  </si>
  <si>
    <t>24.562601373677023, 39.555479884296574</t>
  </si>
  <si>
    <t>24.56231034038264, 39.68199343885977</t>
  </si>
  <si>
    <t>24.44627632235301, 39.66310339565739</t>
  </si>
  <si>
    <t>24.483172960956164, 39.62125628827028</t>
  </si>
  <si>
    <t>24.49010602216838, 39.67390178248499</t>
  </si>
  <si>
    <t>24.44011808789781, 39.66060366866894</t>
  </si>
  <si>
    <t>24.4839879981667, 39.57565395594196</t>
  </si>
  <si>
    <t>24.434528193097975, 39.65320839565687</t>
  </si>
  <si>
    <t>24.419003330817098, 39.651927683303114</t>
  </si>
  <si>
    <t>24.47254688143168, 39.64230073054563</t>
  </si>
  <si>
    <t>24.500299708722096, 39.651096411000296</t>
  </si>
  <si>
    <t>24.424230833965204, 39.63741390915078</t>
  </si>
  <si>
    <t>24.40551191540971, 39.50163268915441</t>
  </si>
  <si>
    <t>24.488614752505757, 39.59999039565876</t>
  </si>
  <si>
    <t>24.400736247688855, 39.501957666820644</t>
  </si>
  <si>
    <t>24.441023701704093, 39.63384500468524</t>
  </si>
  <si>
    <t>24.45569087222465, 39.65796983798702</t>
  </si>
  <si>
    <t>24.45489433140154, 39.58606680782799</t>
  </si>
  <si>
    <t>24.461341248076373, 39.62904410947499</t>
  </si>
  <si>
    <t>24.40078617616885, 39.50195513429119</t>
  </si>
  <si>
    <t>24.464132841062362, 39.62817374369547</t>
  </si>
  <si>
    <t>24.551001432132956, 39.751199237990356</t>
  </si>
  <si>
    <t>24.56583644308988, 39.54854659982482</t>
  </si>
  <si>
    <t>24.55282388760717, 39.68011209566086</t>
  </si>
  <si>
    <t>21.44159261067841, 39.79377125323434</t>
  </si>
  <si>
    <t>24.56199865441982, 39.556335382167134</t>
  </si>
  <si>
    <t>24.443931937010213, 39.61175934685198</t>
  </si>
  <si>
    <t>24.464229180935007, 39.53911322449321</t>
  </si>
  <si>
    <t>24.48655170017852, 39.621995782164674</t>
  </si>
  <si>
    <t>24.454617310113363, 39.5328599986443</t>
  </si>
  <si>
    <t>24.56952775994909, 39.642738771783925</t>
  </si>
  <si>
    <t>24.47355738974771, 39.638185666823034</t>
  </si>
  <si>
    <t>24.460738295775897, 39.53430206682262</t>
  </si>
  <si>
    <t>24.522657882844793, 39.572899112848134</t>
  </si>
  <si>
    <t>24.45220504246404, 39.6203708533282</t>
  </si>
  <si>
    <t>24.443475822547658, 39.480508853328004</t>
  </si>
  <si>
    <t>24.498674862766947, 39.58197226682386</t>
  </si>
  <si>
    <t>24.48195891981019, 39.52095579935271</t>
  </si>
  <si>
    <t>24.694658881250398, 46.73433238799513</t>
  </si>
  <si>
    <t>21.53866240330601, 39.213756363989276</t>
  </si>
  <si>
    <t>24.45795010179582, 39.659865666822476</t>
  </si>
  <si>
    <t>24.46413369200677, 39.64220031977597</t>
  </si>
  <si>
    <t>24.458503633291734, 39.66366123198121</t>
  </si>
  <si>
    <t>24.477836874989137, 39.5568407533158</t>
  </si>
  <si>
    <t>24.488660715266278, 39.59314979381168</t>
  </si>
  <si>
    <t>24.458290006709557, 39.64184452079891</t>
  </si>
  <si>
    <t>24.46321581082852, 39.63958489966107</t>
  </si>
  <si>
    <t>24.457364195797403, 39.667177100964366</t>
  </si>
  <si>
    <t>24.40584823923769, 39.523524646253264</t>
  </si>
  <si>
    <t>24.45530224006962, 39.52692301099889</t>
  </si>
  <si>
    <t>24.516196094398367, 39.54705929565974</t>
  </si>
  <si>
    <t>24.442705898763839.4735080499999</t>
  </si>
  <si>
    <t>24.47250513741963, 39.50568123798778</t>
  </si>
  <si>
    <t>24.496382851079776, 39.53689380915307</t>
  </si>
  <si>
    <t>24.44669585721132, 39.61036352449278</t>
  </si>
  <si>
    <t>24.4518034123867, 39.4865145965301</t>
  </si>
  <si>
    <t>24.406833960964807, 39.50032074199047</t>
  </si>
  <si>
    <t>24.422935003879104, 39.50904608216257</t>
  </si>
  <si>
    <t>24.423225853335605, 39.50966003983313</t>
  </si>
  <si>
    <t>24.42467083359024, 39.51181411099791</t>
  </si>
  <si>
    <t>24.522309754205452, 39.54650084369544</t>
  </si>
  <si>
    <t>24.44383539.612317</t>
  </si>
  <si>
    <t>24.438622775698639.6074616909027</t>
  </si>
  <si>
    <t>24.45756498704104, 39.65276555548459</t>
  </si>
  <si>
    <t>24.45090734450117, 39.65337878031639</t>
  </si>
  <si>
    <t>24.356568551414917, 39.56598473321245</t>
  </si>
  <si>
    <t>24.518978121228297, 39.57138396682461</t>
  </si>
  <si>
    <t>24.50546869662269, 39.568134399661076</t>
  </si>
  <si>
    <t>24.462758552495703, 39.64218018401097</t>
  </si>
  <si>
    <t>24.45432477642326, 39.66666581895172</t>
  </si>
  <si>
    <t>24.46590326440278, 39.66160784019402</t>
  </si>
  <si>
    <t>24.4508970305648, 39.64842633249118</t>
  </si>
  <si>
    <t>24.45778339.541699</t>
  </si>
  <si>
    <t>24.475747662895312, 39.55508206660622</t>
  </si>
  <si>
    <t>24.456157808033428, 39.51955205332823</t>
  </si>
  <si>
    <t>24.435186117262692, 39.48131706796192</t>
  </si>
  <si>
    <t>24.459109078772627, 39.6643853808973</t>
  </si>
  <si>
    <t>24.498072439939.5840695024</t>
  </si>
  <si>
    <t>24.504228243726086, 39.58008814336018</t>
  </si>
  <si>
    <t>24.450242962130105, 39.6329025109051</t>
  </si>
  <si>
    <t>24.54491029291204, 39.565410934613375</t>
  </si>
  <si>
    <t>24.543746726234247, 39.56615870915472</t>
  </si>
  <si>
    <t>24.476681030646052, 39.65609485702305</t>
  </si>
  <si>
    <t>24.492570309217648, 39.617868049118236</t>
  </si>
  <si>
    <t>24.449225582196366, 39.638314788269106</t>
  </si>
  <si>
    <t>24.446107018468126, 39.651187395657445</t>
  </si>
  <si>
    <t>24.418432461354993, 39.59440998216236</t>
  </si>
  <si>
    <t>24.551407313714293, 39.67570781100197</t>
  </si>
  <si>
    <t>24.44507765166766, 39.670540824492704</t>
  </si>
  <si>
    <t>24.538477734843426, 39.68679979566045</t>
  </si>
  <si>
    <t>24.496028535825243, 39.58634582449434</t>
  </si>
  <si>
    <t>24.492830979839.5685267448</t>
  </si>
  <si>
    <t>24.557256959519826, 39.67560293732401</t>
  </si>
  <si>
    <t>24.471961913344057, 39.63766828031703</t>
  </si>
  <si>
    <t>24.55502632006703, 39.739117411548214</t>
  </si>
  <si>
    <t>24.460910435839.6217942267</t>
  </si>
  <si>
    <t>24.502832786314418, 39.611200743695456</t>
  </si>
  <si>
    <t>24.468074612140477, 39.60826069707827</t>
  </si>
  <si>
    <t>24.495866831419224, 39.56947888549511</t>
  </si>
  <si>
    <t>24.479405680185874, 39.58183903798797</t>
  </si>
  <si>
    <t>24.523142625839.6704185009</t>
  </si>
  <si>
    <t>24.488209424376063, 39.60236463700668</t>
  </si>
  <si>
    <t>24.451281864471298, 39.6086686972886</t>
  </si>
  <si>
    <t>24.409150938419664, 39.633577487235975</t>
  </si>
  <si>
    <t>24.508670456533366, 39.679567695659415</t>
  </si>
  <si>
    <t>24.386848995424103, 39.607876895655416</t>
  </si>
  <si>
    <t>24.459489745232975, 39.60846170908593</t>
  </si>
  <si>
    <t>24.489945379239.6744147242</t>
  </si>
  <si>
    <t>24.497208773363198, 39.674865404055275</t>
  </si>
  <si>
    <t>24.507980373543237, 39.67972573798892</t>
  </si>
  <si>
    <t>24.545101689793704, 39.67955517094319</t>
  </si>
  <si>
    <t>24.48663952215761, 39.65505313798806</t>
  </si>
  <si>
    <t>24.505925643715475, 39.61563265224959</t>
  </si>
  <si>
    <t>24.495046726634467, 39.5969135307544</t>
  </si>
  <si>
    <t>24.53326374643979, 39.645245425871096</t>
  </si>
  <si>
    <t>24.53169580209823, 39.64619552993005</t>
  </si>
  <si>
    <t>24.450947044385988, 39.64940778031631</t>
  </si>
  <si>
    <t>24.460833068617838, 39.62214315332853</t>
  </si>
  <si>
    <t>24.47692048165755, 39.6556663036113</t>
  </si>
  <si>
    <t>24.498298131870484, 39.60554641942669</t>
  </si>
  <si>
    <t>24.609699926205234, 39.6181945641427</t>
  </si>
  <si>
    <t>24.450092312288348, 39.6185299668222</t>
  </si>
  <si>
    <t>24.54914330282048, 39.74023100730787</t>
  </si>
  <si>
    <t>24.52546020171462, 39.669713194577184</t>
  </si>
  <si>
    <t>24.478291339486113, 39.63593121099967</t>
  </si>
  <si>
    <t>24.481767263138742, 39.62365246497608</t>
  </si>
  <si>
    <t>24.455430331189394, 39.625594349634135</t>
  </si>
  <si>
    <t>24.457970831064873, 39.49301486000903</t>
  </si>
  <si>
    <t>24.44524831979949, 39.5847618244927</t>
  </si>
  <si>
    <t>24.43220396763341, 39.63358299565695</t>
  </si>
  <si>
    <t>24.620074561141074, 39.493366670911186</t>
  </si>
  <si>
    <t>24.495122315961634, 39.64135545332954</t>
  </si>
  <si>
    <t>24.416279587371612, 39.59476385332689</t>
  </si>
  <si>
    <t>24.51461742492157, 39.66354381284794</t>
  </si>
  <si>
    <t>24.45273500819006, 39.6629132938106</t>
  </si>
  <si>
    <t>24.398696333296297, 39.52722936682057</t>
  </si>
  <si>
    <t>24.44216648992665, 39.58431459565717</t>
  </si>
  <si>
    <t>24.478884417614545, 39.63525472847016</t>
  </si>
  <si>
    <t>24.548326793900326, 39.678970458727775</t>
  </si>
  <si>
    <t>24.44559784298602, 39.61718065702219</t>
  </si>
  <si>
    <t>24.447920781896634, 39.60537695332813</t>
  </si>
  <si>
    <t>24.45274460915015, 39.52443249565752</t>
  </si>
  <si>
    <t>24.473197411522303, 39.56240573798763</t>
  </si>
  <si>
    <t>24.465801525949697, 39.587830253328484</t>
  </si>
  <si>
    <t>24.50983333331281, 39.54898130915349</t>
  </si>
  <si>
    <t>Madina</t>
  </si>
  <si>
    <t>HLY2020627035968</t>
  </si>
  <si>
    <t>SXE2020627027992</t>
  </si>
  <si>
    <t>HLY202062703387</t>
  </si>
  <si>
    <t>SXE2020627076735</t>
  </si>
  <si>
    <t>HLY2020627016433</t>
  </si>
  <si>
    <t>HLY2020627016467</t>
  </si>
  <si>
    <t>SXE2020627027987</t>
  </si>
  <si>
    <t>SXE2020627082332</t>
  </si>
  <si>
    <t>HLY2020627016361</t>
  </si>
  <si>
    <t>SXE2020627083836</t>
  </si>
  <si>
    <t>SMR2420628007854</t>
  </si>
  <si>
    <t>SXE2020627083828</t>
  </si>
  <si>
    <t>SXE2020627083702</t>
  </si>
  <si>
    <t>HLY2020627035966</t>
  </si>
  <si>
    <t>SXE2020627083700</t>
  </si>
  <si>
    <t>SXE2020627083620</t>
  </si>
  <si>
    <t>HLY2020627033610</t>
  </si>
  <si>
    <t>SXE2020627081824</t>
  </si>
  <si>
    <t>SXE2020627078309</t>
  </si>
  <si>
    <t>ALH2020807203086</t>
  </si>
  <si>
    <t>SXE2020627082920</t>
  </si>
  <si>
    <t>HLY2020627034412</t>
  </si>
  <si>
    <t>SXE2020627068881</t>
  </si>
  <si>
    <t>HLY2020627013466</t>
  </si>
  <si>
    <t>HLY2020627016362</t>
  </si>
  <si>
    <t>HLY2020627016382</t>
  </si>
  <si>
    <t>SMR2220621010498</t>
  </si>
  <si>
    <t>SXE2020627082957</t>
  </si>
  <si>
    <t>SXE2020627067642</t>
  </si>
  <si>
    <t>HLY2020627033386</t>
  </si>
  <si>
    <t>SXE2020627082256</t>
  </si>
  <si>
    <t>SXE2020627082919</t>
  </si>
  <si>
    <t>HLY2020627033801</t>
  </si>
  <si>
    <t>SXE2020627083830</t>
  </si>
  <si>
    <t>HLY2020627033897</t>
  </si>
  <si>
    <t>HLY2020627013621</t>
  </si>
  <si>
    <t>HLY2020627013645</t>
  </si>
  <si>
    <t>HLY2020627013569</t>
  </si>
  <si>
    <t>SXE2020627067606</t>
  </si>
  <si>
    <t>HLY2020627014263</t>
  </si>
  <si>
    <t>HLY2020627033268</t>
  </si>
  <si>
    <t>HLY2020627033607</t>
  </si>
  <si>
    <t>HLY2020627035361</t>
  </si>
  <si>
    <t>HLY2020627013626</t>
  </si>
  <si>
    <t>HLY2020627016360</t>
  </si>
  <si>
    <t>HLY2020627033815</t>
  </si>
  <si>
    <t>SXE2120627100423</t>
  </si>
  <si>
    <t>HLY2020627033183</t>
  </si>
  <si>
    <t>HLY2020627033274</t>
  </si>
  <si>
    <t>SXE2020627067289</t>
  </si>
  <si>
    <t>HLY2020627033831</t>
  </si>
  <si>
    <t>SXE2020627067331</t>
  </si>
  <si>
    <t>HLY2020627034497</t>
  </si>
  <si>
    <t>HLY2020627033637</t>
  </si>
  <si>
    <t>HLY2020627035392</t>
  </si>
  <si>
    <t>HLY2020627013353</t>
  </si>
  <si>
    <t>HLY2020627013628</t>
  </si>
  <si>
    <t>HLY2020627013527</t>
  </si>
  <si>
    <t>HLY2020627013538</t>
  </si>
  <si>
    <t>HLY2020627016464</t>
  </si>
  <si>
    <t>HLY2020627033389</t>
  </si>
  <si>
    <t>HLY2020627013582</t>
  </si>
  <si>
    <t>HLY2020627033835</t>
  </si>
  <si>
    <t>SXE2020627083839</t>
  </si>
  <si>
    <t>SXE2020627055303</t>
  </si>
  <si>
    <t>SXE2020627078362</t>
  </si>
  <si>
    <t>SXE2020627082357</t>
  </si>
  <si>
    <t>SXE2020627078305</t>
  </si>
  <si>
    <t>SXE2020627082356</t>
  </si>
  <si>
    <t>SXE2020627078363</t>
  </si>
  <si>
    <t>HLY2020627013581</t>
  </si>
  <si>
    <t>HLY2020627013595</t>
  </si>
  <si>
    <t>HLY2020627033840</t>
  </si>
  <si>
    <t>HLY2020627033857</t>
  </si>
  <si>
    <t>SXE2020627082360</t>
  </si>
  <si>
    <t>HYL2020627033783</t>
  </si>
  <si>
    <t>HLY2020627033181</t>
  </si>
  <si>
    <t>HLY2020627035365</t>
  </si>
  <si>
    <t>SXE2020627082292</t>
  </si>
  <si>
    <t>SXE2020627082354</t>
  </si>
  <si>
    <t>HLY2020627035391</t>
  </si>
  <si>
    <t>SXE2020627081341</t>
  </si>
  <si>
    <t>SXE2020627083826</t>
  </si>
  <si>
    <t>SXE2020627054645</t>
  </si>
  <si>
    <t>SXE2020627076734</t>
  </si>
  <si>
    <t>HLY2020627033852</t>
  </si>
  <si>
    <t>SXE2020627079899</t>
  </si>
  <si>
    <t>HLY2020627016363</t>
  </si>
  <si>
    <t>SXE2020627082516</t>
  </si>
  <si>
    <t>HLY2020627016466</t>
  </si>
  <si>
    <t>HLY2020627016766</t>
  </si>
  <si>
    <t>HLY2020627033655</t>
  </si>
  <si>
    <t>HLY2020627033606</t>
  </si>
  <si>
    <t>SXE2020627083622</t>
  </si>
  <si>
    <t>HLY2020627035398</t>
  </si>
  <si>
    <t>HLY2020627016840</t>
  </si>
  <si>
    <t>HLY2020627033287</t>
  </si>
  <si>
    <t>HLY2020627034451</t>
  </si>
  <si>
    <t>SXE2020627082326</t>
  </si>
  <si>
    <t>HLY2020627016434</t>
  </si>
  <si>
    <t>HLY2020627033286</t>
  </si>
  <si>
    <t>HLY2020627033288</t>
  </si>
  <si>
    <t>HLY2020627034414</t>
  </si>
  <si>
    <t>SXE2020627067710</t>
  </si>
  <si>
    <t>SXE2020627083837</t>
  </si>
  <si>
    <t>HLY2020627033427</t>
  </si>
  <si>
    <t>HLY2020627016760</t>
  </si>
  <si>
    <t>SXE2020627083759</t>
  </si>
  <si>
    <t>HLY2020627033634</t>
  </si>
  <si>
    <t>SXE2020627078312</t>
  </si>
  <si>
    <t>HLY2020627033666</t>
  </si>
  <si>
    <t>SXE2020627082358</t>
  </si>
  <si>
    <t>SXE2020627082368</t>
  </si>
  <si>
    <t>SXE2120627113099</t>
  </si>
  <si>
    <t>HLY2020627033789</t>
  </si>
  <si>
    <t>HLY2020627033429</t>
  </si>
  <si>
    <t>SXE2020627078383</t>
  </si>
  <si>
    <t>MMF2020807358095</t>
  </si>
  <si>
    <t>HLY2020627013603</t>
  </si>
  <si>
    <t>HLY2020627013604</t>
  </si>
  <si>
    <t>SXE2020627082902</t>
  </si>
  <si>
    <t>HLY2020627013409</t>
  </si>
  <si>
    <t>SXE2020627082517</t>
  </si>
  <si>
    <t>HLY2020627033289</t>
  </si>
  <si>
    <t>HLY2020627016430</t>
  </si>
  <si>
    <t>HLY2020627033298</t>
  </si>
  <si>
    <t>HLY2020627013534</t>
  </si>
  <si>
    <t>SXE2020627083832</t>
  </si>
  <si>
    <t>SXE2020627082325</t>
  </si>
  <si>
    <t>SXE2020627083840</t>
  </si>
  <si>
    <t>HLY2020627016800</t>
  </si>
  <si>
    <t>HLY2020627034498</t>
  </si>
  <si>
    <t>HLY2020627034478</t>
  </si>
  <si>
    <t>HLY2020627033657</t>
  </si>
  <si>
    <t>SXE2020627067288</t>
  </si>
  <si>
    <t>HLY2020627035394</t>
  </si>
  <si>
    <t>SXE2020627082344</t>
  </si>
  <si>
    <t>HLY2020627013451</t>
  </si>
  <si>
    <t>HLY2020627016500</t>
  </si>
  <si>
    <t>HLY2020627033896</t>
  </si>
  <si>
    <t>HLY2020627013553</t>
  </si>
  <si>
    <t>SXE2020627082997</t>
  </si>
  <si>
    <t>SXE2020627082338</t>
  </si>
  <si>
    <t>HLY2020627033805</t>
  </si>
  <si>
    <t>HLY2020627013387</t>
  </si>
  <si>
    <t>HLY2020627033652</t>
  </si>
  <si>
    <t>HLY2020627033651</t>
  </si>
  <si>
    <t>SXE22020627082289</t>
  </si>
  <si>
    <t>HLY2020627033886</t>
  </si>
  <si>
    <t>HLY2020627033236</t>
  </si>
  <si>
    <t>SXE2020627055297</t>
  </si>
  <si>
    <t>HLY2020627033876</t>
  </si>
  <si>
    <t>SXE2020627082938</t>
  </si>
  <si>
    <t>HLY2020627033744</t>
  </si>
  <si>
    <t>HLY2020627033866</t>
  </si>
  <si>
    <t>HLY2020627034477</t>
  </si>
  <si>
    <t>HLY2020627033834</t>
  </si>
  <si>
    <t>SXE2020627000963</t>
  </si>
  <si>
    <t>HLY2020627033776</t>
  </si>
  <si>
    <t>SMR2320621014254</t>
  </si>
  <si>
    <t>HLY2020627033788</t>
  </si>
  <si>
    <t>SXE2020627000961</t>
  </si>
  <si>
    <t>HLY2020627013555</t>
  </si>
  <si>
    <t>HLY2020627013549</t>
  </si>
  <si>
    <t>HLY2020627013532</t>
  </si>
  <si>
    <t>SXE2020627082376</t>
  </si>
  <si>
    <t>SXE2020627082482</t>
  </si>
  <si>
    <t>HLY2020627033393</t>
  </si>
  <si>
    <t>SXE2020627082913</t>
  </si>
  <si>
    <t>HLY2020627016448</t>
  </si>
  <si>
    <t>HLY2020627016450</t>
  </si>
  <si>
    <t>SXE2020717039579</t>
  </si>
  <si>
    <t>HLY2020627013615</t>
  </si>
  <si>
    <t>HLY2020627033229</t>
  </si>
  <si>
    <t>SMR2420628004480</t>
  </si>
  <si>
    <t>SXE2020627079202</t>
  </si>
  <si>
    <t>SXE2020627078380</t>
  </si>
  <si>
    <t>HLY2020627033240</t>
  </si>
  <si>
    <t>SXE2020627082295</t>
  </si>
  <si>
    <t>SXE2020627077341/SXE2020627077362</t>
  </si>
  <si>
    <t>HLY2020627013506</t>
  </si>
  <si>
    <t>SXE2020627029643/SXE2020627080226</t>
  </si>
  <si>
    <t>SXE2020627078310</t>
  </si>
  <si>
    <t>SXE2020627054902</t>
  </si>
  <si>
    <t>SXE2020627078361</t>
  </si>
  <si>
    <t>SMR2020865017380/ALH2020807216571</t>
  </si>
  <si>
    <t>SXE2020627082994</t>
  </si>
  <si>
    <t>HLY2020627033223</t>
  </si>
  <si>
    <t>HLY2020627034452</t>
  </si>
  <si>
    <t>HLY2020627016787</t>
  </si>
  <si>
    <t>SXE2020627054900</t>
  </si>
  <si>
    <t>SMR2320621012923
SXE2020627077341
KFM2120655006088
SXE2020627077338
SXE2020627077362</t>
  </si>
  <si>
    <t>SXE2020627082294</t>
  </si>
  <si>
    <t>SXE2020627068975
SXE2020627068974
SXE2020627000135</t>
  </si>
  <si>
    <t>SXE2020627078311</t>
  </si>
  <si>
    <t>SXE2020627066166
SXE2020627083825</t>
  </si>
  <si>
    <t>SXE2020627068889</t>
  </si>
  <si>
    <t>HLY2020627016358</t>
  </si>
  <si>
    <t>HLY2020627033430</t>
  </si>
  <si>
    <t>10105384344
10053249382
10105114803
10053248723
10052043211</t>
  </si>
  <si>
    <t>10100425079
10100401578
10053365013</t>
  </si>
  <si>
    <t>10053819241
10053623216</t>
  </si>
  <si>
    <t>ابتدائية تحفيظ القران العاشرة</t>
  </si>
  <si>
    <t>مجمع الامير سلطان الثانوي-مقررات بنين</t>
  </si>
  <si>
    <t>خالد بن الوليد الثانوية بنين</t>
  </si>
  <si>
    <t>ابي بن كعب الابتدائية</t>
  </si>
  <si>
    <t>مجمع الامير سلطان المتوسطة بنين</t>
  </si>
  <si>
    <t>مجمع الامير سلطان الابتدائية بنين</t>
  </si>
  <si>
    <t>ابي الاسود الدؤلي المتوسطة بنين</t>
  </si>
  <si>
    <t>ام القرى الثانوية مقررات بنين</t>
  </si>
  <si>
    <t>الثمانون الابتدائية بنات</t>
  </si>
  <si>
    <t>الثلاثون المتوسطة بنات</t>
  </si>
  <si>
    <t>الثانية والثلاثون الثانوية بنات</t>
  </si>
  <si>
    <t>معهد التربية الفكرية الابتدائي 1 -بنات</t>
  </si>
  <si>
    <t>علي بن ابى طالب الثانوية-مقررات</t>
  </si>
  <si>
    <t>الثالثة والستون المتوسطة بنات</t>
  </si>
  <si>
    <t>الحطيم الثانوية</t>
  </si>
  <si>
    <t>الثلاثون الابتدائية بنات</t>
  </si>
  <si>
    <t>الثانوية الرابعة والخمسون بنات</t>
  </si>
  <si>
    <t>الثامنة والثلاثون المتوسطة بنات</t>
  </si>
  <si>
    <t>الثانوية الستون بنات</t>
  </si>
  <si>
    <t>الثانية والخمسون الثانوية بنات</t>
  </si>
  <si>
    <t>الخامسة والثلاثون الابتدائية بنات</t>
  </si>
  <si>
    <t>السادسة والستون المتوسطة بنات</t>
  </si>
  <si>
    <t>الثانية و التسعون الابتدائية بنات</t>
  </si>
  <si>
    <t>الثالثة لتحفيظ القران الكريم الابتدائية</t>
  </si>
  <si>
    <t>عثمان بن عفان الابتدائية بنين</t>
  </si>
  <si>
    <t>النموذجية الثانية الابتدائية بنين</t>
  </si>
  <si>
    <t>مجمع السلامة الثانوي بنين</t>
  </si>
  <si>
    <t>المدرسة التاسعة ( ٩ ) الابتدائية</t>
  </si>
  <si>
    <t>مدرسة ابي تمام الابتدائية</t>
  </si>
  <si>
    <t>الامير تركي بن عبدالعزيز المتوسطة بنين</t>
  </si>
  <si>
    <t>قريش الثانوية-مقررات بنين</t>
  </si>
  <si>
    <t>الابتدائية السبعون بعد المائة بنات</t>
  </si>
  <si>
    <t>ثانويه الخمره الاولى</t>
  </si>
  <si>
    <t>عمر بن الخطاب الابتدائية بنين</t>
  </si>
  <si>
    <t>الاولى المتوسطة بنات</t>
  </si>
  <si>
    <t>حكيم بن حزام الابتدائية بنين</t>
  </si>
  <si>
    <t>عروة بن الزبير الابتدائية</t>
  </si>
  <si>
    <t>المائة بنات</t>
  </si>
  <si>
    <t>الثانوية الاولى بنات</t>
  </si>
  <si>
    <t>ابن ماجه الابتدائية</t>
  </si>
  <si>
    <t>أحمد بن حنبل الثانوي</t>
  </si>
  <si>
    <t> مدرسة بن حزم الثانوية</t>
  </si>
  <si>
    <t>الاولى الابتدائية بنات</t>
  </si>
  <si>
    <t>إبتدائية الرغامة الأولى</t>
  </si>
  <si>
    <t>الابتدائية الثالثة والاربعون بعد المائة</t>
  </si>
  <si>
    <t>ثانوية النهروان</t>
  </si>
  <si>
    <t>المدرسة الرابعة والستون الثانوية</t>
  </si>
  <si>
    <t>المتوسطة العشرون بعد المئة</t>
  </si>
  <si>
    <t>جدة الثانوية</t>
  </si>
  <si>
    <t>النموذجية الخامسة الابتدائية</t>
  </si>
  <si>
    <t>الامام الذهبي المتوسطة بنين</t>
  </si>
  <si>
    <t>الملك فهد المتوسطة بنين</t>
  </si>
  <si>
    <t>طليطلة الثانوية</t>
  </si>
  <si>
    <t>الثانوية السادسة بعد المائة بنات</t>
  </si>
  <si>
    <t>قطبة بن عامر الابتدائية</t>
  </si>
  <si>
    <t>الحسن بن سفيان الأبتدائية</t>
  </si>
  <si>
    <t>محمد بن إدريس الثانوية</t>
  </si>
  <si>
    <t>السابعة والسبعون المتوسطة بنات</t>
  </si>
  <si>
    <t>بدر الثانوية مقررات بنين</t>
  </si>
  <si>
    <t>التاسعة والثلاثون بعد المائة الابتدائية</t>
  </si>
  <si>
    <t>ابن خلدون الثانوية-مقررات بنين</t>
  </si>
  <si>
    <t>ابي سفيان الابتدائية بنين</t>
  </si>
  <si>
    <t>الرابعة عشر الثانوية بنات</t>
  </si>
  <si>
    <t>الثامنة والخمسون ابتدائية</t>
  </si>
  <si>
    <t>متوسطة تحفيظ القران السابعة</t>
  </si>
  <si>
    <t>الابتدائية الثالثة عشر لتحفيظ القران</t>
  </si>
  <si>
    <t>المتوسطة السابعة والخمسون</t>
  </si>
  <si>
    <t>الثامنة والثلاثون ثانوية</t>
  </si>
  <si>
    <t>الطفولة المبكرة بابتدائية التضامن الإسل</t>
  </si>
  <si>
    <t>الطفولة المبكرة بإبتدائية النموذجية الرابعة</t>
  </si>
  <si>
    <t>المدرسة الرابعة الثانوية</t>
  </si>
  <si>
    <t>المدرسة الثامنة المتوسطة</t>
  </si>
  <si>
    <t>مدرسة مدائن الفهد الثانوية</t>
  </si>
  <si>
    <t>مجمع الثغر الابتدائية</t>
  </si>
  <si>
    <t>مدرسة ابي عبيده عامر بن الجراح</t>
  </si>
  <si>
    <t>الخامسه عشر لرياض الاطفال</t>
  </si>
  <si>
    <t>متوسطة الامير بندر</t>
  </si>
  <si>
    <t>ابتدائية الامير بندر</t>
  </si>
  <si>
    <t>مدرسة ابن البيطار</t>
  </si>
  <si>
    <t xml:space="preserve">الثانوية الثالثة بعد المائة </t>
  </si>
  <si>
    <t>التسعون الثانويه</t>
  </si>
  <si>
    <t>السادسه والثلاثون المتوسطه</t>
  </si>
  <si>
    <t>المغيره بن شعبه الابتدائيه</t>
  </si>
  <si>
    <t>مدرسة عكاظ المتوسطه</t>
  </si>
  <si>
    <t>عروة بن مسعود الابتدائيه</t>
  </si>
  <si>
    <t>السادسه والثمانون للطفوله المبكره</t>
  </si>
  <si>
    <t>الخامسه بعد المائة ثانويه</t>
  </si>
  <si>
    <t>التاسعه عشر بعد المائه المتوسطه</t>
  </si>
  <si>
    <t>المتوسطة السابعة عشر</t>
  </si>
  <si>
    <t>الرابعه والتسعون بعد المائه الابتدائيه</t>
  </si>
  <si>
    <t>الامين الابتدائيه</t>
  </si>
  <si>
    <t>الرابعه والاربعون بعد المائه</t>
  </si>
  <si>
    <t>مدرسة صقلية الثانوية</t>
  </si>
  <si>
    <t>الثالثة والثلاثون الابتدائية بنات</t>
  </si>
  <si>
    <t>معهد الأمل الاول الابتدائية بنات</t>
  </si>
  <si>
    <t>الثالثة والخمسون الثانوية بنات</t>
  </si>
  <si>
    <t>الخيف الابتدائية بنين</t>
  </si>
  <si>
    <t>شيبة بن عثمان الابتدائية بنين</t>
  </si>
  <si>
    <t>محمد بن علي بن ابي طالب المتوسطة بنين</t>
  </si>
  <si>
    <t>الاحنف بن قيس الثانوية - مقررات بنين</t>
  </si>
  <si>
    <t>المتوسطة  التاسعة والثمانون بنات</t>
  </si>
  <si>
    <t>متوسطة ابن كثير  بنين</t>
  </si>
  <si>
    <t>معهد النور الابتدائية بنات</t>
  </si>
  <si>
    <t>عمر بن الخطاب الثانوية-مقررات بنين</t>
  </si>
  <si>
    <t>فلسطين الثانوية-مقررات بنين</t>
  </si>
  <si>
    <t>الثالثة عشر الثانوية بنات</t>
  </si>
  <si>
    <t>الواحدة والثلاثون المتوسطة بنات</t>
  </si>
  <si>
    <t>ابن حبان الثانوية-مقررات بنين</t>
  </si>
  <si>
    <t>الابتدائية الواحد والسبعون بعد المائة بنات</t>
  </si>
  <si>
    <t>الثانوية الثالثة بنات</t>
  </si>
  <si>
    <t>السبعون الابتدائية بنات</t>
  </si>
  <si>
    <t>الخامسة والثمانون بعد المائة الابتدائية بنات</t>
  </si>
  <si>
    <t>عبدالرحمن الداخل الثانوية مقررات بنين</t>
  </si>
  <si>
    <t>الزهراوي الثانوية-مقررات بنين</t>
  </si>
  <si>
    <t>الامير سعود الفيصل المتوسطة</t>
  </si>
  <si>
    <t>الثامنة والسبعون بعد المائة الابتدائية بنات</t>
  </si>
  <si>
    <t>ابن راشد الابتدائية بنين</t>
  </si>
  <si>
    <t>الثامنة عشر المتوسطة بنات</t>
  </si>
  <si>
    <t>مجمع السلامة المتوسط</t>
  </si>
  <si>
    <t>ابي الدرداء الابتدائية بنين</t>
  </si>
  <si>
    <t>رضوى الثانوية-مقررات بنين</t>
  </si>
  <si>
    <t>السابعة والثلاثون المتوسطة بنات</t>
  </si>
  <si>
    <t>ابي بكر الصديق الابتدائية بنين</t>
  </si>
  <si>
    <t>الخامسة والستون المتوسطة بنات</t>
  </si>
  <si>
    <t>الثامنة والسبعون الثانوية بنات</t>
  </si>
  <si>
    <t>التاسعة والاربعون الثانوية بنات</t>
  </si>
  <si>
    <t>الخامسة لتحفيظ القران الابتدائية بنات</t>
  </si>
  <si>
    <t>عقبة بن نافع الابتدائية بنين</t>
  </si>
  <si>
    <t>الثامنة والعشرون بعد المائة الابتدائية بنات</t>
  </si>
  <si>
    <t>الواحدة والاربعون الثانوية بنات</t>
  </si>
  <si>
    <t>عرفات الثانوية مقررات بنين</t>
  </si>
  <si>
    <t>الابتدائية الثانية بعد المائتان بنات</t>
  </si>
  <si>
    <t>السادسة والستون بعد المائة الابتدائية بنات</t>
  </si>
  <si>
    <t>الحادية والتسعون الابتدائية بنات</t>
  </si>
  <si>
    <t>اسد بن الفرات المتوسطة بنين</t>
  </si>
  <si>
    <t>السادسة والثمانون الثانوية بنات</t>
  </si>
  <si>
    <t>السادسة والعشرون بعد المائة الابتدائية بنات</t>
  </si>
  <si>
    <t>الابتدائية السابعة والثمانون بنات</t>
  </si>
  <si>
    <t>الاربعون الثانوية بنات</t>
  </si>
  <si>
    <t>الخامسة عشر لتحفيظ القران الابتدائية بنات</t>
  </si>
  <si>
    <t>الخامسة والثمانون الثانوية بنات</t>
  </si>
  <si>
    <t>السابعة والاربعون الثانوية بنات</t>
  </si>
  <si>
    <t>الرابعة والثمانون المتوسطة بنات</t>
  </si>
  <si>
    <t>عثمان بن عفان الثانوية-مقررات بنين</t>
  </si>
  <si>
    <t>الخامسة والتسعون المتوسطة بنات</t>
  </si>
  <si>
    <t>التاسعة والسبعون الابتدائية بنات</t>
  </si>
  <si>
    <t>الثانية والثمانون بعد المائة الابتدائية بنات</t>
  </si>
  <si>
    <t>التاسعة لتحفيظ القران الكريم المتوسطة بنات</t>
  </si>
  <si>
    <t>السابعة والعشرون بعد المائة المتوسطة بنات</t>
  </si>
  <si>
    <t>الرابعة والستون المتوسطة بنات</t>
  </si>
  <si>
    <t>النموذجية السادسة الابتدائية بنين</t>
  </si>
  <si>
    <t>الرابعة عشر تحفيظ القران الابتدائية بنات</t>
  </si>
  <si>
    <t>التاسعة والتسعون المتوسطة بنات</t>
  </si>
  <si>
    <t>الامام ورش المتوسطة لتحفيظ القرآن</t>
  </si>
  <si>
    <t>الخامسة والستون الثانوية بنات</t>
  </si>
  <si>
    <t>الامير سلطان بن عبدالعزيز المتوسطة</t>
  </si>
  <si>
    <t>السابعة والعشرون الثانوية بنات</t>
  </si>
  <si>
    <t>السابعة بعد المائة الابتدائية بنات</t>
  </si>
  <si>
    <t>الثالثة بعد المائة المتوسطة بنات</t>
  </si>
  <si>
    <t>المروة المتوسطة بنين</t>
  </si>
  <si>
    <t>الثالثة والثلاثون المتوسطة بنات</t>
  </si>
  <si>
    <t>السادسة والاربعون بعد المائة الابتدائية بنات</t>
  </si>
  <si>
    <t>الابتدائية الخامسة والسبعون بنات</t>
  </si>
  <si>
    <t>الاقصى المبارك المتوسطة بنين</t>
  </si>
  <si>
    <t>ابن منظور الثانوية مقررات بنين</t>
  </si>
  <si>
    <t>الرابعة والثلاثون بنات</t>
  </si>
  <si>
    <t>الحديثة المتوسطة</t>
  </si>
  <si>
    <t>الخامسة لتحفيظ القران المتوسطة بنات</t>
  </si>
  <si>
    <t>عبدالله بن مسعود الابتدائية بنين</t>
  </si>
  <si>
    <t>السابعة والخمسون الابتدائية بنات</t>
  </si>
  <si>
    <t>طيبة الابتدائية بنات</t>
  </si>
  <si>
    <t>السابعة والعشرون الابتدائية بنات</t>
  </si>
  <si>
    <t>المسعودي المتوسطة</t>
  </si>
  <si>
    <t>التسعون الابتدائية بنات</t>
  </si>
  <si>
    <t>الامير سعود بن عبدالمحسن الابتدائية بنين</t>
  </si>
  <si>
    <t>عمير بن سعد الابتدائية بنين</t>
  </si>
  <si>
    <t>النموذجية السابعة الابتدائية بنين</t>
  </si>
  <si>
    <t>الامام فيصل بن تركي المتوسطة بنين</t>
  </si>
  <si>
    <t>الابتدائية التاسعة والثمانون بنات</t>
  </si>
  <si>
    <t>التاسعة بعد المائة الثانوية بنات</t>
  </si>
  <si>
    <t>الثامنة والخمسون بعد المائة الابتدائية بنات</t>
  </si>
  <si>
    <t>الثانية والثلاثون المتوسطة بنات</t>
  </si>
  <si>
    <t>اسيد بن حضير الابتدائية بنين</t>
  </si>
  <si>
    <t>صقر قريش الابتدائية بنين</t>
  </si>
  <si>
    <t>مدرسة ابي عقيل الاولى  بنين</t>
  </si>
  <si>
    <t>مدرسة الليث بن سعد المتوسطة  بنين</t>
  </si>
  <si>
    <t>مدرسة بدر الابتدائية بنين</t>
  </si>
  <si>
    <t>مدرسة شداد بن أوس</t>
  </si>
  <si>
    <t>ب سعد بن الربيع للبنين بحي المروة</t>
  </si>
  <si>
    <t>Quran memorization Elementary School</t>
  </si>
  <si>
    <t>Prince Sultan Secondary School Complex - Boys' Curriculum</t>
  </si>
  <si>
    <t>Khalid bin Al-Walid Secondary School for Boys</t>
  </si>
  <si>
    <t>Ubayy bin Ka'b Elementary School</t>
  </si>
  <si>
    <t>Prince Sultan Intermediate School Complex for Boys</t>
  </si>
  <si>
    <t>Prince Sultan Elementary School Complex for Boys</t>
  </si>
  <si>
    <t>Abi Al-Aswad Al-Du'ali Intermediate School for Boys</t>
  </si>
  <si>
    <t>Umm Al-Qura Secondary School - Boys' Curriculum</t>
  </si>
  <si>
    <t>Ibn Al-Jazari Elementary School for Quran Memorization</t>
  </si>
  <si>
    <t>80th Elementary Girls' School</t>
  </si>
  <si>
    <t>30th Intermediate Girls' School</t>
  </si>
  <si>
    <t>32nd Secondary Girls' School</t>
  </si>
  <si>
    <t>Institute for Intellectual Education (Elementary) 1 - Girls</t>
  </si>
  <si>
    <t>Ali Bin Abi Talib Secondary School (Curriculum-Based)</t>
  </si>
  <si>
    <t>63rd Intermediate Girls' School</t>
  </si>
  <si>
    <t>Al-Hateem Secondary School</t>
  </si>
  <si>
    <t>30th Elementary Girls' School</t>
  </si>
  <si>
    <t>8th Intermediate School for Quran Memorization</t>
  </si>
  <si>
    <t>54th Secondary Girls' School</t>
  </si>
  <si>
    <t>145th Elementary School</t>
  </si>
  <si>
    <t>38th Intermediate Girls' School</t>
  </si>
  <si>
    <t>60th Secondary Girls' School</t>
  </si>
  <si>
    <t>52nd Secondary Girls' School</t>
  </si>
  <si>
    <t>35th Elementary Girls' School</t>
  </si>
  <si>
    <t>66th Intermediate Girls' School</t>
  </si>
  <si>
    <t>92nd Elementary Girls' School</t>
  </si>
  <si>
    <t>Third Elementary School for Quran Memorization</t>
  </si>
  <si>
    <t>Uthman Bin Affan Elementary School for Boys</t>
  </si>
  <si>
    <t>Twelfth Elementary School for Quran Memorization</t>
  </si>
  <si>
    <t>Second Model Elementary School for Boys</t>
  </si>
  <si>
    <t>Al-Salamah Secondary Complex for Boys</t>
  </si>
  <si>
    <t>9th Elementary school</t>
  </si>
  <si>
    <t>Abi Tamam Elementary School</t>
  </si>
  <si>
    <t>Prince Turki Bin Abdulaziz Intermediate School for Boys</t>
  </si>
  <si>
    <t>Quraish Secondary School - Boys' Curriculum</t>
  </si>
  <si>
    <t>170th Elementary School - Girls</t>
  </si>
  <si>
    <t>Al-Khumra First Secondary School</t>
  </si>
  <si>
    <t>Omar Ibn Al-Khattab Elementary School - Boys</t>
  </si>
  <si>
    <t>161st Elementary School</t>
  </si>
  <si>
    <t>First Intermediate School - Girls</t>
  </si>
  <si>
    <t>Second Elementary School for Early Childhood (Tuhaf)</t>
  </si>
  <si>
    <t>Hakim Ibn Hizam Elementary School - Boys</t>
  </si>
  <si>
    <t>Urwa Ibn Al-Zubayr Elementary School</t>
  </si>
  <si>
    <t>The Hundred Girls</t>
  </si>
  <si>
    <t>First Girls' Secondary School</t>
  </si>
  <si>
    <t>Ibn Majah Elementary School</t>
  </si>
  <si>
    <t>Ahmad Ibn Hanbal Secondary School</t>
  </si>
  <si>
    <t>Ibn Hazm Secondary School</t>
  </si>
  <si>
    <t>First Girls' Elementary School</t>
  </si>
  <si>
    <t>Al-Raghamah First Elementary School</t>
  </si>
  <si>
    <t>One Hundred and Forty-Third Elementary School</t>
  </si>
  <si>
    <t>Al-Nahrawan Secondary School</t>
  </si>
  <si>
    <t>The Sixty-Fourth Secondary School</t>
  </si>
  <si>
    <t>120th Intermediate School</t>
  </si>
  <si>
    <t>Jeddah Secondary School</t>
  </si>
  <si>
    <t>Fifth Model Elementary School</t>
  </si>
  <si>
    <t>Imam Al-Dhahabi Intermediate School for Boys</t>
  </si>
  <si>
    <t>King Fahd Intermediate School for Boys</t>
  </si>
  <si>
    <t>Toledo Secondary School</t>
  </si>
  <si>
    <t>127th Elementary School</t>
  </si>
  <si>
    <t>106th Girls' Secondary School</t>
  </si>
  <si>
    <t>Qutbah Bin Amer Elementary School</t>
  </si>
  <si>
    <t>Al-Hassan Bin Sufyan Elementary School</t>
  </si>
  <si>
    <t>168th Elementary School</t>
  </si>
  <si>
    <t>Muhammad Bin Idris Secondary School</t>
  </si>
  <si>
    <t>77th Girls' Intermediate School</t>
  </si>
  <si>
    <t>Badr Boys' Secondary School (Curriculum-Based)</t>
  </si>
  <si>
    <t>139th Elementary School</t>
  </si>
  <si>
    <t>Ibn Khaldoun Secondary School (Boys' Curriculum)</t>
  </si>
  <si>
    <t>Abi Sufyan Elementary School (Boys)</t>
  </si>
  <si>
    <t>14th Secondary School (Girls)</t>
  </si>
  <si>
    <t>The 58th Elementary School</t>
  </si>
  <si>
    <t>7th Quran Memorization Intermediate School</t>
  </si>
  <si>
    <t>13th Quran Memorization Elementary School</t>
  </si>
  <si>
    <t>57th Intermediate School</t>
  </si>
  <si>
    <t>38th Secondary School</t>
  </si>
  <si>
    <t>Early Childhood at Al-Tadhamun Islamic Elementary School</t>
  </si>
  <si>
    <t>Early Childhood at the Fourth Model Elementary School</t>
  </si>
  <si>
    <t>Fourth Secondary School</t>
  </si>
  <si>
    <t>Eighth Intermediate School</t>
  </si>
  <si>
    <t>Madain Al-Fahd Secondary School</t>
  </si>
  <si>
    <t>Al-Thaghr Elementary Complex</t>
  </si>
  <si>
    <t>Abi Ubaidah Amer Ibn Al-Jarrah School</t>
  </si>
  <si>
    <t>Fifteenth Kindergarten</t>
  </si>
  <si>
    <t>Prince Bandar Intermediate School</t>
  </si>
  <si>
    <t>Prince Bandar Elementary School</t>
  </si>
  <si>
    <t>Ibn Al-Baytar School</t>
  </si>
  <si>
    <t>103 high school</t>
  </si>
  <si>
    <t>Ninetyth Secondary School</t>
  </si>
  <si>
    <t>Thirty-Sixth Intermediate School</t>
  </si>
  <si>
    <t>Al-Mughirah Ibn Shu'bah Elementary School</t>
  </si>
  <si>
    <t>Ukaz Intermediate School</t>
  </si>
  <si>
    <t>Urwah Ibn Mas'ud Elementary School</t>
  </si>
  <si>
    <t>Eighty-Sixth Early Childhood School</t>
  </si>
  <si>
    <t>One Hundred-Fifth Secondary School</t>
  </si>
  <si>
    <t>One Hundred-Nineteenth Intermediate School</t>
  </si>
  <si>
    <t>Seventeenth Intermediate School</t>
  </si>
  <si>
    <t>194th Elementary School</t>
  </si>
  <si>
    <t>Al-Amin Elementary School</t>
  </si>
  <si>
    <t>144th Elementary School</t>
  </si>
  <si>
    <t>Sicily Secondary School</t>
  </si>
  <si>
    <t>The 33rd Girls' Elementary School</t>
  </si>
  <si>
    <t>Al-Amal Institute for Girls' Elementary School</t>
  </si>
  <si>
    <t>The 53rd Girls' Secondary School</t>
  </si>
  <si>
    <t>Al-Khaif Elementary School for Boys</t>
  </si>
  <si>
    <t>Shaybah ibn Uthman Elementary School for Boys</t>
  </si>
  <si>
    <t>Muhammad ibn Ali ibn Abi Talib Intermediate School for Boys</t>
  </si>
  <si>
    <t>Al-Ahnaf Bin Qais Secondary School - Boys' Curriculum</t>
  </si>
  <si>
    <t>89th Intermediate School - Girls</t>
  </si>
  <si>
    <t>Ibn Kathir Intermediate School - Boys</t>
  </si>
  <si>
    <t>Al-Nour Elementary Institute - Girls</t>
  </si>
  <si>
    <t>Omar Bin Al-Khattab Secondary School - Boys' Curriculum</t>
  </si>
  <si>
    <t>Palestine Secondary School - Boys' Curriculum</t>
  </si>
  <si>
    <t>13th Secondary School - Girls</t>
  </si>
  <si>
    <t>31st Intermediate School - Girls</t>
  </si>
  <si>
    <t>Ibn Hibban Secondary School (Boys' Curriculum)</t>
  </si>
  <si>
    <t>171st Elementary School (Girls)</t>
  </si>
  <si>
    <t>3rd Secondary School (Girls)</t>
  </si>
  <si>
    <t>70th Elementary School (Girls)</t>
  </si>
  <si>
    <t>185th Elementary School (Girls)</t>
  </si>
  <si>
    <t>Abdul Rahman Al-Dakhil Secondary School (Boys' Curriculum)</t>
  </si>
  <si>
    <t>Al-Zahrawi Secondary School (Boys' Curriculum)</t>
  </si>
  <si>
    <t>Prince Saud Al-Faisal Intermediate School</t>
  </si>
  <si>
    <t>178th Elementary School (Girls)</t>
  </si>
  <si>
    <t>bn Rashid Elementary School for Boys</t>
  </si>
  <si>
    <t>18th Intermediate School for Girls</t>
  </si>
  <si>
    <t>Al-Salamah Intermediate Complex</t>
  </si>
  <si>
    <t>Abi Al-Darda Elementary School for Boys</t>
  </si>
  <si>
    <t>Radwa Secondary School (Curriculum-Based) for Boys</t>
  </si>
  <si>
    <t>37th Intermediate School for Girls</t>
  </si>
  <si>
    <t>Abi Bakr Al-Siddiq Elementary School for Boys</t>
  </si>
  <si>
    <t>65th Intermediate School for Girls</t>
  </si>
  <si>
    <t>78th Girls' Secondary School</t>
  </si>
  <si>
    <t>49th Girls' Secondary School</t>
  </si>
  <si>
    <t>50th Girls' Intermediate School</t>
  </si>
  <si>
    <t>5th Girls' Primary School for Quran Memorization</t>
  </si>
  <si>
    <t>Uqba ibn Nafi' Primary School for Boys</t>
  </si>
  <si>
    <t>128th Girls' Primary School</t>
  </si>
  <si>
    <t>41st Girls' Secondary School</t>
  </si>
  <si>
    <t>Arafat Secondary School (Curriculum-Based) for Boys</t>
  </si>
  <si>
    <t>202nd Girls' Elementary School</t>
  </si>
  <si>
    <t>166th Girls' Elementary School</t>
  </si>
  <si>
    <t>91st Girls' Elementary School</t>
  </si>
  <si>
    <t>Asad Ibn Al-Furat Intermediate School for Boys</t>
  </si>
  <si>
    <t>86th Girls' Secondary School</t>
  </si>
  <si>
    <t>126th Girls' Elementary School</t>
  </si>
  <si>
    <t>87th Girls' Elementary School</t>
  </si>
  <si>
    <t>40th Girls' Secondary School</t>
  </si>
  <si>
    <t>15th Girls' Elementary Quran Memorization School</t>
  </si>
  <si>
    <t>85th Girls' Secondary School</t>
  </si>
  <si>
    <t>47th Girls' Secondary School</t>
  </si>
  <si>
    <t>84th Girls' Intermediate School</t>
  </si>
  <si>
    <t>Riyadh Advanced Elementary School for Boys</t>
  </si>
  <si>
    <t>Uthman Bin Affan Secondary School (Boys)</t>
  </si>
  <si>
    <t>95th Intermediate School for Girls</t>
  </si>
  <si>
    <t>79th Elementary School for Girls</t>
  </si>
  <si>
    <t>182nd Elementary School for Girls</t>
  </si>
  <si>
    <t>9th Intermediate School for Quran Memorization for Girls</t>
  </si>
  <si>
    <t>127th Intermediate School for Girls</t>
  </si>
  <si>
    <t>64th Intermediate Girls' School</t>
  </si>
  <si>
    <t>6th Model Elementary Boys' School</t>
  </si>
  <si>
    <t>14th Quran Memorization Elementary Girls' School</t>
  </si>
  <si>
    <t>68th Secondary Girls' School</t>
  </si>
  <si>
    <t>99th Intermediate Girls' School</t>
  </si>
  <si>
    <t>Imam Warsh Intermediate Quran Memorization School</t>
  </si>
  <si>
    <t>65th Secondary Girls' School</t>
  </si>
  <si>
    <t>Prince Sultan bin Abdulaziz Intermediate School</t>
  </si>
  <si>
    <t>27th Secondary School for Girls</t>
  </si>
  <si>
    <t>107th Elementary School for Girls</t>
  </si>
  <si>
    <t>103rd Intermediate School for Girls</t>
  </si>
  <si>
    <t>Al-Marwa Intermediate School for Boys</t>
  </si>
  <si>
    <t>33rd Intermediate School for Girls</t>
  </si>
  <si>
    <t>146th Elementary School for Girls</t>
  </si>
  <si>
    <t>Fourth Intermediate School</t>
  </si>
  <si>
    <t>Al-Aqsa Al-Mubarak Intermediate School for Boys</t>
  </si>
  <si>
    <t>Ibn Manzur Secondary School (Boys)</t>
  </si>
  <si>
    <t>Thirty-Fourth Girls' School</t>
  </si>
  <si>
    <t>Al-Haditha Intermediate School</t>
  </si>
  <si>
    <t>Fifth Quran Memorization Intermediate School for Girls</t>
  </si>
  <si>
    <t>Abdullah Ibn Masoud Elementary School for Boys</t>
  </si>
  <si>
    <t>Fifty-Seventh Elementary School for Girls</t>
  </si>
  <si>
    <t>Tayyiba Elementary School for Girls</t>
  </si>
  <si>
    <t>Twenty-seventh Elementary School for Girls</t>
  </si>
  <si>
    <t>Al-Masoudi Intermediate School</t>
  </si>
  <si>
    <t>Ninetyth Elementary School for Girls</t>
  </si>
  <si>
    <t>Prince Saud bin Abdulmohsen Elementary School for Boys</t>
  </si>
  <si>
    <t>Omair bin Saad Elementary School for Boys</t>
  </si>
  <si>
    <t>Seventh Model Elementary School for Boys</t>
  </si>
  <si>
    <t>Imam Faisal bin Turki Intermediate School for Boys</t>
  </si>
  <si>
    <t>Eighty-ninth Elementary School for Girls</t>
  </si>
  <si>
    <t>109th Secondary School for Girls</t>
  </si>
  <si>
    <t>158th Elementary School for Girls</t>
  </si>
  <si>
    <t>32nd Intermediate School for Girls</t>
  </si>
  <si>
    <t>Asid ibn Hudair Elementary School for Boys</t>
  </si>
  <si>
    <t>Saqr Quraish Elementary School for Boys</t>
  </si>
  <si>
    <t>Abi Aqil First School for Boys</t>
  </si>
  <si>
    <t>Al-Layth ibn Saad Intermediate School for Boys</t>
  </si>
  <si>
    <t>Badr Elementary School for Boys</t>
  </si>
  <si>
    <t>Shaddad ibn Aws School</t>
  </si>
  <si>
    <t>Saad ibn Rabi’ School for Boys in Al-Marwa District</t>
  </si>
  <si>
    <t>Jeddah</t>
  </si>
  <si>
    <t>HLY2020627054743</t>
  </si>
  <si>
    <t>SXE2120627104322</t>
  </si>
  <si>
    <t>HLY2020627059601</t>
  </si>
  <si>
    <t>HLY2020627059604</t>
  </si>
  <si>
    <t>SXE2120627102151</t>
  </si>
  <si>
    <t>SXE2120627098695</t>
  </si>
  <si>
    <t>HLY2020627058870</t>
  </si>
  <si>
    <t>HLY2020627022262</t>
  </si>
  <si>
    <t>HLY2020627058868</t>
  </si>
  <si>
    <t>SXE2120627104420</t>
  </si>
  <si>
    <t>SXE2120627102155</t>
  </si>
  <si>
    <t>SXE2120627103661</t>
  </si>
  <si>
    <t>SEX2120627101154</t>
  </si>
  <si>
    <t>SXE2120627088163</t>
  </si>
  <si>
    <t>HLY2020627061964</t>
  </si>
  <si>
    <t>SXE2120627102164</t>
  </si>
  <si>
    <t>SMR2220621010314</t>
  </si>
  <si>
    <t>MMF2420601011977</t>
  </si>
  <si>
    <t>SXE2120627104416</t>
  </si>
  <si>
    <t>MMF2420601021801</t>
  </si>
  <si>
    <t>HLY2020627023454</t>
  </si>
  <si>
    <t>SXE2120627103572</t>
  </si>
  <si>
    <t>SMR2420621021062</t>
  </si>
  <si>
    <t>HLY2020627002914</t>
  </si>
  <si>
    <t>HLY2020627021660</t>
  </si>
  <si>
    <t>HLY2020627023470</t>
  </si>
  <si>
    <t>SXE2120627102104</t>
  </si>
  <si>
    <t>HLY2020627025455</t>
  </si>
  <si>
    <t>SXE2120627103600</t>
  </si>
  <si>
    <t>SXE2120627099199</t>
  </si>
  <si>
    <t>HLY2020627055402</t>
  </si>
  <si>
    <t>HLY2020627022261</t>
  </si>
  <si>
    <t>SMR2320621017807</t>
  </si>
  <si>
    <t>SXE2120627093573</t>
  </si>
  <si>
    <t>HLY2020627021930</t>
  </si>
  <si>
    <t>HLY2020627021910</t>
  </si>
  <si>
    <t>HLY2020627055577</t>
  </si>
  <si>
    <t>SEC Room Closed</t>
  </si>
  <si>
    <t>SXE2120627102007</t>
  </si>
  <si>
    <t>HLY2020627062491</t>
  </si>
  <si>
    <t>HLY2020627021986</t>
  </si>
  <si>
    <t>SXE2120627104321</t>
  </si>
  <si>
    <t>KFM2120655005201</t>
  </si>
  <si>
    <t>HLY2020627021604</t>
  </si>
  <si>
    <t>SXE2120627104325</t>
  </si>
  <si>
    <t>KFM2120655005300</t>
  </si>
  <si>
    <t>HLY2020627024531</t>
  </si>
  <si>
    <t>ALH2020807325594</t>
  </si>
  <si>
    <t>HLY2020627052877</t>
  </si>
  <si>
    <t>HLY2020627020500</t>
  </si>
  <si>
    <t>HLY2020627057792</t>
  </si>
  <si>
    <t>SXE2120627088122</t>
  </si>
  <si>
    <t>HLY2020627053681</t>
  </si>
  <si>
    <t>HLY2020627021927</t>
  </si>
  <si>
    <t>HLY2020627021977</t>
  </si>
  <si>
    <t>HLY2020627021978</t>
  </si>
  <si>
    <t>HLY2020627020223</t>
  </si>
  <si>
    <t>SMR2220621010101</t>
  </si>
  <si>
    <t>HLY2020627064656</t>
  </si>
  <si>
    <t>HLY2020627057726</t>
  </si>
  <si>
    <t>HLY2020627065121</t>
  </si>
  <si>
    <t>SXE2120627101016</t>
  </si>
  <si>
    <t>HLY2020627056309</t>
  </si>
  <si>
    <t>SMR2220621002678</t>
  </si>
  <si>
    <t>HLY2020627065742</t>
  </si>
  <si>
    <t>SXE2120627104437</t>
  </si>
  <si>
    <t>SXE2120627104432</t>
  </si>
  <si>
    <t>HLY2020627007066</t>
  </si>
  <si>
    <t>HLY2020627020119</t>
  </si>
  <si>
    <t>SXE2120627101999</t>
  </si>
  <si>
    <t>HLY2020627023235</t>
  </si>
  <si>
    <t>HLY2020627030397</t>
  </si>
  <si>
    <t>HLY2020627021293</t>
  </si>
  <si>
    <t>HLY2020627020221</t>
  </si>
  <si>
    <t>SMR2220621002427</t>
  </si>
  <si>
    <t>SMR2220621002440</t>
  </si>
  <si>
    <t>SMR2220621000622</t>
  </si>
  <si>
    <t>HLY2020627056722</t>
  </si>
  <si>
    <t>HLY2020627020207</t>
  </si>
  <si>
    <t>HLY2020627020192</t>
  </si>
  <si>
    <t>SMR2420628013471</t>
  </si>
  <si>
    <t>HLY2020627020161</t>
  </si>
  <si>
    <t>HLY2020627056156</t>
  </si>
  <si>
    <t>HLY2020627054745</t>
  </si>
  <si>
    <t>HLY2020627058931</t>
  </si>
  <si>
    <t>SXE2120627101077</t>
  </si>
  <si>
    <t>SXE2120627104438</t>
  </si>
  <si>
    <t>SXE2120627101051</t>
  </si>
  <si>
    <t>SXE2120627099934</t>
  </si>
  <si>
    <t>SXE2120627101072</t>
  </si>
  <si>
    <t>SXE2120627101103</t>
  </si>
  <si>
    <t>HLY2020627025514</t>
  </si>
  <si>
    <t>SXE2120627102122</t>
  </si>
  <si>
    <t>SXE2120627103751</t>
  </si>
  <si>
    <t>HLY2020627024616</t>
  </si>
  <si>
    <t>HLY2020627053586</t>
  </si>
  <si>
    <t>HLY2020627061965</t>
  </si>
  <si>
    <t>HLY2020627060063</t>
  </si>
  <si>
    <t>SXE2120627099928</t>
  </si>
  <si>
    <t>SXE2120627099930</t>
  </si>
  <si>
    <t>HLY2020627020519</t>
  </si>
  <si>
    <t>SXE2120627099825</t>
  </si>
  <si>
    <t>SXE2120627101218</t>
  </si>
  <si>
    <t>HLY2020627057450</t>
  </si>
  <si>
    <t>SXE2120627102107</t>
  </si>
  <si>
    <t>SXE2120627102028</t>
  </si>
  <si>
    <t>HLY2020627005693</t>
  </si>
  <si>
    <t>SXE2120627102034</t>
  </si>
  <si>
    <t>SXE2120627099456</t>
  </si>
  <si>
    <t>SXE2120627101158</t>
  </si>
  <si>
    <t>SXE2120627099364</t>
  </si>
  <si>
    <t>SXE2120627102030</t>
  </si>
  <si>
    <t>HLY2020627020697</t>
  </si>
  <si>
    <t>SXE2120627099935</t>
  </si>
  <si>
    <t>SXE2120627090133</t>
  </si>
  <si>
    <t>HLY2020627054741</t>
  </si>
  <si>
    <t>SXE2120627102035</t>
  </si>
  <si>
    <t>SXE2120627102158</t>
  </si>
  <si>
    <t>HLY2020627003699</t>
  </si>
  <si>
    <t>HLY2020627022915</t>
  </si>
  <si>
    <t>HLY2020627058884</t>
  </si>
  <si>
    <t>HLY2020627061825</t>
  </si>
  <si>
    <t>HLY2020627020520</t>
  </si>
  <si>
    <t>SXE2120627102142</t>
  </si>
  <si>
    <t>HLY2020627059914</t>
  </si>
  <si>
    <t>SXE2120627099828</t>
  </si>
  <si>
    <t>HLY2020627057212</t>
  </si>
  <si>
    <t>SXE2120627101055</t>
  </si>
  <si>
    <t>HLY2020627056071</t>
  </si>
  <si>
    <t>SXE2120627101187</t>
  </si>
  <si>
    <t>SXE2120627102141</t>
  </si>
  <si>
    <t>HLY2020627020747</t>
  </si>
  <si>
    <t>HLY2020627059605</t>
  </si>
  <si>
    <t>SXE2120627099941</t>
  </si>
  <si>
    <t>MMF2420601023044</t>
  </si>
  <si>
    <t>SXE2120627088089</t>
  </si>
  <si>
    <t>SXE2120627088124</t>
  </si>
  <si>
    <t>SXE2120627088128</t>
  </si>
  <si>
    <t>HLY2020627056341</t>
  </si>
  <si>
    <t>SXE2120627099420</t>
  </si>
  <si>
    <t>HLY2020627058878</t>
  </si>
  <si>
    <t>HLY2020627058877</t>
  </si>
  <si>
    <t>HLY2020627023540</t>
  </si>
  <si>
    <t>SXE2120627501741</t>
  </si>
  <si>
    <t>SMR2220621010146</t>
  </si>
  <si>
    <t>SMR2220621010276</t>
  </si>
  <si>
    <t>SMR2220621002446</t>
  </si>
  <si>
    <t>SMR2220621010163</t>
  </si>
  <si>
    <t>21.518089478040967, 39.15802170000001</t>
  </si>
  <si>
    <t>21.589368994944323, 39.14686766164389</t>
  </si>
  <si>
    <t>21.634410314443016, 39.17663561569765</t>
  </si>
  <si>
    <t>21.56418585678875, 39.18949561534383</t>
  </si>
  <si>
    <t>21.59111718431127, 39.14619505767192</t>
  </si>
  <si>
    <t>21.591246872662563, 39.14623797301576</t>
  </si>
  <si>
    <t>21.499197425944175, 39.26948246507881</t>
  </si>
  <si>
    <t>21.579518968339055, 39.16899245767192</t>
  </si>
  <si>
    <t>21.579941898475493, 39.1913018</t>
  </si>
  <si>
    <t>21.58770205671012, 39.20199061209167</t>
  </si>
  <si>
    <t>21.576850928293894, 39.21158004501332</t>
  </si>
  <si>
    <t>21.569738430096425, 39.2140688</t>
  </si>
  <si>
    <t>21.574259703562298, 39.193101628835954</t>
  </si>
  <si>
    <t>21.57780440089447, 39.20288046322709</t>
  </si>
  <si>
    <t>21.583702342372998, 39.24543665186221</t>
  </si>
  <si>
    <t>21.495091622234536, 39.2855537</t>
  </si>
  <si>
    <t>21.583695016181007, 39.244525851918105</t>
  </si>
  <si>
    <t>21.599047756856475, 39.18465872883595</t>
  </si>
  <si>
    <t>21.57267613688156, 39.17392370884049</t>
  </si>
  <si>
    <t>21.56160967337708, 39.145662390086855</t>
  </si>
  <si>
    <t>21.50748273681918, 39.26785847011936</t>
  </si>
  <si>
    <t>21.598359081371928, 39.23731305214666</t>
  </si>
  <si>
    <t>21.586613773711424, 39.19188826300827</t>
  </si>
  <si>
    <t>21.57784515440266, 39.1880696601529</t>
  </si>
  <si>
    <t>21.57926583323074, 39.2212262153603</t>
  </si>
  <si>
    <t>21.57546155371973, 39.18781684642394</t>
  </si>
  <si>
    <t>21.598135889937097, 39.18752239349395</t>
  </si>
  <si>
    <t>21.506318885192712, 39.248977407094344</t>
  </si>
  <si>
    <t>21.57933430518946, 39.149471115690304</t>
  </si>
  <si>
    <t>21.57876319569612, 39.169486437576666</t>
  </si>
  <si>
    <t>21.60183628129855, 39.15317998650788</t>
  </si>
  <si>
    <t>21.598800012572855, 39.18415431278309</t>
  </si>
  <si>
    <t>21.398659603157, 39.2744145</t>
  </si>
  <si>
    <t>21.603640303640095, 39.16530764640993</t>
  </si>
  <si>
    <t>21.518254721018224, 39.15862515767192</t>
  </si>
  <si>
    <t>21.598250321400386, 39.171144876335056</t>
  </si>
  <si>
    <t>21.331148965177068, 39.24391911869605</t>
  </si>
  <si>
    <t>21.563838663385866, 39.1793888746726</t>
  </si>
  <si>
    <t>21.53872835991483, 39.19319748936972</t>
  </si>
  <si>
    <t>21.50699612787914, 39.180286631744046</t>
  </si>
  <si>
    <t>21.425272620675944, 39.2890216920969</t>
  </si>
  <si>
    <t>21.52112672220621, 39.23652494564203</t>
  </si>
  <si>
    <t>21.42732146157479, 39.28313618326669</t>
  </si>
  <si>
    <t>21.494904290723497, 39.28613990507081</t>
  </si>
  <si>
    <t>21.522345253272817, 39.18616494256415</t>
  </si>
  <si>
    <t>21.473267684997047, 39.26524826464643</t>
  </si>
  <si>
    <t>21.467440417385177, 39.272687540167915</t>
  </si>
  <si>
    <t>21.453434662029906, 39.275449467030114</t>
  </si>
  <si>
    <t>21.50822973956678, 39.16499153888841</t>
  </si>
  <si>
    <t>21.494827057891964, 39.286141104186065</t>
  </si>
  <si>
    <t>21.422971952607917, 39.27852202487179</t>
  </si>
  <si>
    <t>21.62689897156436, 39.157584909794515</t>
  </si>
  <si>
    <t>21.425051013018738, 39.28848817077504</t>
  </si>
  <si>
    <t>21.424692343605173, 39.27841114376472</t>
  </si>
  <si>
    <t>21.541320097569635, 39.16354303002492</t>
  </si>
  <si>
    <t>21.527007880443076, 39.19122741349212</t>
  </si>
  <si>
    <t>21.610054305365363, 39.18702961950006</t>
  </si>
  <si>
    <t>21.555074292855814, 39.166800437455414</t>
  </si>
  <si>
    <t>21.421222576977264, 39.29244030026853</t>
  </si>
  <si>
    <t>21.506730438830758, 39.267978582286595</t>
  </si>
  <si>
    <t>21.63949018299976, 39.140628800270605</t>
  </si>
  <si>
    <t>21.465605454265063, 39.2436848433831</t>
  </si>
  <si>
    <t>21.441179382266267, 39.252734736879084</t>
  </si>
  <si>
    <t>21.644928728462652, 39.13176400510993</t>
  </si>
  <si>
    <t>21.634684537548626, 39.14209586526706</t>
  </si>
  <si>
    <t>21.59847822649542, 39.18502182720388</t>
  </si>
  <si>
    <t>21.580860599190785, 39.17091864127639</t>
  </si>
  <si>
    <t>21.610250939085905, 39.12354300570797</t>
  </si>
  <si>
    <t>21.543660127477438, 39.20175314232808</t>
  </si>
  <si>
    <t>21.532400224510617, 39.21395009843525</t>
  </si>
  <si>
    <t>21.551943574748478, 39.21086544255789</t>
  </si>
  <si>
    <t>21.56458940070891, 39.16595854882215</t>
  </si>
  <si>
    <t>21.43045864825561, 39.274510088359605</t>
  </si>
  <si>
    <t>21.424176483076934, 39.27844348932514</t>
  </si>
  <si>
    <t>21.4237677801856, 39.278629222508236</t>
  </si>
  <si>
    <t>21.424518614883844, 39.285675053727836</t>
  </si>
  <si>
    <t>21.55119624398151, 39.16893636328163</t>
  </si>
  <si>
    <t>21.61739791793998, 39.16428859314325</t>
  </si>
  <si>
    <t>21.475628811125947, 39.23703677941398</t>
  </si>
  <si>
    <t>21.475453652675125, 39.236879475461485</t>
  </si>
  <si>
    <t>21.473805128202216, 39.22692760926124</t>
  </si>
  <si>
    <t>21.477480429380808, 39.232655989577026</t>
  </si>
  <si>
    <t>21.4710438764672, 39.21895021415652</t>
  </si>
  <si>
    <t>21.551997230227965, 39.21086389237624</t>
  </si>
  <si>
    <t>21.52119824732299, 39.22732202472673</t>
  </si>
  <si>
    <t>21.5216501297836, 39.227374812384284</t>
  </si>
  <si>
    <t>21.47697894612232, 39.217631098445345</t>
  </si>
  <si>
    <t>21.42535287076525, 39.278084739411824</t>
  </si>
  <si>
    <t>21.595855452530365, 39.256564471573775</t>
  </si>
  <si>
    <t>21.596086524311307, 39.25567975767192</t>
  </si>
  <si>
    <t>21.476660231897128, 39.18572451673874</t>
  </si>
  <si>
    <t>21.464439677689292, 39.227246056629596</t>
  </si>
  <si>
    <t>21.451832618113915, 39.20608261027721</t>
  </si>
  <si>
    <t>21.454031561358818, 39.25550318834326</t>
  </si>
  <si>
    <t>21.454232867049313, 39.25612788465615</t>
  </si>
  <si>
    <t>21.454416012547714, 39.25567360000001</t>
  </si>
  <si>
    <t>21.55158086546082, 39.168804207326886</t>
  </si>
  <si>
    <t>21.428442451873273, 39.28020401780569</t>
  </si>
  <si>
    <t>21.428386358414524, 39.28731534712628</t>
  </si>
  <si>
    <t>21.425598094908654, 39.28756164579717</t>
  </si>
  <si>
    <t>21.429400987135242, 39.285767813492114</t>
  </si>
  <si>
    <t>21.58835340881647, 39.13480334976551</t>
  </si>
  <si>
    <t>21.605282042172412, 39.14958100023514</t>
  </si>
  <si>
    <t>21.57755147266627, 39.20477165979842</t>
  </si>
  <si>
    <t>21.573374223745446, 39.22762493001228</t>
  </si>
  <si>
    <t>21.585089947107875, 39.232636192861634</t>
  </si>
  <si>
    <t>21.563745922083953, 39.14781542883595</t>
  </si>
  <si>
    <t>21.58926754768365, 39.24574558962175</t>
  </si>
  <si>
    <t>21.51555408222381, 39.225244320562524</t>
  </si>
  <si>
    <t>21.53396828811066, 39.18392834030096</t>
  </si>
  <si>
    <t>21.554051853579235, 39.21916547930759</t>
  </si>
  <si>
    <t>21.57768704121791, 39.22129584781803</t>
  </si>
  <si>
    <t>21.52646476324077, 39.190995682761226</t>
  </si>
  <si>
    <t>21.560459515369512, 39.147618895071325</t>
  </si>
  <si>
    <t>21.552393645312552, 39.21123885425462</t>
  </si>
  <si>
    <t>21.51935735331918, 39.23363689206304</t>
  </si>
  <si>
    <t>21.579054572619256, 39.22027006122693</t>
  </si>
  <si>
    <t>21.51633576627835, 39.170787840928355</t>
  </si>
  <si>
    <t>21.538716270296433, 39.213873523588674</t>
  </si>
  <si>
    <t>21.516185556949527, 39.22516633559665</t>
  </si>
  <si>
    <t>21.53281298027523, 39.21363395582021</t>
  </si>
  <si>
    <t>21.558734939599987, 39.15970886727821</t>
  </si>
  <si>
    <t>21.511716924005103, 39.23659262173581</t>
  </si>
  <si>
    <t>21.530798443917128, 39.2146532457651</t>
  </si>
  <si>
    <t>21.507613567545658, 39.18542985578544</t>
  </si>
  <si>
    <t>21.56509753018709, 39.16606646682261</t>
  </si>
  <si>
    <t>21.601954359450563, 39.152957231131</t>
  </si>
  <si>
    <t>21.55393612264518, 39.18141402388402</t>
  </si>
  <si>
    <t>21.570497820028738, 39.217730942448426</t>
  </si>
  <si>
    <t>21.59247761531529, 39.19938347468122</t>
  </si>
  <si>
    <t>21.524116092114564, 39.17528550803432</t>
  </si>
  <si>
    <t>21.610719099611423, 39.12284809669406</t>
  </si>
  <si>
    <t>21.559850975732928, 39.21748854729422</t>
  </si>
  <si>
    <t>21.58209908480871, 39.23422689994772</t>
  </si>
  <si>
    <t>21.559744080970894, 39.21626448754173</t>
  </si>
  <si>
    <t>21.575938344867264, 39.210816170673404</t>
  </si>
  <si>
    <t>21.60724852219717, 39.2623139680518</t>
  </si>
  <si>
    <t>21.59813535331344, 39.11702554075731</t>
  </si>
  <si>
    <t>21.552418284480353, 39.157725210058395</t>
  </si>
  <si>
    <t>21.547982852552792, 39.18246826976779</t>
  </si>
  <si>
    <t>21.581818584403763, 39.23331146167482</t>
  </si>
  <si>
    <t>21.604490452417313, 39.26328462349587</t>
  </si>
  <si>
    <t>21.57533926314164, 39.211107306031664</t>
  </si>
  <si>
    <t>21.571427397306202, 39.217567156440104</t>
  </si>
  <si>
    <t>21.597370054040525, 39.117001151647116</t>
  </si>
  <si>
    <t>21.59827031573613, 39.18806790858684</t>
  </si>
  <si>
    <t>21.55216240946272, 39.15717366745189</t>
  </si>
  <si>
    <t>21.50675690244847, 39.24391424840258</t>
  </si>
  <si>
    <t>21.596419110676834, 39.25610796097727</t>
  </si>
  <si>
    <t>21.54703069209348, 39.188135320162026</t>
  </si>
  <si>
    <t>21.592686718852868, 39.20027808268621</t>
  </si>
  <si>
    <t>21.597666442217275, 39.23782345768177</t>
  </si>
  <si>
    <t>21.551759771743022, 39.16638489816067</t>
  </si>
  <si>
    <t>21.545168108709742, 39.221067730936916</t>
  </si>
  <si>
    <t>21.561329379618204, 39.14561462370335</t>
  </si>
  <si>
    <t>21.58867279273942, 39.17830986889433</t>
  </si>
  <si>
    <t>21.59736080586172, 39.237756373578954</t>
  </si>
  <si>
    <t>21.59570915034245, 39.25583706623214</t>
  </si>
  <si>
    <t>21.552693196921954, 39.157394761012895</t>
  </si>
  <si>
    <t>21.58129417104225, 39.233745404973774</t>
  </si>
  <si>
    <t>21.554844222705608, 39.17707908768633</t>
  </si>
  <si>
    <t>21.554474208285825, 39.21952647077909</t>
  </si>
  <si>
    <t>21.515010858662222, 39.235030812667354</t>
  </si>
  <si>
    <t>21.591757035019086, 39.2474438985829</t>
  </si>
  <si>
    <t>21.60269660260736, 39.15132046034886</t>
  </si>
  <si>
    <t>21.610638800179284, 39.124005369057784</t>
  </si>
  <si>
    <t>21.575939444153438, 39.24625367521</t>
  </si>
  <si>
    <t>21.57822532095659, 39.15032248442079</t>
  </si>
  <si>
    <t>21.560089212346835, 39.216858949936515</t>
  </si>
  <si>
    <t>21.50666285474217, 39.24466037301576</t>
  </si>
  <si>
    <t>21.548957873615176, 39.22143821349212</t>
  </si>
  <si>
    <t>21.589089137932593, 39.135584366094264</t>
  </si>
  <si>
    <t>21.506651479300377, 39.24514885103089</t>
  </si>
  <si>
    <t>21.52171050674328, 39.1861381694695</t>
  </si>
  <si>
    <t>21.55826791300435, 39.22046431821793</t>
  </si>
  <si>
    <t>21.57953370122804, 39.24568508797068</t>
  </si>
  <si>
    <t>21.517170554048484, 39.190172554635446</t>
  </si>
  <si>
    <t>21.578137757099903, 39.22652110024884</t>
  </si>
  <si>
    <t>21.576093643996348, 39.21167100742992</t>
  </si>
  <si>
    <t>21.513684855143254, 39.18402318351992</t>
  </si>
  <si>
    <t>21.55156308758046, 39.178607153968485</t>
  </si>
  <si>
    <t>21.514899114839746, 39.17926590975094</t>
  </si>
  <si>
    <t>21.56991065881775, 39.214470065616105</t>
  </si>
  <si>
    <t>21.56481702276333, 39.20456</t>
  </si>
  <si>
    <t>21.551784177485207, 39.211747915500084</t>
  </si>
  <si>
    <t>21.55875403045294, 39.22017004232808</t>
  </si>
  <si>
    <t>21.582618691948248, 39.21976297249924</t>
  </si>
  <si>
    <t>21.581919374363636, 39.15306845141472</t>
  </si>
  <si>
    <t>21.57622551504254, 39.21702003601312</t>
  </si>
  <si>
    <t>21.53197446308883, 39.215631581533046</t>
  </si>
  <si>
    <t>21.575828359614718, 39.24155684766391</t>
  </si>
  <si>
    <t>21.57614633534001, 39.24156184736687</t>
  </si>
  <si>
    <t>21.578725691679708, 39.146940033538236</t>
  </si>
  <si>
    <t>21.570722969920087, 39.213663005701484</t>
  </si>
  <si>
    <t>21.54000933439341, 39.18135743967631</t>
  </si>
  <si>
    <t>21.82751731788642, 39.21346817417674</t>
  </si>
  <si>
    <t>21.81716431267627, 39.21078972675981</t>
  </si>
  <si>
    <t>21.8415356257404, 39.22800999109642</t>
  </si>
  <si>
    <t>21.6000211915587, 39.189071136301635</t>
  </si>
  <si>
    <t>21.61176719065258, 39.19421745382795</t>
  </si>
  <si>
    <t>متوسطة أبي عبيدة - بنين</t>
  </si>
  <si>
    <t xml:space="preserve">ثانوية الامام الطحاوي ببريدة - بنين </t>
  </si>
  <si>
    <t>ابتدائية الفاروق ببريدة  - بنين</t>
  </si>
  <si>
    <t>ابتدائية عثمان بن عفان - بنين</t>
  </si>
  <si>
    <t>ابتدائية الفيصلية - بنين</t>
  </si>
  <si>
    <t xml:space="preserve">متوسطة سيبويه - بنين </t>
  </si>
  <si>
    <t>المتوسطة الخامسة والخمسون - بنات</t>
  </si>
  <si>
    <t xml:space="preserve">ثانوية قيس بن عاصم رضى الله عنه - بنين </t>
  </si>
  <si>
    <t>الثانوية الخامسة والعشرون ببريدة - مسارات - بنات</t>
  </si>
  <si>
    <t>مدرسة أم المؤمنين صفية بنت حيي للطفولة المبكرة والابتدائية ببريدة - بنات</t>
  </si>
  <si>
    <t>الابتدائية الثانية لتحفيظ  القران  ببريدة - بنات</t>
  </si>
  <si>
    <t>الابتدائية السادسة  والثلاثون ببريدة - بنات</t>
  </si>
  <si>
    <t>الابتدائية السابعة لتحفيظ القران ببريدة - بنات</t>
  </si>
  <si>
    <t>المتوسطة السادسة والأربعون ببريدة - بنات</t>
  </si>
  <si>
    <t>الابتدائية الرابعة والاربعون  ببريدة - بنات</t>
  </si>
  <si>
    <t>الأبتدائية الثانية بالشقة- بنات</t>
  </si>
  <si>
    <t>الثانوية الثانية بالشقة - بنات</t>
  </si>
  <si>
    <t>الابتدائية الثلاثون ببريدة - بنات</t>
  </si>
  <si>
    <t>ثانوية المليداء  ببريدة  - بنات</t>
  </si>
  <si>
    <t>الابتدائية الثالثة ببريدة - بنات</t>
  </si>
  <si>
    <t>الابتدائية الرابعة بالشقة - بنات</t>
  </si>
  <si>
    <t>متوسطة ام المؤمنين حفصة رضى الله عنها  - بنات</t>
  </si>
  <si>
    <t>الابتدائية الثامنة ببريدة - بنات</t>
  </si>
  <si>
    <t>المتوسطة الثامنة عشرة ببريدة - بنات</t>
  </si>
  <si>
    <t>الابتدائية الثانية عشرة ببريدة - بنات</t>
  </si>
  <si>
    <t>الابتدائية الرابعة لتحفيظ القران ببريدة - بنات</t>
  </si>
  <si>
    <t>مدرسة سهلة بنت سهيل للطفولة المبكرة والابتدائية ببريدة - بنات</t>
  </si>
  <si>
    <t xml:space="preserve">مجمع خضبراء التعليمي -بنات </t>
  </si>
  <si>
    <t>الثانوية الخامسة عشر ببريدة - مسارات - بنات</t>
  </si>
  <si>
    <t>الابتدائية السابعة والثمانون ببريدة - بنات</t>
  </si>
  <si>
    <t xml:space="preserve">متوسطة الجزيرة ببريدة - بنين </t>
  </si>
  <si>
    <t>الابتدائية السابعة ببريدة - بنات</t>
  </si>
  <si>
    <t>المتوسطة الثانية بالشقة  - بنات</t>
  </si>
  <si>
    <t>الابتدائية السابعة عشرة ببريدة - بنات</t>
  </si>
  <si>
    <t xml:space="preserve">ابتدائية آبي موسى الاشعري لتحفيظ القران  ببريدة - بنين </t>
  </si>
  <si>
    <t xml:space="preserve">ابتدائية ام القرى ببريدة - بنين </t>
  </si>
  <si>
    <t>مدرسة رابعة بنت ثابت للطفولة المبكرة ببريدة - بنات</t>
  </si>
  <si>
    <t>المتوسطة الرابعة ببريدة - بنات</t>
  </si>
  <si>
    <t>آمنة بنت عثمان بن عفان ببريدة - بنات</t>
  </si>
  <si>
    <t>المتوسطة الخامسة والثلاثون ببريدة - بنات</t>
  </si>
  <si>
    <t>مدرسة سعاد بنت سلمة للطفولة المبكرة ببريدة  - بنات</t>
  </si>
  <si>
    <t>مدرسة العريمضي للطفولة المبكرة والابتدائية - بنات</t>
  </si>
  <si>
    <t xml:space="preserve">ابتدائية محمد بن مالك ببريدة - بنين </t>
  </si>
  <si>
    <t>الثانوية الأولى بالمريدسية - مقررات - بنات</t>
  </si>
  <si>
    <t xml:space="preserve">ابتدائية الامام مجاهد ببريدة - بنين </t>
  </si>
  <si>
    <t>الثانوية التاسعة ببريدة - مقررات - بنات</t>
  </si>
  <si>
    <t>الابتدائية الخامسة والأربعون  ببريدة - بنات</t>
  </si>
  <si>
    <t>مدرسة زينب بنت عمر بن الخطاب للطفولة المبكرة والابتدائية ببريدة - بنات</t>
  </si>
  <si>
    <t>الثانوية العاشرة ببريدة - مقررات - بنات</t>
  </si>
  <si>
    <t xml:space="preserve">الابتدائية الرابعة والستون ببريدة - بنات </t>
  </si>
  <si>
    <t>متوسطة الخضر والوجيعان ببريدة - بنات</t>
  </si>
  <si>
    <t>مدرسة كريمة الكندية للطفولة المبكرة ببريدة - بنات</t>
  </si>
  <si>
    <t>الابتدائية الاولى بحويلان - بنات</t>
  </si>
  <si>
    <t>مدرسة أم العلاء الأنصارية للطفولة المبكرة ببريدة - بنات</t>
  </si>
  <si>
    <t xml:space="preserve">إبتدائية عبدالرحمن بن عوف (رضى الله عنه ) - بنين </t>
  </si>
  <si>
    <t>الابتدائية السادسة لتحفيظ القران ببريدة - بنات</t>
  </si>
  <si>
    <t>الثانوية الأولى بضراس - مقررات - بنات</t>
  </si>
  <si>
    <t>ابتدائية عقبة بن عامر</t>
  </si>
  <si>
    <t>حويلان</t>
  </si>
  <si>
    <t>البصر</t>
  </si>
  <si>
    <t>ابتدائية العز بن عبدالسلام</t>
  </si>
  <si>
    <t>الأمير عبدالعزيز بن مساعد</t>
  </si>
  <si>
    <t>ابتدائية التضامن الاسلامي</t>
  </si>
  <si>
    <t>تحفيظ ابتدائية الشيخ صالح البليهي لتحفيظ القران الكريم</t>
  </si>
  <si>
    <t>المعهد العلمي ببريدة - ثانوي</t>
  </si>
  <si>
    <t>متوسطة الشيخ محمد بن عثيمين لتحفيظ القرآن الكريم</t>
  </si>
  <si>
    <t>ثانوية الملك سعود - مسارات</t>
  </si>
  <si>
    <t>مدرسة الإمام النووي الابتدائية</t>
  </si>
  <si>
    <t>ابتدائية القدس</t>
  </si>
  <si>
    <t>ثانوية مكةالمكرمة - مسارات</t>
  </si>
  <si>
    <t>متوسطة امام الدعوة ببريدة</t>
  </si>
  <si>
    <t>مجمع الشيخ عبدالعزيز المسند لحفيظ القرآن الكريم - القسم الابتدائي</t>
  </si>
  <si>
    <t>مجمع الشيخ عبدالعزيز المسند لحفيظ القرآن الكريم - القسم المتوسط</t>
  </si>
  <si>
    <t>تحفيظ ابتدائية الإمام نافع المدني لتحفيظ القرآن الكريم</t>
  </si>
  <si>
    <t>ابتدائية معاذ بن جبل</t>
  </si>
  <si>
    <t>ابتدائية الخوارزمي</t>
  </si>
  <si>
    <t>متوسطة العقيلات</t>
  </si>
  <si>
    <t>مدرسة القصيعة</t>
  </si>
  <si>
    <t>ابتدائية المريدسية</t>
  </si>
  <si>
    <t>ابتدائية معهد التربية الفكرية</t>
  </si>
  <si>
    <t xml:space="preserve">متوسطة عبدالله بن الزبير </t>
  </si>
  <si>
    <t>مدرسة اشبيليا</t>
  </si>
  <si>
    <t xml:space="preserve">ابتدائية احمد بن حنبل </t>
  </si>
  <si>
    <t>ابتدائية الأمام الذهبي</t>
  </si>
  <si>
    <t xml:space="preserve">ابتدائية علي بن ابي طالب </t>
  </si>
  <si>
    <t>ابتدائية عمر بن سليم</t>
  </si>
  <si>
    <t xml:space="preserve"> العلاء بن زياد</t>
  </si>
  <si>
    <t>القاضي بن ابي يعلى</t>
  </si>
  <si>
    <t>عوق عقلي الحسين بن علي</t>
  </si>
  <si>
    <t xml:space="preserve">خالد بن دينار </t>
  </si>
  <si>
    <t xml:space="preserve"> ابي داؤود</t>
  </si>
  <si>
    <t>ابتدائية ضراس</t>
  </si>
  <si>
    <t>الأمين</t>
  </si>
  <si>
    <t>مالك بن عامر</t>
  </si>
  <si>
    <t>العبودي</t>
  </si>
  <si>
    <t>الأدريسي</t>
  </si>
  <si>
    <t>الأمير عبدالاله بن عبدالعزيز</t>
  </si>
  <si>
    <t>متوسطة مجمع صالح بن علي العثيم</t>
  </si>
  <si>
    <t>ابتدائية الإمام ابي حنيفة</t>
  </si>
  <si>
    <t>ابتدائية الهدية</t>
  </si>
  <si>
    <t xml:space="preserve">ابتدائية أبوبكر الصديق - عوق عقلي </t>
  </si>
  <si>
    <t>ابتدائية خباب بن الأرت</t>
  </si>
  <si>
    <t>ابتدائية فلسطين</t>
  </si>
  <si>
    <t>ثانوية الامير فيصل بن فهد - مسارات</t>
  </si>
  <si>
    <t xml:space="preserve">ثانوية بريدة - عوق عقلي </t>
  </si>
  <si>
    <t>متوسطة ابن قدامة</t>
  </si>
  <si>
    <t>متوسطة الاحنف بن قيس</t>
  </si>
  <si>
    <t>متوسطة الشيخ عبدالعزيز بن باز</t>
  </si>
  <si>
    <t>ابتدائية سهل بن الربيع</t>
  </si>
  <si>
    <t>متوسطة الامام محمد بن سعود</t>
  </si>
  <si>
    <t>ابتدائية ابن ماجة</t>
  </si>
  <si>
    <t>ابتدائية الآمدي</t>
  </si>
  <si>
    <t>مجمع الخليج التعليمي القسم المتوسط</t>
  </si>
  <si>
    <t>ابتدائية العجيبة</t>
  </si>
  <si>
    <t>ابتدائية رواق</t>
  </si>
  <si>
    <t>ابتدائية الشيخ محمد بن عثيمين لتحفيظ القرآن الكريم</t>
  </si>
  <si>
    <t>مركز الشيخ محمد بن ابراهيم للتعليم المستمر</t>
  </si>
  <si>
    <t xml:space="preserve">متوسطة ابن كثير </t>
  </si>
  <si>
    <t>عوق عقلي - ابتدائية معهد التربية الفكرية شمال</t>
  </si>
  <si>
    <t>ابتدائية ابن عقيل</t>
  </si>
  <si>
    <t>ثانوية مجمع الأمير سلطان - مسارات</t>
  </si>
  <si>
    <t>مجمع الأمير سلطان - القسم متوسطة</t>
  </si>
  <si>
    <t>ثانوية الأقصى - مسارات</t>
  </si>
  <si>
    <t>ابتدائية المعرفة في بريدة</t>
  </si>
  <si>
    <t>تحفيظ ابتدائية الشيخ عبد الرحمن بن عبدالله بن فريان</t>
  </si>
  <si>
    <t>ثانوية عمرو بن العاص - مسارات</t>
  </si>
  <si>
    <t>ابتدائية الفتح الرائدة في بريدة</t>
  </si>
  <si>
    <t>ابتدائية  الإمام السيوطي</t>
  </si>
  <si>
    <t>متوسطة  قتادة بن النعمان</t>
  </si>
  <si>
    <t>متوسطة ابن عبدالبر</t>
  </si>
  <si>
    <t>ابتدائية أحد</t>
  </si>
  <si>
    <t xml:space="preserve">ثمامة بن عدي </t>
  </si>
  <si>
    <t xml:space="preserve"> الطفيل بن عمرو</t>
  </si>
  <si>
    <t>ثانوية الرازي - مسارات</t>
  </si>
  <si>
    <t>متوسطة الامام الترمذي</t>
  </si>
  <si>
    <t>ثانوية النجاشي - مسارات</t>
  </si>
  <si>
    <t>مدرسة أميمة بن الخطاب للطفولة المكبرة ببريدة - بنات</t>
  </si>
  <si>
    <t>مجمع الخليج التعليمي - القسم الثانوي ببريدة  - بنين</t>
  </si>
  <si>
    <t>مدرسة سلمى بنت صخر للطفولة المبكرة ببريدة  - بنات</t>
  </si>
  <si>
    <t>الابتدائية السابعة والتسعون ببريدة - بنات</t>
  </si>
  <si>
    <t>الثانوية السادسة عشر ببريدة  - بنات</t>
  </si>
  <si>
    <t>الابتدائية السبعون ببريدة - بنات</t>
  </si>
  <si>
    <t>متوسطة الميلداء  ببريدة - بنات</t>
  </si>
  <si>
    <t>المتوسطة السادسة عشرة ببريدة - بنات</t>
  </si>
  <si>
    <t>الابتدائية السادسة والستون ببريدة - بنات</t>
  </si>
  <si>
    <t>مدرسة الشماس للطفولة المبكرة ببريدة - بنات</t>
  </si>
  <si>
    <t>الثانوية الثامنة ببريدة - بنات</t>
  </si>
  <si>
    <t>المتوسطة السابعة العشرون ببريدة  - بنات</t>
  </si>
  <si>
    <t>المتوسطة الحادية عشر بمحافظة بريدة - بنات</t>
  </si>
  <si>
    <t>الابتدائية الخامسة عشر  ببريدة - بنات</t>
  </si>
  <si>
    <t>المتوسطة الثالثة ببريدة - بنات</t>
  </si>
  <si>
    <t>مدرسة أمامة بنت حمزة للطفولة المبكرة ببريدة - بنات</t>
  </si>
  <si>
    <t>الثانوية الثامنة والعشرون - مسارات - بنات</t>
  </si>
  <si>
    <t>مدرسة حسناء بنت معاوية للطفولة المبكرة ببريدة - بنات</t>
  </si>
  <si>
    <t>المتوسطة التاسعة ببريدة - بنات</t>
  </si>
  <si>
    <t>مدرسة رقية بنت عمر بن الخطاب للطفولة المبكرة ببريدة - بنات</t>
  </si>
  <si>
    <t>الثانوية السابعة والعشرون ببريدة - مسارات - بنات</t>
  </si>
  <si>
    <t xml:space="preserve">مدرسة المتنبي الثانوية </t>
  </si>
  <si>
    <t>المدرسة الابتدائية السادسة والخمسون</t>
  </si>
  <si>
    <t>المدرسة الابتدائية الحادية والثلاثون</t>
  </si>
  <si>
    <t>المتوسطة الثانية والخمسون ببريدة - بنات</t>
  </si>
  <si>
    <t>روضة زينب بنت محمد صلى الله عليه وسلم ببريدة - بنات</t>
  </si>
  <si>
    <t>ابتدائية محمد بن سيرين</t>
  </si>
  <si>
    <t>ثانوية الوطن - مسارات</t>
  </si>
  <si>
    <t>سناء السلمية الطفولة المبكرة</t>
  </si>
  <si>
    <t>ابتدائية أبي بن كعب الأنصاري لتحفيظ القرآن الكريم</t>
  </si>
  <si>
    <t>الثانوية الاولى ببريدة - مقررات - بنات</t>
  </si>
  <si>
    <t>ياقوت الحموي</t>
  </si>
  <si>
    <t>متوسطة ابن خلدون</t>
  </si>
  <si>
    <t>مدرسة المنصورية</t>
  </si>
  <si>
    <t>ابتدائية ربيعة بن كعب</t>
  </si>
  <si>
    <t>مجمع القيروان التعليمي ببريدة -القسم المتوسط- بنين</t>
  </si>
  <si>
    <t>الثانوية الخامسة ببريدة - بنات</t>
  </si>
  <si>
    <t xml:space="preserve">الثانوية الثالثة والعشرون ببريدة -بنات </t>
  </si>
  <si>
    <t>مدرسة حليمة السعدية لتحفيظ القرآن الكريم - بنات</t>
  </si>
  <si>
    <t>المتوسطة التاسعة والاربعون  ببريدة - بنات</t>
  </si>
  <si>
    <t>الثانوية الثالثة والثلاثون ببريدة - مقررات - بنات</t>
  </si>
  <si>
    <t>المتوسطة الثانية عشر ببريدة - بنات</t>
  </si>
  <si>
    <t>الابتدائية الثالثة والعشرون ببريدة - بنات</t>
  </si>
  <si>
    <t xml:space="preserve">الابتدائية السادسة والاربعون  ببريدة -بنات </t>
  </si>
  <si>
    <t>ابتدائية الحسن البصري</t>
  </si>
  <si>
    <t>ابتدائية الزبير بن العوام</t>
  </si>
  <si>
    <t>ابتدائية الشيخ صالح الخريصي</t>
  </si>
  <si>
    <t>عوق سمعي ابتدائية معهد الامل للصم</t>
  </si>
  <si>
    <t>ابتدائية الشيخ صالح العمري</t>
  </si>
  <si>
    <t>متوسطة علي الحصين</t>
  </si>
  <si>
    <t xml:space="preserve">عبدالملك بن مروان </t>
  </si>
  <si>
    <t>ثانوية الريان مقررات</t>
  </si>
  <si>
    <t>ثانوية مجمع صالح بن علي العثيم</t>
  </si>
  <si>
    <t>مدرسة الأمير فيصل بن مشعل بن سعود الثانوية - مسارات</t>
  </si>
  <si>
    <t>ابتدائية سهيل بن عمرو</t>
  </si>
  <si>
    <t>ثانوية ابن رشد - مسارات</t>
  </si>
  <si>
    <t>ثانوية أبي أيوب الأنصاري ببريدة - مسارات</t>
  </si>
  <si>
    <t>ابتدائية طارق بن زياد</t>
  </si>
  <si>
    <t>ثانوية القيروان - مسارات</t>
  </si>
  <si>
    <t>الابتدائية الخامسة لتحفيظ القرآن الكريم - بنات</t>
  </si>
  <si>
    <t>المدرسة العشرون الثانوية</t>
  </si>
  <si>
    <t>الابتدائية الخمسون - بنات</t>
  </si>
  <si>
    <t>مدرسة شهداء الوطن الابتدائية</t>
  </si>
  <si>
    <t>المدرسة الابتدائية رقم 100 - للبنات</t>
  </si>
  <si>
    <t>KFM2120660298585</t>
  </si>
  <si>
    <t>KFM2020660207744</t>
  </si>
  <si>
    <t>KFM2020660194788</t>
  </si>
  <si>
    <t>KFM2020660205336</t>
  </si>
  <si>
    <t>KFM2020660187506</t>
  </si>
  <si>
    <t>SRM2320661033214</t>
  </si>
  <si>
    <t>KFM2020660187503</t>
  </si>
  <si>
    <t>KFM2120660265817</t>
  </si>
  <si>
    <t>KFM2120660301083</t>
  </si>
  <si>
    <t>10041960204‪</t>
  </si>
  <si>
    <t>KFM2020660211765</t>
  </si>
  <si>
    <t>10042006958‪</t>
  </si>
  <si>
    <t>KFM2020660194922</t>
  </si>
  <si>
    <t>10041954781‪</t>
  </si>
  <si>
    <t>KFM2120660263561</t>
  </si>
  <si>
    <t>10099573152‪</t>
  </si>
  <si>
    <t>KFM2020660194381</t>
  </si>
  <si>
    <t>10090562499‪</t>
  </si>
  <si>
    <t>KFM2020660205572</t>
  </si>
  <si>
    <t>10041468205‪</t>
  </si>
  <si>
    <t>KFM2020660211704</t>
  </si>
  <si>
    <t>10089582784‪</t>
  </si>
  <si>
    <t>KFM2120660246812</t>
  </si>
  <si>
    <t>10041525231‪</t>
  </si>
  <si>
    <t>KFM2020660204801</t>
  </si>
  <si>
    <t>10041716180‪</t>
  </si>
  <si>
    <t>KFM2120660304756</t>
  </si>
  <si>
    <t>10041931051‪</t>
  </si>
  <si>
    <t>KFM2120660248042</t>
  </si>
  <si>
    <t>10041559346‪</t>
  </si>
  <si>
    <t>KFM2020660204853</t>
  </si>
  <si>
    <t>10041559471‪</t>
  </si>
  <si>
    <t>KFM2020660204691</t>
  </si>
  <si>
    <t>10088604869‪</t>
  </si>
  <si>
    <t>KFM2020660193845</t>
  </si>
  <si>
    <t>10041716662‪</t>
  </si>
  <si>
    <t>KFM2120660265820</t>
  </si>
  <si>
    <t>10041778709‪</t>
  </si>
  <si>
    <t>KFM2020660153836</t>
  </si>
  <si>
    <t>10041816013‪</t>
  </si>
  <si>
    <t>KFM2120660265200</t>
  </si>
  <si>
    <t>10041848625‪</t>
  </si>
  <si>
    <t>KFM2020660194286</t>
  </si>
  <si>
    <t>10041896211‪</t>
  </si>
  <si>
    <t>KFM2020660206346</t>
  </si>
  <si>
    <t>10041815901‪</t>
  </si>
  <si>
    <t>KFM2020660194861</t>
  </si>
  <si>
    <t>10041349797‪</t>
  </si>
  <si>
    <t>KFM2020660207743</t>
  </si>
  <si>
    <t>SMR2320661024096</t>
  </si>
  <si>
    <t>10041281501‪</t>
  </si>
  <si>
    <t>KFM2120660248033</t>
  </si>
  <si>
    <t>10041615740‪</t>
  </si>
  <si>
    <t>KFM2020660211706</t>
  </si>
  <si>
    <t>10089583816‪</t>
  </si>
  <si>
    <t>KFM2020660194301</t>
  </si>
  <si>
    <t>10041170708‪</t>
  </si>
  <si>
    <t>KFM2020660205320</t>
  </si>
  <si>
    <t>10041544147‪</t>
  </si>
  <si>
    <t>KFM2120660303672</t>
  </si>
  <si>
    <t>10092566853‪</t>
  </si>
  <si>
    <t>KFM2120660273099</t>
  </si>
  <si>
    <t>10041163276‪</t>
  </si>
  <si>
    <t>SMR2220661003533</t>
  </si>
  <si>
    <t>10041571378‪</t>
  </si>
  <si>
    <t>KFM2120660301427</t>
  </si>
  <si>
    <t>10041849856‪</t>
  </si>
  <si>
    <t>KFM2020660204870</t>
  </si>
  <si>
    <t>10041906068‪</t>
  </si>
  <si>
    <t>SRM2320661021337</t>
  </si>
  <si>
    <t>10041395628‪</t>
  </si>
  <si>
    <t>KFM2120660304332</t>
  </si>
  <si>
    <t>10083696062‪</t>
  </si>
  <si>
    <t>KFM2020660194776</t>
  </si>
  <si>
    <t>10041288904‪</t>
  </si>
  <si>
    <t>KFM2020660187281</t>
  </si>
  <si>
    <t>10041612953‪</t>
  </si>
  <si>
    <t>KFM2020660204873</t>
  </si>
  <si>
    <t>10041498321‪</t>
  </si>
  <si>
    <t>KFM2120660304327</t>
  </si>
  <si>
    <t>10041432472‪</t>
  </si>
  <si>
    <t>KFM2020660194524</t>
  </si>
  <si>
    <t>KFM2120660304324</t>
  </si>
  <si>
    <t>10041535809‪</t>
  </si>
  <si>
    <t>KFM2020660166406</t>
  </si>
  <si>
    <t>10041171090‪</t>
  </si>
  <si>
    <t>SMR2320661030271</t>
  </si>
  <si>
    <t>KFM2020660194782</t>
  </si>
  <si>
    <t>10041784635‪</t>
  </si>
  <si>
    <t>KFM2020660196170</t>
  </si>
  <si>
    <t>10041257318‪</t>
  </si>
  <si>
    <t>KFM2020660195287</t>
  </si>
  <si>
    <t>10041664726‪</t>
  </si>
  <si>
    <t>KFM2020660211723</t>
  </si>
  <si>
    <t>10041785356‪</t>
  </si>
  <si>
    <t>KFM2020660194450</t>
  </si>
  <si>
    <t>10041772680‪</t>
  </si>
  <si>
    <t>KFM2020660205359</t>
  </si>
  <si>
    <t>KFM2120660278912</t>
  </si>
  <si>
    <t>KFM2120660266841</t>
  </si>
  <si>
    <t>10041304811‪</t>
  </si>
  <si>
    <t>KFM2020660195286</t>
  </si>
  <si>
    <t>KFM2120660266830</t>
  </si>
  <si>
    <t>10085393386‪</t>
  </si>
  <si>
    <t>KFM2120660301870</t>
  </si>
  <si>
    <t>KFM2120660266793</t>
  </si>
  <si>
    <t>10041882897‪</t>
  </si>
  <si>
    <t>KFM2120660236017</t>
  </si>
  <si>
    <t>10041643593‪</t>
  </si>
  <si>
    <t>KFM2120660237486</t>
  </si>
  <si>
    <t>KFM2120660248045</t>
  </si>
  <si>
    <t>10041149034‪</t>
  </si>
  <si>
    <t>KFM2020660194300</t>
  </si>
  <si>
    <t>10041717285‪</t>
  </si>
  <si>
    <t>KFM2120660235954</t>
  </si>
  <si>
    <t>10041313257‪</t>
  </si>
  <si>
    <t>KFM2020660194529</t>
  </si>
  <si>
    <t>KFM2120660263559</t>
  </si>
  <si>
    <t>10083090048‪</t>
  </si>
  <si>
    <t>KFM2120660298646</t>
  </si>
  <si>
    <t>10041772812‪</t>
  </si>
  <si>
    <t>KFM2020660205333</t>
  </si>
  <si>
    <t>10041262499‪</t>
  </si>
  <si>
    <t>KFM2120660235980</t>
  </si>
  <si>
    <t>10041823377‪</t>
  </si>
  <si>
    <t>KFM2120660235981</t>
  </si>
  <si>
    <t>10041823500‪</t>
  </si>
  <si>
    <t>KFM2020660187393</t>
  </si>
  <si>
    <t>10041762066‪</t>
  </si>
  <si>
    <t>KFM2020660194545</t>
  </si>
  <si>
    <t>10041494143‪</t>
  </si>
  <si>
    <t>KFM2020660187384</t>
  </si>
  <si>
    <t>10041810118‪</t>
  </si>
  <si>
    <t>KFM2020660187400</t>
  </si>
  <si>
    <t>10041850006‪</t>
  </si>
  <si>
    <t>KFM2020660204986</t>
  </si>
  <si>
    <t>KFM2020660204683</t>
  </si>
  <si>
    <t>KFM2120660268425</t>
  </si>
  <si>
    <t>KFM2020660204761</t>
  </si>
  <si>
    <t>KFM2020660194447</t>
  </si>
  <si>
    <t>KFM2020660204670</t>
  </si>
  <si>
    <t>KFM2020660187367</t>
  </si>
  <si>
    <t>KFM2120660238430</t>
  </si>
  <si>
    <t>KFM2020660204721</t>
  </si>
  <si>
    <t>KFM2020660204667</t>
  </si>
  <si>
    <t>KFM2020660187359</t>
  </si>
  <si>
    <t>KFM2120660274338</t>
  </si>
  <si>
    <t>KFM2120660301424</t>
  </si>
  <si>
    <t>KFM2020660187414</t>
  </si>
  <si>
    <t>KFM2120660248117</t>
  </si>
  <si>
    <t>KFM2120660238459</t>
  </si>
  <si>
    <t>KFM2020660194801</t>
  </si>
  <si>
    <t>KFM2020660187238</t>
  </si>
  <si>
    <t>KFM2120660266856</t>
  </si>
  <si>
    <t>KFM2020660194802</t>
  </si>
  <si>
    <t>MMF2420601017209</t>
  </si>
  <si>
    <t>KFM2120660265821</t>
  </si>
  <si>
    <t>KFM2120660284107</t>
  </si>
  <si>
    <t>KFM2020660194267</t>
  </si>
  <si>
    <t>KFM2120660300986</t>
  </si>
  <si>
    <t>KFM2120660303892</t>
  </si>
  <si>
    <t>KFM2120660282791</t>
  </si>
  <si>
    <t>KFM2120660301899</t>
  </si>
  <si>
    <t>KFM2120660273103</t>
  </si>
  <si>
    <t>KFM2120660236019</t>
  </si>
  <si>
    <t>KFM2120660248041</t>
  </si>
  <si>
    <t>KFM2020660194780</t>
  </si>
  <si>
    <t>KFM2020660194771</t>
  </si>
  <si>
    <t>KFM2020660205354</t>
  </si>
  <si>
    <t>KFM2120660244797</t>
  </si>
  <si>
    <t>KFM2120660274301</t>
  </si>
  <si>
    <t>KFM2020660194527</t>
  </si>
  <si>
    <t>SMR2220661019175</t>
  </si>
  <si>
    <t>KFM2020660194297</t>
  </si>
  <si>
    <t>KFM2120660274539</t>
  </si>
  <si>
    <t>KFM2020660194483</t>
  </si>
  <si>
    <t>KFM2020660187232</t>
  </si>
  <si>
    <t>KFM2120660265790</t>
  </si>
  <si>
    <t>KFM2020660019933</t>
  </si>
  <si>
    <t>KFM2020660194355</t>
  </si>
  <si>
    <t>KFM2020660187271</t>
  </si>
  <si>
    <t>SMR2320661035056</t>
  </si>
  <si>
    <t>KFM2020660194687</t>
  </si>
  <si>
    <t>KFM2020660194600</t>
  </si>
  <si>
    <t>KFM2120660268565</t>
  </si>
  <si>
    <t>KFM2020660204545</t>
  </si>
  <si>
    <t>SMR2220661013332</t>
  </si>
  <si>
    <t>KFM2120660301426</t>
  </si>
  <si>
    <t>KFM2020660194306</t>
  </si>
  <si>
    <t>KFM2120660250145</t>
  </si>
  <si>
    <t>KFM2020660204541</t>
  </si>
  <si>
    <t>SMR2220661003582</t>
  </si>
  <si>
    <t>KFM2120660274296</t>
  </si>
  <si>
    <t>KFM2020660194809</t>
  </si>
  <si>
    <t>KFM2020660195607</t>
  </si>
  <si>
    <t>KFM2020660204860</t>
  </si>
  <si>
    <t>KFM2120660303667</t>
  </si>
  <si>
    <t>KFM2020660204679</t>
  </si>
  <si>
    <t>KFM2020660194929</t>
  </si>
  <si>
    <t>KFM2020660194303</t>
  </si>
  <si>
    <t>KFM2120660265199</t>
  </si>
  <si>
    <t>KFM2120660274343</t>
  </si>
  <si>
    <t>KFM2120660274335</t>
  </si>
  <si>
    <t>KFM2120660236021</t>
  </si>
  <si>
    <t>KFM2020660194827</t>
  </si>
  <si>
    <t>KFM2020660194592</t>
  </si>
  <si>
    <t>KFM2120660238629</t>
  </si>
  <si>
    <t>KFM2120660247227</t>
  </si>
  <si>
    <t>KFM2020660204858</t>
  </si>
  <si>
    <t>KFM2120660238626</t>
  </si>
  <si>
    <t>KFM2020660196042</t>
  </si>
  <si>
    <t>KFM2020660194383</t>
  </si>
  <si>
    <t>10090557873‪</t>
  </si>
  <si>
    <t>KFM2120660235942</t>
  </si>
  <si>
    <t>KFM2020660195604</t>
  </si>
  <si>
    <t>KFM2020660196167</t>
  </si>
  <si>
    <t>SMR2420661039343</t>
  </si>
  <si>
    <t>KFM2020660204692</t>
  </si>
  <si>
    <t>KFM2120660248043</t>
  </si>
  <si>
    <t>KFM2120660304270</t>
  </si>
  <si>
    <t>KFM2020660194794</t>
  </si>
  <si>
    <t>10041772948‪</t>
  </si>
  <si>
    <t>KFM2120660287945</t>
  </si>
  <si>
    <t>KFM2120660303663</t>
  </si>
  <si>
    <t>10041308936‪</t>
  </si>
  <si>
    <t>KFM2120660273068</t>
  </si>
  <si>
    <t>10041750154‪</t>
  </si>
  <si>
    <t>KFM2020660211718</t>
  </si>
  <si>
    <t>10041181471‪</t>
  </si>
  <si>
    <t>KFM2020660195285</t>
  </si>
  <si>
    <t>10041750280‪</t>
  </si>
  <si>
    <t>KFM2020660195360</t>
  </si>
  <si>
    <t>10041840126‪</t>
  </si>
  <si>
    <t>KFM2020660187335</t>
  </si>
  <si>
    <t>SMR2420661039454</t>
  </si>
  <si>
    <t>SMR2420661040092</t>
  </si>
  <si>
    <t>10041789972‪</t>
  </si>
  <si>
    <t>KFM2020660187460</t>
  </si>
  <si>
    <t>KFM2020660198549</t>
  </si>
  <si>
    <t>10041862366‪</t>
  </si>
  <si>
    <t>KFM2020660204867</t>
  </si>
  <si>
    <t>10041905937‪</t>
  </si>
  <si>
    <t>KFM2120660287896</t>
  </si>
  <si>
    <t>10103728508‪</t>
  </si>
  <si>
    <t>KFM2020660204675</t>
  </si>
  <si>
    <t>KFM2020660204747</t>
  </si>
  <si>
    <t>10041225047‪</t>
  </si>
  <si>
    <t>SMR2220661019889</t>
  </si>
  <si>
    <t>10041901938‪</t>
  </si>
  <si>
    <t>KFM2020660205312</t>
  </si>
  <si>
    <t>10041181597‪</t>
  </si>
  <si>
    <t>KFM2120660235930</t>
  </si>
  <si>
    <t>10041712135‪</t>
  </si>
  <si>
    <t>KFM2020660205334</t>
  </si>
  <si>
    <t>KFM2020660187301</t>
  </si>
  <si>
    <t>10041810403‪</t>
  </si>
  <si>
    <t>KFM2020660187303</t>
  </si>
  <si>
    <t>10041810271‪</t>
  </si>
  <si>
    <t>SMR2220661012378</t>
  </si>
  <si>
    <t>KFM2120660238462</t>
  </si>
  <si>
    <t>SMR24206610339400</t>
  </si>
  <si>
    <t>SMR2220661012006</t>
  </si>
  <si>
    <t>KFM2120660301070</t>
  </si>
  <si>
    <t>KFM2020660205314</t>
  </si>
  <si>
    <t>KFM2020660204809</t>
  </si>
  <si>
    <t>KFM2020660204570</t>
  </si>
  <si>
    <t>KFM2020660193849</t>
  </si>
  <si>
    <t>KFM2020660187459</t>
  </si>
  <si>
    <t>KFM2120660272645</t>
  </si>
  <si>
    <t>KFM2020660204723</t>
  </si>
  <si>
    <t>KFM2020660194150</t>
  </si>
  <si>
    <t>KFM2020660194149</t>
  </si>
  <si>
    <t>Abu Ubaidah Intermediate School - Boys</t>
  </si>
  <si>
    <t>Imam Al-Tahawi Secondary School in Buraydah - Boys</t>
  </si>
  <si>
    <t>Al-Farouq Primary School in Buraydah - Boys</t>
  </si>
  <si>
    <t>Uthman Ibn Affan Primary School - Boys</t>
  </si>
  <si>
    <t>Al-Faisaliyah Primary School - Boys</t>
  </si>
  <si>
    <t>Sibawayh Intermediate School - Boys</t>
  </si>
  <si>
    <t>Fifty-Fifth Intermediate School - Girls</t>
  </si>
  <si>
    <t>Qais Ibn Asim Secondary School - Boys</t>
  </si>
  <si>
    <t>Twenty-Fifth Secondary School in Buraydah - Tracks - Girls</t>
  </si>
  <si>
    <t>Umm Al-Mu'minin Safiyyah Bint Huyayy Early Childhood and Primary School in Buraydah - Girls</t>
  </si>
  <si>
    <t>Second Elementary School for Quran Memorization in Buraydah - Girls</t>
  </si>
  <si>
    <t>Thirty-Sixth Elementary School in Buraydah - Girls</t>
  </si>
  <si>
    <t>Seventh Elementary School for Quran Memorization in Buraydah - Girls</t>
  </si>
  <si>
    <t>Forty-Sixth Intermediate School in Buraydah - Girls</t>
  </si>
  <si>
    <t>Forty-Fourth Elementary School in Buraydah - Girls</t>
  </si>
  <si>
    <t>Second Elementary School in Al-Shaqqah - Girls</t>
  </si>
  <si>
    <t>Second Secondary School in Al-Shaqqah - Girls</t>
  </si>
  <si>
    <t>Thirtieth Elementary School in Buraydah - Girls</t>
  </si>
  <si>
    <t>Al-Mulayda Secondary School in Buraydah - Girls</t>
  </si>
  <si>
    <t>Third Elementary School in Buraydah - Girls</t>
  </si>
  <si>
    <t>Fourth Elementary School in Al-Shaqqa - Girls</t>
  </si>
  <si>
    <t>Umm Al-Mu'minin Hafsa Intermediate School - Girls</t>
  </si>
  <si>
    <t>Eighth Elementary School in Buraydah - Girls</t>
  </si>
  <si>
    <t>Eighteenth Intermediate School in Buraydah - Girls</t>
  </si>
  <si>
    <t>Twelfth Elementary School in Buraydah - Girls</t>
  </si>
  <si>
    <t>Fourth Elementary School for Quran Memorization in Buraydah - Girls</t>
  </si>
  <si>
    <t>Sahla Bint Suhayl Early Childhood and Elementary School in Buraydah - Girls</t>
  </si>
  <si>
    <t>Khadhra Educational Complex - Girls</t>
  </si>
  <si>
    <t>Fifteenth Secondary School in Buraydah - Masarat - Girls</t>
  </si>
  <si>
    <t>Eighty-Seventh Elementary School in Buraydah - Girls</t>
  </si>
  <si>
    <t>Al-Jazira Intermediate School in Buraydah - Boys</t>
  </si>
  <si>
    <t>Seventh Elementary School in Buraydah - Girls</t>
  </si>
  <si>
    <t>Second Intermediate School in Al-Shaqqa - Girls</t>
  </si>
  <si>
    <t>Seventeenth Elementary School in Buraydah - Girls</t>
  </si>
  <si>
    <t>Abi Musa Al-Ash'ari Elementary School for Quran Memorization in Buraydah - Boys</t>
  </si>
  <si>
    <t>Umm Al-Qura Elementary School in Buraydah - Boys</t>
  </si>
  <si>
    <t>Rabia Bint Thabit Early Childhood School in Buraydah - Girls</t>
  </si>
  <si>
    <t>Fourth Intermediate School in Buraydah - Girls</t>
  </si>
  <si>
    <t>Amina Bint Uthman Bin Affan School in Buraydah - Girls</t>
  </si>
  <si>
    <t>Thirty-Fifth Intermediate School in Buraydah - Girls</t>
  </si>
  <si>
    <t>Suad Bint Salma Early Childhood School in Buraydah - Girls</t>
  </si>
  <si>
    <t>Al-Uraymdi Early Childhood and Elementary School - Girls</t>
  </si>
  <si>
    <t>Muhammad Bin Malik Elementary School in Buraydah - Boys</t>
  </si>
  <si>
    <t>First Secondary School in Al-Muraydisiyah - Curriculum - Girls</t>
  </si>
  <si>
    <t>Imam Mujahid Elementary School in Buraydah - Boys</t>
  </si>
  <si>
    <t>Ninth Secondary School in Buraydah - Curriculum - Girls</t>
  </si>
  <si>
    <t>Forty-Fifth Elementary School in Buraydah - Girls</t>
  </si>
  <si>
    <t>Zainab Bint Omar Bin Al-Khattab Early Childhood and Elementary School in Buraydah - Girls</t>
  </si>
  <si>
    <t>Tenth Secondary School in Buraydah - Curriculum - Girls</t>
  </si>
  <si>
    <t>Sixty-Fourth Elementary School in Buraydah - Girls</t>
  </si>
  <si>
    <t>Al-Khader and Al-Wajee'an Intermediate School in Buraydah - Girls</t>
  </si>
  <si>
    <t>Karimah Al-Kindiyyah Early Childhood School in Buraydah - Girls</t>
  </si>
  <si>
    <t>First Elementary School in Huwaylan - Girls</t>
  </si>
  <si>
    <t>Umm Al-Ala' Al-Ansariyah Early Childhood School in Buraydah - Girls</t>
  </si>
  <si>
    <t>Abdul Rahman Bin Auf Elementary School (may God be pleased with him) - Boys</t>
  </si>
  <si>
    <t>Sixth Elementary School for Quran Memorization in Buraydah - Girls</t>
  </si>
  <si>
    <t>First Secondary School in Dhiras - Curriculum - Girls</t>
  </si>
  <si>
    <t>Uqbah Bin Amer Elementary School</t>
  </si>
  <si>
    <t>Huwaylan</t>
  </si>
  <si>
    <t>Al-Basr</t>
  </si>
  <si>
    <t>Al-Izz Bin Abdul Salam Elementary School</t>
  </si>
  <si>
    <t>Prince Abdulaziz bin Musaed Elementary School</t>
  </si>
  <si>
    <t>Al-Tadhamun Al-Islami Elementary School</t>
  </si>
  <si>
    <t>Sheikh Saleh Al-Bulaihi Elementary School for Quran Memorization</t>
  </si>
  <si>
    <t>Buraidah Scientific Institute - Secondary Level</t>
  </si>
  <si>
    <t>Sheikh Muhammad bin Uthaimin Intermediate School for Quran Memorization</t>
  </si>
  <si>
    <t>King Saud Secondary School - Tracks</t>
  </si>
  <si>
    <t>Imam Al-Nawawi Elementary School</t>
  </si>
  <si>
    <t>Al-Quds Elementary School</t>
  </si>
  <si>
    <t>Makkah Al-Mukarramah Secondary School - Tracks</t>
  </si>
  <si>
    <t>Imam Al-Da'wah Intermediate School in Buraidah</t>
  </si>
  <si>
    <t>Sheikh Abdulaziz Al-Musnad Complex for Quran Memorization - Elementary Section</t>
  </si>
  <si>
    <t>Sheikh Abdulaziz Al-Musnad Complex for Quran Memorization - Intermediate Section</t>
  </si>
  <si>
    <t>Imam Nafi' Al-Madani Elementary School for Quran Memorization</t>
  </si>
  <si>
    <t>Mu'adh bin Jabal Elementary School</t>
  </si>
  <si>
    <t>Al-Khwarizmi Elementary School</t>
  </si>
  <si>
    <t>Al-Uqailat Intermediate School</t>
  </si>
  <si>
    <t>Al-Qasai'ah School</t>
  </si>
  <si>
    <t>Al-Muraydisiyah Elementary School</t>
  </si>
  <si>
    <t>Institute of Intellectual Education Elementary School</t>
  </si>
  <si>
    <t>Abdullah bin Al-Zubair Intermediate School</t>
  </si>
  <si>
    <t>Ashbilia School</t>
  </si>
  <si>
    <t>Ahmed bin Hanbal Elementary School</t>
  </si>
  <si>
    <t>Imam Al-Dhahabi Elementary School</t>
  </si>
  <si>
    <t>Ali bin Abi Talib Elementary School</t>
  </si>
  <si>
    <t>Omar bin Salim Elementary School</t>
  </si>
  <si>
    <t>Al-Ala bin Ziyad School</t>
  </si>
  <si>
    <t>Al-Qadi bin Abi Ya'la School</t>
  </si>
  <si>
    <t>Al-Hussein bin Ali School (Mental Disability)</t>
  </si>
  <si>
    <t>Khalid bin Dinar School</t>
  </si>
  <si>
    <t>Abi Dawood School</t>
  </si>
  <si>
    <t>Dharas Elementary School</t>
  </si>
  <si>
    <t>Al-Amin School</t>
  </si>
  <si>
    <t>Malik bin Amer School</t>
  </si>
  <si>
    <t>Al-Aboudi School</t>
  </si>
  <si>
    <t>Al-Idrisi School</t>
  </si>
  <si>
    <t>Prince Abdul-Ilah bin Abdul-Aziz School</t>
  </si>
  <si>
    <t>Saleh bin Ali Al-Uthaim Intermediate School</t>
  </si>
  <si>
    <t>Imam Abu Hanifa Elementary School</t>
  </si>
  <si>
    <t>Al-Huda Elementary School</t>
  </si>
  <si>
    <t>Abu Bakr Al-Siddiq Elementary School - Intellectual Disability</t>
  </si>
  <si>
    <t>Khabbab Ibn Al-Aratt Elementary School</t>
  </si>
  <si>
    <t>Palestine Elementary School</t>
  </si>
  <si>
    <t>Prince Faisal Bin Fahd Secondary School - Special Needs</t>
  </si>
  <si>
    <t>Buraidah Secondary School - Intellectual Disability</t>
  </si>
  <si>
    <t>Ibn Qudamah Intermediate School</t>
  </si>
  <si>
    <t>Al-Ahnaf Bin Qais Intermediate School</t>
  </si>
  <si>
    <t>Sheikh Abdulaziz Bin Baz Intermediate School</t>
  </si>
  <si>
    <t>Sahl Bin Al-Rabee Elementary School</t>
  </si>
  <si>
    <t>Imam Muhammad Bin Saud Intermediate School</t>
  </si>
  <si>
    <t>Al-Amidi Elementary School</t>
  </si>
  <si>
    <t>Al-Khaleej Educational Complex - Intermediate Section</t>
  </si>
  <si>
    <t>Al-Ajeeba Elementary School</t>
  </si>
  <si>
    <t>Rawaq Elementary School</t>
  </si>
  <si>
    <t>Sheikh Muhammad bin Uthaimin Elementary School for Quran Memorization</t>
  </si>
  <si>
    <t>Sheikh Muhammad bin Ibrahim Center for Continuing Education</t>
  </si>
  <si>
    <t>Ibn Kathir Intermediate School</t>
  </si>
  <si>
    <t>Intellectual Disability - Elementary School of the Institute of Intellectual Education North</t>
  </si>
  <si>
    <t>Ibn Aqeel Elementary School</t>
  </si>
  <si>
    <t>Prince Sultan Complex Secondary School - Tracks</t>
  </si>
  <si>
    <t>Prince Sultan Complex - Intermediate Section</t>
  </si>
  <si>
    <t>Al-Aqsa Secondary School - Tracks</t>
  </si>
  <si>
    <t>Al-Ma'rifah Elementary School in Buraidah</t>
  </si>
  <si>
    <t>Sheikh Abdul Rahman bin Abdullah bin Faryan Elementary School for Quran Memorization</t>
  </si>
  <si>
    <t>Amr bin Al-Aas Secondary School - Tracks</t>
  </si>
  <si>
    <t>Al-Fath Al-Ra'idah Elementary School in Buraidah</t>
  </si>
  <si>
    <t>Imam Al-Suyuti Elementary School</t>
  </si>
  <si>
    <t>Qatadah bin Al-Nu'man Intermediate School</t>
  </si>
  <si>
    <t>Ibn Abdul-Barr Intermediate School</t>
  </si>
  <si>
    <t>Uhud Elementary School</t>
  </si>
  <si>
    <t>Thumamah ibn Adi School</t>
  </si>
  <si>
    <t>Al-Tufayl ibn Amr School</t>
  </si>
  <si>
    <t>Al-Razi Secondary School - Tracks</t>
  </si>
  <si>
    <t>Imam Al-Tirmidhi Intermediate School</t>
  </si>
  <si>
    <t>Al-Najashi Secondary School - Tracks</t>
  </si>
  <si>
    <t>Umaymah ibn Al-Khattab Early Childhood School in Buraydah - Girls</t>
  </si>
  <si>
    <t>Al-Khaleej Educational Complex - Secondary Section in Buraydah - Boys</t>
  </si>
  <si>
    <t>Salma ibn Sakhr Early Childhood School in Buraydah - Girls</t>
  </si>
  <si>
    <t>Ninety-Seventh Elementary School in Buraydah - Girls</t>
  </si>
  <si>
    <t>Sixteenth Secondary School in Buraydah - Girls</t>
  </si>
  <si>
    <t>Seventieth Elementary School in Buraydah - Girls</t>
  </si>
  <si>
    <t>Al-Milda Intermediate School in Buraydah - Girls</t>
  </si>
  <si>
    <t>Sixteenth Intermediate School in Buraydah - Girls</t>
  </si>
  <si>
    <t>Sixty-Sixth Elementary School in Buraydah - Girls</t>
  </si>
  <si>
    <t>Al-Shamas Early Childhood School in Buraydah - Girls</t>
  </si>
  <si>
    <t>Eighth Secondary School in Buraydah - Girls</t>
  </si>
  <si>
    <t>27th Intermediate School in Buraydah - Girls</t>
  </si>
  <si>
    <t>11th Intermediate School in Buraydah - Girls</t>
  </si>
  <si>
    <t>15th Elementary School in Buraydah - Girls</t>
  </si>
  <si>
    <t>3rd Intermediate School in Buraydah - Girls</t>
  </si>
  <si>
    <t>Umamah Bint Hamzah Early Childhood School in Buraydah - Girls</t>
  </si>
  <si>
    <t>28th Secondary School - Tracks - Girls</t>
  </si>
  <si>
    <t>Hasna Bint Muawiyah Early Childhood School in Buraydah - Girls</t>
  </si>
  <si>
    <t>9th Intermediate School in Buraydah - Girls</t>
  </si>
  <si>
    <t>Ruqayyah Bint Umar Ibn Al-Khattab Early Childhood School in Buraydah - Girls</t>
  </si>
  <si>
    <t>27th Secondary School in Buraydah - Tracks - Girls</t>
  </si>
  <si>
    <t>Al-Mutanabbi Secondary School</t>
  </si>
  <si>
    <t>56th Elementary School</t>
  </si>
  <si>
    <t>31st Elementary School</t>
  </si>
  <si>
    <t>52nd Intermediate School in Buraydah - Girls</t>
  </si>
  <si>
    <t>Zainab Bint Muhammad Kindergarten in Buraydah - Girls</t>
  </si>
  <si>
    <t>Muhammad Ibn Sirin Elementary School</t>
  </si>
  <si>
    <t>Al-Watan Secondary School - Tracks</t>
  </si>
  <si>
    <t>Sanaa Al-Salmi Early Childhood</t>
  </si>
  <si>
    <t>Ubayy ibn Ka'b al-Ansari Elementary School for Quran Memorization</t>
  </si>
  <si>
    <t>First Secondary School in Buraydah - Curriculum - Girls</t>
  </si>
  <si>
    <t>Yaqut al-Hamawi</t>
  </si>
  <si>
    <t>Ibn Khaldun Intermediate School</t>
  </si>
  <si>
    <t>Al-Mansuriyah School</t>
  </si>
  <si>
    <t>Rabia ibn Ka'b Elementary School</t>
  </si>
  <si>
    <t>Al-Qayrawan Educational Complex in Buraydah - Intermediate Section - Boys</t>
  </si>
  <si>
    <t>Fifth Secondary School in Buraydah - Girls</t>
  </si>
  <si>
    <t>Twenty-Third Secondary School in Buraydah - Girls</t>
  </si>
  <si>
    <t>Halima al-Sa'diyya School for Quran Memorization - Girls</t>
  </si>
  <si>
    <t>Forty-Ninth Intermediate School in Buraydah - Girls</t>
  </si>
  <si>
    <t>Thirty-Third Secondary School in Buraydah - Curriculum - Girls</t>
  </si>
  <si>
    <t>Twelfth Intermediate School in Buraydah - Girls</t>
  </si>
  <si>
    <t>Twenty-Third Elementary School in Buraydah - Girls</t>
  </si>
  <si>
    <t>Forty-Sixth Elementary School in Buraydah - Girls</t>
  </si>
  <si>
    <t>Al-Hasan al-Basri Elementary School</t>
  </si>
  <si>
    <t>Al-Zubayr ibn al-Awam Elementary School</t>
  </si>
  <si>
    <t>Sheikh Saleh al-Khuraisi Elementary School</t>
  </si>
  <si>
    <t>Al-Amal Institute for the Deaf Elementary School (Hearing Impairment)</t>
  </si>
  <si>
    <t>Sheikh Saleh al-Amri Elementary School</t>
  </si>
  <si>
    <t>Ali al-Husayn Intermediate School</t>
  </si>
  <si>
    <t>Abdulmalik bin Marwan</t>
  </si>
  <si>
    <t>Al-Rayyan Secondary School (Curriculum)</t>
  </si>
  <si>
    <t>Saleh bin Ali Al-Othaim Complex Secondary School</t>
  </si>
  <si>
    <t>Prince Faisal bin Mishaal bin Saud Secondary School (Pathways)</t>
  </si>
  <si>
    <t>Suhayl bin Amr Elementary School</t>
  </si>
  <si>
    <t>Ibn Rushd Secondary School (Pathways)</t>
  </si>
  <si>
    <t>Abu Ayyub Al-Ansari Secondary School in Buraidah (Pathways)</t>
  </si>
  <si>
    <t>Tariq bin Ziyad Elementary School</t>
  </si>
  <si>
    <t>Al-Qayrawan Secondary School (Pathways)</t>
  </si>
  <si>
    <t>Fifth Elementary School for Quran Memorization (Girls)</t>
  </si>
  <si>
    <t>Twentieth Secondary School</t>
  </si>
  <si>
    <t>Fiftieth Elementary School (Girls)</t>
  </si>
  <si>
    <t>Martyrs of the Nation Elementary School</t>
  </si>
  <si>
    <t>Elementary School No. 100 (Girls)</t>
  </si>
  <si>
    <t>الثانوية الثالثة والثلاثون بالدمام بنات</t>
  </si>
  <si>
    <t>الابتداائية الرابعة والأربعون</t>
  </si>
  <si>
    <t>المتوسطة الثامنة والثلاثون بالدمام</t>
  </si>
  <si>
    <t>الثانوية الثلاثون بالدمام</t>
  </si>
  <si>
    <t>متوسطة نسيبة بنت كعب بالدمام بنات</t>
  </si>
  <si>
    <t xml:space="preserve">ثانوية البنات الأولى بالدمام </t>
  </si>
  <si>
    <t>المتوسطة السابعة والعشرون بالدمام</t>
  </si>
  <si>
    <t>الابتدائية الخامسة والعشرون بالدمام بنات</t>
  </si>
  <si>
    <t>ابتدائية الامام الشافعي بنين</t>
  </si>
  <si>
    <t>الثانويه الثامنه عشر  بالدمام</t>
  </si>
  <si>
    <t>المتوسطة الرابعة عشر بالدمام بنات</t>
  </si>
  <si>
    <t>ثانوية الشفا ء بنت عبدالله بالدمام</t>
  </si>
  <si>
    <t>الابتدائية السادسة والثلاثون بنات</t>
  </si>
  <si>
    <t>الابتدائية السادسة والخمسون بالدمام بنات</t>
  </si>
  <si>
    <t>المتوسطة التاسعة والعشرون بالدمام بنات</t>
  </si>
  <si>
    <t>الثانوية التاسعة بالدمام بنات</t>
  </si>
  <si>
    <t>الابتدائية الخمسون بالدمام بنات</t>
  </si>
  <si>
    <t xml:space="preserve">ابتدائية مسك - سابقا معهد الامل </t>
  </si>
  <si>
    <t>المتوسطة التاسعة عشرة بالدمام</t>
  </si>
  <si>
    <t>الابتدائية الحادية والسبعون بالدمام بنات</t>
  </si>
  <si>
    <t>المتوسطة الثالثة عشر بالدمام</t>
  </si>
  <si>
    <t>الابتدائية السابعة والثلاثون بالدمام بنات</t>
  </si>
  <si>
    <t>الابتدائية الثانية لتحفيظ القرآن الكريم بالدمام</t>
  </si>
  <si>
    <t xml:space="preserve">الابتدائية السادسة عشر بالدمام </t>
  </si>
  <si>
    <t>المتوسطة الأربعون بالدمام بنات</t>
  </si>
  <si>
    <t>متوسطة فاطمة الزهراء بنات</t>
  </si>
  <si>
    <t>متوسطة الثالثة والعشرون بالدمام</t>
  </si>
  <si>
    <t>الثانوية السادسة والعشرون بالدمام بنات</t>
  </si>
  <si>
    <t xml:space="preserve">المتوسطة السابعة والثلاثون بالدمام بنات </t>
  </si>
  <si>
    <t>الابتدائية الحادية عشر بالدمام</t>
  </si>
  <si>
    <t>الابتدائية الرابعة والخمسون بالدمام بنات</t>
  </si>
  <si>
    <t>الثانوية الثالثة عشر بالدمام</t>
  </si>
  <si>
    <t>الابتدائية الثانية والخمسون بالدمام بنات</t>
  </si>
  <si>
    <t>ابتدائية اسيا بنت مزاحم بنات</t>
  </si>
  <si>
    <t>ثانويه ام سلمة بالدمام</t>
  </si>
  <si>
    <t>الابتدائية الرابعة والثلاثون بالدمام</t>
  </si>
  <si>
    <t>المتوسطة الرابعة والعشرون بالدمام بنات</t>
  </si>
  <si>
    <t>الابتدائية الرابعة والستون بالدمام بنات</t>
  </si>
  <si>
    <t>الابتدائية الثانية والاربعون بالدمام بنات</t>
  </si>
  <si>
    <t>المتوسطة العشرون بالدمام</t>
  </si>
  <si>
    <t>الابتدائية السابعة عشر بالدمام بنات</t>
  </si>
  <si>
    <t>الابتدائية السادسة لتحفيظ القرآن الكريم بالدمام</t>
  </si>
  <si>
    <t>الثانوية السابعة والعشرون بالدمام بنات</t>
  </si>
  <si>
    <t>الابتدائية السابعة والاربعون بالدمام بنات</t>
  </si>
  <si>
    <t>ابتدائية السادسة والاربعون الدمام بنات</t>
  </si>
  <si>
    <t>الابتدائية الثالثة والاربعون بالدمام بنات</t>
  </si>
  <si>
    <t>متوسطة زيد بن الخطاب بنين</t>
  </si>
  <si>
    <t>ثانوية عكاظ بالدمام بنين</t>
  </si>
  <si>
    <t>ابتدائية عبيدة بن الحارث بنين</t>
  </si>
  <si>
    <t>ابتدائية مكة المكرمة</t>
  </si>
  <si>
    <t>متوسطة عبدالله بن عامر بالدمام بنين</t>
  </si>
  <si>
    <t>متوسطة عين جالوت</t>
  </si>
  <si>
    <t>ابتدائية انس بن فضالة بنين</t>
  </si>
  <si>
    <t>مدرسة عمرو بن معاذ الابتدائية</t>
  </si>
  <si>
    <t>ثانوية الشيخ عبدالعزيز بن باز بنين</t>
  </si>
  <si>
    <t>ابتدائية المدينة المنورة بنين</t>
  </si>
  <si>
    <t>ابتدائية اسامة بن زيد</t>
  </si>
  <si>
    <t>متوسطة النعمان بن مقرن بنين</t>
  </si>
  <si>
    <t>ابتدائية الوليد بن القاسم</t>
  </si>
  <si>
    <t>متوسطة عبدالرحمن الغافقي</t>
  </si>
  <si>
    <t>ابتدائية مجمع سليمان بن عبدالملك التعليمي بنين</t>
  </si>
  <si>
    <t>ابتدائية مجمع عقبة بن عامر التعليمي بنين</t>
  </si>
  <si>
    <t>متوسطة عمير بن الحمام الانصاري بنين</t>
  </si>
  <si>
    <t>ثانوية القاسم بن محمد بن ابي بكر بنين</t>
  </si>
  <si>
    <t>مدرسة عمرو بن الجموح</t>
  </si>
  <si>
    <t>ثانوية الجهاد بنين</t>
  </si>
  <si>
    <t>ابتدائية النور بنين</t>
  </si>
  <si>
    <t xml:space="preserve">متوسطة مجمع عقبة بن عامر التعليمي </t>
  </si>
  <si>
    <t>ابتدائية قتيبه بن مسلم بنين</t>
  </si>
  <si>
    <t>متوسطة مجمع الامام الدوري لتحفيظ القران الكريم بنين</t>
  </si>
  <si>
    <t>ابتدائية عثمان بن عفان</t>
  </si>
  <si>
    <t>ابتدائية ابوداوود</t>
  </si>
  <si>
    <t>الثانوية الرابعة والعشرون بنات</t>
  </si>
  <si>
    <t>ثانوية عبدالله بن الزبير بنين</t>
  </si>
  <si>
    <t>الابتدائية الأولى بالنابية</t>
  </si>
  <si>
    <t>متوسطة الأولى بالنابية بنات</t>
  </si>
  <si>
    <t xml:space="preserve">الثانوية الاولى بالنابية بنات </t>
  </si>
  <si>
    <t>الابتدائية التاسعة والأربعون بالدمام بنات</t>
  </si>
  <si>
    <t>متوسطة مجمع ابن القيم التعليمي بنين</t>
  </si>
  <si>
    <t>ثانوية الطفيل بن عمرو برنامج فكري متوسطة بنين</t>
  </si>
  <si>
    <t>ثانوية المجيدية بنين</t>
  </si>
  <si>
    <t>متوسطة موسى بن نصير بسيهات بنين</t>
  </si>
  <si>
    <t>ثانوية سيهات</t>
  </si>
  <si>
    <t>متوسطة سعد بن الحارث</t>
  </si>
  <si>
    <t>ابتدائية اسامة بن عمير بنين</t>
  </si>
  <si>
    <t>المتوسطة الرابعة بسيهات بنات</t>
  </si>
  <si>
    <t>الثانوية الخامسة بسيهات بنات</t>
  </si>
  <si>
    <t>المتوسطة الخامسة بسيهات بنات</t>
  </si>
  <si>
    <t>المدرسة الابتدائية التاسعة بسيهات بنات</t>
  </si>
  <si>
    <t xml:space="preserve">الثانوية الرابعة بسيهات بنات </t>
  </si>
  <si>
    <t xml:space="preserve">المتوسطة الثالثة بسيهات </t>
  </si>
  <si>
    <t>الابتدائيه الثامنة بسيهات بنات</t>
  </si>
  <si>
    <t>المتوسطة السابعة بسيهات بنات</t>
  </si>
  <si>
    <t>الابتدائية الخامسه بسيهات بنات</t>
  </si>
  <si>
    <t>الثانوية الأولى بالملاحة بنات</t>
  </si>
  <si>
    <t>ابتدائية الربيعية بنين</t>
  </si>
  <si>
    <t>ابتدائية الاولى لتحفيظ القران الكريم بنات</t>
  </si>
  <si>
    <t>ابتدائية السادسة بالدمام بنات</t>
  </si>
  <si>
    <t>ابتدائية خالد بن حزام للطفولة المبكرة</t>
  </si>
  <si>
    <t>الابتدائية الأربعون بالدمام</t>
  </si>
  <si>
    <t>الابتدائية التاسعة بنات بالدمام</t>
  </si>
  <si>
    <t>الابتدائية التاسعة والثلاثون بالدمام بنات</t>
  </si>
  <si>
    <t>الابتدائية الثالثة بالدمام بنات</t>
  </si>
  <si>
    <t>الابتدائية الثالثة والعشرون بالدمام بنات</t>
  </si>
  <si>
    <t>الابتدائية الثانية بالدمام بنات</t>
  </si>
  <si>
    <t>الابتدائية الثانية عشر بالدمام بنات</t>
  </si>
  <si>
    <t xml:space="preserve">الابتدائية الثلاثون بالدمام بنات </t>
  </si>
  <si>
    <t>الثانوية التاسعة عشر بالدمام بنات</t>
  </si>
  <si>
    <t>الثانوية الخامسة والعشرون بالدمام بنات</t>
  </si>
  <si>
    <t xml:space="preserve">الثانوية السابعة بالدمام </t>
  </si>
  <si>
    <t>الثانوية السادسة بالدمام بنات</t>
  </si>
  <si>
    <t>الروضة الثانية بالدمام</t>
  </si>
  <si>
    <t>المتوسطة الثانية بالدمام</t>
  </si>
  <si>
    <t>المتوسطة الحادية والثلاثون بالدمام</t>
  </si>
  <si>
    <t>المتوسطة الخامسة والعشرون بالدمام</t>
  </si>
  <si>
    <t>ابتدائية الثالثة عشر بالدمام</t>
  </si>
  <si>
    <t>متوسطة الخليج بالدمام بنين</t>
  </si>
  <si>
    <t>متوسطة الزهور بالدمام بنين</t>
  </si>
  <si>
    <t>ابتدائية نافع المدني لتحفيظ القرآن الكريم بالدمام بنين</t>
  </si>
  <si>
    <t xml:space="preserve">ابتدائية عمرو بن العاص بنين بالدمام </t>
  </si>
  <si>
    <t xml:space="preserve">ثانوية الدمام </t>
  </si>
  <si>
    <t>ثانوية القدس بنين</t>
  </si>
  <si>
    <t>ابتدائية سعيد بن عامر بنين</t>
  </si>
  <si>
    <t>ابتدائية صلاح الدين</t>
  </si>
  <si>
    <t>ابتدائية المقداد بن عمرو</t>
  </si>
  <si>
    <t>ابتدائية المنهل</t>
  </si>
  <si>
    <t xml:space="preserve"> متوسطة عثمان بن العاص بنين</t>
  </si>
  <si>
    <t>متوسطة سعيد بن زيد بنين</t>
  </si>
  <si>
    <t>الثانوية الشيخ محمد بن صالح بن عثيمين</t>
  </si>
  <si>
    <t xml:space="preserve">ثانوية الغزالي </t>
  </si>
  <si>
    <t>متوسطة السرايا بنين</t>
  </si>
  <si>
    <t>الابتدائية السابعة بالدمام بنات</t>
  </si>
  <si>
    <t>المتوسطة التاسعة بحي القزاز</t>
  </si>
  <si>
    <t>ابتدائية القدس بنين</t>
  </si>
  <si>
    <t xml:space="preserve">ثانوية المدينة المنورة </t>
  </si>
  <si>
    <t>ابتدائية سعيد بن العاص بنين</t>
  </si>
  <si>
    <t>ابتدائية بدر الكبرى</t>
  </si>
  <si>
    <t>ابتدائية نعيم بن عبدالله النحام للطفولة المبكرة</t>
  </si>
  <si>
    <t>المتوسطة الثالثة وثلاثون بالدمام بنات</t>
  </si>
  <si>
    <t xml:space="preserve">الابتدائية التاسعة والخمسون بالدمام بنات </t>
  </si>
  <si>
    <t>المتوسطة الثانية والثلاثون بالدمام</t>
  </si>
  <si>
    <t>متوسطة الجزيرة بنين</t>
  </si>
  <si>
    <t>المتوسطة الحادية والعشرون بالدمام</t>
  </si>
  <si>
    <t>المتوسطة الثلاثون بالدمام</t>
  </si>
  <si>
    <t>المتوسطة الثامنة عشر بالدمام بنات</t>
  </si>
  <si>
    <t>الثانوية العشرون بالدمام بنات</t>
  </si>
  <si>
    <t>الابتدائية الرابعة عشر بالدمام بنات</t>
  </si>
  <si>
    <t>الابتدائية التاسعة عشر بالدمام</t>
  </si>
  <si>
    <t xml:space="preserve">ثانوية الامام محمد بن سعود </t>
  </si>
  <si>
    <t>الثانوية السابعة عشر بالدمام</t>
  </si>
  <si>
    <t>مجمع مسلمة بن عبدالملك التعليمي- القسم المتوسط بنين</t>
  </si>
  <si>
    <t>الابتدائية التاسعة والعشرون بالدمام بنات</t>
  </si>
  <si>
    <t>الابتدائية الثالثة لتحفيظ القرآن الكريم بالدمام</t>
  </si>
  <si>
    <t>ابتدائية مجمع النعمان بن بشير التعليمي بنين</t>
  </si>
  <si>
    <t>المتوسطة الثانية لتحفيظ القرآن بالدمام بنات</t>
  </si>
  <si>
    <t>الابتدائية الثانية والعشرون بالدمام بنات</t>
  </si>
  <si>
    <t>الثانوية الثانية والثلاثون بالدمام بنات</t>
  </si>
  <si>
    <t>المتوسطة الثانية والعشرون بالدمام بنات</t>
  </si>
  <si>
    <t>المتوسطة السادسة والثلاثون بالدمام بنات</t>
  </si>
  <si>
    <t>المتوسطة الأولى لتعليم الكبيرات بالخبر</t>
  </si>
  <si>
    <t>ابتدائية المزرعة بنين</t>
  </si>
  <si>
    <t>الابتدائية الثامنة بالدمام بنات</t>
  </si>
  <si>
    <t>المتوسطة الثامنة بالدمام بنات</t>
  </si>
  <si>
    <t>ابتدائية الحادية والعشرون بالدمام</t>
  </si>
  <si>
    <t>الابتدائية الثامنة والاربعون بالدمام بنات</t>
  </si>
  <si>
    <t>الثانوية الثالثة والعشرون بالدمام</t>
  </si>
  <si>
    <t>الثانوية الثامنة بالدمام بنات</t>
  </si>
  <si>
    <t xml:space="preserve">الثانوية الرابعة بالدمام </t>
  </si>
  <si>
    <t xml:space="preserve">ثانوية مجمع السيوطي التعليمي بنين </t>
  </si>
  <si>
    <t>الثانوية التاسعة والعشرون بنات</t>
  </si>
  <si>
    <t>المتوسطة السادسة والعشرون بالدمام بنات</t>
  </si>
  <si>
    <t>الابتدائية الحادية والاربعون بالدمام بنات</t>
  </si>
  <si>
    <t>متوسطه سنابس بالقطيف</t>
  </si>
  <si>
    <t>ثانويه النجاح بالقطيف</t>
  </si>
  <si>
    <t>ابتدائية سعد بن الربيع بالقطيف</t>
  </si>
  <si>
    <t>مدرسة سعيد بن المسيب المتوسطة</t>
  </si>
  <si>
    <t>ابتدائيه ابي الدرداء بالقطيف</t>
  </si>
  <si>
    <t xml:space="preserve">متوسطة فخر الدين الرازي </t>
  </si>
  <si>
    <t>ثانويه القديح بالقطيف</t>
  </si>
  <si>
    <t>ابتدائية نعيم بن مسعود</t>
  </si>
  <si>
    <t xml:space="preserve">متوسطه عطاء بن ابي رباح بالقطيف </t>
  </si>
  <si>
    <t>ابتدائيه النخيل بالقطيف</t>
  </si>
  <si>
    <t xml:space="preserve">ابتدائيه زين العابدين بالقطيف </t>
  </si>
  <si>
    <t>ثانويه القبلتين بالقطيف</t>
  </si>
  <si>
    <t>ثانويه دار الحكمه بالقطيف</t>
  </si>
  <si>
    <t>ثانويه القطيف بالقطيف</t>
  </si>
  <si>
    <t>ابتدائيه ذات الصواري بالقطيف</t>
  </si>
  <si>
    <t>مدرسة ايمن بن عبيد المتوسطة</t>
  </si>
  <si>
    <t>مدرسة عنك الثانوية</t>
  </si>
  <si>
    <t>مدرسة الخويلدية الابتدائية</t>
  </si>
  <si>
    <t>مدرسة صفوان بن اميه الابتدائية بصفوى</t>
  </si>
  <si>
    <t>مدرسة حراء المتوسطة بصفوى</t>
  </si>
  <si>
    <t>مدرسة العوامية الثانوية</t>
  </si>
  <si>
    <t>مدرسة العوامية الابتدائية</t>
  </si>
  <si>
    <t>مدرسة العوامية المتوسطة</t>
  </si>
  <si>
    <t>مدرسة قرطبة الابتدائية بالعوامية</t>
  </si>
  <si>
    <t>مدرسة صفوى الثانوية</t>
  </si>
  <si>
    <t>مدرسة تاروت الثانوية</t>
  </si>
  <si>
    <t>المدرسة المتوسطة الرابعة بالقطيف</t>
  </si>
  <si>
    <t>الثانوية الثانية بالقطيف</t>
  </si>
  <si>
    <t>KFM2120660290159</t>
  </si>
  <si>
    <t>KFM2120660275093</t>
  </si>
  <si>
    <t>KFM2020660216536</t>
  </si>
  <si>
    <t>KFM2020660114420</t>
  </si>
  <si>
    <t>KFM2020660214829</t>
  </si>
  <si>
    <t>KFM2120660292966</t>
  </si>
  <si>
    <t>KFM2120660292967</t>
  </si>
  <si>
    <t>KFM2120660282346</t>
  </si>
  <si>
    <t>KFM2120660282278</t>
  </si>
  <si>
    <t>KFM2020660216927</t>
  </si>
  <si>
    <t>KFM2120660288280</t>
  </si>
  <si>
    <t>KFM2020660022040</t>
  </si>
  <si>
    <t>KFM2120660275116</t>
  </si>
  <si>
    <t>KFM2020660090583</t>
  </si>
  <si>
    <t>KFM2120660293322</t>
  </si>
  <si>
    <t>KFM2120660289142</t>
  </si>
  <si>
    <t>KFM2020660090590</t>
  </si>
  <si>
    <t>KFM2120660289032</t>
  </si>
  <si>
    <t>KFM2120660289033</t>
  </si>
  <si>
    <t>KFM2020660178987</t>
  </si>
  <si>
    <t>KFM2120660289138</t>
  </si>
  <si>
    <t>KFM2120660252943</t>
  </si>
  <si>
    <t>KFM2120660289139</t>
  </si>
  <si>
    <t>KFM2120660289023</t>
  </si>
  <si>
    <t>KFM2120660244191</t>
  </si>
  <si>
    <t>KFM2120660293745</t>
  </si>
  <si>
    <t>KFM2120660244237</t>
  </si>
  <si>
    <t>KFM2120660244193</t>
  </si>
  <si>
    <t>KFM2020660216973</t>
  </si>
  <si>
    <t>KFM2020660113233</t>
  </si>
  <si>
    <t>KFM2020660219326</t>
  </si>
  <si>
    <t>KFM2120660266193</t>
  </si>
  <si>
    <t>KFM2120660244236</t>
  </si>
  <si>
    <t>KFM2120660293753</t>
  </si>
  <si>
    <t>KFM2120660293787</t>
  </si>
  <si>
    <t>KFM2020660214289</t>
  </si>
  <si>
    <t>KFM2020660113226</t>
  </si>
  <si>
    <t>KFM2120660289087</t>
  </si>
  <si>
    <t>KFM2020660022033</t>
  </si>
  <si>
    <t>KFM2120660293058</t>
  </si>
  <si>
    <t>KFM2120660293062</t>
  </si>
  <si>
    <t>KFM2020660089231</t>
  </si>
  <si>
    <t>KFM2120660289106</t>
  </si>
  <si>
    <t>KFM2120660293059</t>
  </si>
  <si>
    <t>KFM2120660289088</t>
  </si>
  <si>
    <t>KFM2120660289098</t>
  </si>
  <si>
    <t>KFM2120660275124</t>
  </si>
  <si>
    <t>KFM2020660216848</t>
  </si>
  <si>
    <t>KFM2120660289136</t>
  </si>
  <si>
    <t>KFM2120660293087</t>
  </si>
  <si>
    <t>KFM2120660293027</t>
  </si>
  <si>
    <t>KFM2120660285937</t>
  </si>
  <si>
    <t>SMR2220661007940</t>
  </si>
  <si>
    <t>KFM2120660289028</t>
  </si>
  <si>
    <t>KFM2120660293021</t>
  </si>
  <si>
    <t>KFM2120660289025</t>
  </si>
  <si>
    <t>KFM2020660220826</t>
  </si>
  <si>
    <t>KFM2120660293089</t>
  </si>
  <si>
    <t>KFM2120660293750</t>
  </si>
  <si>
    <t>KFM2020660184075</t>
  </si>
  <si>
    <t>KFM2020660220902</t>
  </si>
  <si>
    <t>KFM2120660286612</t>
  </si>
  <si>
    <t>KFM2120660289067</t>
  </si>
  <si>
    <t>KFM2120660289108</t>
  </si>
  <si>
    <t>KFM2120660293382</t>
  </si>
  <si>
    <t>KFM2120660289071</t>
  </si>
  <si>
    <t>KFM2120660293068</t>
  </si>
  <si>
    <t>KFM2120660286614</t>
  </si>
  <si>
    <t>KFM2120660289073</t>
  </si>
  <si>
    <t>KFM2120660292799</t>
  </si>
  <si>
    <t>KFM2120660289105</t>
  </si>
  <si>
    <t>KFM2120660276054</t>
  </si>
  <si>
    <t>KFM2020660221711</t>
  </si>
  <si>
    <t>KFM2120660266108</t>
  </si>
  <si>
    <t>KFM2020660230497</t>
  </si>
  <si>
    <t>KFM2020660218229</t>
  </si>
  <si>
    <t>KFM2020660218208</t>
  </si>
  <si>
    <t>KFM2020660225023</t>
  </si>
  <si>
    <t>KFM2020660218390</t>
  </si>
  <si>
    <t>KFM2020660215281</t>
  </si>
  <si>
    <t>KFM2120660295002</t>
  </si>
  <si>
    <t>KFM2020660215287</t>
  </si>
  <si>
    <t>KFM2020660219010</t>
  </si>
  <si>
    <t>KFM2020660218207</t>
  </si>
  <si>
    <t>KFM2120660304226</t>
  </si>
  <si>
    <t>KFM2020660234013</t>
  </si>
  <si>
    <t>KFM2020660215016</t>
  </si>
  <si>
    <t>KFM2020660214308</t>
  </si>
  <si>
    <t>KFM2020660206173</t>
  </si>
  <si>
    <t>KFM2020660218326</t>
  </si>
  <si>
    <t>KFM2020660218321</t>
  </si>
  <si>
    <t>KFM2020660215014</t>
  </si>
  <si>
    <t>KFM2020660215013</t>
  </si>
  <si>
    <t>KFM2020660221652</t>
  </si>
  <si>
    <t>KFM2020660221414</t>
  </si>
  <si>
    <t>KFM2120660295591</t>
  </si>
  <si>
    <t>KFM2020660214327</t>
  </si>
  <si>
    <t>KFM2020660222959</t>
  </si>
  <si>
    <t>KFM2020660217353</t>
  </si>
  <si>
    <t>KFM2120660261049</t>
  </si>
  <si>
    <t>KFM2020660225836</t>
  </si>
  <si>
    <t>KFM2020660075621</t>
  </si>
  <si>
    <t>KFM2120660290868</t>
  </si>
  <si>
    <t>KFM2020660215919</t>
  </si>
  <si>
    <t>KFM2020660220008</t>
  </si>
  <si>
    <t>KFM2020660225111</t>
  </si>
  <si>
    <t>KFM2020660226731</t>
  </si>
  <si>
    <t>KFM2120660293049</t>
  </si>
  <si>
    <t>KFM2120660285938</t>
  </si>
  <si>
    <t>KFM2020660225935</t>
  </si>
  <si>
    <t>KFM2020660220838</t>
  </si>
  <si>
    <t>KFM2020660219978</t>
  </si>
  <si>
    <t>KFM2020660217358</t>
  </si>
  <si>
    <t>KFM2020660075623</t>
  </si>
  <si>
    <t>KFM2020660225025</t>
  </si>
  <si>
    <t>KFM2020660225911</t>
  </si>
  <si>
    <t>KFM2120660291964</t>
  </si>
  <si>
    <t>KFM2120660266256</t>
  </si>
  <si>
    <t>KFM2020660225926</t>
  </si>
  <si>
    <t>KFM2020660218717</t>
  </si>
  <si>
    <t>KFM2020660224820</t>
  </si>
  <si>
    <t>KFM2120660290115</t>
  </si>
  <si>
    <t>KFM2020660214828</t>
  </si>
  <si>
    <t>KFM2020660217350</t>
  </si>
  <si>
    <t>KFM2020660075451</t>
  </si>
  <si>
    <t>KFM2120660244316</t>
  </si>
  <si>
    <t>KFM2020660218718</t>
  </si>
  <si>
    <t>KFM2020660225922</t>
  </si>
  <si>
    <t>KFM2020660225049</t>
  </si>
  <si>
    <t>KFM2120660289475</t>
  </si>
  <si>
    <t>KFM2120660290118</t>
  </si>
  <si>
    <t>KFM2120660277589</t>
  </si>
  <si>
    <t>SMR2320661031860</t>
  </si>
  <si>
    <t>LYE2020810301055</t>
  </si>
  <si>
    <t>KFM2020660224810</t>
  </si>
  <si>
    <t>KFM2020660225918</t>
  </si>
  <si>
    <t>KFM2120660289478</t>
  </si>
  <si>
    <t>KFM2020660221626</t>
  </si>
  <si>
    <t>KFM2120660289034</t>
  </si>
  <si>
    <t>KFM2120660290208</t>
  </si>
  <si>
    <t>KFM2120660258161</t>
  </si>
  <si>
    <t>KFM2020660214294</t>
  </si>
  <si>
    <t>KFM2020660225046</t>
  </si>
  <si>
    <t>KFM2020660055954</t>
  </si>
  <si>
    <t>KFM2120660261024</t>
  </si>
  <si>
    <t>KFM2020660225045</t>
  </si>
  <si>
    <t>KFM2020660215949</t>
  </si>
  <si>
    <t>KFM2020660055851</t>
  </si>
  <si>
    <t>KFM2120660289031</t>
  </si>
  <si>
    <t>KFM2120660287220</t>
  </si>
  <si>
    <t>KFM2120660290209</t>
  </si>
  <si>
    <t>KFM2020660217322</t>
  </si>
  <si>
    <t>KFM2020660219924</t>
  </si>
  <si>
    <t>KFM2120660291961</t>
  </si>
  <si>
    <t>SMR2220661008744</t>
  </si>
  <si>
    <t>KFM2120660294668</t>
  </si>
  <si>
    <t>KFM2120660282334</t>
  </si>
  <si>
    <t>KFM2120660290869</t>
  </si>
  <si>
    <t>KFM2020660219304</t>
  </si>
  <si>
    <t>KFM2020660181290</t>
  </si>
  <si>
    <t>KFM2020660224556</t>
  </si>
  <si>
    <t>KFM2020660217360</t>
  </si>
  <si>
    <t>KFM2020660224817</t>
  </si>
  <si>
    <t>KFM2120660288929</t>
  </si>
  <si>
    <t>KFM2120660261021</t>
  </si>
  <si>
    <t>KFM2020660225030</t>
  </si>
  <si>
    <t>KFM2120660290747</t>
  </si>
  <si>
    <t>KFM2020660222644</t>
  </si>
  <si>
    <t>KFM2120660293744</t>
  </si>
  <si>
    <t>KFM2020660221745</t>
  </si>
  <si>
    <t>KFM2020660219921</t>
  </si>
  <si>
    <t>KFM2120660289143</t>
  </si>
  <si>
    <t>KFM2120660294464</t>
  </si>
  <si>
    <t>10006287601‪</t>
  </si>
  <si>
    <t>KFM2020660229761</t>
  </si>
  <si>
    <t>10006256883‪</t>
  </si>
  <si>
    <t>KFM2020660229766</t>
  </si>
  <si>
    <t>10006257254‪</t>
  </si>
  <si>
    <t>KFM2020660229775</t>
  </si>
  <si>
    <t>KFM2120660249638</t>
  </si>
  <si>
    <t>10006258261‪</t>
  </si>
  <si>
    <t>KFM2120660249639</t>
  </si>
  <si>
    <t>KFM2020660229728</t>
  </si>
  <si>
    <t>KFM2020660229724</t>
  </si>
  <si>
    <t>KFM2020660231958</t>
  </si>
  <si>
    <t>10006258592‪</t>
  </si>
  <si>
    <t>KFM2020660231942</t>
  </si>
  <si>
    <t>10006256678‪</t>
  </si>
  <si>
    <t>KFM2020660231901</t>
  </si>
  <si>
    <t>10006254996‪</t>
  </si>
  <si>
    <t>KFM2020660231949</t>
  </si>
  <si>
    <t>10006256696‪</t>
  </si>
  <si>
    <t>KFM2120660261359</t>
  </si>
  <si>
    <t>10083863115‪</t>
  </si>
  <si>
    <t>MMF2420601045913</t>
  </si>
  <si>
    <t>10006249637‪</t>
  </si>
  <si>
    <t>KFM2120660249772</t>
  </si>
  <si>
    <t>KFM2020660220071</t>
  </si>
  <si>
    <t>10006260911‪</t>
  </si>
  <si>
    <t>KFM2020660220150</t>
  </si>
  <si>
    <t>10006260017‪</t>
  </si>
  <si>
    <t>KFM2020660229742</t>
  </si>
  <si>
    <t>10006292217‪</t>
  </si>
  <si>
    <t>KFM2120660288654</t>
  </si>
  <si>
    <t>10006282801‪</t>
  </si>
  <si>
    <t>KFM2120660292812</t>
  </si>
  <si>
    <t>10006283611‪</t>
  </si>
  <si>
    <t>KFM2020660061801</t>
  </si>
  <si>
    <t>10006292923‪</t>
  </si>
  <si>
    <t>KFM2120660286724</t>
  </si>
  <si>
    <t>10006289258‪</t>
  </si>
  <si>
    <t>KFM2120660275872</t>
  </si>
  <si>
    <t>10006289230‪</t>
  </si>
  <si>
    <t>SMR2220661014417</t>
  </si>
  <si>
    <t>KFM2120660288652</t>
  </si>
  <si>
    <t>KFM2020660232169</t>
  </si>
  <si>
    <t>KFM2120660249716</t>
  </si>
  <si>
    <t>KFM2120660249719</t>
  </si>
  <si>
    <t>Dammam</t>
  </si>
  <si>
    <t xml:space="preserve"> الابتدائية الثلاثون بعد المائة   بنات</t>
  </si>
  <si>
    <t>سودة بنت زمعة المتوسطة   بنات</t>
  </si>
  <si>
    <t>الحسن البصري للطفولة المبكرة</t>
  </si>
  <si>
    <t xml:space="preserve">المتوسطة الثانية   بنات </t>
  </si>
  <si>
    <t>الابتدائية السابعة و الثلاثون   بنات</t>
  </si>
  <si>
    <t xml:space="preserve">ابن كثير المتوسطة   بنين </t>
  </si>
  <si>
    <t>معن بن عدي الابتدائية   بنين</t>
  </si>
  <si>
    <t>المتوسطة الثانية و الخمسون   بنات</t>
  </si>
  <si>
    <t>الثانوية السادسة عشر    بنات</t>
  </si>
  <si>
    <t>الشيخ محمد السبيل للطفولة المبكرة</t>
  </si>
  <si>
    <t>زينب بنت جحش الابتدائية   بنات</t>
  </si>
  <si>
    <t xml:space="preserve">مدرسة عثمان بن عفان الثانوية -بنين </t>
  </si>
  <si>
    <t>عمرو بن سالم الخزاعي الابتدائية   بنين</t>
  </si>
  <si>
    <t>موسى بن نصير المتوسطة   بنين</t>
  </si>
  <si>
    <t>الثالثة والخمسون الابتدائية   بنات</t>
  </si>
  <si>
    <t>الثانوية الستون   بنات</t>
  </si>
  <si>
    <t>ثانوية الحكم بن هاشم   بنين</t>
  </si>
  <si>
    <t>الروضة الثالثة والعشرون</t>
  </si>
  <si>
    <t>ثانوية عمرة بنت عبدالرحمن   بنات</t>
  </si>
  <si>
    <t xml:space="preserve"> ثانوية طلحة بن عبيد الله </t>
  </si>
  <si>
    <t>اسية بنت مزاحم الابتدائية</t>
  </si>
  <si>
    <t>مجمع الاميرة نورة التعليمي قسم الابتدائي</t>
  </si>
  <si>
    <t>مجمع الاميرة نورة التعليمي قسم المتوسط</t>
  </si>
  <si>
    <t>مجمع الاميرة نورة التعليمي قسم الثانوي</t>
  </si>
  <si>
    <t>عامر بن ربيعة الابتدائية   بنين</t>
  </si>
  <si>
    <t>ابن الجوزي الابتدائية   بنين</t>
  </si>
  <si>
    <t>أمامة بنت العاص المتوسطة بمكة المكرمة</t>
  </si>
  <si>
    <t xml:space="preserve">الابتدائية السابعة لتحفيظ القران </t>
  </si>
  <si>
    <t>متوسطة الزاهر -بنين</t>
  </si>
  <si>
    <t>دار السلام الابتدائية    بنين</t>
  </si>
  <si>
    <t>فاطمة الزهراء الثانوية   بنات</t>
  </si>
  <si>
    <t>الروضة الخامسه -بنات</t>
  </si>
  <si>
    <t>الثامنة عشرة المتوسطة   بنات</t>
  </si>
  <si>
    <t>الثانوية الحادية و الثلاثون    بنات</t>
  </si>
  <si>
    <t>بشر بن البراء المتوسطة</t>
  </si>
  <si>
    <t xml:space="preserve">متوسطة عتاب بن اسيد -بنين </t>
  </si>
  <si>
    <t>مدرسة الحرمين  للطفولة المبكرة</t>
  </si>
  <si>
    <t>الحادية و الثلاثون المتوسطة  بنات</t>
  </si>
  <si>
    <t>الثانوية الخامسة والاربعون   بنات</t>
  </si>
  <si>
    <t>ثانوية خديجة بنت خويلد   بنات</t>
  </si>
  <si>
    <t>ثانوية بثينة بنت النعمان</t>
  </si>
  <si>
    <t>وكيع بن الجراح المتوسطة   بنين</t>
  </si>
  <si>
    <t>المتوسطة الثانية و الستون   بنات</t>
  </si>
  <si>
    <t>الامام البخاري الابتدائية   بنات</t>
  </si>
  <si>
    <t>عباد بن بشر المتوسطة   بنين</t>
  </si>
  <si>
    <t>الرابعة والعشرون الثانوية   بنات</t>
  </si>
  <si>
    <t>ابتدائية منى    بنين</t>
  </si>
  <si>
    <t>مدرسة أنس بن مالك المتوسطة   بنين</t>
  </si>
  <si>
    <t>المتوسطة الحادية و الخمسون   بنات</t>
  </si>
  <si>
    <t>البراء بن مالك للطفولة المبكرة</t>
  </si>
  <si>
    <t>ابي عبيدة عامر بن الجراح المتوسطة   بنين</t>
  </si>
  <si>
    <t>المتوسطة السابعة عشر   بنات</t>
  </si>
  <si>
    <t>الشيخ عبدالله الخليفي الثانوية   بنين</t>
  </si>
  <si>
    <t>الابتدائية الحادية و الثلاثون بعد المئة   بنات</t>
  </si>
  <si>
    <t>الابتدائية الثانية عشرة لتحفيظ القرآن</t>
  </si>
  <si>
    <t>الابتدائية الخامسة و التسعون   بنات</t>
  </si>
  <si>
    <t>عمر المختار الابتدائية   بنين</t>
  </si>
  <si>
    <t>الرابعة الابتدائية   بنات</t>
  </si>
  <si>
    <t>المتوسطة السابعة و السبعون   بنات</t>
  </si>
  <si>
    <t>متوسطة فاطمة بنت اسد   بنت</t>
  </si>
  <si>
    <t>الابتدائية السادسة و العشرون بعد المائة    بنات</t>
  </si>
  <si>
    <t>العباس بن عبدالمطلب الابتدائية  بنين</t>
  </si>
  <si>
    <t>عتبة بن غزوان للطفولة المبكرة</t>
  </si>
  <si>
    <t>نعيم بن مسعود الابتدائية - بنين</t>
  </si>
  <si>
    <t>ابي الدرداء الابتدائية   بنين</t>
  </si>
  <si>
    <t xml:space="preserve">مركز ام المؤمنين خديجه بنت خويلد للتوحد - بنات </t>
  </si>
  <si>
    <t>ابن القيم للطفولة المبكرة</t>
  </si>
  <si>
    <t xml:space="preserve"> متوسطة ابن رجب    بنين</t>
  </si>
  <si>
    <t>مدرسة اليرموك المتوسطة    بنين</t>
  </si>
  <si>
    <t xml:space="preserve">ثانوية الامير سعود الفيصل </t>
  </si>
  <si>
    <t>مدرسة بلاط الشهداء المتوسطة</t>
  </si>
  <si>
    <t>الابتدائية الخامسة والثلاثون</t>
  </si>
  <si>
    <t>المتوسطة الثامنة    بنات</t>
  </si>
  <si>
    <t>الابتدائية الثامنة و الاربعون بعد المئة    بنات</t>
  </si>
  <si>
    <t xml:space="preserve">متوسطة القاضي عياض   بنين </t>
  </si>
  <si>
    <t>متوسطة الزبير بن العوام    بنين</t>
  </si>
  <si>
    <t>متوسطة عبدالله بن انيس   بنين</t>
  </si>
  <si>
    <t xml:space="preserve">القعقاع بم عمرو المتوسطة   بنين </t>
  </si>
  <si>
    <t>الابتدائية السادسة و الثلاثون    بنات</t>
  </si>
  <si>
    <t>محمد بن عبدالوهاب للطفولة المبكرة   بنات</t>
  </si>
  <si>
    <t>الثانوية السادسة والعشرون   بنات</t>
  </si>
  <si>
    <t xml:space="preserve">الابتدائية الحادية والاربعون </t>
  </si>
  <si>
    <t>التاسعة و الخمسون الابتدائية    بنات</t>
  </si>
  <si>
    <t>ذات الصواري الثانوية   بنين</t>
  </si>
  <si>
    <t>الثانوية الرابعة   بنات</t>
  </si>
  <si>
    <t>ثانوية العز بن عبد السلام    بنين</t>
  </si>
  <si>
    <t>متوسطة الارقم بن ابي الارقم -بنين</t>
  </si>
  <si>
    <t>الابتدائية الستون    بنات</t>
  </si>
  <si>
    <t xml:space="preserve">معهد التربية الفكرية </t>
  </si>
  <si>
    <t xml:space="preserve"> ثانوية معاذ بن جبل -بنين </t>
  </si>
  <si>
    <t>مدرسة عذبةبنت سعد الإبتدائية للبنات</t>
  </si>
  <si>
    <t>جبل النور للطفولة المبكرة</t>
  </si>
  <si>
    <t>ابي محجن الثقفي المتوسطة   بنين</t>
  </si>
  <si>
    <t>تحفيظ القران الثالثه   بنات</t>
  </si>
  <si>
    <t>الابتدائية التاسعه والاربعون -بنات</t>
  </si>
  <si>
    <t>جبير بن مطعم الابتدائية</t>
  </si>
  <si>
    <t>الابتدائية الثانية و الثلاثون بعد المئة    بنات</t>
  </si>
  <si>
    <t>المتوسطة الثامنة والاربعون    بنات</t>
  </si>
  <si>
    <t>مدرسة الامير عبدالمجيد الثانوية   بنين</t>
  </si>
  <si>
    <t>المتوسطة الرابعة عشر   بنات</t>
  </si>
  <si>
    <t>ابن تيمية الابتدائية</t>
  </si>
  <si>
    <t>عطاء بن ابي رباح الابتدائية</t>
  </si>
  <si>
    <t>المتوسطة الثانية والثلاثون    بنات</t>
  </si>
  <si>
    <t>الفتح المتوسطة   بنين</t>
  </si>
  <si>
    <t>ابتدائية الرحمانية   بنين</t>
  </si>
  <si>
    <t>ابتدائية معاذة العدوية   بنات</t>
  </si>
  <si>
    <t>متوسطة عمر بن الخطاب -بنين</t>
  </si>
  <si>
    <t>ثانوية جعفر الصادق -بنين</t>
  </si>
  <si>
    <t xml:space="preserve">الثالثة عشر الابتدائية لتحفيظ القران   بنات </t>
  </si>
  <si>
    <t>الابتدائية الاربعون   بنات</t>
  </si>
  <si>
    <t>ثانوية أبي زيد الانصاري</t>
  </si>
  <si>
    <t>ثانوية مكة - بنين</t>
  </si>
  <si>
    <t xml:space="preserve">الابتدائية السادسة لتحفيظ القران الكريم </t>
  </si>
  <si>
    <t>المتوسطة الاربعون    بنات</t>
  </si>
  <si>
    <t>قتادة بن النعمان الابتدائية   بنين</t>
  </si>
  <si>
    <t>عمورية الابتدائية   بنين</t>
  </si>
  <si>
    <t>متوسطة اليمامة</t>
  </si>
  <si>
    <t xml:space="preserve">الخامسة والاربعون الابتدائية   بنات </t>
  </si>
  <si>
    <t>مدرسة الهجرة المتوسطة</t>
  </si>
  <si>
    <t>الامام السخاوي الثانوية   بنين</t>
  </si>
  <si>
    <t>معهد النور للمكفوفين</t>
  </si>
  <si>
    <t>الابتدائية السادسة والاربعون</t>
  </si>
  <si>
    <t>الثانوية السادسة والاربعون  بنات</t>
  </si>
  <si>
    <t>متوسطة عثمان بن طلحة     بنين</t>
  </si>
  <si>
    <t>المتوسطة الثالثة و الستون   بنات</t>
  </si>
  <si>
    <t xml:space="preserve">الروضة السادسة </t>
  </si>
  <si>
    <t xml:space="preserve">مدرسة حنظله بن عامر للطفولة المبكره </t>
  </si>
  <si>
    <t>مدرسة عبدالرحمن الغافقي للطفولة المبكرة</t>
  </si>
  <si>
    <t>متوسطة العاصمة النموذجية -بنين</t>
  </si>
  <si>
    <t xml:space="preserve">ثانوية زبيدة بنت حعفر-بنات </t>
  </si>
  <si>
    <t>الابتدائية الواحد و الخمسون    بنات</t>
  </si>
  <si>
    <t>القدس الثانوية   بنين</t>
  </si>
  <si>
    <t>ام عماره الابتدائية -بنات</t>
  </si>
  <si>
    <t>حسان بن ثابت -بنين</t>
  </si>
  <si>
    <t>عين جالوت الثانوية   بنين</t>
  </si>
  <si>
    <t>الثانوية السابعة   بنات</t>
  </si>
  <si>
    <t xml:space="preserve"> متوسطة عبدالله خياط   بنين</t>
  </si>
  <si>
    <t>الثانوية الرابعة عشر   بنات</t>
  </si>
  <si>
    <t>الثانوية الثامنة و العشرون   بنات</t>
  </si>
  <si>
    <t>الملك عبدالله الثانوية    بنين</t>
  </si>
  <si>
    <t>عكرمة بن عمرو بن هشام الثانوية   بنين</t>
  </si>
  <si>
    <t>المدرسة السادسة والتسعون الابتدائية بنات</t>
  </si>
  <si>
    <t>تحفيظ القران الاولى المتوسطة والثانوي   بنات</t>
  </si>
  <si>
    <t xml:space="preserve">البلد الامين المتوسطة للموهوبين </t>
  </si>
  <si>
    <t>الثانوية التاسعة والثلاثون    بنات</t>
  </si>
  <si>
    <t>الابتدائية الخامسة و الثلاثون بعد المئة     بنات</t>
  </si>
  <si>
    <t>المغيرة بن شعبة الابتدائية   بنين</t>
  </si>
  <si>
    <t>مدرسة سعد بن معاذ الابتدائية   بنين</t>
  </si>
  <si>
    <t>ابتدائية حبيبة بنت عمرو</t>
  </si>
  <si>
    <t>المدرسة التاسعة والثلاثون ( 39 ) المتوسطة بمكة</t>
  </si>
  <si>
    <t>روضة النرجس مكة</t>
  </si>
  <si>
    <t>الابتدائية السادسة والثمانون للبنات</t>
  </si>
  <si>
    <t>الثانوية التاسعة و العشرون بنات</t>
  </si>
  <si>
    <t>الثانوية التاسعة والأربعون</t>
  </si>
  <si>
    <t>مدرسة العمرة</t>
  </si>
  <si>
    <t>مدرسة الأمير ماجد بن عبد العزيز المتوسطة</t>
  </si>
  <si>
    <t>مدرسة زمزم الابتدائيةبنين</t>
  </si>
  <si>
    <t>الابتدائية العاشرة للطفولة المبكرة</t>
  </si>
  <si>
    <t>المدرسة الثامنة والعشرون بنات</t>
  </si>
  <si>
    <t>مدرسة ابتدائية ابن عامر للطفولة المبكرة بنين</t>
  </si>
  <si>
    <t>المدرسة السادسة والثلاثون الثانوية بنات</t>
  </si>
  <si>
    <t>الابتدائية التاسعة بعد المائة للبنات</t>
  </si>
  <si>
    <t>مدرسة ام سعد بن معاذ الابتدائيه</t>
  </si>
  <si>
    <t>المدرسة الإبتدائية الثامنة والتسعون</t>
  </si>
  <si>
    <t>الروضة الثانية عشر</t>
  </si>
  <si>
    <t>مدرسة عروة بن الزبير الابتدائية</t>
  </si>
  <si>
    <t>المدرسة المتوسطة الثامنة والثلاثون بنات</t>
  </si>
  <si>
    <t>مدرسة أبي بن كعب المتوسطة</t>
  </si>
  <si>
    <t>مدرسة زيد بن الخطاب المتوسطة بنين</t>
  </si>
  <si>
    <t>المدرسة الثلاثون الثانوية بمكة</t>
  </si>
  <si>
    <t>الثانوية الحادية والاربعون للبنات</t>
  </si>
  <si>
    <t>مجمع معهدالأمل للبنات الصم</t>
  </si>
  <si>
    <t>الابتدائية السابعة بعد المائة بمكة المكرمة</t>
  </si>
  <si>
    <t xml:space="preserve">مدرسة الليث بن سعد المتوسطة بنين </t>
  </si>
  <si>
    <t>البيروني الابتدائية</t>
  </si>
  <si>
    <t>المدرسة الثامنة الابتدائية وروضة المودة</t>
  </si>
  <si>
    <t>مدرسة صفية بنت عبدالمطلب طفولة مبكرة</t>
  </si>
  <si>
    <t>ثانوية أبي أيوب الأنصاري بنين</t>
  </si>
  <si>
    <t>مدرسة الجاحظ الثانوية بنين</t>
  </si>
  <si>
    <t xml:space="preserve">المتوسطة الرابعة والأربعون </t>
  </si>
  <si>
    <t>المدرسة الثانوية السابعة والعشرون بنات</t>
  </si>
  <si>
    <t>مدرسة زيد الخير الابتدائية</t>
  </si>
  <si>
    <t>مدرسة يزيد بن رومان المتوسطة الراشدية</t>
  </si>
  <si>
    <t>مدرسة أبي سعيد الخدري الابتدائية</t>
  </si>
  <si>
    <t>مدرسة عكاظ الابتدائية</t>
  </si>
  <si>
    <t>مدرسة عبدالملك بن مروان المتوسطة بنين</t>
  </si>
  <si>
    <t>الابتدائية السادسة والعشرون للبنات مكه</t>
  </si>
  <si>
    <t>المدرسة المتوسطة السابعة والأربعون ( بنات )</t>
  </si>
  <si>
    <t>المدرسة الثانوية الثانية</t>
  </si>
  <si>
    <t>المدرسة التاسعة عشرة الثانوية بنات</t>
  </si>
  <si>
    <t>HLY2020627012233</t>
  </si>
  <si>
    <t>SXE2020627004349</t>
  </si>
  <si>
    <t>HLY2020627038127</t>
  </si>
  <si>
    <t>SXE2020627059790</t>
  </si>
  <si>
    <t>SMR2320621012794</t>
  </si>
  <si>
    <t>SXE2020627005731</t>
  </si>
  <si>
    <t>SXE2020627003094</t>
  </si>
  <si>
    <t>HLY2020627001788</t>
  </si>
  <si>
    <t>HLY2020627012174</t>
  </si>
  <si>
    <t>SXE2020627006095</t>
  </si>
  <si>
    <t>SXE2020627059786</t>
  </si>
  <si>
    <t>HLY2020627036585</t>
  </si>
  <si>
    <t>HLY2020627038128</t>
  </si>
  <si>
    <t>HLY2020627010720</t>
  </si>
  <si>
    <t>HLY2020627001681</t>
  </si>
  <si>
    <t>HLY2020627037229</t>
  </si>
  <si>
    <t>HLY2020627009660</t>
  </si>
  <si>
    <t>SXE2020627057613</t>
  </si>
  <si>
    <t>SXE2020627059982</t>
  </si>
  <si>
    <t>HLY2020627009611</t>
  </si>
  <si>
    <t>HLY2020627009612</t>
  </si>
  <si>
    <t>SXE2020627006173</t>
  </si>
  <si>
    <t>HLY2020627036432</t>
  </si>
  <si>
    <t>SXE2020627003663</t>
  </si>
  <si>
    <t>SXE2020627003552</t>
  </si>
  <si>
    <t>SXE2020627003659</t>
  </si>
  <si>
    <t>HLY2020627038561</t>
  </si>
  <si>
    <t>HLY2020627009656</t>
  </si>
  <si>
    <t>HLY2020627036383</t>
  </si>
  <si>
    <t>HLY2020627055277</t>
  </si>
  <si>
    <t>HLY2020627001516</t>
  </si>
  <si>
    <t>SXE2020627059829</t>
  </si>
  <si>
    <t>HLY2020627038129</t>
  </si>
  <si>
    <t>HLY2020627011472</t>
  </si>
  <si>
    <t>HLY2020627002235</t>
  </si>
  <si>
    <t>SXE2020627061437</t>
  </si>
  <si>
    <t>HLY2020627038635</t>
  </si>
  <si>
    <t>SXE2020627058443</t>
  </si>
  <si>
    <t>SXE2020627070241</t>
  </si>
  <si>
    <t>HLY2020627001001</t>
  </si>
  <si>
    <t>HLY2020627053955</t>
  </si>
  <si>
    <t>SXE2020627005625</t>
  </si>
  <si>
    <t>SXE2020627073163</t>
  </si>
  <si>
    <t>SXE2020627059978</t>
  </si>
  <si>
    <t>HLY2020627036384</t>
  </si>
  <si>
    <t>HLY2020627001685</t>
  </si>
  <si>
    <t>SXE2020627004345</t>
  </si>
  <si>
    <t>SXE2020627072953</t>
  </si>
  <si>
    <t>HLY2020627038565</t>
  </si>
  <si>
    <t>HLY2020627001308</t>
  </si>
  <si>
    <t>SXE2020627057689</t>
  </si>
  <si>
    <t>SXE2020627056691</t>
  </si>
  <si>
    <t>SXE2020627059785</t>
  </si>
  <si>
    <t>SXE2020627004346</t>
  </si>
  <si>
    <t>SXE2020627059809</t>
  </si>
  <si>
    <t>SXE2020627060222</t>
  </si>
  <si>
    <t>HLY2020627029560</t>
  </si>
  <si>
    <t>SXE2020627058449</t>
  </si>
  <si>
    <t>SXE2020627056427</t>
  </si>
  <si>
    <t>HLY2020627001937</t>
  </si>
  <si>
    <t>HLY2020627057725</t>
  </si>
  <si>
    <t>HLY2020627038575</t>
  </si>
  <si>
    <t>SXE2020627058873</t>
  </si>
  <si>
    <t>HLY2020627036449</t>
  </si>
  <si>
    <t>HLY2020627036499</t>
  </si>
  <si>
    <t>HLY2020627038392</t>
  </si>
  <si>
    <t>HLY2020627012268</t>
  </si>
  <si>
    <t>SXE2020627059718</t>
  </si>
  <si>
    <t>SXE2020627006130</t>
  </si>
  <si>
    <t>HLY2020627038645</t>
  </si>
  <si>
    <t>HLY2020627038952</t>
  </si>
  <si>
    <t>HLY2020627038092</t>
  </si>
  <si>
    <t>SXE2020627059108</t>
  </si>
  <si>
    <t>HLY2020627038574</t>
  </si>
  <si>
    <t>HLY2020627038013</t>
  </si>
  <si>
    <t>SXE2020627006129</t>
  </si>
  <si>
    <t>SXE2020627003781</t>
  </si>
  <si>
    <t>HLY2020627038955</t>
  </si>
  <si>
    <t>HLY2020627012437</t>
  </si>
  <si>
    <t>HLY2020627002459</t>
  </si>
  <si>
    <t>HLY2020627002155</t>
  </si>
  <si>
    <t>HLY2020627037726</t>
  </si>
  <si>
    <t>HLY2020627010734</t>
  </si>
  <si>
    <t>HLY2020627001223</t>
  </si>
  <si>
    <t>HLY2020627001787</t>
  </si>
  <si>
    <t>HLY2020627037213</t>
  </si>
  <si>
    <t>SXE2020627060220</t>
  </si>
  <si>
    <t>HLY2020627038860</t>
  </si>
  <si>
    <t>SXE2020627003128</t>
  </si>
  <si>
    <t>SMR2220621003583</t>
  </si>
  <si>
    <t>HLY2020627010749</t>
  </si>
  <si>
    <t>HLY2020627057607</t>
  </si>
  <si>
    <t>HLY2020627001235</t>
  </si>
  <si>
    <t>SXE2020627056666</t>
  </si>
  <si>
    <t>SXE2020627059811</t>
  </si>
  <si>
    <t>HLY2020627038015</t>
  </si>
  <si>
    <t>HLY2020627010654</t>
  </si>
  <si>
    <t>SXE2020627058736</t>
  </si>
  <si>
    <t>SXE2020627058457</t>
  </si>
  <si>
    <t>KFM2120655005655</t>
  </si>
  <si>
    <t>SXE2020627003000</t>
  </si>
  <si>
    <t>HLY2020627036382</t>
  </si>
  <si>
    <t>SXE2020627003598</t>
  </si>
  <si>
    <t>SXE2020627003597</t>
  </si>
  <si>
    <t>SXE2020627056693</t>
  </si>
  <si>
    <t>HLY2020627037292</t>
  </si>
  <si>
    <t>HLY2020627036003</t>
  </si>
  <si>
    <t>SXE2020627004350</t>
  </si>
  <si>
    <t>HLY2020627044056</t>
  </si>
  <si>
    <t>SXE2020627059828</t>
  </si>
  <si>
    <t>SXE2020627060742</t>
  </si>
  <si>
    <t>HLY2020627001522</t>
  </si>
  <si>
    <t>HLY2020627038424</t>
  </si>
  <si>
    <t>HLY2020627038644</t>
  </si>
  <si>
    <t>HLY2020627010651</t>
  </si>
  <si>
    <t>SXE2020627056425</t>
  </si>
  <si>
    <t>SXE2020627003064</t>
  </si>
  <si>
    <t>SXE2020627056886</t>
  </si>
  <si>
    <t>HLY2020627001326</t>
  </si>
  <si>
    <t>SXE2020627057614</t>
  </si>
  <si>
    <t>HLY2020627010731</t>
  </si>
  <si>
    <t>HLY2020627038642</t>
  </si>
  <si>
    <t>HLY2020627011893</t>
  </si>
  <si>
    <t>HLY2020627037563</t>
  </si>
  <si>
    <t>HLY2020627002244</t>
  </si>
  <si>
    <t>HLY2020627011997</t>
  </si>
  <si>
    <t>SXE2020627059788</t>
  </si>
  <si>
    <t>HLY2020627001923</t>
  </si>
  <si>
    <t>SXE2020627006211</t>
  </si>
  <si>
    <t>HLY2020627001804</t>
  </si>
  <si>
    <t>SXE2020627005736</t>
  </si>
  <si>
    <t>HLY2020627036431</t>
  </si>
  <si>
    <t>HLY2020627013002</t>
  </si>
  <si>
    <t>SXE2020627059812</t>
  </si>
  <si>
    <t>HLY2020627038257</t>
  </si>
  <si>
    <t>HLY2020627001096</t>
  </si>
  <si>
    <t>HLY2020627001891</t>
  </si>
  <si>
    <t>HLY2020627001838</t>
  </si>
  <si>
    <t>HLY2020627038873</t>
  </si>
  <si>
    <t>HLY2020627036583</t>
  </si>
  <si>
    <t>SXE2020627004352</t>
  </si>
  <si>
    <t>SXE2020627071312</t>
  </si>
  <si>
    <t>SXE2020627003400</t>
  </si>
  <si>
    <t>SXE2020627058345</t>
  </si>
  <si>
    <t>HLY2020627013017</t>
  </si>
  <si>
    <t>HLY2020627011895</t>
  </si>
  <si>
    <t>HLY2020627001327</t>
  </si>
  <si>
    <t>HLY2020627055228</t>
  </si>
  <si>
    <t>SXE2020627060790</t>
  </si>
  <si>
    <t>HLY2020627029682</t>
  </si>
  <si>
    <t>HLY2020627000877</t>
  </si>
  <si>
    <t>HLY2020627000879</t>
  </si>
  <si>
    <t>SXE2020627056399</t>
  </si>
  <si>
    <t>HLY2020627009658</t>
  </si>
  <si>
    <t>SXE2020627058880</t>
  </si>
  <si>
    <t>HLY2020627012218</t>
  </si>
  <si>
    <t>SXE2020627069749</t>
  </si>
  <si>
    <t>SXE2020627069750</t>
  </si>
  <si>
    <t>HLY2020627059665</t>
  </si>
  <si>
    <t>HLY2020627010715</t>
  </si>
  <si>
    <t>HLY2020627001309</t>
  </si>
  <si>
    <t>HLY2020627010691</t>
  </si>
  <si>
    <t>HLY2020627001264</t>
  </si>
  <si>
    <t>HLY2020627001306</t>
  </si>
  <si>
    <t>HLY2020627055241</t>
  </si>
  <si>
    <t>SXE2020627056426</t>
  </si>
  <si>
    <t>HLY2020627055294</t>
  </si>
  <si>
    <t>SXE2020627071455</t>
  </si>
  <si>
    <t>SXE2020627006193</t>
  </si>
  <si>
    <t>SXE2020627071456</t>
  </si>
  <si>
    <t>SXE2020627071452</t>
  </si>
  <si>
    <t>SXE2020627073166</t>
  </si>
  <si>
    <t>SXE2020627006150</t>
  </si>
  <si>
    <t>HLY2020627037206</t>
  </si>
  <si>
    <t>SXE2020627070537</t>
  </si>
  <si>
    <t>HLY2020627036118</t>
  </si>
  <si>
    <t>HLY2020627037464</t>
  </si>
  <si>
    <t>HLY2020627001307</t>
  </si>
  <si>
    <t>HLY2020627038951</t>
  </si>
  <si>
    <t>HLY2020627012249</t>
  </si>
  <si>
    <t>Makkah</t>
  </si>
  <si>
    <t>الثامنة لتحفيظ القران الكريم المتوسطة بنات</t>
  </si>
  <si>
    <t xml:space="preserve">الثامنة والستون الثانوية بنات </t>
  </si>
  <si>
    <t>الواحدة والستون بعد المائة الابتدائية بنات</t>
  </si>
  <si>
    <t>الرياض الابتدائية بنين</t>
  </si>
  <si>
    <t>الثانية عشر لتحفيظ القران الكريم الابتدائية بنات</t>
  </si>
  <si>
    <t>ابن الجزري لتحفيظ القرآن الابتدائية بنين</t>
  </si>
  <si>
    <t>الابتدائية الثامنة والستون بعد المائة بنات</t>
  </si>
  <si>
    <t>الابتدائية الثانية للطفولة المبكرة لتحفيظ القران</t>
  </si>
  <si>
    <t xml:space="preserve">الخمسون المتوسطة بنات </t>
  </si>
  <si>
    <t>الخامسة والاربعون بعد المائة الابتدائية بنات</t>
  </si>
  <si>
    <t>السابعة والعشرون بعد المائة الابتدائية بنات</t>
  </si>
  <si>
    <t>ECC2020807599181</t>
  </si>
  <si>
    <t>HLY2020627003833</t>
  </si>
  <si>
    <t>HLY2020627005694</t>
  </si>
  <si>
    <t>HLY2020627018456</t>
  </si>
  <si>
    <t>HLY2020627019358</t>
  </si>
  <si>
    <t>HLY2020627020235</t>
  </si>
  <si>
    <t>HLY2020627020699</t>
  </si>
  <si>
    <t>HLY2020627022754</t>
  </si>
  <si>
    <t>HLY2020627023144</t>
  </si>
  <si>
    <t>HLY2020627023500</t>
  </si>
  <si>
    <t>HLY2020627024119</t>
  </si>
  <si>
    <t>HLY2020627024611</t>
  </si>
  <si>
    <t>HLY2020627024920</t>
  </si>
  <si>
    <t>HLY2020627025034</t>
  </si>
  <si>
    <t>HLY2020627025232</t>
  </si>
  <si>
    <t>HLY2020627025790</t>
  </si>
  <si>
    <t>HLY2020627035525</t>
  </si>
  <si>
    <t>HLY2020627042137</t>
  </si>
  <si>
    <t>HLY2020627043074</t>
  </si>
  <si>
    <t>HLY2020627044687</t>
  </si>
  <si>
    <t>HLY2020627049760</t>
  </si>
  <si>
    <t>HLY2020627053686</t>
  </si>
  <si>
    <t>HLY2020627056008</t>
  </si>
  <si>
    <t>HLY2020627056744</t>
  </si>
  <si>
    <t>HLY2020627056753</t>
  </si>
  <si>
    <t>HLY2020627057766</t>
  </si>
  <si>
    <t>HLY2020627057783</t>
  </si>
  <si>
    <t>HLY2020627057914</t>
  </si>
  <si>
    <t>HLY2020627059108</t>
  </si>
  <si>
    <t>HLY2020627059240</t>
  </si>
  <si>
    <t>HLY2020627060556</t>
  </si>
  <si>
    <t>HLY2020627063018</t>
  </si>
  <si>
    <t>HLY2020627063176</t>
  </si>
  <si>
    <t>HLY2020627063272</t>
  </si>
  <si>
    <t>HLY2020627064974</t>
  </si>
  <si>
    <t>HLY2020627065020</t>
  </si>
  <si>
    <t>HLY2020627065500</t>
  </si>
  <si>
    <t>HLY2020627065769</t>
  </si>
  <si>
    <t>HLY2020627065819</t>
  </si>
  <si>
    <t>SXE2120627088131</t>
  </si>
  <si>
    <t>SXE2120627090183</t>
  </si>
  <si>
    <t>SXE2120627100980</t>
  </si>
  <si>
    <t>SXE2120627102116</t>
  </si>
  <si>
    <t>SXE2120627102156</t>
  </si>
  <si>
    <t>SXE2120627104075</t>
  </si>
  <si>
    <t>SXE2120627500429</t>
  </si>
  <si>
    <t>HLY2020627004512</t>
  </si>
  <si>
    <t>HLY2020627003709</t>
  </si>
  <si>
    <t>HLY2020627003706</t>
  </si>
  <si>
    <t>HLY2020627065040</t>
  </si>
  <si>
    <t>HLY2020627022974</t>
  </si>
  <si>
    <t>The nineteenth elementary school in Arar</t>
  </si>
  <si>
    <t>Suhaib Al-Rumi</t>
  </si>
  <si>
    <t>صهيب الرومي</t>
  </si>
  <si>
    <t>Sixth Elementary</t>
  </si>
  <si>
    <t>السادسة الابتدائية</t>
  </si>
  <si>
    <t>Fifth</t>
  </si>
  <si>
    <t>صقر قريش</t>
  </si>
  <si>
    <t>Seventh</t>
  </si>
  <si>
    <t>السابعه</t>
  </si>
  <si>
    <t>Mus'ab ibn 'Umair</t>
  </si>
  <si>
    <t>مصعب بن عمير</t>
  </si>
  <si>
    <t>Al-Farouq</t>
  </si>
  <si>
    <t>الفاروق</t>
  </si>
  <si>
    <t>Saladin</t>
  </si>
  <si>
    <t>صلاح الدين الأيوبي-147 A</t>
  </si>
  <si>
    <t>Eighth High School</t>
  </si>
  <si>
    <t>ثانوية الثامنة</t>
  </si>
  <si>
    <t>Imam Asim for Early Childhood</t>
  </si>
  <si>
    <t>الامام عاصم للطفوله المبكره</t>
  </si>
  <si>
    <t>Fourteenth</t>
  </si>
  <si>
    <t>الرابعه عشر</t>
  </si>
  <si>
    <t>Thirty-fourth</t>
  </si>
  <si>
    <t>الرابعة والثلاثون</t>
  </si>
  <si>
    <t>Twenty-seventh</t>
  </si>
  <si>
    <t>السابعة والعشرون</t>
  </si>
  <si>
    <t>eighteenth</t>
  </si>
  <si>
    <t>الثامنه عشره</t>
  </si>
  <si>
    <t>العشرون</t>
  </si>
  <si>
    <t>Prince Abdul Aziz bin Musa'id</t>
  </si>
  <si>
    <t>الأمير عبد العزيز بن مساعد</t>
  </si>
  <si>
    <t>Sixth Intermediate School in Arar</t>
  </si>
  <si>
    <t>المتوسطة السادسة بعرعر</t>
  </si>
  <si>
    <t>Thirty-one</t>
  </si>
  <si>
    <t>الواحده والثلاثون</t>
  </si>
  <si>
    <t>Ninth</t>
  </si>
  <si>
    <t>التاسعة</t>
  </si>
  <si>
    <t>Ajnadin High School</t>
  </si>
  <si>
    <t>ثانوية أجنادين</t>
  </si>
  <si>
    <t>Abdullah bin Abbas for Early Childhood</t>
  </si>
  <si>
    <t>عبدالله بن عباس للطفولة المبكرة</t>
  </si>
  <si>
    <t>Mecca</t>
  </si>
  <si>
    <t>مكة المكرمة</t>
  </si>
  <si>
    <t>الثانوية الرابعة</t>
  </si>
  <si>
    <t>Twenty-third Elementary School</t>
  </si>
  <si>
    <t xml:space="preserve">الابتدائية  الثالثة والعشرون </t>
  </si>
  <si>
    <t>Schools of Scientific Excellence</t>
  </si>
  <si>
    <t>مدارس التميز العلمي</t>
  </si>
  <si>
    <t>Talha ibn Ubaydullah</t>
  </si>
  <si>
    <t>طلحة بن عبيدالله</t>
  </si>
  <si>
    <t>Ibn al-Athir</t>
  </si>
  <si>
    <t>Scientific Institute</t>
  </si>
  <si>
    <t>المعهد العلمي</t>
  </si>
  <si>
    <t>Abu Bakr Al-Siddiq High School in Arar</t>
  </si>
  <si>
    <t>ثانوية أبي بكر الصديق بعرعر</t>
  </si>
  <si>
    <t>King Khalid</t>
  </si>
  <si>
    <t>الملك خالد</t>
  </si>
  <si>
    <t>King Fahd High School</t>
  </si>
  <si>
    <t>ثانوية الملك فهد</t>
  </si>
  <si>
    <t>The Seventeenth Elementary School in Arar</t>
  </si>
  <si>
    <t>الابتدائية السابعة عشرة بعرعر</t>
  </si>
  <si>
    <t>Abu Ayyub al-Ansari</t>
  </si>
  <si>
    <t>أبو أيوب الأنصاري</t>
  </si>
  <si>
    <t>Al-Numan ibn Muqrin</t>
  </si>
  <si>
    <t>النعمان بن مقرن</t>
  </si>
  <si>
    <t>King Abdulaziz</t>
  </si>
  <si>
    <t>الملك عبدالعزيز</t>
  </si>
  <si>
    <t>KFM2020660024365</t>
  </si>
  <si>
    <t>KFM2020660024326</t>
  </si>
  <si>
    <t>KFM2020660033423</t>
  </si>
  <si>
    <t>KFM2020660178751</t>
  </si>
  <si>
    <t>KFM2120660277688</t>
  </si>
  <si>
    <t>KFM2020660178647</t>
  </si>
  <si>
    <t>KFM2020660178607</t>
  </si>
  <si>
    <t>KFM2120660237775</t>
  </si>
  <si>
    <t>KFM2020660033427</t>
  </si>
  <si>
    <t>KFM2020660180876</t>
  </si>
  <si>
    <t>KFM2020660181851</t>
  </si>
  <si>
    <t>KFM2020660024374</t>
  </si>
  <si>
    <t>KFM2020660033419</t>
  </si>
  <si>
    <t>KFM2020660178677</t>
  </si>
  <si>
    <t>KFM2120660237673</t>
  </si>
  <si>
    <t>KFM2020660033414</t>
  </si>
  <si>
    <t>KFM2020660229103</t>
  </si>
  <si>
    <t>KFM2020660178856</t>
  </si>
  <si>
    <t>KFM2020660024063</t>
  </si>
  <si>
    <t>KFM2020660181815</t>
  </si>
  <si>
    <t>KFM2020660180871</t>
  </si>
  <si>
    <t>KFM2020660178627</t>
  </si>
  <si>
    <t>KFM2020660181477</t>
  </si>
  <si>
    <t>KFM2020660025407</t>
  </si>
  <si>
    <t>KFM2020660180976</t>
  </si>
  <si>
    <t>KFM2020660178595</t>
  </si>
  <si>
    <t>KFM2020660178727</t>
  </si>
  <si>
    <t>KFM2020660154974</t>
  </si>
  <si>
    <t>KFM2020660178608</t>
  </si>
  <si>
    <t>Kfm2020660178621</t>
  </si>
  <si>
    <t>Kfm2020660178844</t>
  </si>
  <si>
    <t>KFM2120660277685</t>
  </si>
  <si>
    <t>KFM2020660180970</t>
  </si>
  <si>
    <t>KFM2020660157535</t>
  </si>
  <si>
    <t>KFM2020660024419</t>
  </si>
  <si>
    <t>ARAR</t>
  </si>
  <si>
    <t>NB</t>
  </si>
  <si>
    <t>المتوسطة الخامسة</t>
  </si>
  <si>
    <t>المدرسة المتوسطة الرابعة</t>
  </si>
  <si>
    <t>Seventeenth Elementary School</t>
  </si>
  <si>
    <t>Thirteenth Intermediate School</t>
  </si>
  <si>
    <t>Seventh Intermediate School</t>
  </si>
  <si>
    <t>Seventh Elementary School</t>
  </si>
  <si>
    <t>Third Primary School</t>
  </si>
  <si>
    <t>Sixteenth Intermediate School for Girls</t>
  </si>
  <si>
    <t>المتوسطة السادسة عشر للبنات</t>
  </si>
  <si>
    <t>Twenty-first Middle School</t>
  </si>
  <si>
    <t>المدرسة المتوسطة الحادية والعشرون</t>
  </si>
  <si>
    <t>Sixth Intermediate School</t>
  </si>
  <si>
    <t>المدرسة المتوسطة السادسة</t>
  </si>
  <si>
    <t>Fourteenth Elementary School</t>
  </si>
  <si>
    <t>المدرسة الإبتدائية الرابعة عشر</t>
  </si>
  <si>
    <t>Al-Walid ibn Abd al-Malik for early childhood</t>
  </si>
  <si>
    <t>الوليد بن عبد الملك للطفولة المبكرة</t>
  </si>
  <si>
    <t>The Twenty-First Primary School for Early Childhood</t>
  </si>
  <si>
    <t>المدرسة الابتدائية الواحدة والعشرون للطفولة المبكرة</t>
  </si>
  <si>
    <t>The Tenth Secondary School in Hail - Tracks</t>
  </si>
  <si>
    <t>الثانوية العاشرة بحائل- - مسارات</t>
  </si>
  <si>
    <t>The thirty-third elementary school</t>
  </si>
  <si>
    <t>الإبتدائية الثالثة والثلاثون</t>
  </si>
  <si>
    <t>Sixteenth High School</t>
  </si>
  <si>
    <t>المدرسة الثانوية السادسة عشر</t>
  </si>
  <si>
    <t>Al-Khamashiyah Early Childhood School</t>
  </si>
  <si>
    <t>مدرسة الخماشية للطفولة المبكرة</t>
  </si>
  <si>
    <t>Tenth Intermediate School</t>
  </si>
  <si>
    <t>المدرسة المتوسطة العاشرة</t>
  </si>
  <si>
    <t>The thirty-sixth elementary school</t>
  </si>
  <si>
    <t>المدرسة الإبتدائية السادسة والثلاثون</t>
  </si>
  <si>
    <t>The fifteenth elementary school in Hail</t>
  </si>
  <si>
    <t>الابتدائية الخامسة عشر بحائل‎</t>
  </si>
  <si>
    <t>المدرسة المتوسطة السابعة</t>
  </si>
  <si>
    <t>20th Middle School</t>
  </si>
  <si>
    <t>المدرسة المتوسطة العشرون</t>
  </si>
  <si>
    <t>Seventeenth High School</t>
  </si>
  <si>
    <t>الثانوية السابعة عشر</t>
  </si>
  <si>
    <t>The Forty-Second Elementary School</t>
  </si>
  <si>
    <t>المدرسة الإبتدائية الثانية والأربعون</t>
  </si>
  <si>
    <t>Ninth High School</t>
  </si>
  <si>
    <t>مدرسة التاسعة الثانوية</t>
  </si>
  <si>
    <t>The twenty-sixth intermediate school in Hail</t>
  </si>
  <si>
    <t>المتوسطة السادسة والعشرون بحائل</t>
  </si>
  <si>
    <t>The Twenty-Ninth Elementary School</t>
  </si>
  <si>
    <t>الابتدائية التاسعة والعشرون</t>
  </si>
  <si>
    <t>Ibn Hazm Elementary School</t>
  </si>
  <si>
    <t>ابتدائية ابن حزم</t>
  </si>
  <si>
    <t>Cordoba Middle School</t>
  </si>
  <si>
    <t>متوسطة قرطبة</t>
  </si>
  <si>
    <t>Aja Intermediate</t>
  </si>
  <si>
    <t>متوسطة اجا</t>
  </si>
  <si>
    <t>Second Secondary School, Amer, Hail</t>
  </si>
  <si>
    <t>مدرسة الثانوية الثانية عامر بحائل</t>
  </si>
  <si>
    <t>الابتدائية التاسعة والثلاثون للطفولة المبكرة</t>
  </si>
  <si>
    <t>المدرسة المتوسطة الثامنة</t>
  </si>
  <si>
    <t>The thirty-fourth elementary school in Hail</t>
  </si>
  <si>
    <t>الابتدائية الرابعة والثلاثون بحائل</t>
  </si>
  <si>
    <t>The Fortieth Elementary School</t>
  </si>
  <si>
    <t>المدرسة الإبتدائية الأربعون</t>
  </si>
  <si>
    <t>The Twenty-First Secondary School in Hail - Pathways</t>
  </si>
  <si>
    <t>الثانوية الحادية والعشرون بحائل - مسارات</t>
  </si>
  <si>
    <t>The thirty-first intermediate school in Hail</t>
  </si>
  <si>
    <t>المتوسطة الحادية والثلاثون بحائل</t>
  </si>
  <si>
    <t>Ibrahim Al-Thuwaini Intermediate School</t>
  </si>
  <si>
    <t>متوسطة ابراهيم الثويني</t>
  </si>
  <si>
    <t>Al Faisal Secondary School</t>
  </si>
  <si>
    <t>مدرسة الفيصل الثانوية</t>
  </si>
  <si>
    <t>Eleventh High School</t>
  </si>
  <si>
    <t>المدرسة الثانوية الحادية عشر</t>
  </si>
  <si>
    <t>Sheikh Mohammed bin Ibrahim High School</t>
  </si>
  <si>
    <t>مدرسة ثانوية الشيخ محمد بن إبراهيم</t>
  </si>
  <si>
    <t>Eighteenth High School</t>
  </si>
  <si>
    <t>المدرسة الثانوية الثامنة عشر</t>
  </si>
  <si>
    <t>The Forty-Fifth Elementary School</t>
  </si>
  <si>
    <t>المدرسة الابتدائية الخامسة والأربعون</t>
  </si>
  <si>
    <t>Twenty-fifth Intermediate School</t>
  </si>
  <si>
    <t>المدرسة المتوسطة الخامسة والعشرون</t>
  </si>
  <si>
    <t>Fifteenth High School</t>
  </si>
  <si>
    <t>الثانوية الخامسة عشر‎</t>
  </si>
  <si>
    <t>The thirty-seventh elementary school</t>
  </si>
  <si>
    <t>الإبتدائية السابعة والثلاثون‎</t>
  </si>
  <si>
    <t>Sixteenth Elementary School</t>
  </si>
  <si>
    <t>المدرسة الإبتدائية السادسة عشر‎</t>
  </si>
  <si>
    <t>Ummaymah Bint Qais Secondary School</t>
  </si>
  <si>
    <t>ثانوية اميمة بنت قيس‎</t>
  </si>
  <si>
    <t>The thirty-second intermediate school in Hail</t>
  </si>
  <si>
    <t>المتوسطة الثانية والثلاثون بحائل‎</t>
  </si>
  <si>
    <t>Al-Masif Elementary School</t>
  </si>
  <si>
    <t>مدرسة ابتدائية المصيف‎</t>
  </si>
  <si>
    <t>The thirty-sixth kindergarten</t>
  </si>
  <si>
    <t>الروضة السادسة والثلاثون‎</t>
  </si>
  <si>
    <t>ثانوية الأميرة نورة بنت عبد الرحمن ال سعود‎</t>
  </si>
  <si>
    <t>Granada Primary School</t>
  </si>
  <si>
    <t>مدرسة غرناطة الإبتدائية‎</t>
  </si>
  <si>
    <t>Al-Kisa'i High School</t>
  </si>
  <si>
    <t>مدرسة ثانوية الكسائي‎</t>
  </si>
  <si>
    <t>Qaffar Intermediate School</t>
  </si>
  <si>
    <t>مدرسة متوسطة قفار‎</t>
  </si>
  <si>
    <t>Al Wadi Elementary School</t>
  </si>
  <si>
    <t>مدرسة الوادي الإبتدائية‎</t>
  </si>
  <si>
    <t>KFM2020660210302</t>
  </si>
  <si>
    <t>KFM2020660210314</t>
  </si>
  <si>
    <t>KFM2020660211964</t>
  </si>
  <si>
    <t>KFM2020660211966</t>
  </si>
  <si>
    <t>KFM2020660212018</t>
  </si>
  <si>
    <t>KFM2020660209886</t>
  </si>
  <si>
    <t>KFM2020660209821</t>
  </si>
  <si>
    <t>KFM2020660199069</t>
  </si>
  <si>
    <t>KFM2020660209890</t>
  </si>
  <si>
    <t>KFM2020660211868</t>
  </si>
  <si>
    <t>KFM2020660195410</t>
  </si>
  <si>
    <t>10041535031</t>
  </si>
  <si>
    <t>KFM2020660199154</t>
  </si>
  <si>
    <t>10041908581</t>
  </si>
  <si>
    <t>KFM2020660234336</t>
  </si>
  <si>
    <t>KFM2020660211971</t>
  </si>
  <si>
    <t>KFM2020660199102</t>
  </si>
  <si>
    <t>KFM2020660212004</t>
  </si>
  <si>
    <t>KFM2020660199105</t>
  </si>
  <si>
    <t>KFM2020660170401</t>
  </si>
  <si>
    <t>SMR2220661013550</t>
  </si>
  <si>
    <t>KFM2020660234355</t>
  </si>
  <si>
    <t>KFM2020660232183</t>
  </si>
  <si>
    <t>KFM2120660252598</t>
  </si>
  <si>
    <t>KFM2020660234287</t>
  </si>
  <si>
    <t>KFM2020660234413</t>
  </si>
  <si>
    <t>KFM2020660234368</t>
  </si>
  <si>
    <t>KFM2020660234362</t>
  </si>
  <si>
    <t>KFM2120660278119</t>
  </si>
  <si>
    <t>KFM2020660232595</t>
  </si>
  <si>
    <t>KFM2020660232591</t>
  </si>
  <si>
    <t>KFM2020660232514</t>
  </si>
  <si>
    <t>KFM2120660252618</t>
  </si>
  <si>
    <t>KFM2120660252546</t>
  </si>
  <si>
    <t>KFM2120660252550</t>
  </si>
  <si>
    <t>KFM2020660234303</t>
  </si>
  <si>
    <t>KFM2020660234420</t>
  </si>
  <si>
    <t>KFM2020660232526</t>
  </si>
  <si>
    <t>KFM2020660232528</t>
  </si>
  <si>
    <t>KFM2020660210260</t>
  </si>
  <si>
    <t>KFM2020660211988</t>
  </si>
  <si>
    <t>KFM2020660211986</t>
  </si>
  <si>
    <t>KFM2120660258845</t>
  </si>
  <si>
    <t>KFM2120660267931</t>
  </si>
  <si>
    <t>KFM2120660252587</t>
  </si>
  <si>
    <t>KFM2120660248389</t>
  </si>
  <si>
    <t>KFM2120660248388</t>
  </si>
  <si>
    <t>KFM2020660211909</t>
  </si>
  <si>
    <t>KFM2120660258822</t>
  </si>
  <si>
    <t>KFM2120660252532</t>
  </si>
  <si>
    <t>KFM2020660232325</t>
  </si>
  <si>
    <t>Hail</t>
  </si>
  <si>
    <t>المثني بن حارثة الابتائية بنين</t>
  </si>
  <si>
    <t>بلال ابن رباح الابتدائية</t>
  </si>
  <si>
    <t>جمانه بنت ابي طالب للطفوله المبكره</t>
  </si>
  <si>
    <t>مدرسة الإمام مسلم الإبتدائية</t>
  </si>
  <si>
    <t>عبد الرحمن الداخل الابتدائية بنين</t>
  </si>
  <si>
    <t>عبد الله بن رواحة المتوسطة بنين</t>
  </si>
  <si>
    <t>مدرسة المركب الابتدائية بنين</t>
  </si>
  <si>
    <t>العريسة الابتدائية بنين</t>
  </si>
  <si>
    <t>ريمان الابتدائية بنات</t>
  </si>
  <si>
    <t>بن ماجة الثانوية بنين</t>
  </si>
  <si>
    <t>ثانويه المركب بنات</t>
  </si>
  <si>
    <t>متوسطة المركب بنات</t>
  </si>
  <si>
    <t>المدرسه الثانيه والثلاثون للطفوله المبكره</t>
  </si>
  <si>
    <t>ام عمار للطفوله المبكره</t>
  </si>
  <si>
    <t>المدرسة الواحد والأربعون الابتدائية بنات</t>
  </si>
  <si>
    <t>الابتدائية الرابعة والثلاثون بنات</t>
  </si>
  <si>
    <t>المدرسة الواحده والعشرون للطفوله المبكره</t>
  </si>
  <si>
    <t>المدرسة المتوسطة الثانيه والعشرون</t>
  </si>
  <si>
    <t>الخامسه عشر المتوسطه بنات</t>
  </si>
  <si>
    <t>ام كعب الأنصارية للطفوله المبكره</t>
  </si>
  <si>
    <t>ثانوية شرحبيل بن حسنه بنين</t>
  </si>
  <si>
    <t>خولة بنت عمرو للطفولة المبكرة بنات</t>
  </si>
  <si>
    <t>الخباش الابتدائية بنين</t>
  </si>
  <si>
    <t>ابو فراس الحمداني الابتدائية بنين</t>
  </si>
  <si>
    <t>مدرسة خباش الابتدائية بنات</t>
  </si>
  <si>
    <t>خباب بن الإرث الثانويه</t>
  </si>
  <si>
    <t>متوسطة بئر عسكر بنات</t>
  </si>
  <si>
    <t>جعفر الطيار المتوسطة</t>
  </si>
  <si>
    <t>حبونا الابتدائية بنين</t>
  </si>
  <si>
    <t>زيد بن الخطاب بعاكفة المتوسطة بنين</t>
  </si>
  <si>
    <t>عاكفة الابتدائية بنات</t>
  </si>
  <si>
    <t>الرويكه الابتدائية بنين</t>
  </si>
  <si>
    <t>الواحد والعشرون المتوسطة بنات</t>
  </si>
  <si>
    <t>الروضه الثانيه والعشرون بنات</t>
  </si>
  <si>
    <t>مدرسة ريمان الابتدائية بنين</t>
  </si>
  <si>
    <t>الثالثة الابتدائية</t>
  </si>
  <si>
    <t>الروضة الحاديه عشره</t>
  </si>
  <si>
    <t>المدرسة الاولى المتوسطة بنات</t>
  </si>
  <si>
    <t>مدرسة موسى بن نصير الابتدائية</t>
  </si>
  <si>
    <t>الروضة السادسة عشر</t>
  </si>
  <si>
    <t>المدرسة الحادية عشر الثانوية بنات</t>
  </si>
  <si>
    <t>الرابعة والعشرون الابتدائية بنات</t>
  </si>
  <si>
    <t>الثالثة عشر المتوسطة بنات</t>
  </si>
  <si>
    <t>حطين المتوسطة بنين</t>
  </si>
  <si>
    <t>ابتدائية شرق الحمر بنين</t>
  </si>
  <si>
    <t>السابعة للطفولة المبكرة</t>
  </si>
  <si>
    <t>معاذ بن جبل الابتدائية بنين</t>
  </si>
  <si>
    <t>ابن حزم الثانوية بنين</t>
  </si>
  <si>
    <t>مدرسة الخليف الابتدائية بنين</t>
  </si>
  <si>
    <t>ثانوية الملك عبدالعزيز بنين</t>
  </si>
  <si>
    <t>طارق بن زياد الابتدائية</t>
  </si>
  <si>
    <t>المدرسة الثانوية الثالثة بنات</t>
  </si>
  <si>
    <t>المدرسة الثامنة للطفولة المبكره بنات</t>
  </si>
  <si>
    <t>الروضة الثالثة والثلاثون</t>
  </si>
  <si>
    <t>الابتدائية الرابعة عشر للطفولة المبكرة</t>
  </si>
  <si>
    <t>المدرسة الثانية عشر المتوسطة بنات</t>
  </si>
  <si>
    <t>ابتدائية فاطمة الزهراء للطفولة المبكرة</t>
  </si>
  <si>
    <t>المدرسة الثانية عشر الثانوية بنات</t>
  </si>
  <si>
    <t>ابتدائية الحمر للطفولة المبكرة</t>
  </si>
  <si>
    <t>نهاوند المتوسطه بنين</t>
  </si>
  <si>
    <t>القابل الثانوية بنات</t>
  </si>
  <si>
    <t>الروضة الثانية عشرة بنات</t>
  </si>
  <si>
    <t>الاولى للطفولة المبكره</t>
  </si>
  <si>
    <t>نجران الثانوية بنين</t>
  </si>
  <si>
    <t>خالد بن الوليد الابتدائية بنين</t>
  </si>
  <si>
    <t>المدرسة التاسعة والثلاثون للطفولة المبركة</t>
  </si>
  <si>
    <t>الروضة الاولى بنات</t>
  </si>
  <si>
    <t>مدرسة متوسطة الاندلس بنين</t>
  </si>
  <si>
    <t>حفصة السديري للطفولة المبكرة بنات</t>
  </si>
  <si>
    <t>احمد بن حنبل الابتدائية وبرنامج التربيه الفكرية</t>
  </si>
  <si>
    <t>ابتدائيه الملك عبدالله</t>
  </si>
  <si>
    <t>الجربة الابتدائية بنات</t>
  </si>
  <si>
    <t>متوسطة مسلمة بن عبدالملك</t>
  </si>
  <si>
    <t>المدرسة السابعة المتوسطة بنات</t>
  </si>
  <si>
    <t>مدرسة عموريه المتوسطة</t>
  </si>
  <si>
    <t>رجلاء الابتدائية بنات</t>
  </si>
  <si>
    <t>الابتدائية العاشرة بنات</t>
  </si>
  <si>
    <t>ابي الدرداء المتوسطة بنين</t>
  </si>
  <si>
    <t>السعودية للطفولة المبكرة</t>
  </si>
  <si>
    <t>الروضة الثانية بالجربة</t>
  </si>
  <si>
    <t>شعب رير الابتدائية بنات</t>
  </si>
  <si>
    <t>متوسطة ابي بن كعب لتحفيظ القران الكريم</t>
  </si>
  <si>
    <t>الجوهرة بنت مساعد للطفولة المبكرة</t>
  </si>
  <si>
    <t>المتوسطة الثامنة عشر بنات</t>
  </si>
  <si>
    <t>عثمان بن عفان الابتدائية</t>
  </si>
  <si>
    <t>القابل المتوسطة بنات</t>
  </si>
  <si>
    <t>الابتدائية الثانية للطفولة المبكرة</t>
  </si>
  <si>
    <t>الحضن المتوسطة بنات</t>
  </si>
  <si>
    <t>الشيخ محمد بن صالح بن عثيمين الثانوية</t>
  </si>
  <si>
    <t>الرويكبة للطفوله المبكره</t>
  </si>
  <si>
    <t>اليرموك الثانويه بنين</t>
  </si>
  <si>
    <t>مدرسة شرق رجلاء الابتدائية الطفولة المبكرة</t>
  </si>
  <si>
    <t>القادسية المتوسطة بنين</t>
  </si>
  <si>
    <t>الروضة السابعة عشر</t>
  </si>
  <si>
    <t>مجمع الكنتوب روضة</t>
  </si>
  <si>
    <t>المدرسة الثانية المتوسطة</t>
  </si>
  <si>
    <t>الروضه الاولى بالجربه</t>
  </si>
  <si>
    <t>ثانوية الجربه بنات</t>
  </si>
  <si>
    <t>المتوسطة العشرون</t>
  </si>
  <si>
    <t>المدرسة الثانوية الثالثة عشر</t>
  </si>
  <si>
    <t>الثانوية الثامنة مقررات بنات</t>
  </si>
  <si>
    <t>رجلاء الثانوية بنات</t>
  </si>
  <si>
    <t>الثانوية الخامسة</t>
  </si>
  <si>
    <t>متوسطة الجزيرة</t>
  </si>
  <si>
    <t>المتوسطة التاسعة عشر للبنات</t>
  </si>
  <si>
    <t>الروضة السابعه والعشرون بنات</t>
  </si>
  <si>
    <t>المتوسطة الثانية لتحفيظ القران الكريم</t>
  </si>
  <si>
    <t>متوسطة الملك عبدالله</t>
  </si>
  <si>
    <t>ابتدائيه الإمام ابي حنيفه</t>
  </si>
  <si>
    <t>الشيخ عبد العزيز بن باز المتوسطه</t>
  </si>
  <si>
    <t>الثانوية العشرون</t>
  </si>
  <si>
    <t>HLY2020627049386</t>
  </si>
  <si>
    <t>SXE2120627091079</t>
  </si>
  <si>
    <t>SXE2120627091037</t>
  </si>
  <si>
    <t>HLY2020627042703</t>
  </si>
  <si>
    <t>HLY2020627051042</t>
  </si>
  <si>
    <t>HLY2020627051498</t>
  </si>
  <si>
    <t>SXE2120627091060</t>
  </si>
  <si>
    <t>HLY2020627049414</t>
  </si>
  <si>
    <t>SMR2320621019086</t>
  </si>
  <si>
    <t>SXE2020627018216</t>
  </si>
  <si>
    <t>SXE2120627091075</t>
  </si>
  <si>
    <t>HLY2020627049401</t>
  </si>
  <si>
    <t>HLY2020627049354</t>
  </si>
  <si>
    <t>HLY2020627051548</t>
  </si>
  <si>
    <t>HLY2020627052033</t>
  </si>
  <si>
    <t>SXE2120627106550</t>
  </si>
  <si>
    <t>SXE2120627106569</t>
  </si>
  <si>
    <t>HLY2020627049448</t>
  </si>
  <si>
    <t>HLY2020627051049</t>
  </si>
  <si>
    <t>HLY2020627049356</t>
  </si>
  <si>
    <t>HLY2020627051555</t>
  </si>
  <si>
    <t>HLY2020627051553</t>
  </si>
  <si>
    <t>HLY2020627050267</t>
  </si>
  <si>
    <t>HLY2020627046761</t>
  </si>
  <si>
    <t>SXE2020627043078</t>
  </si>
  <si>
    <t>HLY2020627047184</t>
  </si>
  <si>
    <t>HLY2020627044914</t>
  </si>
  <si>
    <t>HLY2020627051470</t>
  </si>
  <si>
    <t>HLY2020627051477</t>
  </si>
  <si>
    <t>HLY2020627051469</t>
  </si>
  <si>
    <t>HLY2020627051451</t>
  </si>
  <si>
    <t>HLY2020627049522</t>
  </si>
  <si>
    <t>SXE2120627103359</t>
  </si>
  <si>
    <t>SXE2120627095472</t>
  </si>
  <si>
    <t>HLY2020627049357</t>
  </si>
  <si>
    <t>HLY2020627047215</t>
  </si>
  <si>
    <t>SXE2020627043518</t>
  </si>
  <si>
    <t>SXE2120627091023</t>
  </si>
  <si>
    <t>HLY2020627042655</t>
  </si>
  <si>
    <t>HLY2020627042674</t>
  </si>
  <si>
    <t>HLY2020627042683</t>
  </si>
  <si>
    <t>HLY2020627042702</t>
  </si>
  <si>
    <t>HLY2020627042720</t>
  </si>
  <si>
    <t>HLY2020627042726</t>
  </si>
  <si>
    <t>HLY2020627047136</t>
  </si>
  <si>
    <t>HLY2020627047213</t>
  </si>
  <si>
    <t>HLY2020627047242</t>
  </si>
  <si>
    <t>HLY2020627047243</t>
  </si>
  <si>
    <t>HLY2020627047244</t>
  </si>
  <si>
    <t>HLY2020627048199</t>
  </si>
  <si>
    <t>HLY2020627048214</t>
  </si>
  <si>
    <t>HLY2020627048256</t>
  </si>
  <si>
    <t>HLY2020627048276</t>
  </si>
  <si>
    <t>HLY2020627049352</t>
  </si>
  <si>
    <t>HLY2020627049423</t>
  </si>
  <si>
    <t>HLY2020627049433</t>
  </si>
  <si>
    <t>HLY2020627049443</t>
  </si>
  <si>
    <t>HLY2020627049444</t>
  </si>
  <si>
    <t>HLY2020627049449</t>
  </si>
  <si>
    <t>HLY2020627049461</t>
  </si>
  <si>
    <t>HLY2020627049476</t>
  </si>
  <si>
    <t>HLY2020627049487</t>
  </si>
  <si>
    <t>HLY2020627049496</t>
  </si>
  <si>
    <t>HLY2020627050366</t>
  </si>
  <si>
    <t>HLY2020627050367</t>
  </si>
  <si>
    <t>HLY2020627050368</t>
  </si>
  <si>
    <t>HLY2020627050893</t>
  </si>
  <si>
    <t>HLY2020627050954</t>
  </si>
  <si>
    <t>HLY2020627051027</t>
  </si>
  <si>
    <t>HLY2020627051037</t>
  </si>
  <si>
    <t>HLY2020627051040</t>
  </si>
  <si>
    <t>HLY2020627051054</t>
  </si>
  <si>
    <t>HLY2020627051066</t>
  </si>
  <si>
    <t>HLY2020627051073</t>
  </si>
  <si>
    <t>HLY2020627051110</t>
  </si>
  <si>
    <t>HLY2020627051114</t>
  </si>
  <si>
    <t>HLY2020627051145</t>
  </si>
  <si>
    <t>HLY2020627051473</t>
  </si>
  <si>
    <t>HLY2020627051927</t>
  </si>
  <si>
    <t>HLY2020627051960</t>
  </si>
  <si>
    <t>HLY2020627051972</t>
  </si>
  <si>
    <t>HLY2020627051975</t>
  </si>
  <si>
    <t>HLY2020627051985</t>
  </si>
  <si>
    <t>HLY2020627052000</t>
  </si>
  <si>
    <t>HLY2020627052025</t>
  </si>
  <si>
    <t>HLY2020627052029</t>
  </si>
  <si>
    <t>HLY2020627052038</t>
  </si>
  <si>
    <t>SMR2220621011146</t>
  </si>
  <si>
    <t>SMR2320621019001</t>
  </si>
  <si>
    <t>SMR2320621019136</t>
  </si>
  <si>
    <t>SMR2320621019148</t>
  </si>
  <si>
    <t>SMR2320621019150</t>
  </si>
  <si>
    <t>SXE2020627015559</t>
  </si>
  <si>
    <t>SXE2020627015572</t>
  </si>
  <si>
    <t>SXE2020627016221</t>
  </si>
  <si>
    <t>SXE2020627018186</t>
  </si>
  <si>
    <t>SXE2120627090920</t>
  </si>
  <si>
    <t>SXE2120627106470</t>
  </si>
  <si>
    <t>SXE2120627106562</t>
  </si>
  <si>
    <t>SXE2120627112970</t>
  </si>
  <si>
    <t>SMR2420628011623</t>
  </si>
  <si>
    <t>HLY2020627042632</t>
  </si>
  <si>
    <t>HLY2020627051104</t>
  </si>
  <si>
    <t>SXE2020627015543</t>
  </si>
  <si>
    <t>HLY2020627049474</t>
  </si>
  <si>
    <t>HLY2020627051928</t>
  </si>
  <si>
    <t>HLY2020627047246</t>
  </si>
  <si>
    <t>HLY2020627051482</t>
  </si>
  <si>
    <t>HLY2020627051474</t>
  </si>
  <si>
    <t>SXE2020627043179</t>
  </si>
  <si>
    <t>HLY2020627051115</t>
  </si>
  <si>
    <t>SXE2120627112912</t>
  </si>
  <si>
    <t>HLY2020627051067</t>
  </si>
  <si>
    <t>HLY2020627052034</t>
  </si>
  <si>
    <t>HLY2020627042718</t>
  </si>
  <si>
    <t>HLY2020627051472</t>
  </si>
  <si>
    <t>SXE2120627106563</t>
  </si>
  <si>
    <t>SMR2220621011119</t>
  </si>
  <si>
    <t>HLY2020627051990</t>
  </si>
  <si>
    <t>Najran</t>
  </si>
  <si>
    <t>متوسطة الشيخ ابن باز</t>
  </si>
  <si>
    <t>ابتدائية الفاروق</t>
  </si>
  <si>
    <t>ابتدائية زيد بن الخطاب</t>
  </si>
  <si>
    <t>ابتدائية الحسن بن الهيثم</t>
  </si>
  <si>
    <t>الروضة الثانية بأبو عريش</t>
  </si>
  <si>
    <t>روضة حسناء بنت معاوية بأبو عريش</t>
  </si>
  <si>
    <t>الابتدائية الخامسة بأبو عريش</t>
  </si>
  <si>
    <t>المتوسطة الرابعة بأبو عريش</t>
  </si>
  <si>
    <t>ثانوية محمد سالم العطاس</t>
  </si>
  <si>
    <t>ابتدائية أسماء بنت الحارث بأبو عريش</t>
  </si>
  <si>
    <t>ابتدائية تحفيظ القران الكريم بأبي عريش</t>
  </si>
  <si>
    <t>متوسطة عقبه بن نافع</t>
  </si>
  <si>
    <t>ابتدائية الإمام مسلم بأبي عريش</t>
  </si>
  <si>
    <t>متوسطة حاكمة أبوعريش</t>
  </si>
  <si>
    <t>ابتدائية رديس</t>
  </si>
  <si>
    <t>ثانوية حاكمة أبي عريش - مسارات</t>
  </si>
  <si>
    <t>الابتدائية الأولى بالبديع والقرفي</t>
  </si>
  <si>
    <t>ابتدائية عبدالله بن مسعود</t>
  </si>
  <si>
    <t>ابتدائية الملك عبد العزيز بالمحلة والواسط</t>
  </si>
  <si>
    <t>ابتدائية محلة ضمد</t>
  </si>
  <si>
    <t>روضة محلة ضمد</t>
  </si>
  <si>
    <t>روضة خضيرة ضمد</t>
  </si>
  <si>
    <t>مدرسة ثانوية خضيرة</t>
  </si>
  <si>
    <t>مدرسة المتوسطة بخضيرة ضمد</t>
  </si>
  <si>
    <t>متوسطة الظبية الاولى</t>
  </si>
  <si>
    <t>ثانوية صبيا الثانية</t>
  </si>
  <si>
    <t>الابتدائية الثانية بضمد</t>
  </si>
  <si>
    <t>ثانوية ضمد الثانية</t>
  </si>
  <si>
    <t>متوسطة ضمد الاولى</t>
  </si>
  <si>
    <t>الابتدائية الاولى بضمد</t>
  </si>
  <si>
    <t>مدرسة عثمان بن عفان المتوسطة</t>
  </si>
  <si>
    <t>مدرسة ثانوية السليل</t>
  </si>
  <si>
    <t>مدرسة الملك خالد الابتدائية بضمد</t>
  </si>
  <si>
    <t>الابتدائية الرابعة بضمد</t>
  </si>
  <si>
    <t>متوسطة القويعية</t>
  </si>
  <si>
    <t>متوسطة سـلامة الدراج</t>
  </si>
  <si>
    <t>ثانوية حاكمة أبو عريش - مقررات</t>
  </si>
  <si>
    <t>ابتدائية أسماء بنت زيد بقنبورة</t>
  </si>
  <si>
    <t>روضة الريان</t>
  </si>
  <si>
    <t>ابتدائية بحرة بنين</t>
  </si>
  <si>
    <t>ابتدائية  ومتوسطة بحرة بنات</t>
  </si>
  <si>
    <t>ابتدائية الخضراء الجنوبية بنين</t>
  </si>
  <si>
    <t>روضة جميلة بنت عمر بن الخطاب بالمجصص</t>
  </si>
  <si>
    <t>مدرسة ابتدائية طارق بن زياد</t>
  </si>
  <si>
    <t>ابتدائية البيض الأسفل بنين</t>
  </si>
  <si>
    <t>الابتدائية السادسة بأبو عريش</t>
  </si>
  <si>
    <t>ابتدائية صنبة</t>
  </si>
  <si>
    <t>ابتدائية صفوة بأم حجل</t>
  </si>
  <si>
    <t>ثانوية زبارة رشيد</t>
  </si>
  <si>
    <t>ثانوية حطين - مسارات</t>
  </si>
  <si>
    <t>متوسطة الخضراء الجنوبية بنات</t>
  </si>
  <si>
    <t xml:space="preserve">ابتدائية الخشابية </t>
  </si>
  <si>
    <t>روضة ضمد الاولى</t>
  </si>
  <si>
    <t>مدرسة خضيرة الابتدائية</t>
  </si>
  <si>
    <t>الثانوية الرابعة بأبو عريش - مقررات</t>
  </si>
  <si>
    <t>مدرسة ابتدائية الاثلة</t>
  </si>
  <si>
    <t>مدرسة متوسطة أبو السلع بنات بصبيا</t>
  </si>
  <si>
    <t>ابتدائية المخشلية بنات</t>
  </si>
  <si>
    <t>ابتدائية الجربة</t>
  </si>
  <si>
    <t>ابتدائية الحكمة طفولة مبكرة</t>
  </si>
  <si>
    <t>ثانوية السادلية</t>
  </si>
  <si>
    <t>روضة سلافة بنت البراء بالسادلية</t>
  </si>
  <si>
    <t xml:space="preserve">ابتدائية الفيصلية </t>
  </si>
  <si>
    <t>ابتدائية المثنى بن حارثة</t>
  </si>
  <si>
    <t>ابتدائية علي بن أبي طالب</t>
  </si>
  <si>
    <t>ابتدائية عبدالله بن عباس</t>
  </si>
  <si>
    <t>ابتدائية عمير والخرادلة</t>
  </si>
  <si>
    <t>الابتدائية الاولى بجازان</t>
  </si>
  <si>
    <t>ابتدائية المضايا الأولى</t>
  </si>
  <si>
    <t>ثانوية قرطبة</t>
  </si>
  <si>
    <t>ابتدائية محلية</t>
  </si>
  <si>
    <t>عبد الملك بن مروان بصامطة</t>
  </si>
  <si>
    <t>مجمع مدارس الخالدية / متوسط</t>
  </si>
  <si>
    <t>مدرسة صبيا المتوسطة بنين</t>
  </si>
  <si>
    <t>ثانوية كرامة الأحمر</t>
  </si>
  <si>
    <t>متوسطة صبيا الاولى</t>
  </si>
  <si>
    <t>الابتدائية السادسة بصبيا</t>
  </si>
  <si>
    <t>مجمع صبيا الابتدائية الخامسة</t>
  </si>
  <si>
    <t>مجمع صبيا _ الثانوية الرابعة مقررات</t>
  </si>
  <si>
    <t>الثانوية الخامسة بصبيا</t>
  </si>
  <si>
    <t>روضة سيرين القبطية بالسر + ابتدائية السر بنين + ابتدائية السر بنات</t>
  </si>
  <si>
    <t>ثانوية مزهرة</t>
  </si>
  <si>
    <t>مدرسة التيسير للطفولة المبكرة بالحصامة</t>
  </si>
  <si>
    <t>متوسطة مزهرة</t>
  </si>
  <si>
    <t>ابتدائية ومتوسطة تحفيظ القرآن الكريم بالأحد + الثانوية الثالثة بالأحد</t>
  </si>
  <si>
    <t>المتوسطة والثانوية الثانية بالاحد</t>
  </si>
  <si>
    <t>الروضة الأولى بالأحد</t>
  </si>
  <si>
    <t>روضة وابتدائية البيطارية والعوق السمعي</t>
  </si>
  <si>
    <t>اروى بنت مالك الابتدائية</t>
  </si>
  <si>
    <t>متوسطة وثانوية الراحة + ابتدائية ام التراب</t>
  </si>
  <si>
    <t xml:space="preserve">ابتدائية صقر الجزيرة </t>
  </si>
  <si>
    <t>ابتدائية ومتوسطة الحامضة</t>
  </si>
  <si>
    <t>ابتدائية ومتوسطة وثانوية جحا</t>
  </si>
  <si>
    <t>متوسطة وثانوية جعفر الطيار بالمضايا</t>
  </si>
  <si>
    <t>متوسطة وثانوية المرابي</t>
  </si>
  <si>
    <t>ابتدائية الزاوية بصامطة</t>
  </si>
  <si>
    <t>ثانوية الطوال الثانية + مدرسة شعب الذيب الابتدائية والمتوسطة</t>
  </si>
  <si>
    <t>الروضة والطفولة المبكرة وابتدائية الشمهانية + الابتدائية الاولي بالطوال</t>
  </si>
  <si>
    <t>متوسطة وثانوية الجرادية بنات</t>
  </si>
  <si>
    <t>الابتدائية الثانية بالجرادية والروضة الاولي بالجرادية</t>
  </si>
  <si>
    <t>الابتدائية الأولى بالجرادية + روضة الجردية</t>
  </si>
  <si>
    <t>ابتدائية النجامية ورضة درة بنت ابي سفيان</t>
  </si>
  <si>
    <t>الثانوية الثالثة بصامطة - مقررات</t>
  </si>
  <si>
    <t>الثانوية الاولي بصامطة + الروضة الاولي بصامطة</t>
  </si>
  <si>
    <t>الابتدائية الرابعة والروضة الثانية</t>
  </si>
  <si>
    <t>برنامج العوق الفكري بثانوية مجعر</t>
  </si>
  <si>
    <t>روضة وابتدائية مجعر</t>
  </si>
  <si>
    <t>الثانوية الثانية بصامطة - مقررات</t>
  </si>
  <si>
    <t>الابتدائية الثالثة والمتوسطة الثانية</t>
  </si>
  <si>
    <t>الابتدائية الثانية بصامطة</t>
  </si>
  <si>
    <t>الروضة الثالثة بصامطة</t>
  </si>
  <si>
    <t xml:space="preserve">ابتدائية و متوسطة تحفيظ القرآن </t>
  </si>
  <si>
    <t xml:space="preserve"> روضة أسماء بنت ابي بكر بالجاضع + ابتدائية الجاضع </t>
  </si>
  <si>
    <t>ابتدائية ومتوسطة الدغارير</t>
  </si>
  <si>
    <t xml:space="preserve">روضة سارة عبد العزيز + ابتدائية الركوبة </t>
  </si>
  <si>
    <t>روضة ومتوسطة حاكمة الدغارير</t>
  </si>
  <si>
    <t xml:space="preserve">ابتدائية حاكمة الدغارير </t>
  </si>
  <si>
    <t>روضة ام كلثوم بنت ابي بكر + ابتدائية ومتوسطة الحجفار</t>
  </si>
  <si>
    <t xml:space="preserve">متوسطة وثانوية ديحمة </t>
  </si>
  <si>
    <t>ابتدائية ومتوسطة وثانوية تحفيظ القرآن الكريم بدحيمة</t>
  </si>
  <si>
    <t>ابتدائية ومتوسطة وثانوية العباس بن عبد المطلب</t>
  </si>
  <si>
    <t>ابتدائية ومتوسطة وثانوية زمزم</t>
  </si>
  <si>
    <t>متوسطة وثانوية الحضرور</t>
  </si>
  <si>
    <t xml:space="preserve">ابتدائية الجرادية </t>
  </si>
  <si>
    <t xml:space="preserve">متوسطة وثانوية الجرادية </t>
  </si>
  <si>
    <t xml:space="preserve">مدرسة الموسم الابتدائية </t>
  </si>
  <si>
    <t>ابتدائية الملك خالد بن عبد العزيز + متوسطة صامطة</t>
  </si>
  <si>
    <t xml:space="preserve">ثانوية الشيخ عبدالله القرعاوي </t>
  </si>
  <si>
    <t>ابتدائية الملك سعود + ابتدائية ومتوسطة مجعر</t>
  </si>
  <si>
    <t>ابتدائية عثمان بن عفان بصامطة</t>
  </si>
  <si>
    <t>ابتدائية ومتوسطة الجاضع</t>
  </si>
  <si>
    <t>ابتدائية ومتوسطة حاكمة الدغارير</t>
  </si>
  <si>
    <t>ابتدائية قائم العتنة</t>
  </si>
  <si>
    <t>ابتدائية ومتوسطة وثاونوية الدغارير</t>
  </si>
  <si>
    <t>ابتدائية ومتوسطة الحجفار</t>
  </si>
  <si>
    <t xml:space="preserve">الثانوية الرابعة </t>
  </si>
  <si>
    <t>الابتدائية الرابعة</t>
  </si>
  <si>
    <t>الروضة الثالثة والابتدائية الثالثة</t>
  </si>
  <si>
    <t>الابندائية العاشرة والمتوسطة الرابعة</t>
  </si>
  <si>
    <t xml:space="preserve">ابتدائية المغارية </t>
  </si>
  <si>
    <t>الابتدائية السادسة والمتوسطة الثالثة</t>
  </si>
  <si>
    <t xml:space="preserve"> ثانوية الروضة</t>
  </si>
  <si>
    <t>ابتدائية خالد بن الوليد + ابتدائية ومتوسطة دار التوحيد</t>
  </si>
  <si>
    <t>المعهد العلمي بجازان + ثانوية الرازي</t>
  </si>
  <si>
    <t xml:space="preserve">ثانوية الخوارزمي وابتدائية الفيصلية </t>
  </si>
  <si>
    <t xml:space="preserve">ابتدائية سوق الليل </t>
  </si>
  <si>
    <t>ابتدائية ومتوسطة البيطارية</t>
  </si>
  <si>
    <t>مدرسة وروضة وابتدائية فكري البطيخ</t>
  </si>
  <si>
    <t>مدرسة الغراء الابتدائية والمتوسطة</t>
  </si>
  <si>
    <t>ابتدائية العرضة</t>
  </si>
  <si>
    <t>مدرسة ابوالسلع الابتدائية والمتوسطة بنين</t>
  </si>
  <si>
    <t>متوسطة وثانوية ابو السلع للبنات</t>
  </si>
  <si>
    <t>ابتدائية ومتوسطة بحرة</t>
  </si>
  <si>
    <t>مدرسة الفيصل الابتدائية بنين</t>
  </si>
  <si>
    <t>مدرسة الحسينية المتوسطة والثانوية</t>
  </si>
  <si>
    <t>ابتدائية قنبورة و متوسطة قنبورة</t>
  </si>
  <si>
    <t>ابتدائية صبيا الثامنة للبنات</t>
  </si>
  <si>
    <t>مدرسة ابوهريرة الابتدائية</t>
  </si>
  <si>
    <t>مدرسة النقاش الابتدائية</t>
  </si>
  <si>
    <t>ثانوية بيش الاولي</t>
  </si>
  <si>
    <t>Sheikh Ibn Baz Intermediate School</t>
  </si>
  <si>
    <t>Al-Farouq Primary School</t>
  </si>
  <si>
    <t>Zaid Bin Al-Khattab Elementary School</t>
  </si>
  <si>
    <t>Al-Hassan Ibn Al-Haytham Elementary School</t>
  </si>
  <si>
    <t>The second kindergarten in Abu Arish</t>
  </si>
  <si>
    <t>Rawda Hasnaa Bint Muawiya in Abu Arish</t>
  </si>
  <si>
    <t>Fifth Elementary School in Abu Arish</t>
  </si>
  <si>
    <t>Fourth Intermediate School in Abu Arish</t>
  </si>
  <si>
    <t>Mohammed Salem Al-Attas High School</t>
  </si>
  <si>
    <t>Asma Bint Al-Harith Elementary School in Abu Arish</t>
  </si>
  <si>
    <t>Primary School for Memorizing the Holy Quran in Abu Arish</t>
  </si>
  <si>
    <t>Aqaba Bin Nafeh Intermediate School</t>
  </si>
  <si>
    <t>Imam Muslim Primary School in Abu Arish</t>
  </si>
  <si>
    <t>Abu Arish Intermediate School</t>
  </si>
  <si>
    <t>Redis Primary School</t>
  </si>
  <si>
    <t>Abu Arish High School - Pathways</t>
  </si>
  <si>
    <t>The First Elementary School in Al-Badi' and Al-Qurfi</t>
  </si>
  <si>
    <t>Abdullah bin Masoud Elementary School</t>
  </si>
  <si>
    <t>King Abdul Aziz Elementary School in Al-Mahalla and Al-Wasit</t>
  </si>
  <si>
    <t>Mahalla Damad Elementary School</t>
  </si>
  <si>
    <t>Rawda Mahalla Damad</t>
  </si>
  <si>
    <t>Rawdat Khadira Damad</t>
  </si>
  <si>
    <t>Hadera High School</t>
  </si>
  <si>
    <t>Khadera Intermediate School in Damad</t>
  </si>
  <si>
    <t>Al-Dhabiya First Intermediate School</t>
  </si>
  <si>
    <t>Sabya Secondary School</t>
  </si>
  <si>
    <t>Second Elementary School in Damad</t>
  </si>
  <si>
    <t>Damad Secondary School II</t>
  </si>
  <si>
    <t>Damad First Intermediate School</t>
  </si>
  <si>
    <t>The First Elementary School in Damad</t>
  </si>
  <si>
    <t>Othman Bin Affan Intermediate School</t>
  </si>
  <si>
    <t>Al-Salil High School</t>
  </si>
  <si>
    <t>King Khalid Elementary School in Damad</t>
  </si>
  <si>
    <t>Fourth Elementary School in Damad</t>
  </si>
  <si>
    <t>Al-Quway'iyah Intermediate School</t>
  </si>
  <si>
    <t>Safety of the Cyclist Intermediate School</t>
  </si>
  <si>
    <t>Abu Arish High School - Curriculum</t>
  </si>
  <si>
    <t>Asma Bint Zaid Primary School in Qanboura</t>
  </si>
  <si>
    <t>Rawdat Al Rayyan</t>
  </si>
  <si>
    <t>Bahra Boys' Primary School</t>
  </si>
  <si>
    <t>Bahra Girls' Elementary and Intermediate School</t>
  </si>
  <si>
    <t>Al-Khadraa Al-Janoubia Elementary School for Boys</t>
  </si>
  <si>
    <t>Beautiful kindergarten, daughter of Omar Ibn Al-Khattab, in Al-Majass</t>
  </si>
  <si>
    <t>Tariq Bin Ziyad Elementary School</t>
  </si>
  <si>
    <t>Lower Al-Bayd Primary School for Boys</t>
  </si>
  <si>
    <t>Sixth Elementary School in Abu Arish</t>
  </si>
  <si>
    <t>Sanba Primary School</t>
  </si>
  <si>
    <t>Safwa Primary School in Umm Hajal</t>
  </si>
  <si>
    <t>Zubara Rashid High School</t>
  </si>
  <si>
    <t>Hattin High School - Pathways</t>
  </si>
  <si>
    <t>Al-Khadraa Al-Janoubia Intermediate School for Girls</t>
  </si>
  <si>
    <t>Al-Khashabiyah Primary School</t>
  </si>
  <si>
    <t>First Dhamad Kindergarten</t>
  </si>
  <si>
    <t>Hadera Elementary School</t>
  </si>
  <si>
    <t>Fourth Secondary School in Abu Arish - Curriculum</t>
  </si>
  <si>
    <t>Al-Athla Elementary School</t>
  </si>
  <si>
    <t>Abu Al-Sila'a Intermediate School for Girls in Sabya</t>
  </si>
  <si>
    <t>Al-Makhshaliya Girls' Primary School</t>
  </si>
  <si>
    <t>Al-Jarba Primary School</t>
  </si>
  <si>
    <t>Al-Hikma Elementary School - Early Childhood</t>
  </si>
  <si>
    <t>Al-Sadliya Secondary School</t>
  </si>
  <si>
    <t>Rawda Salafa Bint Al-Bara’a in Al-Sadliya</t>
  </si>
  <si>
    <t>Al-Faisaliah Elementary School</t>
  </si>
  <si>
    <t>Al-Muthanna Bin Haritha Elementary School</t>
  </si>
  <si>
    <t>Ali Bin Abi Talib Elementary School</t>
  </si>
  <si>
    <t>Abdullah bin Abbas Elementary School</t>
  </si>
  <si>
    <t>Omair and Al-Kharadla Elementary School</t>
  </si>
  <si>
    <t>First Elementary School in Jazan</t>
  </si>
  <si>
    <t>Al-Madaya First Primary School</t>
  </si>
  <si>
    <t>Cordoba High School</t>
  </si>
  <si>
    <t>Local primary school</t>
  </si>
  <si>
    <t>Abdul Malik bin Marwan in Samtah</t>
  </si>
  <si>
    <t>Al-Khalidiyah Schools Complex / Intermediate</t>
  </si>
  <si>
    <t>Sabya Intermediate School for Boys</t>
  </si>
  <si>
    <t>Karama Al-Ahmar High School</t>
  </si>
  <si>
    <t>Sabya First Intermediate School</t>
  </si>
  <si>
    <t>Sixth Elementary School in Sabya</t>
  </si>
  <si>
    <t>Sabya Fifth Elementary Complex</t>
  </si>
  <si>
    <t>Sabya Complex - Fourth Secondary School (Curriculum)</t>
  </si>
  <si>
    <t>Fifth Secondary School in Sabya</t>
  </si>
  <si>
    <t>Sirin Coptic Kindergarten + Sirr Boys' Primary School + Sirr Girls' Primary School</t>
  </si>
  <si>
    <t>Blossom High School</t>
  </si>
  <si>
    <t>Al-Taysir Early Childhood School in Al-Hasama</t>
  </si>
  <si>
    <t>Medium flowering</t>
  </si>
  <si>
    <t>Second Intermediate and Secondary School in Al-Ahad</t>
  </si>
  <si>
    <t>Kindergarten 1 on Sunday</t>
  </si>
  <si>
    <t>Al-Baytariyah Kindergarten and Primary School for the Hearing Impaired</t>
  </si>
  <si>
    <t>Arwa Bint Malik Elementary School</t>
  </si>
  <si>
    <t>Al-Raha Intermediate and Secondary School + Umm Al-Turab Primary School</t>
  </si>
  <si>
    <t>Saqr Al Jazeera Elementary School</t>
  </si>
  <si>
    <t>Al-Hamda Primary and Intermediate</t>
  </si>
  <si>
    <t>Juha Elementary, Intermediate and Secondary</t>
  </si>
  <si>
    <t>Jaafar Al-Tayyar Intermediate and Secondary School in Al-Madaya</t>
  </si>
  <si>
    <t>Al-Murabi Intermediate and Secondary School</t>
  </si>
  <si>
    <t>Al-Zawiya Primary School in Samtah</t>
  </si>
  <si>
    <t>Al-Tawal Secondary School 2 + Shaab Al-Dheeb Primary and Intermediate School</t>
  </si>
  <si>
    <t>Al-Jaradiyah Intermediate and Secondary School for Girls</t>
  </si>
  <si>
    <t>The second primary school in Al-Jaradiyah and the first kindergarten in Al-Jaradiyah</t>
  </si>
  <si>
    <t>First Elementary School in Al-Jaradiyah + Al-Jaradiyah Kindergarten</t>
  </si>
  <si>
    <t>Al-Najamiyah Primary School and Durrat Bint Abi Sufyan Kindergarten</t>
  </si>
  <si>
    <t>Third Secondary School in Samtah - Curriculum</t>
  </si>
  <si>
    <t>First Secondary School in Samtah + First Kindergarten in Samtah</t>
  </si>
  <si>
    <t>Fourth Elementary and Second Kindergarten</t>
  </si>
  <si>
    <t>Intellectual Disability Program at Majar High School</t>
  </si>
  <si>
    <t>Majar Kindergarten and Elementary School</t>
  </si>
  <si>
    <t>Second Secondary School in Samtah - Curriculum</t>
  </si>
  <si>
    <t>Third Elementary and Second Intermediate</t>
  </si>
  <si>
    <t>Second Elementary School in Samtah</t>
  </si>
  <si>
    <t>The third kindergarten in Samtah</t>
  </si>
  <si>
    <t>Elementary and middle school Quran memorization</t>
  </si>
  <si>
    <t>Asma Bint Abi Bakr Kindergarten in Al-Jadhe' + Al-Jadhe' Elementary School</t>
  </si>
  <si>
    <t>Al-Daghareer Primary and Intermediate School</t>
  </si>
  <si>
    <t>Sarah Abdul Aziz Kindergarten + Al-Rukuba Elementary School</t>
  </si>
  <si>
    <t>Rawda and Intermediate School of Hakamah Al-Daghareer</t>
  </si>
  <si>
    <t>Al-Daghareer Primary School</t>
  </si>
  <si>
    <t>Dihma Intermediate and Secondary School</t>
  </si>
  <si>
    <t>Primary, intermediate and secondary school for memorizing the Holy Quran in Dahima</t>
  </si>
  <si>
    <t>Al-Abbas Bin Abdul Muttalib Elementary, Intermediate and Secondary School</t>
  </si>
  <si>
    <t>Zamzam Elementary, Intermediate and Secondary</t>
  </si>
  <si>
    <t>Al-Hadhrur Intermediate and Secondary School</t>
  </si>
  <si>
    <t>Al-Jaradiyah Primary School</t>
  </si>
  <si>
    <t>Al-Jaradiyah Intermediate and Secondary School</t>
  </si>
  <si>
    <t>Season Elementary School</t>
  </si>
  <si>
    <t>King Khalid bin Abdul Aziz Elementary School + Samtah Intermediate School</t>
  </si>
  <si>
    <t>Sheikh Abdullah Al-Qarawi High School</t>
  </si>
  <si>
    <t>King Saud Elementary School + Majar Elementary and Intermediate School</t>
  </si>
  <si>
    <t>Othman Bin Affan Elementary School in Samtah</t>
  </si>
  <si>
    <t>Al-Jadha'a Elementary and Intermediate School</t>
  </si>
  <si>
    <t>Qaim Al-Atna Primary School</t>
  </si>
  <si>
    <t>Al-Daghareer Primary, Intermediate and Secondary School</t>
  </si>
  <si>
    <t>Al-Hajfar Primary and Intermediate School</t>
  </si>
  <si>
    <t>Fourth Elementary School</t>
  </si>
  <si>
    <t>Third Kindergarten and Third Elementary School</t>
  </si>
  <si>
    <t>Tenth Elementary and Fourth Intermediate</t>
  </si>
  <si>
    <t>Al-Maghariah Primary School</t>
  </si>
  <si>
    <t>Sixth Elementary and Third Intermediate</t>
  </si>
  <si>
    <t>Al-Rawda High School</t>
  </si>
  <si>
    <t>Jazan Scientific Institute + Al-Razi High School</t>
  </si>
  <si>
    <t>Al-Khwarizmi Secondary School and Al-Faisaliyah Primary School</t>
  </si>
  <si>
    <t>Souq Al-Layl Primary School</t>
  </si>
  <si>
    <t>Al-Bitariya Primary and Intermediate School</t>
  </si>
  <si>
    <t>Fikri Al-Battikh Kindergarten and Primary School</t>
  </si>
  <si>
    <t>Al-Gharaa Primary and Intermediate School</t>
  </si>
  <si>
    <t>Al-Ardah Primary School</t>
  </si>
  <si>
    <t>Abu AlSila Primary and Intermediate School</t>
  </si>
  <si>
    <t>Abu AlSila Intermediate and Secondary School</t>
  </si>
  <si>
    <t>Bahrah Primary and Intermediate School</t>
  </si>
  <si>
    <t>Al-Faisal Primary School - Boys</t>
  </si>
  <si>
    <t>Al-Husayniyah Intermediate and Secondary School</t>
  </si>
  <si>
    <t>Qanbura  Intermediate School</t>
  </si>
  <si>
    <t>Sabya Eighth Primary School -  Girls</t>
  </si>
  <si>
    <t>Abo Hurairah primary</t>
  </si>
  <si>
    <t>Alnagash primary</t>
  </si>
  <si>
    <t>Baish first high school</t>
  </si>
  <si>
    <t>HLY2020627040036</t>
  </si>
  <si>
    <t>SXE2120627097783</t>
  </si>
  <si>
    <t>SXE2120627106659</t>
  </si>
  <si>
    <t>SMR2320621019322</t>
  </si>
  <si>
    <t>HLY2020627000587</t>
  </si>
  <si>
    <t>HLY2020627010412</t>
  </si>
  <si>
    <t>HLY2020627011616</t>
  </si>
  <si>
    <t>HLY2020627011617</t>
  </si>
  <si>
    <t>SXE2120627107035</t>
  </si>
  <si>
    <t>SXE2120627106988</t>
  </si>
  <si>
    <t>SXE2120627106653</t>
  </si>
  <si>
    <t>SXE2120627106998</t>
  </si>
  <si>
    <t>SXE2120627107033</t>
  </si>
  <si>
    <t>SMR2320621014866</t>
  </si>
  <si>
    <t>SXE2120627100743</t>
  </si>
  <si>
    <t>SXE2120627107023</t>
  </si>
  <si>
    <t>SXE2120627107049</t>
  </si>
  <si>
    <t>SXE2120627107113</t>
  </si>
  <si>
    <t>HLY2020627002257</t>
  </si>
  <si>
    <t>SXE2120627096732</t>
  </si>
  <si>
    <t>SXE2120627096733</t>
  </si>
  <si>
    <t>SXE2120627107085</t>
  </si>
  <si>
    <t>SXE2120627107086</t>
  </si>
  <si>
    <t>SXE2120627107087</t>
  </si>
  <si>
    <t>SXE2120627097490</t>
  </si>
  <si>
    <t>SXE2020627018060</t>
  </si>
  <si>
    <t>SEX2120627106771</t>
  </si>
  <si>
    <t>SXE2120627106705</t>
  </si>
  <si>
    <t>HLY2020627000473</t>
  </si>
  <si>
    <t>SXE2120627106680</t>
  </si>
  <si>
    <t>HLY2020627000598</t>
  </si>
  <si>
    <t>SXE2120627106660</t>
  </si>
  <si>
    <t>SXE2120627106772</t>
  </si>
  <si>
    <t>SXE2120627106774</t>
  </si>
  <si>
    <t>SXE2120627097616</t>
  </si>
  <si>
    <t>HLY2020627000141</t>
  </si>
  <si>
    <t>SXE2120627097728</t>
  </si>
  <si>
    <t>SMR2420628001449</t>
  </si>
  <si>
    <t>SXE2120627090085</t>
  </si>
  <si>
    <t>SXE2120627106985</t>
  </si>
  <si>
    <t>SXE2120627107091</t>
  </si>
  <si>
    <t>SXE2120627107061</t>
  </si>
  <si>
    <t>HLY2020627000509</t>
  </si>
  <si>
    <t>SXE2120627106739</t>
  </si>
  <si>
    <t>SXE2120627097776</t>
  </si>
  <si>
    <t>SXE2120627106996</t>
  </si>
  <si>
    <t>SXE2120627106846</t>
  </si>
  <si>
    <t>SMR2320621019280</t>
  </si>
  <si>
    <t>SXE2120627106663</t>
  </si>
  <si>
    <t>SXE2120627096065</t>
  </si>
  <si>
    <t>SXE2120627107060</t>
  </si>
  <si>
    <t>SXE2120627106933</t>
  </si>
  <si>
    <t>SXE2120627106775</t>
  </si>
  <si>
    <t>SXE2120627106710</t>
  </si>
  <si>
    <t>HLY2020627011725</t>
  </si>
  <si>
    <t>SXE2120627090741</t>
  </si>
  <si>
    <t>SXE2020627018008</t>
  </si>
  <si>
    <t>SXE2120627096069</t>
  </si>
  <si>
    <t>HLY2020627000540</t>
  </si>
  <si>
    <t>SXE2120627089314</t>
  </si>
  <si>
    <t>SXE2120627106786</t>
  </si>
  <si>
    <t>SXE2120627106785</t>
  </si>
  <si>
    <t>SXE2020627013645</t>
  </si>
  <si>
    <t>SXE2120627097895</t>
  </si>
  <si>
    <t>SXE2120627106960</t>
  </si>
  <si>
    <t>SXE2120627097884</t>
  </si>
  <si>
    <t>SXE2120627106959</t>
  </si>
  <si>
    <t>SXE2120627097805</t>
  </si>
  <si>
    <t>SXE2120627090650</t>
  </si>
  <si>
    <t>SXE2120627097620</t>
  </si>
  <si>
    <t>SXE2120627096463</t>
  </si>
  <si>
    <t>SXE2120627096154</t>
  </si>
  <si>
    <t>SXE2120627105382</t>
  </si>
  <si>
    <t>SXE2120627106619</t>
  </si>
  <si>
    <t>SXE2120627106777</t>
  </si>
  <si>
    <t>SXE2120627106616</t>
  </si>
  <si>
    <t>SXE2020627018056</t>
  </si>
  <si>
    <t>SXE2120627107170</t>
  </si>
  <si>
    <t>SXE2120627106621</t>
  </si>
  <si>
    <t>SXE2020627018053</t>
  </si>
  <si>
    <t>HLY2020627042892</t>
  </si>
  <si>
    <t>SXE2120627096239</t>
  </si>
  <si>
    <t>SXE2120627101568</t>
  </si>
  <si>
    <t>SXE2120627096233</t>
  </si>
  <si>
    <t>SXE2120627105321</t>
  </si>
  <si>
    <t>SXE2120627106440</t>
  </si>
  <si>
    <t>HLY2020627041271</t>
  </si>
  <si>
    <t>SXE2120627096745</t>
  </si>
  <si>
    <t>SXE2020627041722</t>
  </si>
  <si>
    <t>SMR2320621014758</t>
  </si>
  <si>
    <t>SXE2120627096025</t>
  </si>
  <si>
    <t>HLY2020627042818</t>
  </si>
  <si>
    <t>HLY2020627040299</t>
  </si>
  <si>
    <t>SXE2120627090652</t>
  </si>
  <si>
    <t>SXE2120627089584</t>
  </si>
  <si>
    <t>SXE2120627096026</t>
  </si>
  <si>
    <t>SXE2120627096737</t>
  </si>
  <si>
    <t>SXE2120627089538</t>
  </si>
  <si>
    <t>SXE2120627096152</t>
  </si>
  <si>
    <t>SXE2120627089521</t>
  </si>
  <si>
    <t>SXE2120627096133</t>
  </si>
  <si>
    <t>SXE2120627101498</t>
  </si>
  <si>
    <t>SXE2120627089491</t>
  </si>
  <si>
    <t>SXE2120627096052</t>
  </si>
  <si>
    <t>SXE2120627106723</t>
  </si>
  <si>
    <t>SXE2120627097789</t>
  </si>
  <si>
    <t>SXE2120627106721</t>
  </si>
  <si>
    <t>HLY2020627000111</t>
  </si>
  <si>
    <t>HLY2020627000127</t>
  </si>
  <si>
    <t>SXE2120627097787</t>
  </si>
  <si>
    <t>SXE2020627018784</t>
  </si>
  <si>
    <t>SXE2020627018777</t>
  </si>
  <si>
    <t>SXE20206270187781</t>
  </si>
  <si>
    <t>SXE2020627018783</t>
  </si>
  <si>
    <t>SXE2120627096684</t>
  </si>
  <si>
    <t>SXE2120627106724</t>
  </si>
  <si>
    <t>SXE2120627097854</t>
  </si>
  <si>
    <t>SXE2120627096764</t>
  </si>
  <si>
    <t>SXE2120627089526</t>
  </si>
  <si>
    <t>SXE2120627107160</t>
  </si>
  <si>
    <t>SXE2120627107156</t>
  </si>
  <si>
    <t>SXE2120627096022</t>
  </si>
  <si>
    <t>SXE2120627096091</t>
  </si>
  <si>
    <t>SXE2120627096650</t>
  </si>
  <si>
    <t>SXE2120627107072</t>
  </si>
  <si>
    <t>SXE2120627095992</t>
  </si>
  <si>
    <t>SXE2120627101595</t>
  </si>
  <si>
    <t>SXE2120627096743</t>
  </si>
  <si>
    <t>SXE2120627098903</t>
  </si>
  <si>
    <t>SXE2120627089571</t>
  </si>
  <si>
    <t>HLY2020627039848</t>
  </si>
  <si>
    <t>SXE2120627106752</t>
  </si>
  <si>
    <t>SXE2120627096687</t>
  </si>
  <si>
    <t>HLY2020800425046</t>
  </si>
  <si>
    <t>SXE2120627107042</t>
  </si>
  <si>
    <t>SMR2420628012389</t>
  </si>
  <si>
    <t>SXE2120627107152</t>
  </si>
  <si>
    <t>SXE2020627013646</t>
  </si>
  <si>
    <t>SXE2120627089265</t>
  </si>
  <si>
    <t>SXE2020627013648</t>
  </si>
  <si>
    <t>SXE2120627089241</t>
  </si>
  <si>
    <t>SXE2120627089244</t>
  </si>
  <si>
    <t>SXE2120627101535</t>
  </si>
  <si>
    <t>SXE2120627089185</t>
  </si>
  <si>
    <t>SXE2120627106911</t>
  </si>
  <si>
    <t>SXE2120627106909</t>
  </si>
  <si>
    <t>SXE2120627096559</t>
  </si>
  <si>
    <t>SXE2020627013647</t>
  </si>
  <si>
    <t>HLY2020627010085</t>
  </si>
  <si>
    <t>SXE2120627096751</t>
  </si>
  <si>
    <t>HLY2020627010611</t>
  </si>
  <si>
    <t>10052946212‪</t>
  </si>
  <si>
    <t>SXE2120627097493</t>
  </si>
  <si>
    <t>10053026224‪</t>
  </si>
  <si>
    <t>SMR2420628001425</t>
  </si>
  <si>
    <t>10052868528‪</t>
  </si>
  <si>
    <t>SXE2020627018002</t>
  </si>
  <si>
    <t>10052532814‪</t>
  </si>
  <si>
    <t>10095203215‪</t>
  </si>
  <si>
    <t>10052992073‪</t>
  </si>
  <si>
    <t>HLY2020627010628</t>
  </si>
  <si>
    <t>10053034315‪</t>
  </si>
  <si>
    <t>SXE2020627018009</t>
  </si>
  <si>
    <t>10052693637‪</t>
  </si>
  <si>
    <t>SXE2120627096676</t>
  </si>
  <si>
    <t>10052992654‪</t>
  </si>
  <si>
    <t>SXE2020627018004</t>
  </si>
  <si>
    <t>10052449594‪</t>
  </si>
  <si>
    <t>SXE2120627090696</t>
  </si>
  <si>
    <t>10052460770‪</t>
  </si>
  <si>
    <t>SXE2120627089989</t>
  </si>
  <si>
    <t>10052905194‪</t>
  </si>
  <si>
    <t>SXE2120627090608</t>
  </si>
  <si>
    <t>10052827866‪</t>
  </si>
  <si>
    <t>الابتدائية الأولى بالجبيل</t>
  </si>
  <si>
    <t>ابتدائية المنذر بن ساوى بالرميلة للطفولة المبكرة</t>
  </si>
  <si>
    <t>ابتدائية البيان للطفولة المبكرة</t>
  </si>
  <si>
    <t>الابتدائية الثانية بالعمران</t>
  </si>
  <si>
    <t>المتوسطة الأولى بالعمران</t>
  </si>
  <si>
    <t>المتوسطة الأولى بالجفر</t>
  </si>
  <si>
    <t>الثانوية الأولى بالعمران مقررات</t>
  </si>
  <si>
    <t>الثانوية الأولى بالجبيل</t>
  </si>
  <si>
    <t>الثانوية الاولى بالجفر</t>
  </si>
  <si>
    <t>الابتدائية الأولى بالمركز للطفولة المبكرة</t>
  </si>
  <si>
    <t>الابتدائية الأولى بالرميلة للطفولة المبكرة</t>
  </si>
  <si>
    <t>مبنى ب 1 بنى معن سابقا ( الايمان للطفولة المبكرة)</t>
  </si>
  <si>
    <t>الابتدائية الأولى بالشهارين</t>
  </si>
  <si>
    <t>المتوسطة الأولى بالرميلة</t>
  </si>
  <si>
    <t>الروضة الأولى بمريبطة</t>
  </si>
  <si>
    <t>الثانوية الأولى بالرميلة</t>
  </si>
  <si>
    <t>متوسطة جويرية بنت الحارث بالشهارين</t>
  </si>
  <si>
    <t>الابتدائية الجشة (الإحسان) للطفولة المبكرة</t>
  </si>
  <si>
    <t>ابتدائية الجشة الأولى للطفولة المبكرة</t>
  </si>
  <si>
    <t>ابتدائية جعفر بن أبي طالب بالجفر</t>
  </si>
  <si>
    <t>ابتدائية أبي أيوب الأنصاري بالطرف</t>
  </si>
  <si>
    <t>العمران الابتدائية بنين</t>
  </si>
  <si>
    <t>الابتدائية الثانية بالجبيل للطفولة المبكرة</t>
  </si>
  <si>
    <t>ابتدائية الغويبة</t>
  </si>
  <si>
    <t>ابتدائية المركز</t>
  </si>
  <si>
    <t>متوسطة الجشة</t>
  </si>
  <si>
    <t>ابتدائية الإمام الشوكاني (تق) بالطرف</t>
  </si>
  <si>
    <t>ابتدائية الإمام السيوطي(تق) بالجشة</t>
  </si>
  <si>
    <t>ابتدائية الشهارين</t>
  </si>
  <si>
    <t>ابتدائية العرامية</t>
  </si>
  <si>
    <t>ثانوية الجبيل</t>
  </si>
  <si>
    <t>ثانوية مزدلفة بالشهارين</t>
  </si>
  <si>
    <t>متوسطة الجفر</t>
  </si>
  <si>
    <t>ثانوية العمران مقررات</t>
  </si>
  <si>
    <t>الأقصى الثانوية مقررات بالمنيزلة</t>
  </si>
  <si>
    <t>ثانوية عرفات بالجشة</t>
  </si>
  <si>
    <t>ثانوية الجفر مقررات</t>
  </si>
  <si>
    <t>متوسطة المزاوي بالساباط</t>
  </si>
  <si>
    <t>ثانوية أم مالك الأنصارية</t>
  </si>
  <si>
    <t>متوسطة رقية بنت محمد</t>
  </si>
  <si>
    <t>المتوسطة التاسعة بالمبرز</t>
  </si>
  <si>
    <t>المتوسطة الحادية عشر بالمبرز</t>
  </si>
  <si>
    <t>المتوسطة الثانية عشر بالمبرز</t>
  </si>
  <si>
    <t>متوسطة الشيماء بنت الحارث بمريبطة</t>
  </si>
  <si>
    <t>الثانوية الرابعة بالمبرز مقررات</t>
  </si>
  <si>
    <t>الثانوية السادسة بالمبرز</t>
  </si>
  <si>
    <t>الثانوية الثامنة بالمبرز</t>
  </si>
  <si>
    <t>الثانوية العاشرة بالمبرز</t>
  </si>
  <si>
    <t>الابتدائية الخامسة والعشرون بالمبرز للطفولة المبكرة</t>
  </si>
  <si>
    <t>الابتدائية الخامسة بالمبرز للطفولة المبكرة</t>
  </si>
  <si>
    <t xml:space="preserve">الابتدائية السادسة بالمبرز للطفولة المبكرة </t>
  </si>
  <si>
    <t>الابتدائية الثانية عشر بالمبرز للطفولة المبكرة</t>
  </si>
  <si>
    <t xml:space="preserve">ابتدائية زينب بنت محمد </t>
  </si>
  <si>
    <t>الابتدائية الرابعة بالمبرز</t>
  </si>
  <si>
    <t>الابتدائية الثامنة والعشرون بالمبرز</t>
  </si>
  <si>
    <t>ابتدائية حطين</t>
  </si>
  <si>
    <t>ابتدائية حمزة بن عبدالمطلب</t>
  </si>
  <si>
    <t>ابتدائية الحسن بن علي</t>
  </si>
  <si>
    <t>ابتدائية الحارث بن هشام المخزومي</t>
  </si>
  <si>
    <t>متوسطة هجر</t>
  </si>
  <si>
    <t>ابتدائية الإمام القرطبي</t>
  </si>
  <si>
    <t>ثانوية المبرز</t>
  </si>
  <si>
    <t>ثانوية الملك سعود بالمبرز</t>
  </si>
  <si>
    <t>ثانوية سعيد بن زيد</t>
  </si>
  <si>
    <t>ثانوية عبدالله بن سلام</t>
  </si>
  <si>
    <t>متوسطة جبل النور</t>
  </si>
  <si>
    <t>متوسطة طلحة بن عبيد الله</t>
  </si>
  <si>
    <t xml:space="preserve">الابتكار للطفولة المبكرة </t>
  </si>
  <si>
    <t>ثانوية طارق بن زياد</t>
  </si>
  <si>
    <t>ابتدائية أبوبكر الرازي</t>
  </si>
  <si>
    <t>متوسطة الحديبية</t>
  </si>
  <si>
    <t>ثانوية الفيصلية</t>
  </si>
  <si>
    <t>متوسطة أم المؤمنين أم حبيبة</t>
  </si>
  <si>
    <t>الابتدائية الثانية بالهفوف للطفولة المبكرة</t>
  </si>
  <si>
    <t>الابتدائية الأولى لتحفيظ القرآن بالهفوف</t>
  </si>
  <si>
    <t>المتوسطة السادسة عشر بالهفوف</t>
  </si>
  <si>
    <t>المتوسطة الثانية والعشرون بالهفوف</t>
  </si>
  <si>
    <t>الابتدائية الثانية والأربعون بالهفوف</t>
  </si>
  <si>
    <t>الثانوية الأولى بالهفوف مقررات</t>
  </si>
  <si>
    <t>الثانوية الثانية بالهفوف مقررات</t>
  </si>
  <si>
    <t>الثانوية الثالثة بالهفوف مقررات</t>
  </si>
  <si>
    <t>ابتدائية مارية القبطية للطفولة المبكرة</t>
  </si>
  <si>
    <t>الابتدائية الثامنة بالهفوف للطفولة المبكرة</t>
  </si>
  <si>
    <t>المتوسطة الثانية بالهفوف</t>
  </si>
  <si>
    <t>الابتدائية الرابعة عشر بالهفوف للطفولة المبكرة</t>
  </si>
  <si>
    <t>الابتدائية الرابعة بالهفوف للطفولة المبكرة</t>
  </si>
  <si>
    <t>الابتدائية الخامسة بالهفوف</t>
  </si>
  <si>
    <t>الابتدائية الثانية والثلاثون بالهفوف للطفولة المبكرة</t>
  </si>
  <si>
    <t>الابتدائية الأربعون بالهفوف</t>
  </si>
  <si>
    <t>الابتدائية العاشرة بالهفوف</t>
  </si>
  <si>
    <t>المتوسطة الثامنة عشر بالهفوف</t>
  </si>
  <si>
    <t>المتوسطة السادسة والعشرون بالهفوف</t>
  </si>
  <si>
    <t>المتوسطة الرابعة والعشرون بالهفوف</t>
  </si>
  <si>
    <t>المتوسطة الثانية لتحفيظ القرآن بالهفوف</t>
  </si>
  <si>
    <t>الثانوية السادسة بالهفوف</t>
  </si>
  <si>
    <t>ثانوية آمنة بنت الارقم</t>
  </si>
  <si>
    <t>الثانوية السابعة بالهفوف</t>
  </si>
  <si>
    <t>الثانوية الثامنة بالهفوف</t>
  </si>
  <si>
    <t>الثانوية الحادية عشر بالهفوف مقررات</t>
  </si>
  <si>
    <t>الثانوية الثانية عشر بالهفوف</t>
  </si>
  <si>
    <t>الثانوية الرابعة عشر بالهفوف</t>
  </si>
  <si>
    <t>الثانوية الخامسة عشر بالهفوف</t>
  </si>
  <si>
    <t>الثانوية السادسة عشر بالهفوف</t>
  </si>
  <si>
    <t>الثانوية السابعة عشر بالهفوف</t>
  </si>
  <si>
    <t>المتوسطة الخامسة بالهفوف</t>
  </si>
  <si>
    <t>جرير الابتدائية بالمبرز</t>
  </si>
  <si>
    <t>الثانوية السابعة بالمبرز</t>
  </si>
  <si>
    <t>الابتدائية الحادية عشر بالمبرز</t>
  </si>
  <si>
    <t>ابتدائية هارون الرشيد طفولة مبكرة</t>
  </si>
  <si>
    <t>الابتدائية السادسة عشر بالهفوف</t>
  </si>
  <si>
    <t>الابتدائية السابعة والعشرون بالهفوف</t>
  </si>
  <si>
    <t>الابتدائية الخامسة والأربعون بالهفوف</t>
  </si>
  <si>
    <t>الابتدائية السابعة والأربعون بالهفوف للطفولة المبكرة</t>
  </si>
  <si>
    <t>المتوسطة الثامنة بالهفوف</t>
  </si>
  <si>
    <t>ثانوية أسماء بنت أبي بكر</t>
  </si>
  <si>
    <t>ابتدائية أم المؤمنين صفية بنت حيي بن أخطب</t>
  </si>
  <si>
    <t>المتوسطة الثانية عشر بالهفوف</t>
  </si>
  <si>
    <t>ابتدائية الإمام عاصم (تق)</t>
  </si>
  <si>
    <t>ابتدائية الإمام حمزة الزيات (تق)</t>
  </si>
  <si>
    <t>ابتدائية وادي طوى</t>
  </si>
  <si>
    <t>إبتدائية أنس بن مالك</t>
  </si>
  <si>
    <t>ابتدائية المروة طفولة مبكرة</t>
  </si>
  <si>
    <t>ابتدائية الإمام الرافعي</t>
  </si>
  <si>
    <t>ابتدائية سراقة بن مالك</t>
  </si>
  <si>
    <t>ابتدائية سيبويه</t>
  </si>
  <si>
    <t>ابتدائية الإمام الشافعي</t>
  </si>
  <si>
    <t>ابتدائية بلال بن رباح</t>
  </si>
  <si>
    <t>ابتدائية زيد بن ثابت</t>
  </si>
  <si>
    <t>ابتدائية عبادة بن الصامت بالرقيقة</t>
  </si>
  <si>
    <t>ابتدائية الأمير نايف بن عبدالعزيز</t>
  </si>
  <si>
    <t>ابتدائية الملك فيصل</t>
  </si>
  <si>
    <t>ثانوية البندرية مقررات</t>
  </si>
  <si>
    <t>ثانوية الهفوف مقررات</t>
  </si>
  <si>
    <t>متوسطة الأمين</t>
  </si>
  <si>
    <t>ثانوية حراء</t>
  </si>
  <si>
    <t>متوسطة حذيفة بن اليمان</t>
  </si>
  <si>
    <t>متوسطة الصالحية</t>
  </si>
  <si>
    <t>ابتدائية الشيخ عبدالرحمن السعدي</t>
  </si>
  <si>
    <t>إبتدائية التقدم للطفولة المبكرة</t>
  </si>
  <si>
    <t>متوسطة الإمام نافع لتحفيظ القرآن الكريم</t>
  </si>
  <si>
    <t>متوسطة ابن زيدون</t>
  </si>
  <si>
    <t>متوسطة طليطلة</t>
  </si>
  <si>
    <t>متوسطة البندرية</t>
  </si>
  <si>
    <t>إبتدائية الطموح للطفولة المبكرة</t>
  </si>
  <si>
    <t>ابتدائية الأمير سعود بن عبدالله بن جلوي</t>
  </si>
  <si>
    <t>متوسطة المأمون</t>
  </si>
  <si>
    <t>سعد بن عبادة الثانوية بالسلمانية</t>
  </si>
  <si>
    <t>ابتدائية البراء بن عازب بالكلابية</t>
  </si>
  <si>
    <t>الإمام جعفر الصادق الثانوية مقررات</t>
  </si>
  <si>
    <t>ابتدائية الحليلة</t>
  </si>
  <si>
    <t>ابتدائية الشعبة</t>
  </si>
  <si>
    <t>ابتدائية البطالية</t>
  </si>
  <si>
    <t>ابتدائية الإمام الغزالي بالقرين</t>
  </si>
  <si>
    <t>ابتدائية حي النسيم بالعيون</t>
  </si>
  <si>
    <t>الابتدائية الاولى بالمطيرفي للطفولة المبكرة</t>
  </si>
  <si>
    <t>ابتدائية سمرة بن جندب بالشعبة</t>
  </si>
  <si>
    <t>ثانوية هوازن مقررات بالحليلة</t>
  </si>
  <si>
    <t>ثانوية الشعبة مقررات</t>
  </si>
  <si>
    <t>ثانوية أبي فراس الحمداني بالمراح</t>
  </si>
  <si>
    <t>ثانوية الجرن</t>
  </si>
  <si>
    <t>ثانوية القرين</t>
  </si>
  <si>
    <t>ابتدائية ابن المقرب</t>
  </si>
  <si>
    <t>ثانوية ذات الصواري بالكلابية</t>
  </si>
  <si>
    <t>متوسطة الشعبة</t>
  </si>
  <si>
    <t>أبوموسى الأشعري المتوسطة بالشعبة</t>
  </si>
  <si>
    <t>المتوسطة الثالثة بالعيون</t>
  </si>
  <si>
    <t>الابتدائية الاولى بالقرين للطفولة المبكرة</t>
  </si>
  <si>
    <t>الابتدائية الاولى بالبطالية</t>
  </si>
  <si>
    <t>المتوسطة الثانية بالبطالية</t>
  </si>
  <si>
    <t>الابتدائية الاولى بجليجلة</t>
  </si>
  <si>
    <t>المتوسطة الاولى بالمطيرفي</t>
  </si>
  <si>
    <t>الابتدائية الاولى بالوزية للطفولة المبكرة</t>
  </si>
  <si>
    <t>متوسطة الوزية</t>
  </si>
  <si>
    <t>الابتدائية الاولى بالشعبة</t>
  </si>
  <si>
    <t>المتوسطة الاولى بالشعبة</t>
  </si>
  <si>
    <t>متوسطة تحفيظ القرآن الكريم بالشعبة</t>
  </si>
  <si>
    <t>إبتدائية حي سلطانة للطفولة المبكرة بالعيون</t>
  </si>
  <si>
    <t>الثانوية الثالثة عشر بالهفوف</t>
  </si>
  <si>
    <t>الروضة الأولى بالجشة</t>
  </si>
  <si>
    <t>ابتدائية الأفق للطفولة المبكرة</t>
  </si>
  <si>
    <t>الإمام علي بن أبي طالب الابتدائية</t>
  </si>
  <si>
    <t>الثانوية الاولى بالشعبة</t>
  </si>
  <si>
    <t>الروضة الثانية عشر بالمبرز</t>
  </si>
  <si>
    <t>ثانوية الحليلة بالاحساء</t>
  </si>
  <si>
    <t>الروضة الاولى بالعيون</t>
  </si>
  <si>
    <t>المتوسطة الأولى بالجبيل</t>
  </si>
  <si>
    <t>الثانوية التاسعة بالمبرز - مقررات</t>
  </si>
  <si>
    <t>الابتدائية الثالثة بالجبيل للطفولة المبكرة</t>
  </si>
  <si>
    <t>إبتدائية الواحة الأولى بالعقار - الساباط</t>
  </si>
  <si>
    <t>النايفية الأولى للطفولة المبكرة</t>
  </si>
  <si>
    <t>الابتدائية الثانية لتحفيظ القران الكريم بالهفوف</t>
  </si>
  <si>
    <t>ابتدائية الإمام الترمذي للطفولة المبكرة</t>
  </si>
  <si>
    <t>المتوسطة الاولى بجليجلة</t>
  </si>
  <si>
    <t>ثانوية الحرمين</t>
  </si>
  <si>
    <t>متوسطة الفاضلية</t>
  </si>
  <si>
    <t>متوسطة دار الهجرة</t>
  </si>
  <si>
    <t>First Elementary School in Jubail</t>
  </si>
  <si>
    <t>Al-Mundhir Bin Sawa Elementary School in Al-Rumailah for Early Childhood Education</t>
  </si>
  <si>
    <t>Al-Bayan Elementary School for Early Childhood Education</t>
  </si>
  <si>
    <t>Second Elementary School in Al-Umran</t>
  </si>
  <si>
    <t>First Intermediate School in Al-Umran</t>
  </si>
  <si>
    <t>First Intermediate School in Al-Jafar</t>
  </si>
  <si>
    <t>First Secondary School in Al-Umran (Curriculum-Based)</t>
  </si>
  <si>
    <t>First Secondary School in Jubail</t>
  </si>
  <si>
    <t>First Secondary School in Al-Jafar</t>
  </si>
  <si>
    <t>First Elementary School in the Early Childhood Center</t>
  </si>
  <si>
    <t>First Elementary School in Al-Rumaila for Early Childhood</t>
  </si>
  <si>
    <t>Building B1, formerly known as Bani Ma'an (Al-Iman Early Childhood)</t>
  </si>
  <si>
    <t>First Elementary School in Al-Shaharin</t>
  </si>
  <si>
    <t>Al-Rumailah First Intermediate School</t>
  </si>
  <si>
    <t>Al-Ruwaidah First Kindergarten</t>
  </si>
  <si>
    <t>Al-Rumailah First Secondary School</t>
  </si>
  <si>
    <t>Juwairiyah Bint Al-Harith Intermediate School in Al-Shaharin</t>
  </si>
  <si>
    <t>Al-Jishah (Al-Ihsan) Primary School for Early Childhood</t>
  </si>
  <si>
    <t>Al-Jishah First Elementary School for Early Childhood</t>
  </si>
  <si>
    <t>Jaafar bin Abi Talib Elementary School in Al-Jafar</t>
  </si>
  <si>
    <t>Abu Ayyub Al-Ansari Elementary School in Al-Taraf</t>
  </si>
  <si>
    <t>Al-Umran Elementary School for Boys</t>
  </si>
  <si>
    <t>Al-Jubail Second Elementary School for Early Childhood</t>
  </si>
  <si>
    <t>Al-Ghuwaiba Elementary School</t>
  </si>
  <si>
    <t>Al-Markaz Elementary School</t>
  </si>
  <si>
    <t>Al-Jishah Intermediate School</t>
  </si>
  <si>
    <t>Imam Al-Shawkani Primary School (Taq) in Al-Taraf</t>
  </si>
  <si>
    <t>Imam Al-Suyuti Primary School (Taq) in Al-Jishah</t>
  </si>
  <si>
    <t>Al-Shuharin Primary School</t>
  </si>
  <si>
    <t>Al-Aramiyah Primary School</t>
  </si>
  <si>
    <t>Al-Jubail Secondary School</t>
  </si>
  <si>
    <t>Muzdalifah Secondary School in Al-Shuharin</t>
  </si>
  <si>
    <t>Al-Jafar Intermediate School</t>
  </si>
  <si>
    <t>Al-Umran Secondary School (Curriculum-Based)</t>
  </si>
  <si>
    <t>Al-Aqsa Secondary School (Curriculum-Based) in Al-Munizlah</t>
  </si>
  <si>
    <t>Arafat Secondary School in Al-Jishah</t>
  </si>
  <si>
    <t>Al-Jafar Secondary School (Curriculum-Based)</t>
  </si>
  <si>
    <t>Al-Mazawi Intermediate School in Al-Sabat</t>
  </si>
  <si>
    <t>Umm Malik Al-Ansariyah Secondary School</t>
  </si>
  <si>
    <t>Ruqayyah Bint Muhammad Intermediate School</t>
  </si>
  <si>
    <t>Al-Mubarraz Ninth Intermediate School</t>
  </si>
  <si>
    <t>Al-Mubarraz Eleventh Intermediate School</t>
  </si>
  <si>
    <t>Al-Mubarraz Twelfth Intermediate School</t>
  </si>
  <si>
    <t>Al-Shayma Bint Al-Harith Intermediate School in Muraibitah</t>
  </si>
  <si>
    <t>Al-Mubarraz Fourth Secondary School (Curriculum-Based)</t>
  </si>
  <si>
    <t>Al-Mubarraz Sixth Secondary School</t>
  </si>
  <si>
    <t>Al-Mubarraz Eighth Secondary School</t>
  </si>
  <si>
    <t>Al-Mubarraz Tenth Secondary School</t>
  </si>
  <si>
    <t>Al-Mubarraz Twenty-Fifth Elementary School for Early Childhood</t>
  </si>
  <si>
    <t>Fifth Elementary School in Al-Mubarraz for Early Childhood</t>
  </si>
  <si>
    <t>Sixth Elementary School in Al-Mubarraz for Early Childhood</t>
  </si>
  <si>
    <t>Twelfth Elementary School in Al-Mubarraz for Early Childhood</t>
  </si>
  <si>
    <t>Zainab Bint Muhammad Elementary School</t>
  </si>
  <si>
    <t>Fourth Elementary School in Al-Mubarraz</t>
  </si>
  <si>
    <t>Twenty-Eighth Elementary School in Al-Mubarraz</t>
  </si>
  <si>
    <t>Hattin Elementary School</t>
  </si>
  <si>
    <t>Hamza Bin Abdul-Muttalib Elementary School</t>
  </si>
  <si>
    <t>Al-Hasan bin Ali Elementary School</t>
  </si>
  <si>
    <t>Al-Harith bin Hisham Al-Makhzoumi Elementary School</t>
  </si>
  <si>
    <t>Hajar Intermediate School</t>
  </si>
  <si>
    <t>Imam Al-Qurtubi Elementary School</t>
  </si>
  <si>
    <t>Al-Mubarraz Secondary School</t>
  </si>
  <si>
    <t xml:space="preserve"> King Saud Secondary School in Al-Mubarraz</t>
  </si>
  <si>
    <t>Ajnadin Secondary School</t>
  </si>
  <si>
    <t>Saeed Bin Zaid Secondary School</t>
  </si>
  <si>
    <t>Abdullah Bin Salam Secondary School</t>
  </si>
  <si>
    <t>Jabal Al-Nour Intermediate School</t>
  </si>
  <si>
    <t>Talha Bin Ubaid Allah Intermediate School</t>
  </si>
  <si>
    <t>Al-Ibtikar for Early Childhood</t>
  </si>
  <si>
    <t>Tariq Bin Ziyad Secondary School</t>
  </si>
  <si>
    <t>Abdullah Bin Abbas Primary School</t>
  </si>
  <si>
    <t>Abu Bakr Al-Razi Elementary School</t>
  </si>
  <si>
    <t>Al-Hudaybiyah Intermediate School</t>
  </si>
  <si>
    <t>Al-Faisaliyah Secondary School</t>
  </si>
  <si>
    <t>Umm Al-Mu'minin Umm Habibah Intermediate School</t>
  </si>
  <si>
    <t>Second Elementary School in Al-Hofuf (Early Childhood)</t>
  </si>
  <si>
    <t>First Elementary School for Quran Memorization in Al-Hofuf</t>
  </si>
  <si>
    <t>Sixteenth Intermediate School in Al-Hofuf</t>
  </si>
  <si>
    <t>Twenty-Second Intermediate School in Al-Hofuf</t>
  </si>
  <si>
    <t>Forty-Second Elementary School in Al-Hofuf</t>
  </si>
  <si>
    <t>First Secondary School in Al-Hofuf (Curriculum-Based)</t>
  </si>
  <si>
    <t>Second Secondary School in Al-Hofuf (Curriculum-Based)</t>
  </si>
  <si>
    <t>Third Secondary School in Al-Hofuf (Curriculum-Based)</t>
  </si>
  <si>
    <t>Mariya Al-Qibtiya Elementary School for Early Childhood</t>
  </si>
  <si>
    <t>Eighth Elementary School in Al-Hofuf for Early Childhood</t>
  </si>
  <si>
    <t>Second Intermediate School in Al-Hofuf</t>
  </si>
  <si>
    <t>Fourteenth Elementary School in Al-Hofuf for Early Childhood</t>
  </si>
  <si>
    <t>Fourth Elementary School in Al-Hofuf for Early Childhood</t>
  </si>
  <si>
    <t>Fifth Elementary School in Al-Hofuf</t>
  </si>
  <si>
    <t>Thirty-Second Elementary School in Al-Hofuf for Early Childhood</t>
  </si>
  <si>
    <t>The 40th Elementary School in Al-Hofuf</t>
  </si>
  <si>
    <t>The 10th Elementary School in Al-Hofuf</t>
  </si>
  <si>
    <t>The 18th Intermediate School in Al-Hofuf</t>
  </si>
  <si>
    <t>The 26th Intermediate School in Al-Hofuf</t>
  </si>
  <si>
    <t>The 24th Intermediate School in Al-Hofuf</t>
  </si>
  <si>
    <t>The 2nd Intermediate School for Quran Memorization in Al-Hofuf</t>
  </si>
  <si>
    <t>The 6th Secondary School in Al-Hofuf</t>
  </si>
  <si>
    <t>Amina Bint Al-Arqam Secondary School</t>
  </si>
  <si>
    <t>Seventh Secondary School in Al-Hofuf</t>
  </si>
  <si>
    <t>Eighth Secondary School in Al-Hofuf</t>
  </si>
  <si>
    <t>Eleventh Secondary School in Al-Hofuf (Curriculum-Based)</t>
  </si>
  <si>
    <t>Twelfth Secondary School in Al-Hofuf</t>
  </si>
  <si>
    <t>Fourteenth Secondary School in Al-Hofuf</t>
  </si>
  <si>
    <t>Fifteenth Secondary School in Al-Hofuf</t>
  </si>
  <si>
    <t>Sixteenth Secondary School in Al-Hofuf</t>
  </si>
  <si>
    <t>Seventeenth Secondary School in Al-Hofuf</t>
  </si>
  <si>
    <t>Fifth Intermediate School in Al-Hofuf</t>
  </si>
  <si>
    <t>Jarir Elementary School in Al-Mubarraz</t>
  </si>
  <si>
    <t>Seventh Secondary School in Al-Mubarraz</t>
  </si>
  <si>
    <t>Eleventh Elementary School in Al-Mubarraz</t>
  </si>
  <si>
    <t>Harun Al-Rashid Elementary School (Early Childhood)</t>
  </si>
  <si>
    <t>16th Elementary School in Al-Hofuf</t>
  </si>
  <si>
    <t>27th Elementary School in Al-Hofuf</t>
  </si>
  <si>
    <t>45th Elementary School in Al-Hofuf</t>
  </si>
  <si>
    <t>47th Elementary School in Al-Hofuf (Early Childhood)</t>
  </si>
  <si>
    <t>8th Intermediate School in Al-Hofuf</t>
  </si>
  <si>
    <t>Asma Bint Abi Bakr Secondary School</t>
  </si>
  <si>
    <t>Umm Al-Mu'minin Safiyya Bint Huyayy Ibn Akhtab Elementary School</t>
  </si>
  <si>
    <t>Twelfth Intermediate School in Al-Hofuf</t>
  </si>
  <si>
    <t>Imam Asim Elementary School (Taq)</t>
  </si>
  <si>
    <t>Imam Hamza Al-Zayyat Elementary School (Taq)</t>
  </si>
  <si>
    <t>Wadi Tuwa Elementary School</t>
  </si>
  <si>
    <t>ANAS IBN MALIK ELEMENTARY SCHOOL</t>
  </si>
  <si>
    <t>Al-Marwa Early Childhood Elementary School</t>
  </si>
  <si>
    <t>Imam Al-Rafi'i Elementary School</t>
  </si>
  <si>
    <t>Uthman ibn Affan Elementary School</t>
  </si>
  <si>
    <t>Suraqa ibn Malik Elementary School</t>
  </si>
  <si>
    <t>Sibawayh Elementary School</t>
  </si>
  <si>
    <t>Imam Shafi'i Elementary School</t>
  </si>
  <si>
    <t>Bilal ibn Rabah Elementary School</t>
  </si>
  <si>
    <t>Zayd ibn Thabit Elementary School</t>
  </si>
  <si>
    <t>Ubadah ibn al-Samit Elementary School in al-Ruqayqah</t>
  </si>
  <si>
    <t>Prince Nayef ibn Abdulaziz Elementary School</t>
  </si>
  <si>
    <t>King Faisal Elementary School</t>
  </si>
  <si>
    <t>Al-Bandariyah Secondary School (Curriculum-Based)</t>
  </si>
  <si>
    <t>Al-Hofuf Secondary School (Curriculum-Based)</t>
  </si>
  <si>
    <t>Al-Amin Intermediate School</t>
  </si>
  <si>
    <t>Hira Secondary School</t>
  </si>
  <si>
    <t>Hudhayfah ibn al-Yaman Intermediate School</t>
  </si>
  <si>
    <t>Al-Salihiyah Intermediate School</t>
  </si>
  <si>
    <t>Sheikh Abdul Rahman al-Saadi Primary School</t>
  </si>
  <si>
    <t>Al-Taqaddum Early Childhood Primary School</t>
  </si>
  <si>
    <t>Imam Nafi' Intermediate School for Quran Memorization</t>
  </si>
  <si>
    <t>Ibn Zaydun Intermediate School</t>
  </si>
  <si>
    <t>Toledo Intermediate School</t>
  </si>
  <si>
    <t>Al-Bandariyah Intermediate School</t>
  </si>
  <si>
    <t>Al-Tumooh Early Childhood Primary School</t>
  </si>
  <si>
    <t>Prince Saud bin Abdullah bin Jalawi Elementary School</t>
  </si>
  <si>
    <t>Al-Ma'moun Intermediate School</t>
  </si>
  <si>
    <t>Saad bin Ubadah Secondary School in Al-Salmaniyah</t>
  </si>
  <si>
    <t>Al-Bara' bin Azib Elementary School in Al-Kulabiyah</t>
  </si>
  <si>
    <t>Imam Ja'far Al-Sadiq Secondary School (Curriculum-Based)</t>
  </si>
  <si>
    <t>Al-Halilah Elementary School</t>
  </si>
  <si>
    <t>Al-Sha'bah Elementary School</t>
  </si>
  <si>
    <t>Al-Bataliyah Elementary School</t>
  </si>
  <si>
    <t>Imam Al-Ghazali Elementary School in Al-Qurain</t>
  </si>
  <si>
    <t>Al-Naseem Elementary School in Al-Uyun</t>
  </si>
  <si>
    <t>First Elementary School in Al-Mutayrif for Early Childhood</t>
  </si>
  <si>
    <t>Samrah bin Jundub Elementary School in Al-Sha'bah</t>
  </si>
  <si>
    <t>Hawazen Secondary School (Curriculum-Based) in Al-Hulaylah</t>
  </si>
  <si>
    <t>Al-Sha'bah Secondary School (Curriculum-Based)</t>
  </si>
  <si>
    <t>Abu Firas Al-Hamdani Secondary School in Al-Marah</t>
  </si>
  <si>
    <t>Al-Jurn Secondary School</t>
  </si>
  <si>
    <t>Al-Qurain Secondary School</t>
  </si>
  <si>
    <t>Ibn Al-Muqarrab Elementary School</t>
  </si>
  <si>
    <t>Dhat Al-Sawari Secondary School in Al-Kulabiyah</t>
  </si>
  <si>
    <t>Al-Sha'bah Intermediate School</t>
  </si>
  <si>
    <t>Abu Musa Al-Ash'ari Intermediate School in Al-Sha'bah</t>
  </si>
  <si>
    <t>Al-Ayoun Third Intermediate School</t>
  </si>
  <si>
    <t>Al-Qurain First Primary School for Early Childhood</t>
  </si>
  <si>
    <t>Al-Bataliyah First Primary School</t>
  </si>
  <si>
    <t>Al-Bataliyah Second Intermediate School</t>
  </si>
  <si>
    <t>Jalijlah First Primary School</t>
  </si>
  <si>
    <t>Al-Mutairfi First Intermediate School</t>
  </si>
  <si>
    <t>Al-Waziyah First Elementary School for Early Childhood</t>
  </si>
  <si>
    <t>Al-Waziyah Intermediate School</t>
  </si>
  <si>
    <t>The First Elementary School in Al-Sha'bah</t>
  </si>
  <si>
    <t>The First Intermediate School in Al-Sha'bah</t>
  </si>
  <si>
    <t>The Intermediate School for Quran Memorization in Al-Sha'bah</t>
  </si>
  <si>
    <t>The Sultana Neighborhood Elementary School for Early Childhood in Al-Uyun</t>
  </si>
  <si>
    <t>The Thirteenth Secondary School in Al-Hofuf</t>
  </si>
  <si>
    <t>The First Kindergarten in Al-Jishah</t>
  </si>
  <si>
    <t>Al-Ufuq Early Childhood Elementary School</t>
  </si>
  <si>
    <t>Imam Ali Bin Abi Talib Elementary School</t>
  </si>
  <si>
    <t>First Secondary School in Al-Sha'bah</t>
  </si>
  <si>
    <t>Twelfth Kindergarten in Al-Mubarraz</t>
  </si>
  <si>
    <t>AL HUAILA SECONDARY SCHOON IN ALAHSAA</t>
  </si>
  <si>
    <t>Al-Uyun First Kindergarten</t>
  </si>
  <si>
    <t>Al-Jubail First Intermediate School</t>
  </si>
  <si>
    <t>Al-Mubarraz Ninth Secondary School - Curriculum-Based</t>
  </si>
  <si>
    <t>The Third Elementary School in Jubail for Early Childhood</t>
  </si>
  <si>
    <t>The First Al-Waha Elementary School in Al-Aqar - Al-Sababat</t>
  </si>
  <si>
    <t>The First Al-Naifiyah Elementary School for Early Childhood</t>
  </si>
  <si>
    <t>The Second Elementary School for Quran Memorization in Al-Hofuf</t>
  </si>
  <si>
    <t>Imam Al-Tirmidhi Elementary School for Early Childhood</t>
  </si>
  <si>
    <t>First Intermediate School in Jalijah</t>
  </si>
  <si>
    <t>Al-Haramain Secondary School</t>
  </si>
  <si>
    <t>Al-Fadhiliyah Intermediate School</t>
  </si>
  <si>
    <t>Dar Al-Hijrah Intermediate School</t>
  </si>
  <si>
    <t>KFM2020660221795</t>
  </si>
  <si>
    <t>SMR2220661015002</t>
  </si>
  <si>
    <t>KFM2120655000125</t>
  </si>
  <si>
    <t>KFM2020660228697</t>
  </si>
  <si>
    <t>KFM2120660239960</t>
  </si>
  <si>
    <t>KFM2020660228706</t>
  </si>
  <si>
    <t>KFM2120660239955</t>
  </si>
  <si>
    <t>SMR2220661009279</t>
  </si>
  <si>
    <t>KFM2120660260916</t>
  </si>
  <si>
    <t>KFM2120660255167</t>
  </si>
  <si>
    <t>SMR2420661042201</t>
  </si>
  <si>
    <t>KFM2020660032117</t>
  </si>
  <si>
    <t>KFM2120660255145</t>
  </si>
  <si>
    <t>KFM2120660255224</t>
  </si>
  <si>
    <t>SMR2220661015105</t>
  </si>
  <si>
    <t>KFM2120660239924</t>
  </si>
  <si>
    <t>KFM2020660221791</t>
  </si>
  <si>
    <t>KFM2120660271335</t>
  </si>
  <si>
    <t>KFM2120660241662</t>
  </si>
  <si>
    <t>KFM2120660283619</t>
  </si>
  <si>
    <t>KFM21206660260950</t>
  </si>
  <si>
    <t>KFM2120660239906</t>
  </si>
  <si>
    <t>KFM2120660255114</t>
  </si>
  <si>
    <t>KFM2020660224272</t>
  </si>
  <si>
    <t>KFM2120660255169</t>
  </si>
  <si>
    <t>KFM2120660241737</t>
  </si>
  <si>
    <t>KFM2120660291651</t>
  </si>
  <si>
    <t>KFM2120660239925</t>
  </si>
  <si>
    <t>KFM2120660255221</t>
  </si>
  <si>
    <t>KFM2120660239883</t>
  </si>
  <si>
    <t>KFM2120660255136</t>
  </si>
  <si>
    <t>KFM2120660255154</t>
  </si>
  <si>
    <t>KFM2120660255112</t>
  </si>
  <si>
    <t>KFM2120660290879</t>
  </si>
  <si>
    <t>KFM2120660255092</t>
  </si>
  <si>
    <t>KFM2120660240021</t>
  </si>
  <si>
    <t>KFM2120660283618</t>
  </si>
  <si>
    <t>KFM2120660260953</t>
  </si>
  <si>
    <t>KFM2020660181078</t>
  </si>
  <si>
    <t>KFM2120660241939</t>
  </si>
  <si>
    <t>KFM2120660240013</t>
  </si>
  <si>
    <t>KFM2020660228929</t>
  </si>
  <si>
    <t>KFM2020660181057</t>
  </si>
  <si>
    <t>SMR2320661027409</t>
  </si>
  <si>
    <t>KFM2020660181084</t>
  </si>
  <si>
    <t>KFM2120660271250</t>
  </si>
  <si>
    <t>KFM2020660224840</t>
  </si>
  <si>
    <t>KFM2020660003483</t>
  </si>
  <si>
    <t>KFM2120660241808</t>
  </si>
  <si>
    <t>KFM2020660223163</t>
  </si>
  <si>
    <t xml:space="preserve"> KFM2020660181081</t>
  </si>
  <si>
    <t>KFM2120660283556</t>
  </si>
  <si>
    <t>KFM2120660241805</t>
  </si>
  <si>
    <t xml:space="preserve"> KFM2020660181110</t>
  </si>
  <si>
    <t>KFM2020660220766</t>
  </si>
  <si>
    <t xml:space="preserve"> KFM2020660180422</t>
  </si>
  <si>
    <t>KFM2020660180485</t>
  </si>
  <si>
    <t>KFM2020660180489</t>
  </si>
  <si>
    <t>KFM2020660217041</t>
  </si>
  <si>
    <t xml:space="preserve"> KFM2120660255291 </t>
  </si>
  <si>
    <t>KFM2020660180472</t>
  </si>
  <si>
    <t>KFM2120660255321</t>
  </si>
  <si>
    <t>KFM2120660283562</t>
  </si>
  <si>
    <t>KFM2120660271377</t>
  </si>
  <si>
    <t>KFM2120660255310</t>
  </si>
  <si>
    <t>KFM2120660255343</t>
  </si>
  <si>
    <t>KFM2120660255286</t>
  </si>
  <si>
    <t xml:space="preserve"> KFM2120660242316</t>
  </si>
  <si>
    <t>KFM2120660283559</t>
  </si>
  <si>
    <t>KFM2020660180423</t>
  </si>
  <si>
    <t>KFM2120660285645</t>
  </si>
  <si>
    <t>KFM2020660181093</t>
  </si>
  <si>
    <t>KFM2120660255231</t>
  </si>
  <si>
    <t>KFM2020660180478</t>
  </si>
  <si>
    <t>KFM2120660240076</t>
  </si>
  <si>
    <t>KFM2120655000123</t>
  </si>
  <si>
    <t>KFM2120660240653</t>
  </si>
  <si>
    <t>KFM2020660216690</t>
  </si>
  <si>
    <t>KFM2020660228913</t>
  </si>
  <si>
    <t>KFM2020660216805</t>
  </si>
  <si>
    <t>KFM2120660244407</t>
  </si>
  <si>
    <t>KFM2120660255283</t>
  </si>
  <si>
    <t>KFM2120660239862</t>
  </si>
  <si>
    <t>KFM2120660245032</t>
  </si>
  <si>
    <t>KFM2120660291568</t>
  </si>
  <si>
    <t>KFM2120660255260</t>
  </si>
  <si>
    <t>KFM2120660291571</t>
  </si>
  <si>
    <t>KFM2120660241827</t>
  </si>
  <si>
    <t>KFM2120660241818</t>
  </si>
  <si>
    <t>KFM2020660136639</t>
  </si>
  <si>
    <t>KFM2120660244381</t>
  </si>
  <si>
    <t>KFM2120660244608</t>
  </si>
  <si>
    <t>KFM2120660239848</t>
  </si>
  <si>
    <t>KFM2120660239811</t>
  </si>
  <si>
    <t>KFM2120660244997</t>
  </si>
  <si>
    <t>SMR2220661015244</t>
  </si>
  <si>
    <t>KFM2120660255258</t>
  </si>
  <si>
    <t>KFM2120660275468</t>
  </si>
  <si>
    <t xml:space="preserve"> KFM2020660228839</t>
  </si>
  <si>
    <t>KFM2120660244527</t>
  </si>
  <si>
    <t>KFM2120660240130</t>
  </si>
  <si>
    <t>KFM2120660244992</t>
  </si>
  <si>
    <t>KFM2120660240049</t>
  </si>
  <si>
    <t>KFM2120660244453</t>
  </si>
  <si>
    <t>KFM2020660228914</t>
  </si>
  <si>
    <t>KFM2120660245028</t>
  </si>
  <si>
    <t>KFM2120660244521</t>
  </si>
  <si>
    <t>KFM2020660223483</t>
  </si>
  <si>
    <t>KFM2020660180428</t>
  </si>
  <si>
    <t>SMR2220661015259</t>
  </si>
  <si>
    <t>KFM2020660000963</t>
  </si>
  <si>
    <t>10006307697</t>
  </si>
  <si>
    <t>KFM2020660223120</t>
  </si>
  <si>
    <t>10006307534</t>
  </si>
  <si>
    <t>KFM2120660239809</t>
  </si>
  <si>
    <t>10006323233</t>
  </si>
  <si>
    <t>KFM2020660226150</t>
  </si>
  <si>
    <t>10006308255</t>
  </si>
  <si>
    <t>KFM2120660240696</t>
  </si>
  <si>
    <t>30129136432</t>
  </si>
  <si>
    <t>KFM2120660244364</t>
  </si>
  <si>
    <t>10006306564</t>
  </si>
  <si>
    <t>KFM2020660223118</t>
  </si>
  <si>
    <t>10083173249</t>
  </si>
  <si>
    <t>KFM2120660255276</t>
  </si>
  <si>
    <t>10006322826</t>
  </si>
  <si>
    <t>KFM2020660002392</t>
  </si>
  <si>
    <t>10006326235</t>
  </si>
  <si>
    <t>KFM2120660239736</t>
  </si>
  <si>
    <t>10006309118</t>
  </si>
  <si>
    <t>KFM2020660005653</t>
  </si>
  <si>
    <t>30091096585</t>
  </si>
  <si>
    <t>KFM2120660244607</t>
  </si>
  <si>
    <t>10083669744</t>
  </si>
  <si>
    <t>KFM2120660245008</t>
  </si>
  <si>
    <t>10006290553</t>
  </si>
  <si>
    <t>KFM2120660239795</t>
  </si>
  <si>
    <t>10006322441</t>
  </si>
  <si>
    <t>KFM2020660223489</t>
  </si>
  <si>
    <t>10006299915</t>
  </si>
  <si>
    <t>KFM2020660025101</t>
  </si>
  <si>
    <t>10006278915</t>
  </si>
  <si>
    <t>KFM2120660241874</t>
  </si>
  <si>
    <t>10006290581</t>
  </si>
  <si>
    <t>KFM2020660228837</t>
  </si>
  <si>
    <t>10006322272</t>
  </si>
  <si>
    <t>KFM2120660255380</t>
  </si>
  <si>
    <t>10005902911</t>
  </si>
  <si>
    <t>KFM2120660241863</t>
  </si>
  <si>
    <t>10006323331</t>
  </si>
  <si>
    <t>KFM2120660240033</t>
  </si>
  <si>
    <t>10006306546</t>
  </si>
  <si>
    <t>KFM2120660261642</t>
  </si>
  <si>
    <t>10006307374</t>
  </si>
  <si>
    <t>KFM2120660240071</t>
  </si>
  <si>
    <t>10006307688</t>
  </si>
  <si>
    <t>KFM2120660244441</t>
  </si>
  <si>
    <t>10006291354</t>
  </si>
  <si>
    <t>KFM2020660223438</t>
  </si>
  <si>
    <t>10006309038</t>
  </si>
  <si>
    <t>KFM2120660261637</t>
  </si>
  <si>
    <t>10006307614</t>
  </si>
  <si>
    <t>SMR2420668002762</t>
  </si>
  <si>
    <t>10006280708</t>
  </si>
  <si>
    <t>KFM2120660289170</t>
  </si>
  <si>
    <t>10006291560</t>
  </si>
  <si>
    <t>KFM2120660239803</t>
  </si>
  <si>
    <t>10006322138</t>
  </si>
  <si>
    <t>KFM2020660032373</t>
  </si>
  <si>
    <t>10088516828</t>
  </si>
  <si>
    <t>KFM2120660239715</t>
  </si>
  <si>
    <t>10006308550</t>
  </si>
  <si>
    <t>KFM2020660226468</t>
  </si>
  <si>
    <t>10006322460</t>
  </si>
  <si>
    <t>KFM2020660226496</t>
  </si>
  <si>
    <t>10006322371</t>
  </si>
  <si>
    <t>KFM2120660289173</t>
  </si>
  <si>
    <t>10006305182</t>
  </si>
  <si>
    <t>KFM2020660224311</t>
  </si>
  <si>
    <t>10006306967</t>
  </si>
  <si>
    <t>KFM2120660285678</t>
  </si>
  <si>
    <t>10082870779</t>
  </si>
  <si>
    <t>KFM2120660271365</t>
  </si>
  <si>
    <t>10018853869</t>
  </si>
  <si>
    <t>KFM2120660240651</t>
  </si>
  <si>
    <t>10006306279</t>
  </si>
  <si>
    <t>KFM2020660226248</t>
  </si>
  <si>
    <t>10006290698</t>
  </si>
  <si>
    <t>KFM2120660241857</t>
  </si>
  <si>
    <t>10006309136</t>
  </si>
  <si>
    <t>KFM2120660276759</t>
  </si>
  <si>
    <t>10006345849</t>
  </si>
  <si>
    <t>KFM2120660239717</t>
  </si>
  <si>
    <t>10095576906</t>
  </si>
  <si>
    <t>KFM2120660239896</t>
  </si>
  <si>
    <t>10006347450</t>
  </si>
  <si>
    <t>KFM2120660240011</t>
  </si>
  <si>
    <t>10006346971</t>
  </si>
  <si>
    <t>KFM2120660291602</t>
  </si>
  <si>
    <t>10006321121</t>
  </si>
  <si>
    <t>KFM2120660259246</t>
  </si>
  <si>
    <t>10006338291</t>
  </si>
  <si>
    <t>KFM2020660215801</t>
  </si>
  <si>
    <t>10006339752</t>
  </si>
  <si>
    <t>KFM2020660221972</t>
  </si>
  <si>
    <t>10006337909</t>
  </si>
  <si>
    <t>KFM2120660243701</t>
  </si>
  <si>
    <t>10006352182</t>
  </si>
  <si>
    <t>KFM2120660290864</t>
  </si>
  <si>
    <t>10006352825</t>
  </si>
  <si>
    <t>KFM2120660260919</t>
  </si>
  <si>
    <t>10006345947</t>
  </si>
  <si>
    <t>KFM2020660079441</t>
  </si>
  <si>
    <t>10006341008</t>
  </si>
  <si>
    <t>KFM2120660242366</t>
  </si>
  <si>
    <t>10006339805</t>
  </si>
  <si>
    <t>KFM2020660220483</t>
  </si>
  <si>
    <t>10006340083</t>
  </si>
  <si>
    <t>KFM2020660148467</t>
  </si>
  <si>
    <t>10006340495</t>
  </si>
  <si>
    <t>KFM2120660255182</t>
  </si>
  <si>
    <t>10006353475</t>
  </si>
  <si>
    <t>KFM2120660255151</t>
  </si>
  <si>
    <t>10006364503</t>
  </si>
  <si>
    <t>KFM2120660239951</t>
  </si>
  <si>
    <t>10006344289</t>
  </si>
  <si>
    <t>KFM2020660215782</t>
  </si>
  <si>
    <t>10006339654</t>
  </si>
  <si>
    <t>KFM2020660214672</t>
  </si>
  <si>
    <t>10006339126</t>
  </si>
  <si>
    <t>KFM2120660279831</t>
  </si>
  <si>
    <t>10006353312</t>
  </si>
  <si>
    <t>KFM2120660271359</t>
  </si>
  <si>
    <t>10006353321</t>
  </si>
  <si>
    <t>KFM2120660291633</t>
  </si>
  <si>
    <t>10006339162</t>
  </si>
  <si>
    <t>KFM2020660215623</t>
  </si>
  <si>
    <t>10006340520</t>
  </si>
  <si>
    <t>KFM2120660241656</t>
  </si>
  <si>
    <t>10097405579</t>
  </si>
  <si>
    <t>SMR2220661009470</t>
  </si>
  <si>
    <t>10105260409</t>
  </si>
  <si>
    <t>KFM2020660221878</t>
  </si>
  <si>
    <t>10006352191</t>
  </si>
  <si>
    <t>KFM2120660291649</t>
  </si>
  <si>
    <t>10006362385</t>
  </si>
  <si>
    <t>KFM2120660239949</t>
  </si>
  <si>
    <t>10006321300</t>
  </si>
  <si>
    <t>KFM2120660291625</t>
  </si>
  <si>
    <t>10087725046</t>
  </si>
  <si>
    <t>KFM2020660224208</t>
  </si>
  <si>
    <t>10006326253</t>
  </si>
  <si>
    <t>KFM2120660283632</t>
  </si>
  <si>
    <t>10006363177</t>
  </si>
  <si>
    <t>KFM2120660239812</t>
  </si>
  <si>
    <t>10101749474</t>
  </si>
  <si>
    <t>KFM2120660291564</t>
  </si>
  <si>
    <t>10006291201</t>
  </si>
  <si>
    <t>KFM2120660242282</t>
  </si>
  <si>
    <t>10006339574</t>
  </si>
  <si>
    <t>KFM2120660240511</t>
  </si>
  <si>
    <t>10093583723</t>
  </si>
  <si>
    <t>KFM2120660239890</t>
  </si>
  <si>
    <t>10006352137</t>
  </si>
  <si>
    <t>SMR2220661015043</t>
  </si>
  <si>
    <t>10104415188</t>
  </si>
  <si>
    <t>SMR2220661009175</t>
  </si>
  <si>
    <t>10105272179</t>
  </si>
  <si>
    <t>SMR2220661015254</t>
  </si>
  <si>
    <t>10105429043</t>
  </si>
  <si>
    <t>SMR2220661009521</t>
  </si>
  <si>
    <t>10105281122</t>
  </si>
  <si>
    <t>SMR2220661015186</t>
  </si>
  <si>
    <t>10105293750</t>
  </si>
  <si>
    <t>SMR2220661014861</t>
  </si>
  <si>
    <t>10105417599</t>
  </si>
  <si>
    <t>KFM2120660244399</t>
  </si>
  <si>
    <t>10006279716</t>
  </si>
  <si>
    <t>KFM2020660180496</t>
  </si>
  <si>
    <t>10006330828</t>
  </si>
  <si>
    <t>KFM2120655003712</t>
  </si>
  <si>
    <t>10006337945</t>
  </si>
  <si>
    <t>KFM2120660285671</t>
  </si>
  <si>
    <t>10006330541</t>
  </si>
  <si>
    <t>KFM2120660255261</t>
  </si>
  <si>
    <t>10006291372</t>
  </si>
  <si>
    <t>KFM2120660239845</t>
  </si>
  <si>
    <t>10006323341</t>
  </si>
  <si>
    <t>16°57'34.5"N 42°50'16.9"E</t>
  </si>
  <si>
    <t>16.963276080801855, 42.830122240074836</t>
  </si>
  <si>
    <t>16.968889161325276, 42.8181238175016</t>
  </si>
  <si>
    <t>16.969862951868087, 42.823870078845026</t>
  </si>
  <si>
    <t>16.97062165629924, 42.83634174417771</t>
  </si>
  <si>
    <t>16.95768920830115, 42.83256802479369</t>
  </si>
  <si>
    <t>16.95778127115714, 42.832999732459136</t>
  </si>
  <si>
    <t>16.957627785924853, 42.8334138</t>
  </si>
  <si>
    <t>16°58'28"N 42°50'51"E</t>
  </si>
  <si>
    <t>16°58'28.6"N 42°50'41.9"E</t>
  </si>
  <si>
    <t>16.974251383986015, 42.83288656269455</t>
  </si>
  <si>
    <t>16.966761855623282, 42.83614311899491</t>
  </si>
  <si>
    <t>16.97511682018834, 42.847448269310554</t>
  </si>
  <si>
    <t>17.006131029737695, 42.83644619840216</t>
  </si>
  <si>
    <t>17.05641898652797, 42.78366228124587</t>
  </si>
  <si>
    <t>17.00460746288444, 42.830342066754724</t>
  </si>
  <si>
    <t>16.997283396305757, 42.77936471925454</t>
  </si>
  <si>
    <t>16°59'36.3"N 42°46'27.6"E</t>
  </si>
  <si>
    <t>17.042082189616675, 42.75748071767517</t>
  </si>
  <si>
    <t>17.044868168401106, 42.76000007301708</t>
  </si>
  <si>
    <t>17.04017982291694, 42.76037703043037</t>
  </si>
  <si>
    <t>17.080740513460572, 42.749020090048006</t>
  </si>
  <si>
    <t>17°04'48.5"N 42°44'56.8"E</t>
  </si>
  <si>
    <t>17°04'39.5"N 42°44'48.0"E</t>
  </si>
  <si>
    <t>17.11430607941305, 42.661367403287855</t>
  </si>
  <si>
    <t>17.154344460007977, 42.6501683558191</t>
  </si>
  <si>
    <t>17°06'15.8"N 42°46'36.0"E</t>
  </si>
  <si>
    <t>17°06'38.9"N 42°46'41.4"E</t>
  </si>
  <si>
    <t>17.109998802448473, 42.780488743525936</t>
  </si>
  <si>
    <t>17°06'36.1"N 42°46'51.1"E</t>
  </si>
  <si>
    <t>17.11361050622295, 42.77371599945647</t>
  </si>
  <si>
    <t>17.130356619606985, 42.769546386508544</t>
  </si>
  <si>
    <t>17°06'24.3"N 42°47'05.1"E</t>
  </si>
  <si>
    <t>17.113052669151006, 42.77050929999771</t>
  </si>
  <si>
    <t>16.97493321888257, 42.7927063944747</t>
  </si>
  <si>
    <t>16.973326184148895, 42.75285668334347</t>
  </si>
  <si>
    <t>17.006718945904325, 42.824927</t>
  </si>
  <si>
    <t>16.99452209503264, 42.855987567673104</t>
  </si>
  <si>
    <t>16°58'30.8"N 42°40'58.6"E</t>
  </si>
  <si>
    <t>16.933887959125236, 42.76675604418091</t>
  </si>
  <si>
    <t>16.93674599511486, 42.77257233434316</t>
  </si>
  <si>
    <t>17.038445655915556, 42.81451968465527</t>
  </si>
  <si>
    <t>17.04146651095394, 42.87739364603415</t>
  </si>
  <si>
    <t>17.138381707866845, 42.61926791349146</t>
  </si>
  <si>
    <t>17.046201133867385, 42.83025084047438</t>
  </si>
  <si>
    <t>16.97535627432318, 42.83577970000001</t>
  </si>
  <si>
    <t>17°01'41.4"N 42°41'44.6"E</t>
  </si>
  <si>
    <t>16.864896681915724, 42.90960631163819</t>
  </si>
  <si>
    <t>16.940152738135236, 42.908290055819094</t>
  </si>
  <si>
    <t>16.786382654143058, 42.951104457672365</t>
  </si>
  <si>
    <t>17°02'29.4"N 42°48'44.5"E</t>
  </si>
  <si>
    <t>16.949380199156835, 42.73067848280202</t>
  </si>
  <si>
    <t>17.104133354833646, 42.774664968498655</t>
  </si>
  <si>
    <t>17°04'38.5"N 42°44'53.2"E</t>
  </si>
  <si>
    <t>16°58'30.1"N 42°50'09.4"E</t>
  </si>
  <si>
    <t>17.170256984100686, 42.52023845952562</t>
  </si>
  <si>
    <t>17.244857300692964, 42.607372740474375</t>
  </si>
  <si>
    <t>16.78649595240109, 42.94595895767236</t>
  </si>
  <si>
    <t>16.786434322465112, 42.9459375</t>
  </si>
  <si>
    <t>16.89454305146105, 42.5570755</t>
  </si>
  <si>
    <t>16°55'23.5"N 42°49'29.4"E</t>
  </si>
  <si>
    <t>16.923553673414382, 42.82522457658706</t>
  </si>
  <si>
    <t>16.932079579434205, 42.559014342327636</t>
  </si>
  <si>
    <t>16.89497465105003, 42.55653295767237</t>
  </si>
  <si>
    <t>16.898312282273935, 42.54881429444022</t>
  </si>
  <si>
    <t>16.889715488189506, 42.57970028465529</t>
  </si>
  <si>
    <t>16.93079556901566, 42.632841967480445</t>
  </si>
  <si>
    <t>16.882816782103745, 42.563681213812735</t>
  </si>
  <si>
    <t>16.75534887007164, 42.730054094461615</t>
  </si>
  <si>
    <t>16.626799284734247, 42.862743371164825</t>
  </si>
  <si>
    <t>16.94134163758386, 42.64094050184612</t>
  </si>
  <si>
    <t>16.549758023413865, 42.9777391558242</t>
  </si>
  <si>
    <t>17.14953133361827, 42.61282215038133</t>
  </si>
  <si>
    <t>17.158682386154855, 42.65150739630776</t>
  </si>
  <si>
    <t>17.159158392380636, 42.65287785582418</t>
  </si>
  <si>
    <t>17.15236265578818, 42.63867834232967</t>
  </si>
  <si>
    <t>17.15390279946398, 42.6502813558242</t>
  </si>
  <si>
    <t>17.15722135362705, 42.6309806558242</t>
  </si>
  <si>
    <t>17.157744007157877, 42.63071789815387</t>
  </si>
  <si>
    <t>17.152597484061687, 42.65067057301098</t>
  </si>
  <si>
    <t>16.732563  42.902365</t>
  </si>
  <si>
    <t>16.8362325  42.7348711</t>
  </si>
  <si>
    <t>16.6846120  42.9233640</t>
  </si>
  <si>
    <t>16.833814  42.736811</t>
  </si>
  <si>
    <t>16.7112347  42.9583902</t>
  </si>
  <si>
    <t>16.718043  42.957032</t>
  </si>
  <si>
    <t>16.7108758  42.9656098</t>
  </si>
  <si>
    <t>16.721047  42.974121</t>
  </si>
  <si>
    <t>16.5788133 42.9478677</t>
  </si>
  <si>
    <t>16.736953  43.158418</t>
  </si>
  <si>
    <t>16.713739  42.964098</t>
  </si>
  <si>
    <t>16.765862  42.923650</t>
  </si>
  <si>
    <t>16.674437  42.899902</t>
  </si>
  <si>
    <t>16.751893  42.730989</t>
  </si>
  <si>
    <t>16.653664  42.778111</t>
  </si>
  <si>
    <t>16.713304  42.964203</t>
  </si>
  <si>
    <t>16.639663  42.902580</t>
  </si>
  <si>
    <t>16.547193  42.979889</t>
  </si>
  <si>
    <t>16.5377333  42.9263896</t>
  </si>
  <si>
    <t>16.5462227  42.9786665</t>
  </si>
  <si>
    <t>16.5810448  42.911870</t>
  </si>
  <si>
    <t>16.586286  42.911744</t>
  </si>
  <si>
    <t>16.589681  42.926568</t>
  </si>
  <si>
    <t>16.562745  42.945337</t>
  </si>
  <si>
    <t>16.6043018  42.9501566</t>
  </si>
  <si>
    <t>16.596432  42.946904</t>
  </si>
  <si>
    <t>16.6038404  42.9501295</t>
  </si>
  <si>
    <t>16.614087  42.988118</t>
  </si>
  <si>
    <t>16.614580  42.989560</t>
  </si>
  <si>
    <t>16.591879  42.936831</t>
  </si>
  <si>
    <t>16.6067442  42.9334240</t>
  </si>
  <si>
    <t>16.6067899  42.9335460</t>
  </si>
  <si>
    <t>16.607059  42.933585</t>
  </si>
  <si>
    <t>16.607182  42.934143</t>
  </si>
  <si>
    <t>16.644138  42.992464</t>
  </si>
  <si>
    <t>16.674227  42.957659</t>
  </si>
  <si>
    <t>16.617515  42.967031</t>
  </si>
  <si>
    <t>16.680374  42.977194</t>
  </si>
  <si>
    <t>16.543078  42.844517</t>
  </si>
  <si>
    <t>16.5163364  42.7964308</t>
  </si>
  <si>
    <t>16.5283091  42.7916146</t>
  </si>
  <si>
    <t>16.5313208  42.9501935</t>
  </si>
  <si>
    <t>16.433222  42.840497</t>
  </si>
  <si>
    <t>16.5405809  42.8662152</t>
  </si>
  <si>
    <t>16.5868427  42.9062365</t>
  </si>
  <si>
    <t>16.5787905  42.9018299</t>
  </si>
  <si>
    <t>16.4248133  42.8282653</t>
  </si>
  <si>
    <t>16.5981437  42.9416949</t>
  </si>
  <si>
    <t>16.629796  42.907999</t>
  </si>
  <si>
    <t>16.6085483  42.9579263</t>
  </si>
  <si>
    <t>16.6271927  42.9108837</t>
  </si>
  <si>
    <t>16.6424431  42.9905705</t>
  </si>
  <si>
    <t>16.683592  42.982267</t>
  </si>
  <si>
    <t>16.6751732  43.0009543</t>
  </si>
  <si>
    <t>16.6690428  42.9537830</t>
  </si>
  <si>
    <t>16.54186503  42.85045854</t>
  </si>
  <si>
    <t>16.930624  42.562888</t>
  </si>
  <si>
    <t>16.925657  42.556166</t>
  </si>
  <si>
    <t>16.930549  42.561700</t>
  </si>
  <si>
    <t>16.926498  42.556190</t>
  </si>
  <si>
    <t>16.926495  42.557315</t>
  </si>
  <si>
    <t>16.931136  42.561683</t>
  </si>
  <si>
    <t>16.877771  42.574784</t>
  </si>
  <si>
    <t>16.9206979 42.5606261</t>
  </si>
  <si>
    <t>16.914993  42.568620</t>
  </si>
  <si>
    <t>16.8819097 42.5453265</t>
  </si>
  <si>
    <t>16.9322892  42.5585199</t>
  </si>
  <si>
    <t>16.7184350  42.9942377</t>
  </si>
  <si>
    <t>16.718656  42.975013</t>
  </si>
  <si>
    <t>Jazan</t>
  </si>
  <si>
    <t>الشرفة المتوسطة بنات</t>
  </si>
  <si>
    <t>ابن الاثير الثانوية بنين</t>
  </si>
  <si>
    <t>العرباض بن سارية الثانوية بنين</t>
  </si>
  <si>
    <t>الروضة الواحدة والعشرون بنات</t>
  </si>
  <si>
    <t>الحديبية الثانوية بنين</t>
  </si>
  <si>
    <t>ام القرى المتوسطة</t>
  </si>
  <si>
    <t>العباس بن عبد المطلب الثانويه</t>
  </si>
  <si>
    <t>الحايرة للطفوله المبكره</t>
  </si>
  <si>
    <t>عبد الله بن الزبير الابتدائية بنين</t>
  </si>
  <si>
    <t>متوسطة الخباش بنات</t>
  </si>
  <si>
    <t>سايلة غزال الابتدائية بنين</t>
  </si>
  <si>
    <t>الروضة الثامنة بسايلة غزال / عاتكة</t>
  </si>
  <si>
    <t>ثانوية ابن القيم وبرنامج التربية الفكرية</t>
  </si>
  <si>
    <t>ابتدائية حبونا الثانية بنات</t>
  </si>
  <si>
    <t>المنتشر الابتدائية بنات</t>
  </si>
  <si>
    <t>ابتدائية المجمع بنين</t>
  </si>
  <si>
    <t>المجمع المتوسطة</t>
  </si>
  <si>
    <t>سعد بن الربيع الابتدائية</t>
  </si>
  <si>
    <t>ثانوية جابر بن حيان</t>
  </si>
  <si>
    <t>متوسطة هاشم بن عبدالملك بنين</t>
  </si>
  <si>
    <t>حبونا المتوسطة بنات</t>
  </si>
  <si>
    <t>بني هميم بنات</t>
  </si>
  <si>
    <t>الخانق الابتدائية بنات</t>
  </si>
  <si>
    <t>هدادة المتوسطة بنات</t>
  </si>
  <si>
    <t>الوليد بن عبدالملك المتوسطة - بنين</t>
  </si>
  <si>
    <t>ابا الطحين للطفولة المبكرة - بنات</t>
  </si>
  <si>
    <t>الحرشف الإبتدائية - بنات</t>
  </si>
  <si>
    <t>الجفة للطفولة المبكره</t>
  </si>
  <si>
    <t>هدادة الابتدائية للطفولة المبكرة</t>
  </si>
  <si>
    <t>فرع الجبل للطفولة المبكرة بنات</t>
  </si>
  <si>
    <t>روضة البيان بهدادة</t>
  </si>
  <si>
    <t>صهيب بن سنان الثانوية</t>
  </si>
  <si>
    <t>هدادة الابتدائية بنين</t>
  </si>
  <si>
    <t>الغزالي الثانوية بنين</t>
  </si>
  <si>
    <t>الروضة التاسعة عشر</t>
  </si>
  <si>
    <t>زيد بن الحارثة الابتدائية بنين</t>
  </si>
  <si>
    <t>الابتدائية الثانية بالمشعلية بنات</t>
  </si>
  <si>
    <t>حسان بن ثابت الابتدائية</t>
  </si>
  <si>
    <t>الحرشف الابتدائية بنين</t>
  </si>
  <si>
    <t>الضيقة الثانوية بنات</t>
  </si>
  <si>
    <t>مدرسة قراء الابتدائية بنين</t>
  </si>
  <si>
    <t>رجلاء الابتدائية بنين</t>
  </si>
  <si>
    <t>ثانوية الملك فهد بنين</t>
  </si>
  <si>
    <t>ابن تيمية المتوسطه بنين</t>
  </si>
  <si>
    <t>مدرسة احد المتوسطة وبرنامج التربية الفكرية</t>
  </si>
  <si>
    <t>الشيخ محمد بن عبدالوهاب الابتدائية بنين</t>
  </si>
  <si>
    <t>ابتدائيه بئر عسكر للطفوله المبكره</t>
  </si>
  <si>
    <t>مدرسة طيبة المتوسطة بنين</t>
  </si>
  <si>
    <t>المدرسة السادسة عشر الثانوية بنات</t>
  </si>
  <si>
    <t>جواهر بنت عبدالعزيز للطفولة المبكرة</t>
  </si>
  <si>
    <t>ثانوية ابن خلدون</t>
  </si>
  <si>
    <t>الامام البخاري الابتدائية</t>
  </si>
  <si>
    <t>الحسن بن هيثم المتوسطة</t>
  </si>
  <si>
    <t>هجرة بن حجاب الابتدائية بنات</t>
  </si>
  <si>
    <t>علي بن ابي طالب الابتدائية بنين</t>
  </si>
  <si>
    <t>ابن سينا المتوسطة بنين</t>
  </si>
  <si>
    <t>مدرسة متوسطة المشعلية بنات</t>
  </si>
  <si>
    <t>مدرسة المشعلية الثانوية بنات</t>
  </si>
  <si>
    <t>مدرسة النواس بن سمعان الابتدائية بنين</t>
  </si>
  <si>
    <t>الاخدود الابتدائية بنات</t>
  </si>
  <si>
    <t>ثانوية الصويقطة بنات</t>
  </si>
  <si>
    <t>شيخه بنت عبدالعزيز للطفولة المبكرة</t>
  </si>
  <si>
    <t>المدرسة المتوسطة الرابعة عشر</t>
  </si>
  <si>
    <t>المتوسطة الاولى لتحفيظ القران الكريم</t>
  </si>
  <si>
    <t>ثانوية المغيره بن شعبه بنين</t>
  </si>
  <si>
    <t>المنتشر الابتدائية بنين</t>
  </si>
  <si>
    <t>متوسطة الخانق بنات</t>
  </si>
  <si>
    <t>مدرسة الملك فيصل الابتدائية</t>
  </si>
  <si>
    <t>مدرسة الزبير بن العوام المتوسطة</t>
  </si>
  <si>
    <t>مدرسة انس بن مالك الابتدائية</t>
  </si>
  <si>
    <t>مدرسة المعتصم الابتدائية</t>
  </si>
  <si>
    <t>مدرسة محمد بن القاسم الابتدائية</t>
  </si>
  <si>
    <t>ابتدائية ومتوسطة بدر الجنوب</t>
  </si>
  <si>
    <t>مدرسة الفارابي الثانوية</t>
  </si>
  <si>
    <t>Al-Muthanna ibn Haritha al-Ibta'iyya Banu</t>
  </si>
  <si>
    <t>Bilal Ibn Rabah Elementary School</t>
  </si>
  <si>
    <t>The middle balcony for girls</t>
  </si>
  <si>
    <t>Jumana bint Abi Talib for Early Childhood</t>
  </si>
  <si>
    <t>Imam Muslim Elementary School</t>
  </si>
  <si>
    <t>Ibn Al-Atheer Secondary School for Boys</t>
  </si>
  <si>
    <t>Abdul Rahman Al-Dakhil Primary School for Boys</t>
  </si>
  <si>
    <t>Al-Arbad Bin Sariya Secondary School for Boys</t>
  </si>
  <si>
    <t>Abdullah bin Rawaha Intermediate School for Boys</t>
  </si>
  <si>
    <t>Al-Murakkab Primary School for Boys</t>
  </si>
  <si>
    <t>Al-Arisa Elementary School for Boys</t>
  </si>
  <si>
    <t>Riman Elementary Girls</t>
  </si>
  <si>
    <t>Ibn Majah Secondary School for Boys</t>
  </si>
  <si>
    <t>Al-Murakkab Girls' Secondary School</t>
  </si>
  <si>
    <t>Al-Murakab Intermediate School for Girls</t>
  </si>
  <si>
    <t>The thirty-second school for early childhood</t>
  </si>
  <si>
    <t>Umm Ammar for Early Childhood</t>
  </si>
  <si>
    <t>The Forty-First Girls' Elementary School</t>
  </si>
  <si>
    <t>The thirty-fourth girls' elementary school</t>
  </si>
  <si>
    <t>The twenty-first kindergarten for girls</t>
  </si>
  <si>
    <t>Al-Hudaybiyah Secondary School for Boys</t>
  </si>
  <si>
    <t>The Twenty-First Early Childhood School</t>
  </si>
  <si>
    <t>Twenty-second Intermediate School</t>
  </si>
  <si>
    <t>Fifteenth Intermediate Girls</t>
  </si>
  <si>
    <t>Umm Ka'b Al-Ansariyah for Early Childhood</t>
  </si>
  <si>
    <t>Umm al-Qura al-Mutawassita</t>
  </si>
  <si>
    <t>Sharhabil Bin Hasna Secondary School for Boys</t>
  </si>
  <si>
    <t>Al-Abbas ibn Abd al-Muttalib Secondary School</t>
  </si>
  <si>
    <t>The Confused One for Early Childhood</t>
  </si>
  <si>
    <t>Abdullah bin Al-Zubair Elementary School for Boys</t>
  </si>
  <si>
    <t>Khawla Bint Amr for Early Childhood Girls</t>
  </si>
  <si>
    <t>Al-Khabash Primary School for Boys</t>
  </si>
  <si>
    <t>Abu Firas Al-Hamdani Elementary School for Boys</t>
  </si>
  <si>
    <t>Khabash Primary School for Girls</t>
  </si>
  <si>
    <t>Al-Khabash Intermediate School for Girls</t>
  </si>
  <si>
    <t>Khabbab bin Al-Arth Secondary School</t>
  </si>
  <si>
    <t>Bir Askar Girls' Intermediate School</t>
  </si>
  <si>
    <t>Jaafar Al-Tayyar Intermediate School</t>
  </si>
  <si>
    <t>Sayla Ghazal Elementary School for Boys</t>
  </si>
  <si>
    <t>The eighth kindergarten in Sayla Ghazal / Atika</t>
  </si>
  <si>
    <t>Habuna Second Girls' Elementary School</t>
  </si>
  <si>
    <t>Al-Muntashir Primary School for Girls</t>
  </si>
  <si>
    <t>Al-Mujamma'a Elementary School for Boys</t>
  </si>
  <si>
    <t>Intermediate Complex</t>
  </si>
  <si>
    <t>Saad bin Al-Rabee Elementary School</t>
  </si>
  <si>
    <t>Jaber Bin Hayyan High School</t>
  </si>
  <si>
    <t>Al-Ahnaf bin Qais Intermediate School</t>
  </si>
  <si>
    <t>Hashim Bin Abdulmalik Intermediate School for Boys</t>
  </si>
  <si>
    <t>Habona Elementary School for Boys</t>
  </si>
  <si>
    <t>Habuna Intermediate Girls</t>
  </si>
  <si>
    <t>Bani Hamim girls</t>
  </si>
  <si>
    <t>Al-Khanq Primary School for Girls</t>
  </si>
  <si>
    <t>Haddada Intermediate Girls</t>
  </si>
  <si>
    <t>Al-Walid bin Abdulmalik Intermediate School - Boys</t>
  </si>
  <si>
    <t>Abu Al-Tahin for Early Childhood - Girls</t>
  </si>
  <si>
    <t>Al-Harshaf Primary School - Girls</t>
  </si>
  <si>
    <t>Early childhood care</t>
  </si>
  <si>
    <t>Haddada Primary School for Early Childhood</t>
  </si>
  <si>
    <t>Al Jabal Branch for Early Childhood Girls</t>
  </si>
  <si>
    <t>Rawdat Al-Bayan Bahdada</t>
  </si>
  <si>
    <t>Suhaib Bin Sinan High School</t>
  </si>
  <si>
    <t>Haddada Primary School for Boys</t>
  </si>
  <si>
    <t>Zaid bin Al-Khattab Intermediate School for Boys</t>
  </si>
  <si>
    <t>Akifa Primary School for Girls</t>
  </si>
  <si>
    <t>Al-Ruwaika Primary School for Boys</t>
  </si>
  <si>
    <t>Twenty-one Intermediate Girls</t>
  </si>
  <si>
    <t>The twenty-second kindergarten for girls</t>
  </si>
  <si>
    <t>The twenty-third kindergarten</t>
  </si>
  <si>
    <t>Riman Elementary School for Boys</t>
  </si>
  <si>
    <t>Al-Ghazali Secondary School for Boys</t>
  </si>
  <si>
    <t>Third grade</t>
  </si>
  <si>
    <t>Asma Bint Al-Harith School for Early Childhood</t>
  </si>
  <si>
    <t>Eleventh Kindergarten</t>
  </si>
  <si>
    <t>First Intermediate School for Girls</t>
  </si>
  <si>
    <t>Musa Bin Nusair Elementary School</t>
  </si>
  <si>
    <t>The nineteenth kindergarten</t>
  </si>
  <si>
    <t>Sixteenth Kindergarten</t>
  </si>
  <si>
    <t>Zaid bin Haritha Elementary School for Boys</t>
  </si>
  <si>
    <t>Second Elementary School for Girls in Al-Mash'aliyah</t>
  </si>
  <si>
    <t>Hassan Bin Thabit Elementary School</t>
  </si>
  <si>
    <t>Al-Harshaf Primary School for Boys</t>
  </si>
  <si>
    <t>Eleventh Girls' High School</t>
  </si>
  <si>
    <t>Twenty-fourth Elementary School for Girls</t>
  </si>
  <si>
    <t>Thirteenth Intermediate Girls</t>
  </si>
  <si>
    <t>Hittin Intermediate School for Boys</t>
  </si>
  <si>
    <t>East Al-Hamr Boys' Primary School</t>
  </si>
  <si>
    <t>Seventh for early childhood</t>
  </si>
  <si>
    <t>Mu'adh ibn Jabal Elementary School for Boys</t>
  </si>
  <si>
    <t>Omar Ibn Al-Khattab Elementary School for Boys</t>
  </si>
  <si>
    <t>Ibn Hazm Secondary School for Boys</t>
  </si>
  <si>
    <t>Al-Khalif Primary School for Boys</t>
  </si>
  <si>
    <t>King Abdulaziz Secondary School for Boys</t>
  </si>
  <si>
    <t>Third Girls' High School</t>
  </si>
  <si>
    <t>Eighth Early Childhood School for Girls</t>
  </si>
  <si>
    <t>The thirty-third kindergarten</t>
  </si>
  <si>
    <t>The Fourteenth Elementary School for Early Childhood</t>
  </si>
  <si>
    <t>Twelfth Intermediate School for Girls</t>
  </si>
  <si>
    <t>Fatima Al-Zahra Primary School for Early Childhood</t>
  </si>
  <si>
    <t>Twelfth Girls' High School</t>
  </si>
  <si>
    <t>Al-Nadiqa Secondary Girls</t>
  </si>
  <si>
    <t>Quraa Primary School for Boys</t>
  </si>
  <si>
    <t>Rajlaa Primary School for Boys</t>
  </si>
  <si>
    <t>Al-Hamr Primary School for Early Childhood</t>
  </si>
  <si>
    <t>Nahawand Intermediate School for Boys</t>
  </si>
  <si>
    <t>Al-Qabil Secondary Girls</t>
  </si>
  <si>
    <t>Twelfth Kindergarten for Girls</t>
  </si>
  <si>
    <t>First for early childhood</t>
  </si>
  <si>
    <t>King Fahd Secondary School for Boys</t>
  </si>
  <si>
    <t>Ibn Taymiyyah Intermediate School for Boys</t>
  </si>
  <si>
    <t>Najran Secondary School for Boys</t>
  </si>
  <si>
    <t>Khalid Bin Al-Walid Elementary School for Boys</t>
  </si>
  <si>
    <t>The thirty-ninth school for blessed childhood</t>
  </si>
  <si>
    <t>First Kindergarten for Girls</t>
  </si>
  <si>
    <t>Al-Andalus Intermediate School for Boys</t>
  </si>
  <si>
    <t>Hafsa Al-Sudairi for Early Childhood Girls</t>
  </si>
  <si>
    <t>King Abdullah Elementary School</t>
  </si>
  <si>
    <t>Bir Askar Primary School for Early Childhood</t>
  </si>
  <si>
    <t>Tayba Intermediate School for Boys</t>
  </si>
  <si>
    <t>Al-Jarba Primary School for Girls</t>
  </si>
  <si>
    <t>Muslimah Bin Abdulmalik Intermediate School</t>
  </si>
  <si>
    <t>Seventh Intermediate School for Girls</t>
  </si>
  <si>
    <t>Ammourieh Intermediate School</t>
  </si>
  <si>
    <t>Rajlaa Elementary Girls</t>
  </si>
  <si>
    <t>Tenth Girls' Elementary School</t>
  </si>
  <si>
    <t>Abi Al-Darda Intermediate School for Boys</t>
  </si>
  <si>
    <t>Saudi Arabia for Early Childhood</t>
  </si>
  <si>
    <t>Sixteenth Girls' High School</t>
  </si>
  <si>
    <t>The second kindergarten in Al-Jarba</t>
  </si>
  <si>
    <t>Jawahir Bint Abdulaziz for Early Childhood</t>
  </si>
  <si>
    <t>Reer Elementary School for Girls</t>
  </si>
  <si>
    <t>Al-Jawhara Bint Musaed for Early Childhood</t>
  </si>
  <si>
    <t>Ibn Khaldoun High School</t>
  </si>
  <si>
    <t>Eighteenth Intermediate Girls</t>
  </si>
  <si>
    <t>Second High School</t>
  </si>
  <si>
    <t>Imam Bukhari Elementary School</t>
  </si>
  <si>
    <t>Intermediate Girls</t>
  </si>
  <si>
    <t>Al-Hassan Ibn Al-Haytham Intermediate School</t>
  </si>
  <si>
    <t>Second Primary School for Early Childhood</t>
  </si>
  <si>
    <t>Hijra Bin Hijab Primary School for Girls</t>
  </si>
  <si>
    <t>Ali Bin Abi Talib Elementary School for Boys</t>
  </si>
  <si>
    <t>Ibn Sina Intermediate School for Boys</t>
  </si>
  <si>
    <t>The middle school girls' hug</t>
  </si>
  <si>
    <t>Al-Mash'aliyah Intermediate School for Girls</t>
  </si>
  <si>
    <t>Al-Mash'aliyah Secondary School for Girls</t>
  </si>
  <si>
    <t>Al-Nawas Bin Sam'an Elementary School for Boys</t>
  </si>
  <si>
    <t>Sheikh Muhammad bin Saleh bin Uthaymeen High School</t>
  </si>
  <si>
    <t>Al-Ruwaikiba for Early Childhood</t>
  </si>
  <si>
    <t>Al-Akhdoud Primary School for Girls</t>
  </si>
  <si>
    <t>Yarmouk Secondary School for Boys</t>
  </si>
  <si>
    <t>East Rajlaa Primary School Early Childhood</t>
  </si>
  <si>
    <t>Al-Qadisiyah Intermediate School for Boys</t>
  </si>
  <si>
    <t>Seventeenth Kindergarten</t>
  </si>
  <si>
    <t>Al-Kuntub Kindergarten Complex</t>
  </si>
  <si>
    <t>Second Intermediate School</t>
  </si>
  <si>
    <t>The first kindergarten in Al-Jarba</t>
  </si>
  <si>
    <t>Al-Jarba Girls' Secondary School</t>
  </si>
  <si>
    <t>Al-Suwaiqah Girls' Secondary School</t>
  </si>
  <si>
    <t>Twentieth Intermediate</t>
  </si>
  <si>
    <t>Sheikha Bint Abdulaziz for Early Childhood</t>
  </si>
  <si>
    <t>Thirteenth High School</t>
  </si>
  <si>
    <t>Eighth Secondary School for Girls (Curriculum)</t>
  </si>
  <si>
    <t>Girls' High School Men</t>
  </si>
  <si>
    <t>Fourteenth Intermediate School</t>
  </si>
  <si>
    <t>Fifth Secondary</t>
  </si>
  <si>
    <t>Al Jazeera Middle</t>
  </si>
  <si>
    <t>Nineteenth Intermediate School for Girls</t>
  </si>
  <si>
    <t>Al-Mughira Bin Shu’ba Secondary School for Boys</t>
  </si>
  <si>
    <t>King Abdullah Intermediate</t>
  </si>
  <si>
    <t>Sheikh Abdul Aziz bin Baz Intermediate School</t>
  </si>
  <si>
    <t>Al-Muntasher Primary School for Boys</t>
  </si>
  <si>
    <t>Al-Khanq Intermediate Girls</t>
  </si>
  <si>
    <t>20th High School</t>
  </si>
  <si>
    <t>SXE2120627091033</t>
  </si>
  <si>
    <t>HLY2020627049388</t>
  </si>
  <si>
    <t>HLY2020627051496</t>
  </si>
  <si>
    <t>SXE2020627015665</t>
  </si>
  <si>
    <t>HLY2020627049622</t>
  </si>
  <si>
    <t>HLY2020627049422</t>
  </si>
  <si>
    <t>HLY2020627046673</t>
  </si>
  <si>
    <t>HLY2020627047212</t>
  </si>
  <si>
    <t>HLY2020627051942</t>
  </si>
  <si>
    <t>HLY2020627046762</t>
  </si>
  <si>
    <t>HLY2020627049507</t>
  </si>
  <si>
    <t>SXE2020627018137</t>
  </si>
  <si>
    <t>HLY2020627044474</t>
  </si>
  <si>
    <t>HLY2020627044405</t>
  </si>
  <si>
    <t>HLY2020627049611</t>
  </si>
  <si>
    <t>HLY2020627044453</t>
  </si>
  <si>
    <t>HLY2020627049579</t>
  </si>
  <si>
    <t>HLY2020627047208</t>
  </si>
  <si>
    <t>SXE2120627106504</t>
  </si>
  <si>
    <t>HLY2020627044475</t>
  </si>
  <si>
    <t>HLY2020627044445</t>
  </si>
  <si>
    <t>HLY2020627049374</t>
  </si>
  <si>
    <t>HLY2020627044463</t>
  </si>
  <si>
    <t>HLY2020627044424</t>
  </si>
  <si>
    <t>HLY2020627044422</t>
  </si>
  <si>
    <t>HLY2020627042708</t>
  </si>
  <si>
    <t>HLY2020627044468</t>
  </si>
  <si>
    <t>HLY2020627044447</t>
  </si>
  <si>
    <t>HLY2020627044421</t>
  </si>
  <si>
    <t>HLY2020627044528</t>
  </si>
  <si>
    <t>SXE2020627018227</t>
  </si>
  <si>
    <t>HLY2020627044530</t>
  </si>
  <si>
    <t>HLY2020627044527</t>
  </si>
  <si>
    <t>HLY2020627018175</t>
  </si>
  <si>
    <t>ALH2020807393935</t>
  </si>
  <si>
    <t>HLY2020627042721</t>
  </si>
  <si>
    <t>HLY2020627042733</t>
  </si>
  <si>
    <t>HLY2020627044426</t>
  </si>
  <si>
    <t>HLY2020627044500</t>
  </si>
  <si>
    <t>HLY2020627044509</t>
  </si>
  <si>
    <t>HLY2020627049499</t>
  </si>
  <si>
    <t>HLY2020627049576</t>
  </si>
  <si>
    <t>HLY2020627049608</t>
  </si>
  <si>
    <t>HLY2020627049636</t>
  </si>
  <si>
    <t>HLY2020627050269</t>
  </si>
  <si>
    <t>HLY2020627051020</t>
  </si>
  <si>
    <t>HLY2020627051036</t>
  </si>
  <si>
    <t>HLY2020627051072</t>
  </si>
  <si>
    <t>HLY2020627051485</t>
  </si>
  <si>
    <t>HLY2020627051506</t>
  </si>
  <si>
    <t>HLY2020627051911</t>
  </si>
  <si>
    <t>HLY2020627052032</t>
  </si>
  <si>
    <t>HLY2020627052043</t>
  </si>
  <si>
    <t>SMR2320621019146</t>
  </si>
  <si>
    <t>SXE2020627015571</t>
  </si>
  <si>
    <t>SXE2020627015676</t>
  </si>
  <si>
    <t>SXE2020627018158</t>
  </si>
  <si>
    <t>SXE2020627018159</t>
  </si>
  <si>
    <t>SXE2020627018163</t>
  </si>
  <si>
    <t>SXE2020627018168</t>
  </si>
  <si>
    <t>SXE2020627018196</t>
  </si>
  <si>
    <t>SXE2020627041063</t>
  </si>
  <si>
    <t>SXE2020627041097</t>
  </si>
  <si>
    <t>SXE2120627106472</t>
  </si>
  <si>
    <t>HLY2020627051922</t>
  </si>
  <si>
    <t>SXE2020627012809</t>
  </si>
  <si>
    <t>HLY2020627051996</t>
  </si>
  <si>
    <t>HLY2020627049464</t>
  </si>
  <si>
    <t>HLY2020627049500</t>
  </si>
  <si>
    <t>HLY2020627049566</t>
  </si>
  <si>
    <t>HLY2020627044462</t>
  </si>
  <si>
    <t>SXE2020627015558</t>
  </si>
  <si>
    <t>HLY2020627042602</t>
  </si>
  <si>
    <t>HLY2020627051063</t>
  </si>
  <si>
    <t>HLY2020627042724</t>
  </si>
  <si>
    <t>HLY2020627042634</t>
  </si>
  <si>
    <t>HLY2020627049649</t>
  </si>
  <si>
    <t>SXE2020627018166</t>
  </si>
  <si>
    <t>17°32'53.7"N 44°15'08.2"E</t>
  </si>
  <si>
    <t>17°31'12.0"N 44°16'31.7"E</t>
  </si>
  <si>
    <t>17.515808385721865, 44.27971549725874</t>
  </si>
  <si>
    <t>17°30'58.7"N 44°16'46.8"E</t>
  </si>
  <si>
    <t>17.516446129960872, 44.281018622774525</t>
  </si>
  <si>
    <t>17.56804866615516, 44.220248652183</t>
  </si>
  <si>
    <t>17.546787146795022, 44.26245775463659</t>
  </si>
  <si>
    <t>17.58283179738222, 44.235805615389786</t>
  </si>
  <si>
    <t>17.562527415912324, 44.3240732976294</t>
  </si>
  <si>
    <t>17.56299673728043, 44.3184469527873</t>
  </si>
  <si>
    <t>17.533583459075132, 44.33449181676425</t>
  </si>
  <si>
    <t>17.547263068330036, 44.38611703626818</t>
  </si>
  <si>
    <t>17.557610692991435, 44.30444430558722</t>
  </si>
  <si>
    <t>17.527288021514792, 44.32555054053518</t>
  </si>
  <si>
    <t>17.529228461931286, 44.32678448948463</t>
  </si>
  <si>
    <t>17.533776157437277, 44.33605576112488</t>
  </si>
  <si>
    <t>17.562992935342113, 44.255814403391184</t>
  </si>
  <si>
    <t>17°33'33.9"N 44°18'07.2"E</t>
  </si>
  <si>
    <t>17°34'28.6"N 44°14'42.1"E</t>
  </si>
  <si>
    <t>17.563843400330217, 44.312963417236055</t>
  </si>
  <si>
    <t>17.56389900025158, 44.3127284122738</t>
  </si>
  <si>
    <t>17.75908944290501, 44.45877815767236</t>
  </si>
  <si>
    <t>17.578583773018966, 44.23307967142225</t>
  </si>
  <si>
    <t>17.578952843371024, 44.233397555708855</t>
  </si>
  <si>
    <t>17.600413551942243, 44.45979927116382</t>
  </si>
  <si>
    <t>17.544119764838396, 44.28499866674047</t>
  </si>
  <si>
    <t>17.544424480587235, 44.284493999999995</t>
  </si>
  <si>
    <t>17°30'05.3"N 44°19'44.4"E</t>
  </si>
  <si>
    <t>17°34'48.8"N 44°32'39.0"E</t>
  </si>
  <si>
    <t>17.530636016296626, 44.68072073510088</t>
  </si>
  <si>
    <t>17°34'30.9"N 44°30'33.9"E</t>
  </si>
  <si>
    <t>17.58556065491332, 44.35656954047437</t>
  </si>
  <si>
    <t>17.55475979840392, 44.70933505767237</t>
  </si>
  <si>
    <t>17.628578087743843, 44.474731299999995</t>
  </si>
  <si>
    <t>17.555718555579396, 44.70867357116382</t>
  </si>
  <si>
    <t>17.603002368942192, 44.52851142883618</t>
  </si>
  <si>
    <t>17.5510587732835, 44.70845228650853</t>
  </si>
  <si>
    <t>17.550721579635713, 44.70859001349146</t>
  </si>
  <si>
    <t>17°35'09.8"N 44°04'25.9"E</t>
  </si>
  <si>
    <t>17°34'27.5"N 44°02'47.5"E</t>
  </si>
  <si>
    <t>17.582062359332564, 44.07091915630106</t>
  </si>
  <si>
    <t>17.83172254246467, 44.33595375767236</t>
  </si>
  <si>
    <t>17.832661820662594, 44.336045242327636</t>
  </si>
  <si>
    <t>17.850970115659383, 44.0268537558191</t>
  </si>
  <si>
    <t>17.852561537031335, 44.02812897823784</t>
  </si>
  <si>
    <t>17.877817477885134, 44.15929947116383</t>
  </si>
  <si>
    <t>17°45'19.0"N 43°57'42.8"E</t>
  </si>
  <si>
    <t>17°45'24.3"N 43°57'41.8"E</t>
  </si>
  <si>
    <t>17°46'24.6"N 43°55'36.7"E</t>
  </si>
  <si>
    <t>17°46'47.1"N 43°55'11.5"E</t>
  </si>
  <si>
    <t>17.574017760421984, 44.243627</t>
  </si>
  <si>
    <t>17.849725066514637, 44.0227807558191</t>
  </si>
  <si>
    <t>17.85007930322615, 44.022250355819104</t>
  </si>
  <si>
    <t>17.84516837084512, 44.01703777116383</t>
  </si>
  <si>
    <t>17.81643827893347, 44.001069898146746</t>
  </si>
  <si>
    <t>17.732523491578256, 43.75852035581908</t>
  </si>
  <si>
    <t>17.605442614308277, 43.75631082580592</t>
  </si>
  <si>
    <t>17°43'53.8"N 43°45'27.0"E</t>
  </si>
  <si>
    <t>17.696783188492493, 43.9508024358676</t>
  </si>
  <si>
    <t>17°40'27.9"N 43°53'15.1"E</t>
  </si>
  <si>
    <t>17°46'38.1"N 43°54'59.6"E</t>
  </si>
  <si>
    <t>17°36'19.1"N 43°45'20.9"E</t>
  </si>
  <si>
    <t>17.669815023526564, 43.766224713491454</t>
  </si>
  <si>
    <t>17.605060371849444, 43.756467213491455</t>
  </si>
  <si>
    <t>17.60818708880408, 43.76154699814675</t>
  </si>
  <si>
    <t>17.60845222227498, 43.7610282883618</t>
  </si>
  <si>
    <t>17.497863066964545, 43.74761962698291</t>
  </si>
  <si>
    <t>17.48537571236985, 43.75675301349147</t>
  </si>
  <si>
    <t>17.558387743752597, 44.45695910384853</t>
  </si>
  <si>
    <t>17°31'46.1"N 44°33'59.7"E</t>
  </si>
  <si>
    <t>17.5870125241696, 44.489420440474376</t>
  </si>
  <si>
    <t>17.75703279207404, 44.46469105767236</t>
  </si>
  <si>
    <t>17.544559501818735, 44.38687211534472</t>
  </si>
  <si>
    <t>17°29'50"N 44°13'11"E</t>
  </si>
  <si>
    <t>17°29'40.6"N 44°08'58.8"E</t>
  </si>
  <si>
    <t>17°34'11.2"N 44°13'46.1"E</t>
  </si>
  <si>
    <t>17°33'28.0"N 44°12'59.4"E</t>
  </si>
  <si>
    <t>17°32'53.3"N 44°13'18.1"E</t>
  </si>
  <si>
    <t>17°33'53.4"N 44°13'02.8"E</t>
  </si>
  <si>
    <t>17°29'26"N 44°06'08"E</t>
  </si>
  <si>
    <t>17°31'04.5"N 44°09'17.8"E</t>
  </si>
  <si>
    <t>17°43'25.2"N 43°54'17.5"E</t>
  </si>
  <si>
    <t>17.756469810343233, 44.463850913491456</t>
  </si>
  <si>
    <t>17.81511227190264, 44.001823840433495</t>
  </si>
  <si>
    <t>17°40'13.5"N 43°53'07.0"E</t>
  </si>
  <si>
    <t>17.567489856215204, 44.3195123197357</t>
  </si>
  <si>
    <t>17°32'08.5"N 44°13'03.2"E</t>
  </si>
  <si>
    <t>17°35'06.0"N 44°29'09.7"E</t>
  </si>
  <si>
    <t>17°28'14"N 44°09'27"E</t>
  </si>
  <si>
    <t>17°28'19"N 44°11'06"E</t>
  </si>
  <si>
    <t>17°32'07.3"N 44°12'18.8"E</t>
  </si>
  <si>
    <t>17°31'51"N 44°12'17"E</t>
  </si>
  <si>
    <t>17°31'08"N 44°09'36"E</t>
  </si>
  <si>
    <t>17°31'04"N 44°09'37"E</t>
  </si>
  <si>
    <t>17.533618930285105, 44.40325052392379</t>
  </si>
  <si>
    <t>17°34'10"N 44°13'22"E</t>
  </si>
  <si>
    <t>17°28'13"N 44°09'31"E</t>
  </si>
  <si>
    <t>17°34'41.0"N 44°13'36.3"E</t>
  </si>
  <si>
    <t>17°34'18.2"N 44°13'49.7"E</t>
  </si>
  <si>
    <t>17°34'40.5"N 44°13'38.1"E</t>
  </si>
  <si>
    <t>17°32'08.2"N 44°13'03.4"E</t>
  </si>
  <si>
    <t>17°33'23.6"N 44°13'47.0"E</t>
  </si>
  <si>
    <t>17°33'47.2"N 44°13'14.1"E</t>
  </si>
  <si>
    <t>17°33'10.5"N 44°14'22.3"E</t>
  </si>
  <si>
    <t>17.844406280802573, 44.27098647433125</t>
  </si>
  <si>
    <t>17.8129089119017, 44.29693155767236</t>
  </si>
  <si>
    <t>17.884163513553244, 44.177590226982915</t>
  </si>
  <si>
    <t>17°29'51"N 44°13'15"E</t>
  </si>
  <si>
    <t>17°28'26.5"N 44°11'02.7"E</t>
  </si>
  <si>
    <t>17°29'49.2"N 44°13'15.5"E</t>
  </si>
  <si>
    <t>17°29'30"N 44°11'04"E</t>
  </si>
  <si>
    <t>17°34'09.0"N 44°13'45.7"E</t>
  </si>
  <si>
    <t>17°29'04.2"N 44°07'29.3"E</t>
  </si>
  <si>
    <t>17°32'28.9"N 44°12'53.1"E</t>
  </si>
  <si>
    <t>17°32'30.5"N 44°12'55.1"E</t>
  </si>
  <si>
    <t>17°31'34"N 44°11'49"E</t>
  </si>
  <si>
    <t>17°31'26"N 44°11'49"E</t>
  </si>
  <si>
    <t>17°31'31"N 44°11'44"E</t>
  </si>
  <si>
    <t>17°32'26.5"N 44°12'46.7"E</t>
  </si>
  <si>
    <t>17°33'29.1"N 44°13'14.9"E</t>
  </si>
  <si>
    <t>17°34'35.4"N 44°13'51.1"E</t>
  </si>
  <si>
    <t>17°34'22.8"N 44°13'51.9"E</t>
  </si>
  <si>
    <t>17°31'47.8"N 44°11'55.7"E</t>
  </si>
  <si>
    <t>17°33'52"N 44°12'59"E</t>
  </si>
  <si>
    <t>17°32'44"N 44°13'22"E</t>
  </si>
  <si>
    <t>17°32'29"N 44°13'54"E</t>
  </si>
  <si>
    <t>17.58250316573724, 44.48398598406019</t>
  </si>
  <si>
    <t>17°32'05.5"N 44°11'33.8"E</t>
  </si>
  <si>
    <t>17°34'27.3"N 44°02'20.3"E</t>
  </si>
  <si>
    <t>17°28'40"N 44°10'28"E</t>
  </si>
  <si>
    <t>17°27'42"N 44°09'43"E</t>
  </si>
  <si>
    <t>17°29'14.6"N 44°11'30.0"E</t>
  </si>
  <si>
    <t>17°34'04"N 44°13'35"E</t>
  </si>
  <si>
    <t>17°33'44.6"N 44°13'28.1"E</t>
  </si>
  <si>
    <t>17°29'40.5"N 44°12'50.8"</t>
  </si>
  <si>
    <t>17°34'03.4"N 44°13'03.5"E</t>
  </si>
  <si>
    <t>17.528263751595215, 44.32587407306151</t>
  </si>
  <si>
    <t>17°29'32.3"N 44°08'07.3"E</t>
  </si>
  <si>
    <t>17°33'52.9"N 44°13'26.0"E</t>
  </si>
  <si>
    <t>17°27'43.9"N 44°09'41.4"E</t>
  </si>
  <si>
    <t>17°34'12.0"N 44°13'35.3"E</t>
  </si>
  <si>
    <t>17°27'55.7"N 44°10'03.8"E</t>
  </si>
  <si>
    <t>17°29'02.0"N 44°07'45.2"E</t>
  </si>
  <si>
    <t>17°32'54.9"N 44°15'17.6"E</t>
  </si>
  <si>
    <t>17°29'06"N 44°07'47"E</t>
  </si>
  <si>
    <t>17°33'27.9"N 44°13'10.3"E</t>
  </si>
  <si>
    <t>17°33'25.2"N 44°13'42.0"E</t>
  </si>
  <si>
    <t>17°28'55"N 44°07'16"E</t>
  </si>
  <si>
    <t>17°29'25.1"N 44°10'53.6"E</t>
  </si>
  <si>
    <t>17°29'30.0"N 44°11'04.3"E</t>
  </si>
  <si>
    <t>17°32'20.8"N 44°13'10.1"E</t>
  </si>
  <si>
    <t>17°31'47.0"N 44°11'55.7"E</t>
  </si>
  <si>
    <t>17.85552301684753, 44.24429835405135</t>
  </si>
  <si>
    <t>17.842348662790226, 44.28283565767236</t>
  </si>
  <si>
    <t>17°27'22.0"N 44°06'55.9"E</t>
  </si>
  <si>
    <t>17°27'24.8"N 44°06'59.9"E</t>
  </si>
  <si>
    <t>17°27'22.2"N 44°07'31.6"E</t>
  </si>
  <si>
    <t>17.764574854072283, 44.46076565767236</t>
  </si>
  <si>
    <t>17.764559519534053, 44.46108625581909</t>
  </si>
  <si>
    <t>17.76227055677093, 44.46638361349146</t>
  </si>
  <si>
    <t>17°28'12.0"N 44°09'27.4"E</t>
  </si>
  <si>
    <t>17.565546370488285, 44.45222623696156</t>
  </si>
  <si>
    <t>17°28'36.3"N 44°10'28.3"E</t>
  </si>
  <si>
    <t>17.562168404175043, 44.357263992092236</t>
  </si>
  <si>
    <t>17°29'04.2"N 44°14'59.9"E</t>
  </si>
  <si>
    <t>17°29'20"N 44°06'09"E</t>
  </si>
  <si>
    <t>17°31'34.9"N 44°12'32.9"E</t>
  </si>
  <si>
    <t>17°29'06.0"N 44°07'32.0"E</t>
  </si>
  <si>
    <t>17°28'24"N 44°11'01"E</t>
  </si>
  <si>
    <t>17°30'39.3"N 44°10'52.1"E</t>
  </si>
  <si>
    <t>17°31'52"N 44°11'27"E</t>
  </si>
  <si>
    <t>17°31'52"N 44°11'30"E</t>
  </si>
  <si>
    <t>17°33'45.4"N 44°15'19.8"E</t>
  </si>
  <si>
    <t>17°29'42.0"N 44°12'50.6"E</t>
  </si>
  <si>
    <t>17°34'02.2"N 44°13'02.1"E</t>
  </si>
  <si>
    <t>17°32'46.7"N 44°13'21.6"E</t>
  </si>
  <si>
    <t>17°32'55.0"N 44°13'17.5"E</t>
  </si>
  <si>
    <t>17°29'27.3"N 44°14'43.0"E</t>
  </si>
  <si>
    <t>17°34'04.3"N 44°13'01.1"E</t>
  </si>
  <si>
    <t>17°33'56.0"N 44°13'24.4"E</t>
  </si>
  <si>
    <t>17°33'12.1"N 44°14'22.3"E</t>
  </si>
  <si>
    <t>17°32'54.5"N 44°13'17.2"E</t>
  </si>
  <si>
    <t>17.560622414213576, 44.35697960927854</t>
  </si>
  <si>
    <t>17.559668977894678, 44.45702596368954</t>
  </si>
  <si>
    <t>17.87646839002829, 44.16200067301708</t>
  </si>
  <si>
    <t>17°29'03.2"N 44°15'01.5"E</t>
  </si>
  <si>
    <t>Ibn Al-Haytham Elementary School</t>
  </si>
  <si>
    <t>مدرسة ابتدائية ابن الهيثم</t>
  </si>
  <si>
    <t>King Abdullah Bin Abdulaziz Intermediate School</t>
  </si>
  <si>
    <t>مدرسة الملك عبد الله بن عبد العزيز المتوسطة</t>
  </si>
  <si>
    <t>Bin Baz Elementary School</t>
  </si>
  <si>
    <t>مدرسة إبتدائية بن باز</t>
  </si>
  <si>
    <t>Ubadah Ibn Al-Samit Intermediate School</t>
  </si>
  <si>
    <t>مدرسة متوسطة عبادة بن الصامت</t>
  </si>
  <si>
    <t>Kindergarten Fourteen</t>
  </si>
  <si>
    <t>الروضة الرابعة عشر</t>
  </si>
  <si>
    <t>المدرسة المتوسطة الثانية</t>
  </si>
  <si>
    <t>Fifth Quran Memorization Elementary School in Hail</t>
  </si>
  <si>
    <t>ابتدائية تحفيظ القران الخامسة بحائل</t>
  </si>
  <si>
    <t>The fifty-first elementary school</t>
  </si>
  <si>
    <t>المدرسة الابتدائية الواحدة والخمسون</t>
  </si>
  <si>
    <t>Twenty-second secondary school - Pathways</t>
  </si>
  <si>
    <t>الثانوية الثانية والعشرون - مسارات</t>
  </si>
  <si>
    <t>Ninth Intermediate School in Hail</t>
  </si>
  <si>
    <t>المتوسطة التاسعة بحائل</t>
  </si>
  <si>
    <t>مدرسة ابن ماجة الابتدائية</t>
  </si>
  <si>
    <t>Al-Idrisi High School</t>
  </si>
  <si>
    <t>مدرسة ثانوية الإدريسي</t>
  </si>
  <si>
    <t>The Forty-Eighth Elementary School in Hail</t>
  </si>
  <si>
    <t>الابتدائية الثامنة والأربعون بحائل</t>
  </si>
  <si>
    <t>Intermediate School for Memorizing the Holy Quran</t>
  </si>
  <si>
    <t>متوسطة تحفيظ القرآن الكريم</t>
  </si>
  <si>
    <t>المدرسة الإبتدائية السابعة عشر</t>
  </si>
  <si>
    <t>Twenty-fourth Elementary School</t>
  </si>
  <si>
    <t>الابتدائية الرابعة والعشرون</t>
  </si>
  <si>
    <t>Seventh Secondary School in Hail - Pathways</t>
  </si>
  <si>
    <t>الثانوية السابعة بحائل - مسارات</t>
  </si>
  <si>
    <t>Mohammed Bin Uthaimin Intermediate School</t>
  </si>
  <si>
    <t>مدرسة متوسطة محمد بن عثيمين</t>
  </si>
  <si>
    <t>Saudi Elementary School</t>
  </si>
  <si>
    <t>المدرسة السعودية الإبتدائية</t>
  </si>
  <si>
    <t>Primary school for memorizing the Holy Quran</t>
  </si>
  <si>
    <t>مدرسة ابتدائية تحفيظ القرآن الكريم</t>
  </si>
  <si>
    <t>Al-Mutanabbi Intermediate School - Building Two</t>
  </si>
  <si>
    <t>متوسطة المتنبي- المبنى الثاني</t>
  </si>
  <si>
    <t>Ithab ibn Qiyas al-Tawsiyyah</t>
  </si>
  <si>
    <t>إثابت بن قياس التوسيطة</t>
  </si>
  <si>
    <t>Kindergarten 3</t>
  </si>
  <si>
    <t>روضة الأطفال الثالثة</t>
  </si>
  <si>
    <t>Al-Shura Intermediate School</t>
  </si>
  <si>
    <t>مدرسة متوسطة الشورى</t>
  </si>
  <si>
    <t>Al-Siddiq High School</t>
  </si>
  <si>
    <t>مدرسة الصديق الثانوية</t>
  </si>
  <si>
    <t>Martyrs' Primary School</t>
  </si>
  <si>
    <t>مدرسة الشهداء الإبتدائية</t>
  </si>
  <si>
    <t>Abdul Rahman Bin Auf Elementary School</t>
  </si>
  <si>
    <t>مدرسة ابتدائية عبد الرحمن بن عوف</t>
  </si>
  <si>
    <t>Third Intermediate School in Hail</t>
  </si>
  <si>
    <t>المتوسطة الثالثة بحائل‎</t>
  </si>
  <si>
    <t>Thirtieth Middle School</t>
  </si>
  <si>
    <t>المدرسة المتوسطة الثلاثون</t>
  </si>
  <si>
    <t>Nineteenth High School</t>
  </si>
  <si>
    <t>المدرسة الثانوية التاسعة عشر</t>
  </si>
  <si>
    <t>Sixth Kindergarten</t>
  </si>
  <si>
    <t>الروضة الـسادسة</t>
  </si>
  <si>
    <t>Amr Ibn Al-Aas Elementary School</t>
  </si>
  <si>
    <t>مدرسة ابتدائية عمرو بن العاص</t>
  </si>
  <si>
    <t>The Forty-First Elementary School</t>
  </si>
  <si>
    <t>المدرسة الابتدائية الواحدة والأربعون</t>
  </si>
  <si>
    <t>الابتدائية الثالثة والعشرون</t>
  </si>
  <si>
    <t>مدرسة ابتدائية الأندلس / مركز التوحد name changed to</t>
  </si>
  <si>
    <t>Sharaf Primary School</t>
  </si>
  <si>
    <t>مدرسة شراف الإبتدائية</t>
  </si>
  <si>
    <t>Twelfth Elementary School</t>
  </si>
  <si>
    <t>المدرسة الابتدائية الثانية عشر</t>
  </si>
  <si>
    <t>مدرسة الإمام محمد بن سعود المتوسطة</t>
  </si>
  <si>
    <t>Al Jazeera Primary School</t>
  </si>
  <si>
    <t>مدرسة ابتدائية الجزيرة</t>
  </si>
  <si>
    <t>Nineteenth Intermediate School</t>
  </si>
  <si>
    <t>المدرسة المتوسطة التاسعة عشر</t>
  </si>
  <si>
    <t>الروضة الخامسة عشر</t>
  </si>
  <si>
    <t>Early Childhood at the Second Intermediate Building</t>
  </si>
  <si>
    <t>الطفولة المبكرة بمبنى المتوسطة الثانية</t>
  </si>
  <si>
    <t>Kindergarten Teacher Training Center</t>
  </si>
  <si>
    <t>مركز تدريب معلمات رياض الأطفال</t>
  </si>
  <si>
    <t>Third Primary School for Memorizing the Holy Quran</t>
  </si>
  <si>
    <t>المدرسة الابتدائية الثالثة لتحفيظ القرآن الكريم</t>
  </si>
  <si>
    <t>Second Elementary School</t>
  </si>
  <si>
    <t>المدرسة الابتدائية الثانية</t>
  </si>
  <si>
    <t>Abi Tamam Intermediate School</t>
  </si>
  <si>
    <t>مدرسة أبي تمام المتوسطة</t>
  </si>
  <si>
    <t>Hanel High School</t>
  </si>
  <si>
    <t>مدرسة ثانوية حانل</t>
  </si>
  <si>
    <t>Omar Ibn Al-Khattab Elementary School</t>
  </si>
  <si>
    <t>مدرسة عمر بن الخطاب الإبتدائية</t>
  </si>
  <si>
    <t>المدرسة الإبتدائية السابعة</t>
  </si>
  <si>
    <t>ابتدائية الطفولة المبكرة في مبنى متوسطة الرياض</t>
  </si>
  <si>
    <t>Thirteenth Elementary School in Hail</t>
  </si>
  <si>
    <t>الابتدائية الثالثة عشر بحائل</t>
  </si>
  <si>
    <t>King Abdul Aziz Elementary School for Early Childhood</t>
  </si>
  <si>
    <t>ابتدائية الملك عبد العزيز للطفولة المبكرة</t>
  </si>
  <si>
    <t>Ibn Hisham Intermediate School</t>
  </si>
  <si>
    <t>متوسطة بن هشام</t>
  </si>
  <si>
    <t>Hiraa High School</t>
  </si>
  <si>
    <t>مدرسة ثانوية حراء</t>
  </si>
  <si>
    <t>Ibn Qudamah Elementary School</t>
  </si>
  <si>
    <t>مدرسة ابن قدامه الابتدائية</t>
  </si>
  <si>
    <t>Makkah Intermediate School</t>
  </si>
  <si>
    <t>مدرسة مكة المتوسطة</t>
  </si>
  <si>
    <t>مدرسة إبتدائية الفيصلية</t>
  </si>
  <si>
    <t>The twentieth elementary school in Hail</t>
  </si>
  <si>
    <t>الابتدائية العشرون بحائل</t>
  </si>
  <si>
    <t>Twelfth Intermediate School in Hail</t>
  </si>
  <si>
    <t>المتوسطة الثانية عشر بحائل</t>
  </si>
  <si>
    <t>The Forty-Fourth Elementary School</t>
  </si>
  <si>
    <t>المدرسة الرابعة الاربعون الإبتدائية</t>
  </si>
  <si>
    <t>Sixth Quran Memorization Primary School</t>
  </si>
  <si>
    <t>ابتدائية تحفيظ القرآن السادسة</t>
  </si>
  <si>
    <t>Najd High School</t>
  </si>
  <si>
    <t>مدرسة ثانوية نجد</t>
  </si>
  <si>
    <t>Imam Al-Duri Intermediate School</t>
  </si>
  <si>
    <t>مدرسة متوسطة الإمام الدوري</t>
  </si>
  <si>
    <t>Third Elementary School in Hail</t>
  </si>
  <si>
    <t>الابتدائية الثالثة بحائل</t>
  </si>
  <si>
    <t>The Intellectual Institute in Hail</t>
  </si>
  <si>
    <t>المعهد الفكري بحائل</t>
  </si>
  <si>
    <t>Jenin High School</t>
  </si>
  <si>
    <t>ثانوية جنين</t>
  </si>
  <si>
    <t>Abi Ayyub Al-Ansari Intermediate School</t>
  </si>
  <si>
    <t>مدرسة متوسطة ابي أيوب الأنصاري</t>
  </si>
  <si>
    <t>Ibn Hibban Intermediate School</t>
  </si>
  <si>
    <t>مدرسة ابن حبان المتوسطة</t>
  </si>
  <si>
    <t>Al-Muntazah High School</t>
  </si>
  <si>
    <t>مدرسة ثانوية المنتزه</t>
  </si>
  <si>
    <t>مدرسة أحد الابتدائية</t>
  </si>
  <si>
    <t>The 35th Primary School for Early Childhood</t>
  </si>
  <si>
    <t>المدرسة الإبتدائية الخامسة والثلاثون للطفولة المبكرة</t>
  </si>
  <si>
    <t>The twenty-fourth intermediate school in Hail</t>
  </si>
  <si>
    <t>المتوسطة الرابعة والعشرون بحائل</t>
  </si>
  <si>
    <t>Eighteenth Intermediate School</t>
  </si>
  <si>
    <t>المدرسة المتوسطة الثامنة عشر</t>
  </si>
  <si>
    <t>The Twenty-Second Elementary School in Hail</t>
  </si>
  <si>
    <t>الابتدائية الثانية والعشرون بحائل</t>
  </si>
  <si>
    <t>Twenty-sixth Elementary School</t>
  </si>
  <si>
    <t>الابتدائية السادسة والعشرون</t>
  </si>
  <si>
    <t>Al-Qayrawan School for Early Childhood</t>
  </si>
  <si>
    <t>مدرسة القيروان للطفولة المبكرة</t>
  </si>
  <si>
    <t>Fourth Quran Memorization Elementary School in Hail</t>
  </si>
  <si>
    <t>ابتدائية تحفيظ القران الرابعة بحائل</t>
  </si>
  <si>
    <t>Fifth Elementary School</t>
  </si>
  <si>
    <t>المدرسة الابتدائية الخامسة</t>
  </si>
  <si>
    <t>Al-Muhammadiyah Primary School in A'il</t>
  </si>
  <si>
    <t>مدرسة المحمدية الابتد نية بعائل</t>
  </si>
  <si>
    <t>The Thirtieth Elementary School in Hail</t>
  </si>
  <si>
    <t>الابتدائية الثلاثون بحائل</t>
  </si>
  <si>
    <t>Ibn Sirin School for Early Childhood</t>
  </si>
  <si>
    <t>مدرسة ابن سيرين للطفولة المبكرة</t>
  </si>
  <si>
    <t>Medina Intermediate School</t>
  </si>
  <si>
    <t>متوسطة المدينة المنورة</t>
  </si>
  <si>
    <t>Al-Khalidiyah Elementary School</t>
  </si>
  <si>
    <t>ابتدائية الخالدية</t>
  </si>
  <si>
    <t>متوسطة أبي بن كعب لتحفيظ القرآن الكريم بحائل</t>
  </si>
  <si>
    <t>Al-Farouq High School in Hail</t>
  </si>
  <si>
    <t>مدرسة ثانوية الفاروق بحائل</t>
  </si>
  <si>
    <t>المتوسطة الخامسة عشرة تعليم كبيرات 15</t>
  </si>
  <si>
    <t>Imam Al-San'ani Primary School</t>
  </si>
  <si>
    <t>ابتدائية الامام الصنعاني</t>
  </si>
  <si>
    <t>المدرسة المتوسطة السابعة عشر</t>
  </si>
  <si>
    <t>Prince Saud bin Abdul Mohsen Secondary School</t>
  </si>
  <si>
    <t>مدرسة الأمير سعود بن عبد المحسن الثانوية</t>
  </si>
  <si>
    <t>Al-Hikma High School - Pathways</t>
  </si>
  <si>
    <t>ثانوية الحكمة - مسارات‎</t>
  </si>
  <si>
    <t>Hatem Elementary School in Hail</t>
  </si>
  <si>
    <t>مدرسة حاتم الابتدائية بحائل‎</t>
  </si>
  <si>
    <t>Al-Ghafiqi Primary School</t>
  </si>
  <si>
    <t>ابتدائية الغافقي‎</t>
  </si>
  <si>
    <t>Saqr Quraish High School</t>
  </si>
  <si>
    <t>مدرسة ثانوية صقر قريش‎</t>
  </si>
  <si>
    <t>The fifty-second elementary school in Hail</t>
  </si>
  <si>
    <t>الابتدائية الثانية والخمسون بحائل‎</t>
  </si>
  <si>
    <t>المدرسة المتوسطة الثالثة عشر‎</t>
  </si>
  <si>
    <t>Al-Tufail Bin Amr High School</t>
  </si>
  <si>
    <t>ثانوية الطفيل بن عمرو‎</t>
  </si>
  <si>
    <t>الروضة الثالثة والثلاثون‎</t>
  </si>
  <si>
    <t>المدرسة الثانوية العشرون‎</t>
  </si>
  <si>
    <t>The fifty-fourth elementary school in Hail</t>
  </si>
  <si>
    <t>الابتدائية الرابعة والخمسون بحائل‎</t>
  </si>
  <si>
    <t>Ibn Taymiyyah Primary School for Early Childhood</t>
  </si>
  <si>
    <t>ابتدائية ابن تيمية للطفولة المبكرة‎</t>
  </si>
  <si>
    <t>The Sixty-Fifth Elementary School</t>
  </si>
  <si>
    <t>المدرسة الإبتدائية الخامسة والستون‎</t>
  </si>
  <si>
    <t>المتوسطة السادسة والثلاثون (متوسطة نقرة قفار)‎</t>
  </si>
  <si>
    <t>Early Childhood at Kindergarten 28
changed to Elementary School 59</t>
  </si>
  <si>
    <t>الطفولة المبكرة بالروضة الثامنة والعشرون‎
changed to
الابتدائية التاسعة والخمسون</t>
  </si>
  <si>
    <t>Twenty-fourth Secondary School - Pathways</t>
  </si>
  <si>
    <t>الثانوية الرابعة والعشرون - مسارات‎</t>
  </si>
  <si>
    <t>Al-Nisiyah Elementary School</t>
  </si>
  <si>
    <t>مدرسة إبتدائية النيصية‎</t>
  </si>
  <si>
    <t>Al-Nisiyah Intermediate School</t>
  </si>
  <si>
    <t>متوسطة النيصية‎</t>
  </si>
  <si>
    <t>Bada'i Naqbin Primary School</t>
  </si>
  <si>
    <t>مدرسة بدائع نقبين الإبتدائية‎</t>
  </si>
  <si>
    <t>Qifar Secondary School (Boys)</t>
  </si>
  <si>
    <t>مدرسة ثانوية قفار-( بنين )‎</t>
  </si>
  <si>
    <t>Qaffar High School</t>
  </si>
  <si>
    <t>مدرسة ثانوية قفار‎</t>
  </si>
  <si>
    <t>Mreifq Primary School</t>
  </si>
  <si>
    <t>مدرسة مريفق الإبتدائية‎</t>
  </si>
  <si>
    <t>Al-Wadi Primary School</t>
  </si>
  <si>
    <t>ابتدائية الودي‎</t>
  </si>
  <si>
    <t>Hamza Bin Abdul Muttalib Elementary School</t>
  </si>
  <si>
    <t>مدرسة حمزة بن عبد المطلب الإبتدائية‎</t>
  </si>
  <si>
    <t>Al-Qaed Intermediate School</t>
  </si>
  <si>
    <t>مدرسة القاعد المتوسطة‎</t>
  </si>
  <si>
    <t>Al-Qaed Secondary School</t>
  </si>
  <si>
    <t>مدرسة القاعد الثانوية‎</t>
  </si>
  <si>
    <t>Al-Qaed Primary School</t>
  </si>
  <si>
    <t>مدرسة القاعد الابتدائية‎</t>
  </si>
  <si>
    <t>Health Primary School</t>
  </si>
  <si>
    <t>ابتدائية صحى‎</t>
  </si>
  <si>
    <t>First Elementary School in Muwafaq</t>
  </si>
  <si>
    <t>الإبتدائية الأولى بموفق‎</t>
  </si>
  <si>
    <t>Mowaqq Intermediate School</t>
  </si>
  <si>
    <t>متوسطة موقق‎</t>
  </si>
  <si>
    <t>Al-Hatty Primary School</t>
  </si>
  <si>
    <t>ابتدائية الحطي‎</t>
  </si>
  <si>
    <t>Ibn Khaldoun Primary School in Aqla Ben Jabrin</t>
  </si>
  <si>
    <t>ابتدائية ابن خلدون بعقلة بن جبرين‎</t>
  </si>
  <si>
    <t>Aqla Bin Jabrin Intermediate School</t>
  </si>
  <si>
    <t>متوسطة عقلة بن جبرين‎</t>
  </si>
  <si>
    <t>Al-Safa Intermediate School in Al-Sunayna</t>
  </si>
  <si>
    <t>متوسطة الصفا بالصنينا‎</t>
  </si>
  <si>
    <t>Dalihan Primary School</t>
  </si>
  <si>
    <t>ابتدائية دليهان‎</t>
  </si>
  <si>
    <t>Al-Khabah Secondary School - Pathways</t>
  </si>
  <si>
    <t>ثانوية الخبة - مسارات‎</t>
  </si>
  <si>
    <t>Al-Khabah Primary School</t>
  </si>
  <si>
    <t>ابتدائية الخبة‎</t>
  </si>
  <si>
    <t>Medium-sized expertise</t>
  </si>
  <si>
    <t>متوسطة الخبة‎</t>
  </si>
  <si>
    <t>Al-Farhaniyah Intermediate School for Boys</t>
  </si>
  <si>
    <t>متوسطة الفرحانية-بنين‎</t>
  </si>
  <si>
    <t>Al-Farhaniyah Secondary School</t>
  </si>
  <si>
    <t>مدرسة الفرحانية الثانوية‎</t>
  </si>
  <si>
    <t>Sababa Intermediate School</t>
  </si>
  <si>
    <t>مدرسة متوسطة صبابة‎</t>
  </si>
  <si>
    <t>Al-Nisiyah Secondary School</t>
  </si>
  <si>
    <t>مدرسة النيصية الثانوية‎</t>
  </si>
  <si>
    <t>Fourteenth High School</t>
  </si>
  <si>
    <t>الثانوية الرابعة عشر</t>
  </si>
  <si>
    <t>Al Salam Primary School</t>
  </si>
  <si>
    <t>مدرسة السلام الإبتدائية</t>
  </si>
  <si>
    <t>First Secondary School in Hail - Track System</t>
  </si>
  <si>
    <t>الثانوية الاولى بحائل نظام - مسارات</t>
  </si>
  <si>
    <t>Al-Nawawi Elementary School</t>
  </si>
  <si>
    <t>مدرسة النووي الإبتدائية</t>
  </si>
  <si>
    <t>Ma'an Bin Zaidah Elementary School</t>
  </si>
  <si>
    <t>مدرسة معن بن زائدة الإبتدائية</t>
  </si>
  <si>
    <t>The fifty-fifth elementary school in Hail</t>
  </si>
  <si>
    <t>الابتدائية الخامسة والخمسون بحائل</t>
  </si>
  <si>
    <t>Al-Suwaifila Primary School</t>
  </si>
  <si>
    <t>ابتدائية السويفله</t>
  </si>
  <si>
    <t>Bilal Bin Rabah Elementary School</t>
  </si>
  <si>
    <t>ابتدائية بلال بن رباح‎</t>
  </si>
  <si>
    <t>Qasr Al-Ashrawat High School</t>
  </si>
  <si>
    <t>ثانوية قصر العشروات‎</t>
  </si>
  <si>
    <t>Fourteenth Intermediate</t>
  </si>
  <si>
    <t>المتوسطة الرابعة عشر</t>
  </si>
  <si>
    <t>الشيخ محمد بن عبد الوهاب الإبتدائية</t>
  </si>
  <si>
    <t>Ninth Elementary School and Al Amal Institute</t>
  </si>
  <si>
    <t>المدرسة الإبتدائية التاسعة ومعهد الأمل</t>
  </si>
  <si>
    <t>Third High School</t>
  </si>
  <si>
    <t>المدرسة الثانوية الثالثة</t>
  </si>
  <si>
    <t>Fifth Intermediate School for Girls</t>
  </si>
  <si>
    <t>المدرسة المتوسطة الخامسة للبنات</t>
  </si>
  <si>
    <t>Sixth Elementary School</t>
  </si>
  <si>
    <t>المدرسة السادسة الابتدائية</t>
  </si>
  <si>
    <t>Kindergarten 2</t>
  </si>
  <si>
    <t>روضة الأطفال الثانية</t>
  </si>
  <si>
    <t>KFM2120660258760</t>
  </si>
  <si>
    <t>KFM2020660211924</t>
  </si>
  <si>
    <t>KFM2020660211936</t>
  </si>
  <si>
    <t>KFM2020660232305</t>
  </si>
  <si>
    <t>KFM2020660211897</t>
  </si>
  <si>
    <t>KFM2020660170368</t>
  </si>
  <si>
    <t>KFM2020660232585</t>
  </si>
  <si>
    <t>KFM2020660232586</t>
  </si>
  <si>
    <t>KFM2020660232583</t>
  </si>
  <si>
    <t>KFM2020660232581</t>
  </si>
  <si>
    <t>KFM2020660193212</t>
  </si>
  <si>
    <t>KFM2020660199083</t>
  </si>
  <si>
    <t>KFM2020660168102</t>
  </si>
  <si>
    <t>KFM2020660199084</t>
  </si>
  <si>
    <t>KFM2020660199082</t>
  </si>
  <si>
    <t>KFM2020660210408</t>
  </si>
  <si>
    <t>KFM2020660210311</t>
  </si>
  <si>
    <t>KFM2020660199088</t>
  </si>
  <si>
    <t>KFM2020660199176</t>
  </si>
  <si>
    <t>KFM2020660210327</t>
  </si>
  <si>
    <t>KFM2020660211923</t>
  </si>
  <si>
    <t>KFM2020660211967</t>
  </si>
  <si>
    <t>KFM2020660211961</t>
  </si>
  <si>
    <t>KFM2020660209887</t>
  </si>
  <si>
    <t>KFM2120660269707</t>
  </si>
  <si>
    <t>KFM2020660210306</t>
  </si>
  <si>
    <t>KFM2020660199068</t>
  </si>
  <si>
    <t>KFM2020660172233</t>
  </si>
  <si>
    <t>KFM2020660170266</t>
  </si>
  <si>
    <t>KFM2020861202258</t>
  </si>
  <si>
    <t>KFM2020660193428</t>
  </si>
  <si>
    <t>KFM2020660175597</t>
  </si>
  <si>
    <t>KFM2020660175600</t>
  </si>
  <si>
    <t>KFM2020660199118</t>
  </si>
  <si>
    <t>KFM2020660193414</t>
  </si>
  <si>
    <t>KFM2020660199119</t>
  </si>
  <si>
    <t>KFM2020660210350</t>
  </si>
  <si>
    <t>KFM2020660170285</t>
  </si>
  <si>
    <t>KFM2020660195429</t>
  </si>
  <si>
    <t>KFM2020660211919</t>
  </si>
  <si>
    <t>KFM2020660195524</t>
  </si>
  <si>
    <t>KFM2020660170327</t>
  </si>
  <si>
    <t>KFM2020660210197</t>
  </si>
  <si>
    <t>KFM2020660210199</t>
  </si>
  <si>
    <t>KFM2020660170369</t>
  </si>
  <si>
    <t>MMF2020800150226</t>
  </si>
  <si>
    <t>KFM2020660170366</t>
  </si>
  <si>
    <t>SMR2220661013518</t>
  </si>
  <si>
    <t>KFM2020660210136</t>
  </si>
  <si>
    <t>KFM2020660232548</t>
  </si>
  <si>
    <t>KFM2020660210132</t>
  </si>
  <si>
    <t>KFM2020660209866</t>
  </si>
  <si>
    <t>MMF2420601018595</t>
  </si>
  <si>
    <t>KFM2020660199213</t>
  </si>
  <si>
    <t>KFM2020660207488</t>
  </si>
  <si>
    <t>KFM2020660193423</t>
  </si>
  <si>
    <t>KFM2020660234321</t>
  </si>
  <si>
    <t>KFM2020660234322</t>
  </si>
  <si>
    <t>KFM2020660211886</t>
  </si>
  <si>
    <t>MMF2020800184156</t>
  </si>
  <si>
    <t>KFM2020660170305</t>
  </si>
  <si>
    <t>KFM2020660170306</t>
  </si>
  <si>
    <t>KFM2020660234324</t>
  </si>
  <si>
    <t>KFM2020660232338</t>
  </si>
  <si>
    <t>KFM2020660232339</t>
  </si>
  <si>
    <t>KFM2020660195899</t>
  </si>
  <si>
    <t>KFM2020660199216</t>
  </si>
  <si>
    <t>KFM2020660207480</t>
  </si>
  <si>
    <t>KFM2020660232523</t>
  </si>
  <si>
    <t>KFM2020660207416</t>
  </si>
  <si>
    <t>KFM2020660172189</t>
  </si>
  <si>
    <t>KFM2120660252263</t>
  </si>
  <si>
    <t>KFM2020660170404</t>
  </si>
  <si>
    <t>KFM2020660199100</t>
  </si>
  <si>
    <t>KFM2120660252264</t>
  </si>
  <si>
    <t>KFM2120660252255</t>
  </si>
  <si>
    <t>KFM2020660164918</t>
  </si>
  <si>
    <t>KFM2020660170409</t>
  </si>
  <si>
    <t>KFM2020660164913</t>
  </si>
  <si>
    <t>KFM2020660170406</t>
  </si>
  <si>
    <t>KFM2020660199165</t>
  </si>
  <si>
    <t>KFM2020660199164</t>
  </si>
  <si>
    <t>KFM2020660199192</t>
  </si>
  <si>
    <t>KFM2020660234372</t>
  </si>
  <si>
    <t>KFM2020660170408</t>
  </si>
  <si>
    <t>KFM2020660211900</t>
  </si>
  <si>
    <t>KFM2020660170402</t>
  </si>
  <si>
    <t>KFM2020660170410</t>
  </si>
  <si>
    <t>KFM2020660170346</t>
  </si>
  <si>
    <t>KFM2020660210395</t>
  </si>
  <si>
    <t>SMR2420661041006</t>
  </si>
  <si>
    <t>KFM2020660199163</t>
  </si>
  <si>
    <t>KFM2120660252622</t>
  </si>
  <si>
    <t>KFM2020660232520</t>
  </si>
  <si>
    <t>KFM2020660234288</t>
  </si>
  <si>
    <t>KFM2020660232594</t>
  </si>
  <si>
    <t>KFM2020660210331</t>
  </si>
  <si>
    <t>KFM2020660211905</t>
  </si>
  <si>
    <t>KFM2120660252256</t>
  </si>
  <si>
    <t>KFM2020660210333</t>
  </si>
  <si>
    <t>SMR2220661004736</t>
  </si>
  <si>
    <t>KFM2020660211901</t>
  </si>
  <si>
    <t>KFM2020660211907</t>
  </si>
  <si>
    <t>KFM2020660232303</t>
  </si>
  <si>
    <t>KFM2120660252193</t>
  </si>
  <si>
    <t>KFM2120660258853</t>
  </si>
  <si>
    <t>KFM2020660229590</t>
  </si>
  <si>
    <t>KFM2120660258867</t>
  </si>
  <si>
    <t>KFM2120660258873</t>
  </si>
  <si>
    <t>KFM2020660207389</t>
  </si>
  <si>
    <t>KFM2120660269657</t>
  </si>
  <si>
    <t>KFM2120660269672</t>
  </si>
  <si>
    <t>KFM2020760009526</t>
  </si>
  <si>
    <t>KFM2120660252658</t>
  </si>
  <si>
    <t>KFM2120660281123</t>
  </si>
  <si>
    <t>KFM2020660232555</t>
  </si>
  <si>
    <t>KFM2120660252283</t>
  </si>
  <si>
    <t>KFM2120660269713</t>
  </si>
  <si>
    <t>KFM2120660248728</t>
  </si>
  <si>
    <t>KFM2120660263854</t>
  </si>
  <si>
    <t>KFM2120660252276</t>
  </si>
  <si>
    <t>KFM2120660252196</t>
  </si>
  <si>
    <t>KFM2120660252250</t>
  </si>
  <si>
    <t>KFM2120660252293</t>
  </si>
  <si>
    <t>KFM2120660269000</t>
  </si>
  <si>
    <t>KFM2120660268999</t>
  </si>
  <si>
    <t>SMR2220661013183</t>
  </si>
  <si>
    <t>KFM2120660252269</t>
  </si>
  <si>
    <t>KFM2120660287553</t>
  </si>
  <si>
    <t>KFM2120660252341</t>
  </si>
  <si>
    <t>KFM2120660252340</t>
  </si>
  <si>
    <t>KFM2120660284102</t>
  </si>
  <si>
    <t>KFM2120660284101</t>
  </si>
  <si>
    <t>KFM2120660252522</t>
  </si>
  <si>
    <t>KFM2120660269656</t>
  </si>
  <si>
    <t>KFM2020660234330</t>
  </si>
  <si>
    <t>KFM2120660252310</t>
  </si>
  <si>
    <t>KFM2020660170363</t>
  </si>
  <si>
    <t>KFM2020660232289</t>
  </si>
  <si>
    <t>KFM2020660210310</t>
  </si>
  <si>
    <t>KFM2020660229534</t>
  </si>
  <si>
    <t>KFM2020660234387</t>
  </si>
  <si>
    <t>KFM2120660252664</t>
  </si>
  <si>
    <t>KFM2120660252328</t>
  </si>
  <si>
    <t>KFM2020660210348</t>
  </si>
  <si>
    <t>KFM2020660199215</t>
  </si>
  <si>
    <t>KFM2020660199218</t>
  </si>
  <si>
    <t>KFM2020660207518</t>
  </si>
  <si>
    <t>KFM2020660164914</t>
  </si>
  <si>
    <t>KFM2020660210391</t>
  </si>
  <si>
    <t>KFM2020660234353</t>
  </si>
  <si>
    <t>Amr ibn al-Aas Elementary School (Boys)</t>
  </si>
  <si>
    <t>Rafha Secondary School</t>
  </si>
  <si>
    <t>Musa bin Nusayr Elementary School</t>
  </si>
  <si>
    <t>The Third Secondary School in Rafha (Girls)</t>
  </si>
  <si>
    <t>The first garden in Zafhā</t>
  </si>
  <si>
    <t>The Second Primary School for Girls</t>
  </si>
  <si>
    <t>Haroun Al Rashid Elementary School in Rafha</t>
  </si>
  <si>
    <t>Rafha Intermediate School (Boys)</t>
  </si>
  <si>
    <t>Al-Quds Intermediate School (Boys)</t>
  </si>
  <si>
    <t>Ibn Kathir Elementary School (Boys)</t>
  </si>
  <si>
    <t>Qutaybah bin Muslim Secondary School (Boys)</t>
  </si>
  <si>
    <t>Third Intermediate School (Girls)</t>
  </si>
  <si>
    <t>Twelfth Elementary School in Rafha Girls</t>
  </si>
  <si>
    <t>The Eighth Intermediate School in Rafha Girls</t>
  </si>
  <si>
    <t>Seventh Intermediate and Fourteenth Primary</t>
  </si>
  <si>
    <t>Scientific Institute in Rafha Governorate</t>
  </si>
  <si>
    <t>Abu Jaafar Al-Mansour Intermediate School</t>
  </si>
  <si>
    <t>Al-Zubair bin Al-Awam Primary School</t>
  </si>
  <si>
    <t>Umm Al-Zubair Kindergarten</t>
  </si>
  <si>
    <t>Al-Jabhan Elementary and Intermediate School</t>
  </si>
  <si>
    <t>Eighth Elementary School for Girls</t>
  </si>
  <si>
    <t>Mathl Al-Tamiyat Elementary School (BOYS)</t>
  </si>
  <si>
    <t>Elementary school Meshal Altemyat</t>
  </si>
  <si>
    <t>Uhud Elementary and Intermediate School (boys)</t>
  </si>
  <si>
    <t>The Thirteenth Primary School for Girls in Rafha</t>
  </si>
  <si>
    <t>Fourth Kindergarten</t>
  </si>
  <si>
    <t>Seventh Elementary School for Early Childhood</t>
  </si>
  <si>
    <t>Rawdat Habas Secondary School (Boys)</t>
  </si>
  <si>
    <t>Rawdat Habas Elementary School. (Boys)</t>
  </si>
  <si>
    <t>Umm Ghar Al-Khushaibi Kindergarten</t>
  </si>
  <si>
    <t>Umm Ghar Al-Khushaibi Intermediate School (boys)</t>
  </si>
  <si>
    <t>Ibn Shuraim Intermediate and Secondary School (Boys)</t>
  </si>
  <si>
    <t>Ibn Shuraim Elementary School Boys</t>
  </si>
  <si>
    <t>Third Kindergarten</t>
  </si>
  <si>
    <t>The First Secondary School in Rafha (Girls)</t>
  </si>
  <si>
    <t>First Intermediate School in Rafha (Girls)</t>
  </si>
  <si>
    <t>Elementary Memorization of the Holy Qur'an (Boys)</t>
  </si>
  <si>
    <t>Tariq bin Ziyad Elementary School (Boys)</t>
  </si>
  <si>
    <t>Cordoba Elementary School</t>
  </si>
  <si>
    <t>Ibn Al-Jawzi Secondary School in Al-Uwaigilah (Boys)</t>
  </si>
  <si>
    <t>Al-Uwaigilah Intermediate School (Boys)</t>
  </si>
  <si>
    <t>Al-Uwaigilah Secondary School (Boys)</t>
  </si>
  <si>
    <t>Ibn al-Qayyim Al-Jawziyya Intermediate School (Boys)</t>
  </si>
  <si>
    <t>First Kindergarten (Girls)</t>
  </si>
  <si>
    <t>First Elementary School (Girls)</t>
  </si>
  <si>
    <t>Second Kindergarten (Girls)</t>
  </si>
  <si>
    <t>First Secondary School (Girls)</t>
  </si>
  <si>
    <t>Al-Markouz Elementary School (Boys)</t>
  </si>
  <si>
    <t>Second Intermediate School (Girls)</t>
  </si>
  <si>
    <t>Al-Kaseb Elementary School (Boys)</t>
  </si>
  <si>
    <t>Al-Thunayan Elementary School (Girls)</t>
  </si>
  <si>
    <t>Abdullah bin Rawaha Elementary School Boys</t>
  </si>
  <si>
    <t>Second Elementary School Girls</t>
  </si>
  <si>
    <t>Al-Markouz Elementary School Girls</t>
  </si>
  <si>
    <t>Muhammad ibn al-Qasim</t>
  </si>
  <si>
    <t>Imam Al-Shafi'i</t>
  </si>
  <si>
    <t>Ma'n ibn Za'idah</t>
  </si>
  <si>
    <t>Khalid ibn al-Walid</t>
  </si>
  <si>
    <t>Ain Jalut</t>
  </si>
  <si>
    <t>Imam Muslim</t>
  </si>
  <si>
    <t>Salman Al-Farsi</t>
  </si>
  <si>
    <t>thirty elementary school, girls</t>
  </si>
  <si>
    <t>Ibn Baz</t>
  </si>
  <si>
    <t>Thirty-fifth</t>
  </si>
  <si>
    <t xml:space="preserve">Fourth intermediate </t>
  </si>
  <si>
    <t>Third ELEMENTARY SCHOOL, Girls</t>
  </si>
  <si>
    <t>Eleventh Elementary</t>
  </si>
  <si>
    <t>Thirty-two elementary school</t>
  </si>
  <si>
    <t>First Intermediate school in Arar, girls</t>
  </si>
  <si>
    <t>Fifth Kindergarten (Governmental)</t>
  </si>
  <si>
    <t>Abdullah ibn al-Zubayr</t>
  </si>
  <si>
    <t>Ninth Elementary</t>
  </si>
  <si>
    <t>Bilal ibn Rabah</t>
  </si>
  <si>
    <t>Hittin</t>
  </si>
  <si>
    <t>Al-Abbas ibn Abd al-Muttalib</t>
  </si>
  <si>
    <t>Second Intermediate</t>
  </si>
  <si>
    <t>Sixteenth</t>
  </si>
  <si>
    <t>Tenth Secondary School in Arar</t>
  </si>
  <si>
    <t>King Saud</t>
  </si>
  <si>
    <t>Imam Bukhari</t>
  </si>
  <si>
    <t>Eleventh</t>
  </si>
  <si>
    <t>Second Secondary School</t>
  </si>
  <si>
    <t>Muhammad ibn Abd al-Wahhab</t>
  </si>
  <si>
    <t>Granada</t>
  </si>
  <si>
    <t>First Intermediate</t>
  </si>
  <si>
    <t>Tenth Elementary</t>
  </si>
  <si>
    <t>Eighth Elementary</t>
  </si>
  <si>
    <t>Twelfth Elementary</t>
  </si>
  <si>
    <t>Ibn Jubair Elementary School for Boys</t>
  </si>
  <si>
    <t>Usama ibn Zayd</t>
  </si>
  <si>
    <t>ninth intermediate girls</t>
  </si>
  <si>
    <t>Mother of the Believers Aisha</t>
  </si>
  <si>
    <t>Sulayman ibn Abd al-Malik</t>
  </si>
  <si>
    <t>Sixth Girls' High School</t>
  </si>
  <si>
    <t>Twelfth</t>
  </si>
  <si>
    <t>Twenty-eighth</t>
  </si>
  <si>
    <t>Third Secondary School in Tarif</t>
  </si>
  <si>
    <t>Fifth Intermediate</t>
  </si>
  <si>
    <t>Second Elementary School for Girls in Tarif</t>
  </si>
  <si>
    <t>Muawiyah ibn Abi Sufyan</t>
  </si>
  <si>
    <t>Abu Musa al-Ash'ari</t>
  </si>
  <si>
    <t>Ali Bin Abi Talib Educational Complex</t>
  </si>
  <si>
    <t>Fifth Kindergarten</t>
  </si>
  <si>
    <t>Naif bin Abdulaziz</t>
  </si>
  <si>
    <t>Jafar al-Tayyar</t>
  </si>
  <si>
    <t>Abdul Rahman bin Awf</t>
  </si>
  <si>
    <t>Al-Qadisiyah</t>
  </si>
  <si>
    <t>Ahmad ibn Hanbal</t>
  </si>
  <si>
    <t>Second Primary School for Girls</t>
  </si>
  <si>
    <t>Third High School for Girls</t>
  </si>
  <si>
    <t>Al-Musaidia Primary</t>
  </si>
  <si>
    <t>Memorization of the Holy Quran</t>
  </si>
  <si>
    <t>12th High school - Girls</t>
  </si>
  <si>
    <t>Al-Rawda Third Governmental</t>
  </si>
  <si>
    <t>Al-Rawda 13 Government School</t>
  </si>
  <si>
    <t>Roza Umm Kulthum Al-Umayyad</t>
  </si>
  <si>
    <t>Al-Rawda Fourth Governmental</t>
  </si>
  <si>
    <t>Eleventh Governmental Kindergarten</t>
  </si>
  <si>
    <t>Umayyad Darrah Garden</t>
  </si>
  <si>
    <t>Third Intermediate</t>
  </si>
  <si>
    <t>Muhammad ibn Sirin</t>
  </si>
  <si>
    <t>The second secondary, the secondary girl</t>
  </si>
  <si>
    <t>Rawda Buthaina Al-Ansariyah</t>
  </si>
  <si>
    <t>Al-Rawda Fourth Girl</t>
  </si>
  <si>
    <t>Ibn Taymiyyah</t>
  </si>
  <si>
    <t>Andalusia</t>
  </si>
  <si>
    <t>Abdullah bin Masoud</t>
  </si>
  <si>
    <t xml:space="preserve">مدرسة رفحاء الثانوية </t>
  </si>
  <si>
    <t>الروضة الاولى بزفحاء</t>
  </si>
  <si>
    <t>مدرسة الابتدائية الثانية بنات</t>
  </si>
  <si>
    <t>مدرسة هارون الرشيد الابتدائية برفحاء</t>
  </si>
  <si>
    <t>مدرسة رفحاء المتوسطة (بنين)</t>
  </si>
  <si>
    <t>مدرسة القدس المتوسطة ( بنين )</t>
  </si>
  <si>
    <t>مدرسة ابن كثير الإبتدائية ( بنين )</t>
  </si>
  <si>
    <t>مدرسة قتيبة بن مسلم الثانوية (بنين)</t>
  </si>
  <si>
    <t>متوسطة الملك فيصل اللوحه ممسوحه</t>
  </si>
  <si>
    <t>المدرسة المتوسطة الثالثة ( بنات )</t>
  </si>
  <si>
    <t>الإبتدائية الثانية عشر برفحاء بنات</t>
  </si>
  <si>
    <t>المتوسطة الثامنة برفحاء بنات</t>
  </si>
  <si>
    <t>المتوسطة السابعة والابتدائية الرابعه عشر</t>
  </si>
  <si>
    <t>لثانوية الحسن البصري برفحاء بنين</t>
  </si>
  <si>
    <t>المعهد العلمي في محافظة رفحاء</t>
  </si>
  <si>
    <t>مدرسة متوسطة أبو جعفر المنصور</t>
  </si>
  <si>
    <t>مدرسة الزبير بن العوام الابتدائية</t>
  </si>
  <si>
    <t>روضة أم الزبير</t>
  </si>
  <si>
    <t>مدرسه الجبهان الابتدائيه والمتوسطه</t>
  </si>
  <si>
    <t>الثانوية الثانية للبنات بحي العزيزية</t>
  </si>
  <si>
    <t>الابتدائية الثامنة للبنات</t>
  </si>
  <si>
    <t>مدرسة ثانوية طلعة التمياط</t>
  </si>
  <si>
    <t>مدرسة مشل الطمييات الابتدائية للبنين</t>
  </si>
  <si>
    <t>ابتدائية مشل التمياط</t>
  </si>
  <si>
    <t>مدرسة احد الابتدائية والمتوسطة</t>
  </si>
  <si>
    <t>المدرسة الابتدائية الثالثة عشر للبنات برفحاء</t>
  </si>
  <si>
    <t>الروضة الرابعة</t>
  </si>
  <si>
    <t>في الابتدائية السابعة للطفولة المبكرة</t>
  </si>
  <si>
    <t>مدرسة روضة هباس الثانوية ( بنين )</t>
  </si>
  <si>
    <t>إبتدائية ومتوسطة تحفيظ القرآن الكريم (بنين)</t>
  </si>
  <si>
    <t>متوسطة وثانوية روضة مباد ( للبنات )</t>
  </si>
  <si>
    <t>مدرسة روضة هباس الابتدائية .( بنين )</t>
  </si>
  <si>
    <t>روضة ام غار الخشيبي</t>
  </si>
  <si>
    <t>مدرسة متوسطة ام غار الخشيبي بنين</t>
  </si>
  <si>
    <t>مدرسة متوسطة وثانوية ابن شريم ( بنين )</t>
  </si>
  <si>
    <t>مدرسة ابتدائية ابن شريم بنين</t>
  </si>
  <si>
    <t>الروضة الثالثة</t>
  </si>
  <si>
    <t>المدرسة الثانوية الأولى برفحاء ( بنات )</t>
  </si>
  <si>
    <t>المتوسطة الأولى برفحاء (بنات)</t>
  </si>
  <si>
    <t>ابتدائية تحفيظ القرآن الكريم</t>
  </si>
  <si>
    <t>ابتدائية طارق بن زياد بنين</t>
  </si>
  <si>
    <t xml:space="preserve">مدرسة قرطبة الابتدائية </t>
  </si>
  <si>
    <t>ثانوية ابن الجوزي بالعويقيلة بنين</t>
  </si>
  <si>
    <t>متوسطة العويقيلة بنين</t>
  </si>
  <si>
    <t>ثانوية العويقيلة بنين</t>
  </si>
  <si>
    <t>متوسطة ابن القيم الجوزية بنين</t>
  </si>
  <si>
    <t>الروضة الأولى بنات بالعويقلية</t>
  </si>
  <si>
    <t>الابتدائية الأولى بنات</t>
  </si>
  <si>
    <t>الروضة الثانية بنات</t>
  </si>
  <si>
    <t>الثانوية الأولى بنات</t>
  </si>
  <si>
    <t>ابتدائية المركوز بنين</t>
  </si>
  <si>
    <t>مجمع متوسطة وثانوية المركوز</t>
  </si>
  <si>
    <t>المتوسطة الثانية بنات</t>
  </si>
  <si>
    <t>ابتدائية الكاسب بنين</t>
  </si>
  <si>
    <t>ابتدائية الثنيان بنات</t>
  </si>
  <si>
    <t>ابتدائية عبد الله بن رواحة بنين</t>
  </si>
  <si>
    <t>الابتدائية الثانية بنات</t>
  </si>
  <si>
    <t>ابتدائية المركوز بنات</t>
  </si>
  <si>
    <t>محمد بن القاسم</t>
  </si>
  <si>
    <t>الإمام الشافعي</t>
  </si>
  <si>
    <t>معن بن زائده</t>
  </si>
  <si>
    <t>خالد بن الوليد</t>
  </si>
  <si>
    <t>عين جالوت</t>
  </si>
  <si>
    <t>الإمام مسلم</t>
  </si>
  <si>
    <t>سلمان الفارسي</t>
  </si>
  <si>
    <t>الابتدائية التاسعة عشرة بعرعر</t>
  </si>
  <si>
    <t>الابتدائية الثلاثون بنات</t>
  </si>
  <si>
    <t>ابن باز</t>
  </si>
  <si>
    <t>الخامسة والثلاثون</t>
  </si>
  <si>
    <t>الرابعة المتوسطة</t>
  </si>
  <si>
    <t>الثالثة الابتدائية بنات</t>
  </si>
  <si>
    <t>الحادية عشر الابتدائية-</t>
  </si>
  <si>
    <t>الثانية والثلاثون الابتدائية</t>
  </si>
  <si>
    <t xml:space="preserve"> الاولى المتوسطة بنات</t>
  </si>
  <si>
    <t>الروضة الخامسة حكومي</t>
  </si>
  <si>
    <t>عبدالله بن الزبير</t>
  </si>
  <si>
    <t xml:space="preserve"> الابتدائية التاسعة</t>
  </si>
  <si>
    <t xml:space="preserve"> بلال بن رباح</t>
  </si>
  <si>
    <t>حطين</t>
  </si>
  <si>
    <t>الخامسه</t>
  </si>
  <si>
    <t>العباس بن عبدالمطلب</t>
  </si>
  <si>
    <t>المتوسطة الثانية</t>
  </si>
  <si>
    <t>السادسة عشر</t>
  </si>
  <si>
    <t>الثانوية العاشرة بعرعر/12th thania ashar</t>
  </si>
  <si>
    <t>الملك سعود</t>
  </si>
  <si>
    <t>الإمام البخاري</t>
  </si>
  <si>
    <t>لمدرسة الإبتدائية السابعة</t>
  </si>
  <si>
    <t>مدرسة ابن الأثير الإبتضائية</t>
  </si>
  <si>
    <t>الحاديه عشر</t>
  </si>
  <si>
    <t>الثانوية الثانيه</t>
  </si>
  <si>
    <t>محمد بن عبدالوهاب</t>
  </si>
  <si>
    <t>غرناطه</t>
  </si>
  <si>
    <t>المتوسطة الأولى</t>
  </si>
  <si>
    <t>الابتدائية العاشرة</t>
  </si>
  <si>
    <t>الابتدائية الرابعة عشرة</t>
  </si>
  <si>
    <t>الابتدائية الثامنة</t>
  </si>
  <si>
    <t>الابتدائية الثانية عشرة</t>
  </si>
  <si>
    <t>مدرسة ابن جبير الابتدائية للبنين</t>
  </si>
  <si>
    <t>أسامة بن زيد</t>
  </si>
  <si>
    <t>التاسعه المتوسطة بنات</t>
  </si>
  <si>
    <t>أم المؤمنين عائشه رضي الله عنها</t>
  </si>
  <si>
    <t>سليمان بن عبدالملك</t>
  </si>
  <si>
    <t>الثانوية  السادسة بنات</t>
  </si>
  <si>
    <t xml:space="preserve"> الثانية عشر </t>
  </si>
  <si>
    <t>الثامنة والعشرون</t>
  </si>
  <si>
    <t>الرابعة عشر</t>
  </si>
  <si>
    <t>الثانوية الثالثة بطريف</t>
  </si>
  <si>
    <t>الابتدائية الثانية للبنات بطريف</t>
  </si>
  <si>
    <t>معاويه بن أبي سفيان</t>
  </si>
  <si>
    <t>أبو موسى الأشعري</t>
  </si>
  <si>
    <t>مجمع علي بن أبي طالب التعليمي</t>
  </si>
  <si>
    <t>الروضة الخامسة</t>
  </si>
  <si>
    <t>نايف بن عبدالعزيز</t>
  </si>
  <si>
    <t>جعفر الطيار</t>
  </si>
  <si>
    <t>الابتدائية الحادية عشرة</t>
  </si>
  <si>
    <t>الروضة الثانية</t>
  </si>
  <si>
    <t>عبدالرحمن بن عوف</t>
  </si>
  <si>
    <t>القادسية الإبتدائية بنين</t>
  </si>
  <si>
    <t>احمد بن حنبل</t>
  </si>
  <si>
    <t>الابتدائية  الثانية بنات</t>
  </si>
  <si>
    <t>الثانوية  الثالثه بنات</t>
  </si>
  <si>
    <t>المساعدية الابتدائية</t>
  </si>
  <si>
    <t xml:space="preserve">  تحفيظ القرآن الكريم</t>
  </si>
  <si>
    <t xml:space="preserve"> الثانية عشر الثانوية</t>
  </si>
  <si>
    <t>الروضة الثالثة حكومي</t>
  </si>
  <si>
    <t xml:space="preserve">الروضة الثالثة عشر حكومي </t>
  </si>
  <si>
    <t xml:space="preserve">روضة إم كلثوم الاموية </t>
  </si>
  <si>
    <t>الروضة الرابعة حكومي</t>
  </si>
  <si>
    <t>الابتدائية الثالثة</t>
  </si>
  <si>
    <t>الروضة الحادية عشر حكومي</t>
  </si>
  <si>
    <t xml:space="preserve">روضة درة الاموية </t>
  </si>
  <si>
    <t>المتوسطة الثالثة</t>
  </si>
  <si>
    <t>محمد بن سيرين</t>
  </si>
  <si>
    <t>الثانوية الثانية الثانوية بنت</t>
  </si>
  <si>
    <t>روضة بثينة الإنصارية</t>
  </si>
  <si>
    <t>الروضة الرابعة بنت</t>
  </si>
  <si>
    <t>ابن تيمية</t>
  </si>
  <si>
    <t>الأندلس</t>
  </si>
  <si>
    <t>عبدالله بن مسعود</t>
  </si>
  <si>
    <t>KFM2120660277433</t>
  </si>
  <si>
    <t>KFM2120660277426</t>
  </si>
  <si>
    <t>SMR2220661010604</t>
  </si>
  <si>
    <t>KFM2120660277333</t>
  </si>
  <si>
    <t>KFM2120660277367</t>
  </si>
  <si>
    <t>KFM2120660277371</t>
  </si>
  <si>
    <t>KFM2120660281228</t>
  </si>
  <si>
    <t>KFM2120660281301</t>
  </si>
  <si>
    <t>KFM2120660281234</t>
  </si>
  <si>
    <t>SMR2220661010599</t>
  </si>
  <si>
    <t>KFM2120660276896</t>
  </si>
  <si>
    <t>KFM2120660275648</t>
  </si>
  <si>
    <t>KFM2120660276922</t>
  </si>
  <si>
    <t>KFM2120660277703</t>
  </si>
  <si>
    <t>KFM2120660275593</t>
  </si>
  <si>
    <t>KFM2120660277704</t>
  </si>
  <si>
    <t>KFM2120660282172</t>
  </si>
  <si>
    <t>KFM2120660277370</t>
  </si>
  <si>
    <t>KFM2120660277090</t>
  </si>
  <si>
    <t>KFM2120660277092</t>
  </si>
  <si>
    <t>KFM2120660277329</t>
  </si>
  <si>
    <t>KFM2120660277400</t>
  </si>
  <si>
    <t>KFM2020660155023</t>
  </si>
  <si>
    <t>KFM2020560003952</t>
  </si>
  <si>
    <t>KFM2120660276867</t>
  </si>
  <si>
    <t>KFM2120660277721</t>
  </si>
  <si>
    <t>SMR2220661010342</t>
  </si>
  <si>
    <t>KFM2120660275557</t>
  </si>
  <si>
    <t>KFM2120660277763</t>
  </si>
  <si>
    <t>KFM2120660276904</t>
  </si>
  <si>
    <t>KFM2120660277042</t>
  </si>
  <si>
    <t>KFM2120660282140</t>
  </si>
  <si>
    <t>KFM2120660282144</t>
  </si>
  <si>
    <t>SMR2220661019741</t>
  </si>
  <si>
    <t>KFM2120660282135</t>
  </si>
  <si>
    <t>KFM2120660282176</t>
  </si>
  <si>
    <t>KFM2120660276902</t>
  </si>
  <si>
    <t>KFM2120660277039</t>
  </si>
  <si>
    <t>KFM2120660277706</t>
  </si>
  <si>
    <t>KFM2120660281229</t>
  </si>
  <si>
    <t>KFM2120660277008</t>
  </si>
  <si>
    <t>KFM2120660275573</t>
  </si>
  <si>
    <t>KFM2120660277012</t>
  </si>
  <si>
    <t>KFM2120660277006</t>
  </si>
  <si>
    <t>KFM2120660276966</t>
  </si>
  <si>
    <t>SMR2220661010613</t>
  </si>
  <si>
    <t>KFM2120660276971</t>
  </si>
  <si>
    <t>KFM2120660276972</t>
  </si>
  <si>
    <t>KFM2120660277374</t>
  </si>
  <si>
    <t>KFM2120660277074</t>
  </si>
  <si>
    <t>KFM2120660282110</t>
  </si>
  <si>
    <t>KFM2120660277021</t>
  </si>
  <si>
    <t>KFM2120660277432</t>
  </si>
  <si>
    <t>KFM2120660276862</t>
  </si>
  <si>
    <t>KFM2120660277762</t>
  </si>
  <si>
    <t>KFM2120660281296</t>
  </si>
  <si>
    <t>KFM2020660157647</t>
  </si>
  <si>
    <t>KFM2120660242665</t>
  </si>
  <si>
    <t>KFM2120660237744</t>
  </si>
  <si>
    <t>KFM2120660237739</t>
  </si>
  <si>
    <t>KFM2120660237709</t>
  </si>
  <si>
    <t>KFM2120660237713</t>
  </si>
  <si>
    <t>KFM2120660242736</t>
  </si>
  <si>
    <t>KFM2120660237708</t>
  </si>
  <si>
    <t>KFM2120660242673</t>
  </si>
  <si>
    <t>KFM2120660242666</t>
  </si>
  <si>
    <t>KFM2120660242672</t>
  </si>
  <si>
    <t>KFM2120660242716</t>
  </si>
  <si>
    <t>KFM2120660242596</t>
  </si>
  <si>
    <t>KFM2120660242603</t>
  </si>
  <si>
    <t>KFM2120660237652</t>
  </si>
  <si>
    <t>KFM2120660242629</t>
  </si>
  <si>
    <t>KFM2020760238975</t>
  </si>
  <si>
    <t>SMR2220661010533</t>
  </si>
  <si>
    <t>KFM2120660242719</t>
  </si>
  <si>
    <t>KFM2120660242703</t>
  </si>
  <si>
    <t>KFM2120660242697</t>
  </si>
  <si>
    <t>KFM2120660242730</t>
  </si>
  <si>
    <t>KFM2020660033288</t>
  </si>
  <si>
    <t>KFM2120660237669</t>
  </si>
  <si>
    <t>KFM2020760235253</t>
  </si>
  <si>
    <t>KFM2020660025402</t>
  </si>
  <si>
    <t>KFM2020660178698</t>
  </si>
  <si>
    <t>KFM2020660178650</t>
  </si>
  <si>
    <t>KFM2020660178893</t>
  </si>
  <si>
    <t>KFM2020660180973</t>
  </si>
  <si>
    <t>KFM2020660178596</t>
  </si>
  <si>
    <t>KFM2120660242607</t>
  </si>
  <si>
    <t>KFM2020660178714</t>
  </si>
  <si>
    <t>KFM2020660178811</t>
  </si>
  <si>
    <t>KFM2120660242632</t>
  </si>
  <si>
    <t>KFM2020660178871</t>
  </si>
  <si>
    <t>KFM2020660178665</t>
  </si>
  <si>
    <t>KFM2020660181715</t>
  </si>
  <si>
    <t>KFM2020660180808</t>
  </si>
  <si>
    <t>KFM2020660181478</t>
  </si>
  <si>
    <t>KFM2020660181774</t>
  </si>
  <si>
    <t>KFM2020660024070</t>
  </si>
  <si>
    <t>KFM2020660181471</t>
  </si>
  <si>
    <t>KFM2020660181600</t>
  </si>
  <si>
    <t>KFM2120660237726</t>
  </si>
  <si>
    <t>KFM2020660157483</t>
  </si>
  <si>
    <t>KFM2020660033367</t>
  </si>
  <si>
    <t>KFM2020660180873</t>
  </si>
  <si>
    <t>SMR2220661010630</t>
  </si>
  <si>
    <t>Kfm2020660033417</t>
  </si>
  <si>
    <t>KFM2020660178787</t>
  </si>
  <si>
    <t>Kfm2020660178840</t>
  </si>
  <si>
    <t>KFM2020660033282</t>
  </si>
  <si>
    <t>KFM2020660180576</t>
  </si>
  <si>
    <t>KFM2020660180559</t>
  </si>
  <si>
    <t>KFM2020660180807</t>
  </si>
  <si>
    <t>KFM2020660181593</t>
  </si>
  <si>
    <t>KFM2020660181504</t>
  </si>
  <si>
    <t>KFM2020660178789</t>
  </si>
  <si>
    <t>KFM2020660178644</t>
  </si>
  <si>
    <t>kfm2120660242722</t>
  </si>
  <si>
    <t>KFM2020660178708</t>
  </si>
  <si>
    <t>kfm2020660180855</t>
  </si>
  <si>
    <t>kfm2020660178707</t>
  </si>
  <si>
    <t>KFM2020660181501</t>
  </si>
  <si>
    <t>KFM2020660181480</t>
  </si>
  <si>
    <t>SMR2220661010530</t>
  </si>
  <si>
    <t>KFM2020660180560</t>
  </si>
  <si>
    <t>KFM2020660230693</t>
  </si>
  <si>
    <t>KFM2020660181531</t>
  </si>
  <si>
    <t>KFM2020660180662</t>
  </si>
  <si>
    <t>KFM2020660230699</t>
  </si>
  <si>
    <t>KFM2020660181461</t>
  </si>
  <si>
    <t>KFM2020660180571</t>
  </si>
  <si>
    <t>KFM2020660180720</t>
  </si>
  <si>
    <t>KFM2020660230695</t>
  </si>
  <si>
    <t>KFM2020660230619</t>
  </si>
  <si>
    <t>KFM2020660230634</t>
  </si>
  <si>
    <t>KFM2020660157467</t>
  </si>
  <si>
    <t>KFM2120660237762</t>
  </si>
  <si>
    <t>KFM2020660180856</t>
  </si>
  <si>
    <t>KFM2020660178782</t>
  </si>
  <si>
    <t>SMR2220661010644</t>
  </si>
  <si>
    <t>KFM2020660180870</t>
  </si>
  <si>
    <t>SMR2220661010640</t>
  </si>
  <si>
    <t>SMR2220661010622</t>
  </si>
  <si>
    <t>KFM2020660033424</t>
  </si>
  <si>
    <t>KFM2020660181595</t>
  </si>
  <si>
    <t>KFM2020660181800</t>
  </si>
  <si>
    <t>SMR2220661010682</t>
  </si>
  <si>
    <t>KFM2020660182886</t>
  </si>
  <si>
    <t>SMR2220661010626</t>
  </si>
  <si>
    <t>KFM2020660181545</t>
  </si>
  <si>
    <t>SMR2220661010527</t>
  </si>
  <si>
    <t>KFM2020660180802</t>
  </si>
  <si>
    <t>KFM2020660178646</t>
  </si>
  <si>
    <t>KFM2020660180978</t>
  </si>
  <si>
    <t>KFM2020660219253</t>
  </si>
  <si>
    <t>RAFHA</t>
  </si>
  <si>
    <t>AL-WOIQILAT</t>
  </si>
  <si>
    <t>THURAIF</t>
  </si>
  <si>
    <t>Kindergarten attached to Al-Ufuq Early Childhood Elementary School</t>
  </si>
  <si>
    <t>الروضة ملحقة بابتدائية الأفق للطفولة المبكرة</t>
  </si>
  <si>
    <t xml:space="preserve">Secondary </t>
  </si>
  <si>
    <t xml:space="preserve"> Primary </t>
  </si>
  <si>
    <t xml:space="preserve"> intermediat</t>
  </si>
  <si>
    <t xml:space="preserve"> Secondary</t>
  </si>
  <si>
    <t xml:space="preserve"> Secondary </t>
  </si>
  <si>
    <t xml:space="preserve">10104816356
</t>
  </si>
  <si>
    <t xml:space="preserve">10006364881
</t>
  </si>
  <si>
    <t xml:space="preserve">10006321140
</t>
  </si>
  <si>
    <t xml:space="preserve">10006330711
</t>
  </si>
  <si>
    <t xml:space="preserve">10006305594
</t>
  </si>
  <si>
    <t>33rd Secondary School for Girls in Dammam</t>
  </si>
  <si>
    <t>44th Elementary School</t>
  </si>
  <si>
    <t>38th Intermediate School in Dammam</t>
  </si>
  <si>
    <t>30th Secondary School in Dammam</t>
  </si>
  <si>
    <t>1st Secondary School for Girls in Dammam</t>
  </si>
  <si>
    <t>27th Intermediate School in Dammam</t>
  </si>
  <si>
    <t>25th Elementary School for Girls in Dammam</t>
  </si>
  <si>
    <t>Imam Al-Shafi'i Elementary School for Boys</t>
  </si>
  <si>
    <t>18th Secondary School in Dammam</t>
  </si>
  <si>
    <t>14th Intermediate School for Girls in Dammam</t>
  </si>
  <si>
    <t>Al-Shifa Bint Abdullah Secondary School in Dammam</t>
  </si>
  <si>
    <t>36th Elementary School for Girls</t>
  </si>
  <si>
    <t>The 56th Elementary School in Dammam (Girls)</t>
  </si>
  <si>
    <t>The 29th Intermediate School in Dammam (Girls)</t>
  </si>
  <si>
    <t>The 9th Secondary School in Dammam (Girls)</t>
  </si>
  <si>
    <t>The 50th Elementary School in Dammam (Girls)</t>
  </si>
  <si>
    <t>Misk Elementary School - formerly Al-Amal Institute</t>
  </si>
  <si>
    <t>The 19th Intermediate School in Dammam</t>
  </si>
  <si>
    <t>The 71st Elementary School in Dammam (Girls)</t>
  </si>
  <si>
    <t>The 13th Intermediate School in Dammam</t>
  </si>
  <si>
    <t>The 37th Elementary School in Dammam (Girls)</t>
  </si>
  <si>
    <t>The 2nd Elementary School for Quran Memorization in Dammam</t>
  </si>
  <si>
    <t>The 16th Elementary School in Dammam</t>
  </si>
  <si>
    <t>The 40th Intermediate School in Dammam (Girls)</t>
  </si>
  <si>
    <t>Fatima Al-Zahra Intermediate School for Girls</t>
  </si>
  <si>
    <t>The 23rd Intermediate School in Dammam</t>
  </si>
  <si>
    <t>The 26th Secondary School in Dammam (Girls)</t>
  </si>
  <si>
    <t>The 37th Intermediate School in Dammam (Girls)</t>
  </si>
  <si>
    <t>Eleventh Elementary School in Dammam</t>
  </si>
  <si>
    <t>Fifty-Fourth Elementary School in Dammam (Girls)</t>
  </si>
  <si>
    <t>Thirteenth Secondary School in Dammam</t>
  </si>
  <si>
    <t>Fifty-Second Elementary School in Dammam (Girls)</t>
  </si>
  <si>
    <t>Asia Bint Muzahim Elementary School (Girls)</t>
  </si>
  <si>
    <t>Umm Salama Secondary School in Dammam</t>
  </si>
  <si>
    <t>Thirty-Fourth Elementary School in Dammam</t>
  </si>
  <si>
    <t>Twenty-Fourth Intermediate School in Dammam (Girls)</t>
  </si>
  <si>
    <t>Sixty-Fourth Elementary School in Dammam (Girls)</t>
  </si>
  <si>
    <t>Forty-Second Elementary School in Dammam (Girls)</t>
  </si>
  <si>
    <t>Twentieth Intermediate School in Dammam</t>
  </si>
  <si>
    <t>Seventeenth Elementary School in Dammam (Girls)</t>
  </si>
  <si>
    <t>Sixth Elementary School for Quran Memorization in Dammam</t>
  </si>
  <si>
    <t>Twenty-Seventh Secondary School in Dammam (Girls)</t>
  </si>
  <si>
    <t>47th Elementary School in Dammam (Girls)</t>
  </si>
  <si>
    <t>46th Elementary School in Dammam (Girls)</t>
  </si>
  <si>
    <t>43rd Elementary School in Dammam (Girls)</t>
  </si>
  <si>
    <t>Zaid bin Al-Khattab Intermediate School (Boys)</t>
  </si>
  <si>
    <t>Okaz Secondary School in Dammam (Boys)</t>
  </si>
  <si>
    <t>Ubaidah bin Al-Harith Elementary School (Boys)</t>
  </si>
  <si>
    <t>Makkah Al-Mukarramah Elementary School</t>
  </si>
  <si>
    <t>Abdullah bin Amer Intermediate School in Dammam (Boys)</t>
  </si>
  <si>
    <t>Ain Jalut Intermediate School</t>
  </si>
  <si>
    <t>Anas bin Fadalah Elementary School (Boys)</t>
  </si>
  <si>
    <t>Amr bin Muadh Elementary School</t>
  </si>
  <si>
    <t>Sheikh Abdulaziz bin Baz Secondary School (Boys)</t>
  </si>
  <si>
    <t>Madinah Al-Munawwarah Elementary School (Boys)</t>
  </si>
  <si>
    <t>Usamah bin Zaid Elementary School</t>
  </si>
  <si>
    <t>Al-Nu'man bin Muqrin Intermediate School (Boys)</t>
  </si>
  <si>
    <t>Al-Walid bin Al-Qasim Elementary School</t>
  </si>
  <si>
    <t>Abdulrahman Al-Ghafiqi Intermediate School</t>
  </si>
  <si>
    <t>Uqba Bin Amer Educational Complex Elementary School for Boys</t>
  </si>
  <si>
    <t>Umair Bin Al-Hamam Al-Ansari Intermediate School for Boys</t>
  </si>
  <si>
    <t>Al-Qasim Bin Muhammad Bin Abi Bakr Secondary School for Boys</t>
  </si>
  <si>
    <t>Amr Bin Al-Jamuh School</t>
  </si>
  <si>
    <t>Al-Jihad Secondary School for Boys</t>
  </si>
  <si>
    <t>Al-Nour Elementary School for Boys</t>
  </si>
  <si>
    <t>Uqba Bin Amer Educational Complex Intermediate School</t>
  </si>
  <si>
    <t>Qutaiba Bin Muslim Elementary School for Boys</t>
  </si>
  <si>
    <t>Uthman Bin Affan Elementary School</t>
  </si>
  <si>
    <t>Abu Dawood Elementary School</t>
  </si>
  <si>
    <t>24th Girls' Secondary School</t>
  </si>
  <si>
    <t>Abdullah bin Al-Zubair Boys' Secondary School</t>
  </si>
  <si>
    <t>1st Al-Nabiyah Elementary School</t>
  </si>
  <si>
    <t>1st Al-Nabiyah Girls' Intermediate School</t>
  </si>
  <si>
    <t>1st Al-Nabiyah Girls' Secondary School</t>
  </si>
  <si>
    <t>49th Dammam Girls' Elementary School</t>
  </si>
  <si>
    <t>Ibn Al-Qayyim Educational Complex Boys' Intermediate School</t>
  </si>
  <si>
    <t>Al-Tufail bin Amr Boys' Fikri Program Intermediate School</t>
  </si>
  <si>
    <t>Al-Majidiyah Boys' Secondary School</t>
  </si>
  <si>
    <t>Musa bin Nusair Boys' Intermediate School in Saihat</t>
  </si>
  <si>
    <t>Saihat Secondary School</t>
  </si>
  <si>
    <t>Saad bin Al-Harith Intermediate School</t>
  </si>
  <si>
    <t>Usama bin Umair Boys' Elementary School</t>
  </si>
  <si>
    <t>4th Saihat Girls' Intermediate School</t>
  </si>
  <si>
    <t>Fifth Secondary School in Saihat for Girls</t>
  </si>
  <si>
    <t>Fifth Intermediate School in Saihat for Girls</t>
  </si>
  <si>
    <t>Ninth Elementary School in Saihat for Girls</t>
  </si>
  <si>
    <t>Fourth Secondary School in Saihat for Girls</t>
  </si>
  <si>
    <t>Third Intermediate School in Saihat</t>
  </si>
  <si>
    <t>Eighth Elementary School in Saihat for Girls</t>
  </si>
  <si>
    <t>Seventh Intermediate School in Saihat for Girls</t>
  </si>
  <si>
    <t>Fifth Elementary School in Saihat for Girls</t>
  </si>
  <si>
    <t>First Secondary School in Al-Malaha for Girls</t>
  </si>
  <si>
    <t>Al-Rabee'iyah Elementary School for Boys</t>
  </si>
  <si>
    <t>First Elementary School for Quran Memorization for Girls</t>
  </si>
  <si>
    <t>Sixth Elementary School in Dammam for Girls</t>
  </si>
  <si>
    <t>Khaled Bin Hazam Elementary School for Early Childhood</t>
  </si>
  <si>
    <t>Fortieth Elementary School in Dammam</t>
  </si>
  <si>
    <t>Ninth Elementary School for Girls in Dammam</t>
  </si>
  <si>
    <t>Thirty-Ninth Elementary School for Girls in Dammam</t>
  </si>
  <si>
    <t>Third Elementary School for Girls in Dammam</t>
  </si>
  <si>
    <t>Twenty-Third Elementary School for Girls in Dammam</t>
  </si>
  <si>
    <t>Second Dammam Elementary School for Girls</t>
  </si>
  <si>
    <t>Twelfth Dammam Elementary School for Girls</t>
  </si>
  <si>
    <t>Thirtieth Dammam Elementary School for Girls</t>
  </si>
  <si>
    <t>Nineteenth Dammam Secondary School for Girls</t>
  </si>
  <si>
    <t>Twenty-Fifth Dammam Secondary School for Girls</t>
  </si>
  <si>
    <t>Seventh Dammam Secondary School</t>
  </si>
  <si>
    <t>Sixth Dammam Secondary School for Girls</t>
  </si>
  <si>
    <t>Second Dammam Kindergarten</t>
  </si>
  <si>
    <t>Second Dammam Intermediate School</t>
  </si>
  <si>
    <t>Thirty-First Dammam Intermediate School</t>
  </si>
  <si>
    <t>Twenty-Fifth Dammam Intermediate School</t>
  </si>
  <si>
    <t>Thirteenth Dammam Elementary School</t>
  </si>
  <si>
    <t>Al-Khaleej Intermediate School for Boys in Dammam</t>
  </si>
  <si>
    <t>Al-Zuhour Intermediate School for Boys in Dammam</t>
  </si>
  <si>
    <t>Amr Ibn Al-Aas Elementary School for Boys in Dammam</t>
  </si>
  <si>
    <t>Dammam Secondary School</t>
  </si>
  <si>
    <t>Al-Quds Secondary School for Boys</t>
  </si>
  <si>
    <t>Saeed Ibn Amer Elementary School for Boys</t>
  </si>
  <si>
    <t>Salah Al-Din Elementary School</t>
  </si>
  <si>
    <t>Al-Miqdad Bin Amr Elementary School</t>
  </si>
  <si>
    <t>Al-Manhal Elementary School</t>
  </si>
  <si>
    <t>Uthman Bin Al-Aas Intermediate School for Boys</t>
  </si>
  <si>
    <t>Saeed Bin Zaid Intermediate School for Boys</t>
  </si>
  <si>
    <t>Sheikh Muhammad Bin Saleh Bin Uthaimin Secondary School</t>
  </si>
  <si>
    <t>Al-Ghazali Secondary School</t>
  </si>
  <si>
    <t>Al-Saraya Intermediate School for Boys</t>
  </si>
  <si>
    <t>Seventh Elementary School in Dammam for Girls</t>
  </si>
  <si>
    <t>Ninth Intermediate School in Al-Qazzaz District</t>
  </si>
  <si>
    <t>Al-Quds Elementary School for Boys</t>
  </si>
  <si>
    <t>Al-Madinah Al-Munawwarah Secondary School</t>
  </si>
  <si>
    <t>Saeed Bin Al-Aas Elementary School for Boys</t>
  </si>
  <si>
    <t>Badr Al-Kubra Elementary School</t>
  </si>
  <si>
    <t>Thirty-Third Intermediate School in Dammam for Girls</t>
  </si>
  <si>
    <t>The 59th Dammam Elementary School for Girls</t>
  </si>
  <si>
    <t>The 32nd Dammam Intermediate School</t>
  </si>
  <si>
    <t>Al-Jazirah Intermediate School for Boys</t>
  </si>
  <si>
    <t>The 21st Dammam Intermediate School</t>
  </si>
  <si>
    <t>The 30th Dammam Intermediate School</t>
  </si>
  <si>
    <t>The 18th Dammam Intermediate School for Girls</t>
  </si>
  <si>
    <t>The 20th Dammam Secondary School for Girls</t>
  </si>
  <si>
    <t>The 14th Dammam Elementary School for Girls</t>
  </si>
  <si>
    <t>The 19th Dammam Elementary School</t>
  </si>
  <si>
    <t>Imam Muhammad bin Saud Secondary School</t>
  </si>
  <si>
    <t>The 17th Dammam Secondary School</t>
  </si>
  <si>
    <t>The 29th Dammam Elementary School for Girls</t>
  </si>
  <si>
    <t>The 22nd Dammam Elementary School for Girls</t>
  </si>
  <si>
    <t>22nd Dammam Intermediate School for Girls</t>
  </si>
  <si>
    <t>36th Dammam Intermediate School for Girls</t>
  </si>
  <si>
    <t>1st Intermediate School for Adult Education in Khobar</t>
  </si>
  <si>
    <t>Al-Mazra'a Elementary School for Boys</t>
  </si>
  <si>
    <t>8th Dammam Elementary School for Girls</t>
  </si>
  <si>
    <t>8th Dammam Intermediate School for Girls</t>
  </si>
  <si>
    <t>21st Dammam Elementary School</t>
  </si>
  <si>
    <t>48th Dammam Elementary School for Girls</t>
  </si>
  <si>
    <t>23rd Dammam Secondary School</t>
  </si>
  <si>
    <t>8th Dammam Secondary School for Girls</t>
  </si>
  <si>
    <t>4th Dammam Secondary School</t>
  </si>
  <si>
    <t>Al-Suyuti Educational Complex Secondary School for Boys</t>
  </si>
  <si>
    <t>29th Dammam Secondary School for Girls</t>
  </si>
  <si>
    <t>26th Dammam Intermediate School for Girls</t>
  </si>
  <si>
    <t>41st Dammam Elementary School for Girls</t>
  </si>
  <si>
    <t>Sanabis Intermediate School in Qatif</t>
  </si>
  <si>
    <t>Al-Najh Secondary School in Qatif</t>
  </si>
  <si>
    <t>Saad bin Al-Rabee Elementary School in Qatif</t>
  </si>
  <si>
    <t>Saeed bin Al-Musayyab Intermediate School</t>
  </si>
  <si>
    <t>Abi Al-Darda Elementary School in Qatif</t>
  </si>
  <si>
    <t>Fakhr Al-Din Al-Razi Intermediate School</t>
  </si>
  <si>
    <t>Al-Qudaih Secondary School in Qatif</t>
  </si>
  <si>
    <t>Naeem bin Masoud Elementary School</t>
  </si>
  <si>
    <t>Ata bin Abi Rabah Intermediate School in Qatif</t>
  </si>
  <si>
    <t>Al-Nakheel Elementary School in Qatif</t>
  </si>
  <si>
    <t>Zain Al-Abidin Elementary School in Qatif</t>
  </si>
  <si>
    <t>Al-Qiblatain Secondary School in Qatif</t>
  </si>
  <si>
    <t>Dar Al-Hikma Secondary School in Qatif</t>
  </si>
  <si>
    <t>Qatif Secondary School in Qatif</t>
  </si>
  <si>
    <t>Dhat Al-Sawari Elementary School in Qatif</t>
  </si>
  <si>
    <t>Ayman bin Ubaid Intermediate School</t>
  </si>
  <si>
    <t>Anik Secondary School</t>
  </si>
  <si>
    <t>Al-Khawildiyah Elementary School</t>
  </si>
  <si>
    <t>Safwan bin Umayyah Elementary School in Safwa</t>
  </si>
  <si>
    <t>Hiraa Intermediate School in Safwa</t>
  </si>
  <si>
    <t>Al-Awamiyah Secondary School</t>
  </si>
  <si>
    <t>Al-Awamiyah Elementary School</t>
  </si>
  <si>
    <t>Al-Awamiyah Intermediate School</t>
  </si>
  <si>
    <t>Qurtuba Elementary School in Awamiyah</t>
  </si>
  <si>
    <t>Safwa Secondary School</t>
  </si>
  <si>
    <t>Tarout Secondary School</t>
  </si>
  <si>
    <t>Fourth Intermediate School in Qatif</t>
  </si>
  <si>
    <t>Second Secondary School in Qatif</t>
  </si>
  <si>
    <t xml:space="preserve"> Boys </t>
  </si>
  <si>
    <t xml:space="preserve"> Boys</t>
  </si>
  <si>
    <t xml:space="preserve"> Boys
</t>
  </si>
  <si>
    <t xml:space="preserve">Boys
</t>
  </si>
  <si>
    <t xml:space="preserve"> Girls</t>
  </si>
  <si>
    <t xml:space="preserve">Primary </t>
  </si>
  <si>
    <t xml:space="preserve">Secondary 
</t>
  </si>
  <si>
    <t xml:space="preserve">Intermediate </t>
  </si>
  <si>
    <t xml:space="preserve"> Intermediate </t>
  </si>
  <si>
    <t xml:space="preserve"> Intermediate</t>
  </si>
  <si>
    <t xml:space="preserve">Primary 
</t>
  </si>
  <si>
    <t xml:space="preserve">  </t>
  </si>
  <si>
    <t>Al Jouf</t>
  </si>
  <si>
    <t>130th Girls' Elementary School</t>
  </si>
  <si>
    <t>Sawda Bint Zam'a Girls' Intermediate School</t>
  </si>
  <si>
    <t>Al-Hasan Al-Basri Early Childhood School</t>
  </si>
  <si>
    <t>Second Girls' Intermediate School</t>
  </si>
  <si>
    <t>37th Girls' Elementary School</t>
  </si>
  <si>
    <t>35th Girls' Secondary School</t>
  </si>
  <si>
    <t>Ibn Kathir Boys' Intermediate School</t>
  </si>
  <si>
    <t>Ma'n Bin Adi Boys' Elementary School</t>
  </si>
  <si>
    <t>52nd Girls' Intermediate School</t>
  </si>
  <si>
    <t>16th Girls' Secondary School</t>
  </si>
  <si>
    <t>Sheikh Muhammad Al-Sabil Early Childhood School</t>
  </si>
  <si>
    <t>Zainab Bint Jahsh Girls' Elementary School</t>
  </si>
  <si>
    <t>Uthman Bin Affan Boys' Secondary School</t>
  </si>
  <si>
    <t>Amr bin Salem Al-Khuza'i Elementary School for Boys</t>
  </si>
  <si>
    <t>Musa bin Nusair Intermediate School for Boys</t>
  </si>
  <si>
    <t>Fifty-Third Elementary School for Girls</t>
  </si>
  <si>
    <t>Sixtieth Secondary School for Girls</t>
  </si>
  <si>
    <t>Al-Hakam bin Hashim Secondary School for Boys</t>
  </si>
  <si>
    <t>Twenty-Third Kindergarten</t>
  </si>
  <si>
    <t>Umrah bint Abdul Rahman Secondary School for Girls</t>
  </si>
  <si>
    <t>Talhah bin Ubaidullah Secondary School</t>
  </si>
  <si>
    <t>Asiyah bint Muzahim Elementary School</t>
  </si>
  <si>
    <t>Princess Noura Educational Complex - Elementary Section</t>
  </si>
  <si>
    <t>Princess Noura Educational Complex - Intermediate Section</t>
  </si>
  <si>
    <t>Princess Noura Educational Complex - Secondary Section</t>
  </si>
  <si>
    <t>Amer bin Rabi'ah Elementary School for Boys</t>
  </si>
  <si>
    <t>Ibn Al-Jawzi Elementary School for Boys</t>
  </si>
  <si>
    <t>Umamah bint Al-Aas Intermediate School in Makkah Al-Mukarramah</t>
  </si>
  <si>
    <t>Seventh Elementary School for Quran Memorization</t>
  </si>
  <si>
    <t>Al-Zahir Intermediate School - Boys</t>
  </si>
  <si>
    <t>Dar Al-Salam Primary School - Boys</t>
  </si>
  <si>
    <t>Fatima Al-Zahra Secondary School - Girls</t>
  </si>
  <si>
    <t>Fifth Kindergarten - Girls</t>
  </si>
  <si>
    <t>Eighteenth Intermediate School - Girls</t>
  </si>
  <si>
    <t>Thirty-First Secondary School - Girls</t>
  </si>
  <si>
    <t>Bishr Ibn Al-Bara' Intermediate School</t>
  </si>
  <si>
    <t>Atab Ibn Asid Intermediate School - Boys</t>
  </si>
  <si>
    <t>Al-Haramain Early Childhood School</t>
  </si>
  <si>
    <t>Thirty-First Intermediate School - Girls</t>
  </si>
  <si>
    <t>Forty-Fifth Secondary School - Girls</t>
  </si>
  <si>
    <t>Khadija Bint Khuwaylid Secondary School - Girls</t>
  </si>
  <si>
    <t>Buthaina Bint Al-Nu'man Secondary School</t>
  </si>
  <si>
    <t>Waki' Ibn Al-Jarrah Intermediate School - Boys</t>
  </si>
  <si>
    <t>Sixty-Second Intermediate School - Girls</t>
  </si>
  <si>
    <t>Imam Al-Bukhari Primary School - Girls</t>
  </si>
  <si>
    <t>Abbad Ibn Bishr Intermediate School - Boys</t>
  </si>
  <si>
    <t>Twenty-Fourth Secondary School - Girls</t>
  </si>
  <si>
    <t>Mona Elementary School for Boys</t>
  </si>
  <si>
    <t>Anas Bin Malik Intermediate School for Boys</t>
  </si>
  <si>
    <t>Fifty-First Intermediate School for Girls</t>
  </si>
  <si>
    <t>Al-Bara' Bin Malik Early Childhood School</t>
  </si>
  <si>
    <t>Abi Ubaidah Amer Bin Al-Jarrah Intermediate School for Boys</t>
  </si>
  <si>
    <t>Seventeenth Intermediate School for Girls</t>
  </si>
  <si>
    <t>Sheikh Abdullah Al-Khalifi Secondary School for Boys</t>
  </si>
  <si>
    <t>One Hundred and Thirty-First Elementary School for Girls</t>
  </si>
  <si>
    <t>Ninety-Fifth Elementary School for Girls</t>
  </si>
  <si>
    <t>Fifty-Seventh Intermediate School</t>
  </si>
  <si>
    <t>Omar Al-Mukhtar Elementary School for Boys</t>
  </si>
  <si>
    <t>Fourth Elementary School for Girls</t>
  </si>
  <si>
    <t>Seventy-Seventh Intermediate School for Girls</t>
  </si>
  <si>
    <t>Fatima Bint Asad Intermediate School for Girls</t>
  </si>
  <si>
    <t>One Hundred and Twenty-Sixth Elementary School for Girls</t>
  </si>
  <si>
    <t>Al-Abbas ibn Abd al-Muttalib Elementary School for Boys</t>
  </si>
  <si>
    <t>Utbah ibn Ghazwan Early Childhood Center</t>
  </si>
  <si>
    <t>Na'im ibn Mas'ud Elementary School for Boys</t>
  </si>
  <si>
    <t>Abi al-Darda' Elementary School for Boys</t>
  </si>
  <si>
    <t>Umm al-Mu'minin Khadijah bint Khuwaylid Center for Autism for Girls</t>
  </si>
  <si>
    <t>Ibn al-Qayyim Early Childhood Center</t>
  </si>
  <si>
    <t>Ibn Rajab Intermediate School for Boys</t>
  </si>
  <si>
    <t>Al-Yarmouk Intermediate School for Boys</t>
  </si>
  <si>
    <t>Prince Saud al-Faisal Secondary School</t>
  </si>
  <si>
    <t>Balat al-Shuhada' Intermediate School</t>
  </si>
  <si>
    <t>The 35th Elementary School</t>
  </si>
  <si>
    <t>The 8th Intermediate School for Girls</t>
  </si>
  <si>
    <t>The 148th Elementary School for Girls</t>
  </si>
  <si>
    <t>Al-Qadi Iyad Intermediate School for Boys</t>
  </si>
  <si>
    <t>Al-Zubair Ibn Al-Awam Intermediate School for Boys</t>
  </si>
  <si>
    <t>Abdullah Ibn Anis Intermediate School for Boys</t>
  </si>
  <si>
    <t>Al-Qaqa' Ibn Amr Intermediate School for Boys</t>
  </si>
  <si>
    <t>Muhammad Ibn Abdul Wahhab Early Childhood Center for Girls</t>
  </si>
  <si>
    <t>26th Secondary School for Girls</t>
  </si>
  <si>
    <t>41st Elementary School</t>
  </si>
  <si>
    <t>59th Elementary School for Girls</t>
  </si>
  <si>
    <t>Dhat Al-Sawari Secondary School for Boys</t>
  </si>
  <si>
    <t>4th Secondary School for Girls</t>
  </si>
  <si>
    <t>Al-Izz Ibn Abdul Salam Secondary School for Boys</t>
  </si>
  <si>
    <t>Al-Arqam Ibn Abi Al-Arqam Intermediate School for Boys</t>
  </si>
  <si>
    <t>60th Elementary School for Girls</t>
  </si>
  <si>
    <t>Institute of Intellectual Education</t>
  </si>
  <si>
    <t>Mu'adh Ibn Jabal Secondary School for Boys</t>
  </si>
  <si>
    <t>Adhba Bint Saad Elementary School for Girls</t>
  </si>
  <si>
    <t>Jabal Al-Nour Early Childhood Center</t>
  </si>
  <si>
    <t>Abi Mihjan Al-Thaqafi Intermediate School for Boys</t>
  </si>
  <si>
    <t>3rd Quran Memorization Center for Girls</t>
  </si>
  <si>
    <t>49th Elementary School - Girls</t>
  </si>
  <si>
    <t>Jubair Bin Mut'im Elementary School</t>
  </si>
  <si>
    <t>132nd Elementary School - Girls</t>
  </si>
  <si>
    <t>48th Intermediate School - Girls</t>
  </si>
  <si>
    <t>Prince Abdulmajid Secondary School - Boys</t>
  </si>
  <si>
    <t>14th Intermediate School - Girls</t>
  </si>
  <si>
    <t>Ibn Taymiyyah Elementary School</t>
  </si>
  <si>
    <t>Ata Bin Abi Rabah Elementary School</t>
  </si>
  <si>
    <t>32nd Intermediate School - Girls</t>
  </si>
  <si>
    <t>Al-Fath Intermediate School - Boys</t>
  </si>
  <si>
    <t>Al-Rahmaniyah Elementary School - Boys</t>
  </si>
  <si>
    <t>Mu'adhah Al-Adawiyah Elementary School - Girls</t>
  </si>
  <si>
    <t>Omar Bin Al-Khattab Intermediate School - Boys</t>
  </si>
  <si>
    <t>Ja'far Al-Sadiq Secondary School - Boys</t>
  </si>
  <si>
    <t>Thirteenth Elementary School for Quran Memorization (Girls)</t>
  </si>
  <si>
    <t>Fortieth Elementary School (Girls)</t>
  </si>
  <si>
    <t>Abu Zaid Al-Ansari Secondary School</t>
  </si>
  <si>
    <t>Makkah Secondary School (Boys)</t>
  </si>
  <si>
    <t>Sixth Elementary School for Quran Memorization</t>
  </si>
  <si>
    <t>Fortieth Intermediate School (Girls)</t>
  </si>
  <si>
    <t>Qatadah Ibn Al-Nu'man Elementary School (Boys)</t>
  </si>
  <si>
    <t>Amouriyah Elementary School (Boys)</t>
  </si>
  <si>
    <t>Al-Yamamah Intermediate School</t>
  </si>
  <si>
    <t>Forty-Fifth Elementary School (Girls)</t>
  </si>
  <si>
    <t>Al-Hijrah Intermediate School</t>
  </si>
  <si>
    <t>Imam Al-Sakhawi Secondary School (Boys)</t>
  </si>
  <si>
    <t>Al-Noor Institute for the Blind</t>
  </si>
  <si>
    <t>Forty-Sixth Elementary School</t>
  </si>
  <si>
    <t>Forty-Sixth Secondary School (Girls)</t>
  </si>
  <si>
    <t>Uthman Ibn Talhah Intermediate School (Boys)</t>
  </si>
  <si>
    <t>Sixth Intermediate School (Girls)</t>
  </si>
  <si>
    <t>Hanzala Ibn Amer Early Childhood School</t>
  </si>
  <si>
    <t>Abdul Rahman Al-Ghafiqi Early Childhood School</t>
  </si>
  <si>
    <t>Al-Asimah Model Intermediate School (Boys)</t>
  </si>
  <si>
    <t>Zubaydah Bint Ja'far Secondary School (Girls)</t>
  </si>
  <si>
    <t>Fifty-oneth Elementary School for Girls</t>
  </si>
  <si>
    <t>Umm Amara Elementary School for Girls</t>
  </si>
  <si>
    <t>Hassan Bin Thabit Elementary School for Boys</t>
  </si>
  <si>
    <t>Ain Jalut Secondary School for Boys</t>
  </si>
  <si>
    <t>Seventh Secondary School for Girls</t>
  </si>
  <si>
    <t>Abdullah Khayyat Intermediate School for Boys</t>
  </si>
  <si>
    <t>Fourteenth Secondary School for Girls</t>
  </si>
  <si>
    <t>Twenty-eighth Secondary School for Girls</t>
  </si>
  <si>
    <t>King Abdullah Secondary School for Boys</t>
  </si>
  <si>
    <t>Ikrimah Bin Amr Bin Hisham Secondary School for Boys</t>
  </si>
  <si>
    <t>Ninety-sixth Elementary School for Girls</t>
  </si>
  <si>
    <t>First Intermediate and Secondary School for Girls (Quran Memorization)</t>
  </si>
  <si>
    <t>Al-Balad Al-Amin Intermediate School for Gifted Students</t>
  </si>
  <si>
    <t>Thirty-ninth Secondary School for Girls</t>
  </si>
  <si>
    <t>One hundred and thirty-fifth Elementary School for Girls</t>
  </si>
  <si>
    <t>Al-Mughirah Bin Shu'bah Elementary School for Boys</t>
  </si>
  <si>
    <t>Saad Bin Mu'adh Elementary School for Boys</t>
  </si>
  <si>
    <t>Habibah Bint Amr Elementary School</t>
  </si>
  <si>
    <t>The 39th Intermediate School in Makkah</t>
  </si>
  <si>
    <t>Al-Narjis Kindergarten, Makkah</t>
  </si>
  <si>
    <t>The 86th Elementary School for Girls</t>
  </si>
  <si>
    <t>The 29th Secondary School for Girls</t>
  </si>
  <si>
    <t>The 49th Secondary School</t>
  </si>
  <si>
    <t>Al-Umrah School</t>
  </si>
  <si>
    <t>Prince Majid bin Abdul Aziz Intermediate School</t>
  </si>
  <si>
    <t>Zamzam Elementary School for Boys</t>
  </si>
  <si>
    <t>The 10th Elementary School for Early Childhood</t>
  </si>
  <si>
    <t>The 28th Girls' School</t>
  </si>
  <si>
    <t>Ibn Amer Elementary School for Early Childhood for Boys</t>
  </si>
  <si>
    <t>The 36th Secondary School for Girls</t>
  </si>
  <si>
    <t>The 109th Elementary School for Girls</t>
  </si>
  <si>
    <t>Umm Saad bin Muadh Elementary School</t>
  </si>
  <si>
    <t>The 98th Elementary School</t>
  </si>
  <si>
    <t>Twelfth Kindergarten</t>
  </si>
  <si>
    <t>Urwah ibn al-Zubayr Elementary School</t>
  </si>
  <si>
    <t>Thirty-Eighth Intermediate School for Girls</t>
  </si>
  <si>
    <t>Ubayy ibn Ka'b Intermediate School</t>
  </si>
  <si>
    <t>Zayd ibn al-Khattab Intermediate School for Boys</t>
  </si>
  <si>
    <t>Thirtieth Secondary School in Mecca</t>
  </si>
  <si>
    <t>Forty-First Secondary School for Girls</t>
  </si>
  <si>
    <t>Al-Amal Institute Complex for Deaf Girls</t>
  </si>
  <si>
    <t>One Hundred-Seventh Elementary School in Mecca</t>
  </si>
  <si>
    <t>Al-Layth ibn Sa'd Intermediate School for Boys</t>
  </si>
  <si>
    <t>Al-Biruni Elementary School</t>
  </si>
  <si>
    <t>Eighth Elementary School and Al-Mawaddah Kindergarten</t>
  </si>
  <si>
    <t>Safiyyah ibn Abd al-Muttalib Early Childhood School</t>
  </si>
  <si>
    <t>Abu Ayyub al-Ansari Secondary School for Boys</t>
  </si>
  <si>
    <t>Al-Jahiz Secondary School for Boys</t>
  </si>
  <si>
    <t>Forty-Fourth Intermediate School</t>
  </si>
  <si>
    <t>Twenty-seventh Girls' Secondary School</t>
  </si>
  <si>
    <t>Zaid Al-Khair Elementary School</t>
  </si>
  <si>
    <t>Yazeed Bin Ruman Al-Rashidiyah Intermediate School</t>
  </si>
  <si>
    <t>Abu Saeed Al-Khudri Elementary School</t>
  </si>
  <si>
    <t>Okaz Elementary School</t>
  </si>
  <si>
    <t>Abdulmalik Bin Marwan Intermediate School for Boys</t>
  </si>
  <si>
    <t>Twenty-sixth Girls' Elementary School, Makkah</t>
  </si>
  <si>
    <t>Forty-seventh Intermediate School (Girls)</t>
  </si>
  <si>
    <t>Nineteenth Girls' Secondary School</t>
  </si>
  <si>
    <t>29.631916,43.525776</t>
  </si>
  <si>
    <t>29.631893,43.526810</t>
  </si>
  <si>
    <t>29.630373,43.523712</t>
  </si>
  <si>
    <t>29.628679,43.515259</t>
  </si>
  <si>
    <t>29.633644,43.527824</t>
  </si>
  <si>
    <t>29.628309,43.527180</t>
  </si>
  <si>
    <t>29.638298,43.512249</t>
  </si>
  <si>
    <t>29.637457,43.501484</t>
  </si>
  <si>
    <t>29.637917,43.511307</t>
  </si>
  <si>
    <t>29.626137,43.511772</t>
  </si>
  <si>
    <t>29.626257,43.511669</t>
  </si>
  <si>
    <t>29.630093,43.498390</t>
  </si>
  <si>
    <t>29.626026,43.517735</t>
  </si>
  <si>
    <t>29.64743595581304, 43.524362188359596</t>
  </si>
  <si>
    <t>29.643631,43.528080</t>
  </si>
  <si>
    <t>29.642422256666716, 43.53349953571346</t>
  </si>
  <si>
    <t>29.638830,43.504150</t>
  </si>
  <si>
    <t>29.628633,43.527382</t>
  </si>
  <si>
    <t>29.628267,43.550644</t>
  </si>
  <si>
    <t>29.628414,43.549767</t>
  </si>
  <si>
    <t>29.646574,43.518230</t>
  </si>
  <si>
    <t>29.646677,43.518040</t>
  </si>
  <si>
    <t>29.629080,43.506866</t>
  </si>
  <si>
    <t>29.621780,43.518803</t>
  </si>
  <si>
    <t>29.572403,43.632927</t>
  </si>
  <si>
    <t>29.572289,43.632851</t>
  </si>
  <si>
    <t>29°34'24.9"N 43°38'09.0"E</t>
  </si>
  <si>
    <t>29°34'26.6"N 43°38'07.3"E</t>
  </si>
  <si>
    <t>29°37'20.5"N 43°31'10.2"E</t>
  </si>
  <si>
    <t>29°38'14.7"N 43°31'25.1"E</t>
  </si>
  <si>
    <t>29°37'27.1"N 43°31'20.2"E</t>
  </si>
  <si>
    <t>29°51'22.5"N 43°08'33.3"E</t>
  </si>
  <si>
    <t>29°51'27.7"N 43°08'12.5"E</t>
  </si>
  <si>
    <t>29°51'17.4"N 43°08'23.1"E</t>
  </si>
  <si>
    <t>29°51'15.5"N 43°08'22.0"E</t>
  </si>
  <si>
    <t>29°45'35.1"N 43°15'51.6"E</t>
  </si>
  <si>
    <t>29°38'12.1"N 43°31'24.0"E</t>
  </si>
  <si>
    <t>29°37'27.7"N 43°31'24.5"E</t>
  </si>
  <si>
    <t>29°37'40.0"N 43°33'00.2"E</t>
  </si>
  <si>
    <t>29°38'16.6"N 43°30'40.2"E</t>
  </si>
  <si>
    <t>29.149530,44.319775</t>
  </si>
  <si>
    <t>29°09'33.4"N 44°18'49.4"E</t>
  </si>
  <si>
    <t>29°09'11.2"N 44°19'16.2"E</t>
  </si>
  <si>
    <t>29°09'03.8"N 44°18'50.4"E</t>
  </si>
  <si>
    <t>29°17'54.6"N 44°02'06.4"E</t>
  </si>
  <si>
    <t>29°17'53.5"N 44°02'07.3"E</t>
  </si>
  <si>
    <t>29°18'10.4"N 44°02'02.2"E</t>
  </si>
  <si>
    <t>29°17'52.1"N 44°01'52.3"E</t>
  </si>
  <si>
    <t>29°37'50.0"N 43°31'45.0"E</t>
  </si>
  <si>
    <t>29°56'56.8"N 43°22'00.7"E</t>
  </si>
  <si>
    <t>29°56'56.7"N 43°21'46.4"E</t>
  </si>
  <si>
    <t>29°56'43.4"N 43°21'59.8"E</t>
  </si>
  <si>
    <t>29°37'29.6"N 43°31'17.0"E</t>
  </si>
  <si>
    <t>29°38'01.3"N 43°30'29.1"E</t>
  </si>
  <si>
    <t>29°37'23.8"N 43°31'04.6"E</t>
  </si>
  <si>
    <t>29°38'12.6"N 43°29'57.9"E</t>
  </si>
  <si>
    <t>30°21'20.7"N 42°14'06.6"E</t>
  </si>
  <si>
    <t>30.364100,42.232296</t>
  </si>
  <si>
    <t>30°22'24.3"N 42°13'43.3"E</t>
  </si>
  <si>
    <t>30°22'28.3"N 42°13'37.8"E</t>
  </si>
  <si>
    <t>30°22'01.0"N 42°14'33.5"E</t>
  </si>
  <si>
    <t>30°22'03.3"N 42°14'35.4"E</t>
  </si>
  <si>
    <t>30°21'51.0"N 42°14'43.1"E</t>
  </si>
  <si>
    <t>30.368511,42.239521</t>
  </si>
  <si>
    <t>30°21'42.8"N 42°14'03.8"E</t>
  </si>
  <si>
    <t>30°21'42.6"N 42°14'03.5"E</t>
  </si>
  <si>
    <t>30°21'44.1"N 42°14'00.0"E</t>
  </si>
  <si>
    <t>30°21'42.0"N 42°14'23.3"E</t>
  </si>
  <si>
    <t>30°07'53.2"N 42°37'50.9"E</t>
  </si>
  <si>
    <t>30°08'00.9"N 42°38'03.5"E</t>
  </si>
  <si>
    <t>30°22'13.5"N 42°14'16.8"E</t>
  </si>
  <si>
    <t>30°30'11.4"N 41°56'03.7"E</t>
  </si>
  <si>
    <t>30°27'23.8"N 42°00'29.6"E</t>
  </si>
  <si>
    <t>30°21'28.7"N 42°14'26.6"E</t>
  </si>
  <si>
    <t>30°21'39.1"N 42°14'23.1"E</t>
  </si>
  <si>
    <t>30°08'10.3"N 42°37'57.2"E</t>
  </si>
  <si>
    <t>29°32'35.0"N 42°05'39.3"E</t>
  </si>
  <si>
    <t xml:space="preserve">30.99190542, 41.05596459
</t>
  </si>
  <si>
    <t>30.97653773756366, 41.043837691729436</t>
  </si>
  <si>
    <t>30.979070277627, 41.036888859193496</t>
  </si>
  <si>
    <t>30.977380539454288, 41.03015668987942</t>
  </si>
  <si>
    <t>30.96484797151749, 41.00182822426583</t>
  </si>
  <si>
    <t>30.992609549553734, 41.007128483613855</t>
  </si>
  <si>
    <t>30.95884693690836, 41.03818996595516</t>
  </si>
  <si>
    <t>30.98030170499109, 41.05499840321394</t>
  </si>
  <si>
    <t>30.986672280696574, 41.05731778360853</t>
  </si>
  <si>
    <t>30.97274392555545, 41.01809256588719</t>
  </si>
  <si>
    <t>30.977730483166297, 41.05189625919362</t>
  </si>
  <si>
    <t>30.966573588216104, 41.001945925718104</t>
  </si>
  <si>
    <t>30.969500044529358, 41.038865589188376</t>
  </si>
  <si>
    <t>30.985603870838414, 41.03523185246135</t>
  </si>
  <si>
    <t>30.97223198585954, 41.01638828880997</t>
  </si>
  <si>
    <t>30.689936358, 41.0257475110292</t>
  </si>
  <si>
    <t>31.0030670466253, 41.0487399493997</t>
  </si>
  <si>
    <t>30.9715252146897, 41.012112177195</t>
  </si>
  <si>
    <t>30.956856, 41.039967</t>
  </si>
  <si>
    <t>31.6674347404418, 38.6722458935453</t>
  </si>
  <si>
    <t>31.6726110982658, 38.6794314460432</t>
  </si>
  <si>
    <t>31.681527514833, 38.655944353066</t>
  </si>
  <si>
    <t>31.6790661820941, 38.6492699390904</t>
  </si>
  <si>
    <t>30.96091, 41.03268</t>
  </si>
  <si>
    <t>30.9826495 41.0526728</t>
  </si>
  <si>
    <t>30.98507916778916, 41.03533026164307</t>
  </si>
  <si>
    <t>30.98881261876433, 41.011815000000006</t>
  </si>
  <si>
    <t>30.990008 41.0452437</t>
  </si>
  <si>
    <t>31.6610424,38.6537343</t>
  </si>
  <si>
    <t>30.37043, 42.21642</t>
  </si>
  <si>
    <t>30.9631681 41.0302651</t>
  </si>
  <si>
    <t>30.961162904217954, 41.032913655821524</t>
  </si>
  <si>
    <t>30.96841, 41.04246</t>
  </si>
  <si>
    <t>30.96466, 41.03961</t>
  </si>
  <si>
    <t>30.9523696,41.0043723</t>
  </si>
  <si>
    <t>30.9855, 41.03575</t>
  </si>
  <si>
    <t>30.969819,41.052545</t>
  </si>
  <si>
    <t>30.972957096064604, 41.05038109205669</t>
  </si>
  <si>
    <t>30.97901624279709, 41.048576969651386</t>
  </si>
  <si>
    <t>30.980866124126408, 41.04545071242767</t>
  </si>
  <si>
    <t>30.9771805 41.0520274</t>
  </si>
  <si>
    <t>30.98024, 41.04545</t>
  </si>
  <si>
    <t>30.99093075391898, 41.00312264232861</t>
  </si>
  <si>
    <t>30.98075, 41.0552</t>
  </si>
  <si>
    <t>30.9660424 41.0360181</t>
  </si>
  <si>
    <t>30.991034556462388, 41.05764562698583</t>
  </si>
  <si>
    <t>30.98405, 41.04903</t>
  </si>
  <si>
    <t>30.971821 41.040918</t>
  </si>
  <si>
    <t>31.68285, 38.65007</t>
  </si>
  <si>
    <t>30.97566476666473, 41.03413003068555</t>
  </si>
  <si>
    <t>30.975027,41.058163</t>
  </si>
  <si>
    <t>30.9826694 41.0517933</t>
  </si>
  <si>
    <t>30.984335,41.035381</t>
  </si>
  <si>
    <t>30.9965756 41.0226994</t>
  </si>
  <si>
    <t>30.9837501, 41.0106567</t>
  </si>
  <si>
    <t>30.9954154 41.0213752</t>
  </si>
  <si>
    <t>30.989017953404584, 41.04454015027195</t>
  </si>
  <si>
    <t>30.9869115 41.0423959</t>
  </si>
  <si>
    <t>30.9830639 41.0121429</t>
  </si>
  <si>
    <t>30.99401102190495, 41.026572909521605</t>
  </si>
  <si>
    <t>30.97282, 41.04994</t>
  </si>
  <si>
    <t>30.9819565 41.0203502</t>
  </si>
  <si>
    <t>30.991336565522772, 41.056582799243365</t>
  </si>
  <si>
    <t>31.67139, 38.65257</t>
  </si>
  <si>
    <t>31.67182, 38.65309</t>
  </si>
  <si>
    <t>31.6594616619569, 38.6735949594113</t>
  </si>
  <si>
    <t>31.6714788589381 38.6744961816118</t>
  </si>
  <si>
    <t>31.6699083105663 38.6653981289209</t>
  </si>
  <si>
    <t>30.9946329356615 '41.0165508205643</t>
  </si>
  <si>
    <t>30.9905503495952 41.0265092105344</t>
  </si>
  <si>
    <t>30.99180761035608, 41.008037152063</t>
  </si>
  <si>
    <t>30.9957395607812 40.9973425174746</t>
  </si>
  <si>
    <t>30.9319085519574 41.092538847553</t>
  </si>
  <si>
    <t>30.974848,41.003529</t>
  </si>
  <si>
    <t>30.984972,41.035084</t>
  </si>
  <si>
    <t>30.95926315476062, 41.0397053227521</t>
  </si>
  <si>
    <t>30.9865787177264 41.0634261309833</t>
  </si>
  <si>
    <t>30.9728449 41.0177511</t>
  </si>
  <si>
    <t>31.670245,38.6657317</t>
  </si>
  <si>
    <t>31.68266, 38.65077</t>
  </si>
  <si>
    <t>31.68027, 38.64762</t>
  </si>
  <si>
    <t>31.67376, 38.67983</t>
  </si>
  <si>
    <t>31.674, 38.67117</t>
  </si>
  <si>
    <t>31.67557, 38.67567</t>
  </si>
  <si>
    <t>31.67274, 38.6841</t>
  </si>
  <si>
    <t>31.66586, 38.65846</t>
  </si>
  <si>
    <t>31.65684, 38.68191</t>
  </si>
  <si>
    <t>31.667769,38.657113</t>
  </si>
  <si>
    <t>31.67376, 38.64507</t>
  </si>
  <si>
    <t>31.66957, 38.648</t>
  </si>
  <si>
    <t>31.67537, 38.68026</t>
  </si>
  <si>
    <t>30.994370,41.026154</t>
  </si>
  <si>
    <t>30.961216,41.033810</t>
  </si>
  <si>
    <t>30°59'42.4"N 41°01'22.6"E</t>
  </si>
  <si>
    <t>30.975889, 41.009316</t>
  </si>
  <si>
    <t>30.996674951588716, 41.02977698511809</t>
  </si>
  <si>
    <t>30.97146833108967, 41.04691335326192</t>
  </si>
  <si>
    <t>30.99585921524034, 41.028449955374086</t>
  </si>
  <si>
    <t>30.98177254060676, 40.96602206775324</t>
  </si>
  <si>
    <t>30.999575763312674, 41.06584415321321</t>
  </si>
  <si>
    <t>30.968117941298868, 41.0429115788357</t>
  </si>
  <si>
    <t>31.678846497548985, 38.651332322546274</t>
  </si>
  <si>
    <t>31.0031788578744, 41.04903726368209</t>
  </si>
  <si>
    <t>30.924019, 41.090591</t>
  </si>
  <si>
    <t>31.676647403407323, 38.65071442245288</t>
  </si>
  <si>
    <t>30.995161202802173, 41.004685761042666</t>
  </si>
  <si>
    <t>31.67211515326865, 38.670749036744155</t>
  </si>
  <si>
    <t>31.671290477981877, 38.64312715444876</t>
  </si>
  <si>
    <t>31.66801860335775, 38.676738116778814</t>
  </si>
  <si>
    <t>30.9963655524018, 41.0215916726677</t>
  </si>
  <si>
    <t>30.9835889 41.0651961</t>
  </si>
  <si>
    <t>31.68169, 38.65539</t>
  </si>
  <si>
    <t>yes</t>
  </si>
  <si>
    <t>School Level 
(Primary / Intermediate / Secondary)</t>
  </si>
  <si>
    <t>Al-Zubair Ibn Al-Awam Intermediate School</t>
  </si>
  <si>
    <t>Anas Ibn Malik Elementary School</t>
  </si>
  <si>
    <t>Al-Mu'tasim Elementary School</t>
  </si>
  <si>
    <t>Muhammad Ibn Al-Qasim Elementary School</t>
  </si>
  <si>
    <t>Badr Al-Janoub Elementary and Intermediate School</t>
  </si>
  <si>
    <t>Al-Farabi Secondary School</t>
  </si>
  <si>
    <t xml:space="preserve">49.7224333
</t>
  </si>
  <si>
    <t xml:space="preserve">49.5975249
</t>
  </si>
  <si>
    <t xml:space="preserve">49.5996854
</t>
  </si>
  <si>
    <t xml:space="preserve">49.5780557
</t>
  </si>
  <si>
    <t xml:space="preserve">49.5958991
</t>
  </si>
  <si>
    <t xml:space="preserve">49.6030790
</t>
  </si>
  <si>
    <t xml:space="preserve">49.5493440
</t>
  </si>
  <si>
    <t xml:space="preserve">49.6122854
</t>
  </si>
  <si>
    <t xml:space="preserve">49.6004297
</t>
  </si>
  <si>
    <t xml:space="preserve">49.5967215
</t>
  </si>
  <si>
    <t xml:space="preserve">49.6277637
</t>
  </si>
  <si>
    <t xml:space="preserve">49.6057354
</t>
  </si>
  <si>
    <t>23.2593246</t>
  </si>
  <si>
    <t>48.9846839</t>
  </si>
  <si>
    <t>25.3678836</t>
  </si>
  <si>
    <t>49.5812751</t>
  </si>
  <si>
    <t>25.3472354</t>
  </si>
  <si>
    <t>49.5694113</t>
  </si>
  <si>
    <t>25.3497661</t>
  </si>
  <si>
    <t>49.6049774</t>
  </si>
  <si>
    <t>25.3497564</t>
  </si>
  <si>
    <t>49.6049559</t>
  </si>
  <si>
    <t>25.3512398</t>
  </si>
  <si>
    <t>49.5714605</t>
  </si>
  <si>
    <t>25.3901519</t>
  </si>
  <si>
    <t>49.5980787</t>
  </si>
  <si>
    <t>25.321296</t>
  </si>
  <si>
    <t>49.58697</t>
  </si>
  <si>
    <t>23.302372</t>
  </si>
  <si>
    <t>48.972517</t>
  </si>
  <si>
    <t>24.135791</t>
  </si>
  <si>
    <t>49.054298</t>
  </si>
  <si>
    <t>25.3474778</t>
  </si>
  <si>
    <t>49.5683706</t>
  </si>
  <si>
    <t>25.359393</t>
  </si>
  <si>
    <t>49.625625</t>
  </si>
  <si>
    <t>25.349317</t>
  </si>
  <si>
    <t>49.63552</t>
  </si>
  <si>
    <t>25.3748367</t>
  </si>
  <si>
    <t>49.5566869</t>
  </si>
  <si>
    <t>25.3579393</t>
  </si>
  <si>
    <t>49.6361339</t>
  </si>
  <si>
    <t>25.359339</t>
  </si>
  <si>
    <t>49.574434</t>
  </si>
  <si>
    <t>25.36959</t>
  </si>
  <si>
    <t>49.607566</t>
  </si>
  <si>
    <t>25.388546</t>
  </si>
  <si>
    <t>49.592683</t>
  </si>
  <si>
    <t>25.360778</t>
  </si>
  <si>
    <t>49.557327</t>
  </si>
  <si>
    <t>25.353901</t>
  </si>
  <si>
    <t>49.56342</t>
  </si>
  <si>
    <t>25.365464</t>
  </si>
  <si>
    <t>49.570944</t>
  </si>
  <si>
    <t>25.346671</t>
  </si>
  <si>
    <t>49.549165</t>
  </si>
  <si>
    <t>25.360524</t>
  </si>
  <si>
    <t>49.584142</t>
  </si>
  <si>
    <t>25.336824</t>
  </si>
  <si>
    <t>49568915</t>
  </si>
  <si>
    <t>25.35318</t>
  </si>
  <si>
    <t>49.563207</t>
  </si>
  <si>
    <t>25.3583368</t>
  </si>
  <si>
    <t>49.5980465</t>
  </si>
  <si>
    <t>25.3585113</t>
  </si>
  <si>
    <t>49.6340418</t>
  </si>
  <si>
    <t>25.3706998</t>
  </si>
  <si>
    <t>49.5921081</t>
  </si>
  <si>
    <t>25.352339</t>
  </si>
  <si>
    <t>49.601925</t>
  </si>
  <si>
    <t>25.3337088</t>
  </si>
  <si>
    <t>49.5860195</t>
  </si>
  <si>
    <t>25.3645657</t>
  </si>
  <si>
    <t>49.574883</t>
  </si>
  <si>
    <t>25.3595002</t>
  </si>
  <si>
    <t>49.6034646</t>
  </si>
  <si>
    <t>25.3287147</t>
  </si>
  <si>
    <t>49.6172941</t>
  </si>
  <si>
    <t>25.334549</t>
  </si>
  <si>
    <t>49.577389</t>
  </si>
  <si>
    <t>25.3337666</t>
  </si>
  <si>
    <t>49.6081876</t>
  </si>
  <si>
    <t>25.3468185</t>
  </si>
  <si>
    <t>49.596405</t>
  </si>
  <si>
    <t>25.3592433</t>
  </si>
  <si>
    <t>49.6307695</t>
  </si>
  <si>
    <t>25.4530594</t>
  </si>
  <si>
    <t>49.6403611</t>
  </si>
  <si>
    <t>25.361471</t>
  </si>
  <si>
    <t>49.54293</t>
  </si>
  <si>
    <t>25.610605</t>
  </si>
  <si>
    <t>49.5634782</t>
  </si>
  <si>
    <t>25.4326413</t>
  </si>
  <si>
    <t>49.6269822</t>
  </si>
  <si>
    <t>25.4692451</t>
  </si>
  <si>
    <t>49.6176508</t>
  </si>
  <si>
    <t>25.6182767</t>
  </si>
  <si>
    <t>49.5666896</t>
  </si>
  <si>
    <t>25.5982295</t>
  </si>
  <si>
    <t>49.5637847</t>
  </si>
  <si>
    <t>25.4806</t>
  </si>
  <si>
    <t>49.558276</t>
  </si>
  <si>
    <t>25.4367349</t>
  </si>
  <si>
    <t>49.6707451</t>
  </si>
  <si>
    <t>25.6044275</t>
  </si>
  <si>
    <t>49.5678341</t>
  </si>
  <si>
    <t>25.4279418</t>
  </si>
  <si>
    <t>49.6561774</t>
  </si>
  <si>
    <t>25.468413</t>
  </si>
  <si>
    <t>49.6257591</t>
  </si>
  <si>
    <t>25.4347777</t>
  </si>
  <si>
    <t>49.6231606</t>
  </si>
  <si>
    <t>25.457351</t>
  </si>
  <si>
    <t>49.611426</t>
  </si>
  <si>
    <t>25.6212259</t>
  </si>
  <si>
    <t>49.5606867</t>
  </si>
  <si>
    <t>25.5986164</t>
  </si>
  <si>
    <t>49.5653219</t>
  </si>
  <si>
    <t>25.5068322</t>
  </si>
  <si>
    <t>49.5958954</t>
  </si>
  <si>
    <t>25.489166</t>
  </si>
  <si>
    <t>49.565415</t>
  </si>
  <si>
    <t>25.594758</t>
  </si>
  <si>
    <t>49.558495</t>
  </si>
  <si>
    <t>25.617029</t>
  </si>
  <si>
    <t>49.563795</t>
  </si>
  <si>
    <t>25.441108</t>
  </si>
  <si>
    <t>49.657605</t>
  </si>
  <si>
    <t>25.431464</t>
  </si>
  <si>
    <t>49.627853</t>
  </si>
  <si>
    <t>25.433045</t>
  </si>
  <si>
    <t>49.626449</t>
  </si>
  <si>
    <t>25.437106</t>
  </si>
  <si>
    <t>49.670893</t>
  </si>
  <si>
    <t>25.440756</t>
  </si>
  <si>
    <t>49.651997</t>
  </si>
  <si>
    <t>25.515266</t>
  </si>
  <si>
    <t>49.55542</t>
  </si>
  <si>
    <t>25.515066</t>
  </si>
  <si>
    <t>49.553095</t>
  </si>
  <si>
    <t>25.516046</t>
  </si>
  <si>
    <t>49.548723</t>
  </si>
  <si>
    <t>25.467887</t>
  </si>
  <si>
    <t>49.616161</t>
  </si>
  <si>
    <t>25.4183829</t>
  </si>
  <si>
    <t>49.5759344</t>
  </si>
  <si>
    <t>25.3097229</t>
  </si>
  <si>
    <t>49.585513</t>
  </si>
  <si>
    <t>25.3683486</t>
  </si>
  <si>
    <t>49.590538</t>
  </si>
  <si>
    <t>25.4155388</t>
  </si>
  <si>
    <t>49.7193226</t>
  </si>
  <si>
    <t>25.3261061</t>
  </si>
  <si>
    <t>49.5726728</t>
  </si>
  <si>
    <t>25.2620091</t>
  </si>
  <si>
    <t>49.6898416</t>
  </si>
  <si>
    <t>25.419263</t>
  </si>
  <si>
    <t>49.551057</t>
  </si>
  <si>
    <t>25.6156067</t>
  </si>
  <si>
    <t>49.5634696</t>
  </si>
  <si>
    <t>25.9331218</t>
  </si>
  <si>
    <t>48.9638533</t>
  </si>
  <si>
    <t>25.484703</t>
  </si>
  <si>
    <t>49.59878</t>
  </si>
  <si>
    <t>25.513752</t>
  </si>
  <si>
    <t>49.620446</t>
  </si>
  <si>
    <t>25.5308779</t>
  </si>
  <si>
    <t>49.6039859</t>
  </si>
  <si>
    <t>19.70696</t>
  </si>
  <si>
    <t>53.9621187</t>
  </si>
  <si>
    <t>25.3399523</t>
  </si>
  <si>
    <t>49.5584052</t>
  </si>
  <si>
    <t>25.4474792</t>
  </si>
  <si>
    <t>49.5953965</t>
  </si>
  <si>
    <t>25.505995</t>
  </si>
  <si>
    <t>49.601099</t>
  </si>
  <si>
    <t>25.36443</t>
  </si>
  <si>
    <t>49.5780641</t>
  </si>
  <si>
    <t>49.59875</t>
  </si>
  <si>
    <t>25.38302</t>
  </si>
  <si>
    <t>25.359985</t>
  </si>
  <si>
    <t>49.630952</t>
  </si>
  <si>
    <t>Al Hasa</t>
  </si>
  <si>
    <t xml:space="preserve"> Primary</t>
  </si>
  <si>
    <t xml:space="preserve">Girls </t>
  </si>
  <si>
    <t>School No</t>
  </si>
  <si>
    <t>Kindergarten</t>
  </si>
  <si>
    <t>Early Childhood</t>
  </si>
  <si>
    <t>KinderGarten</t>
  </si>
  <si>
    <t>The first elementary school in Al-Tuwair</t>
  </si>
  <si>
    <t>Al Nahda School</t>
  </si>
  <si>
    <t>Al-Abbas ibn Abdul Muttalib School</t>
  </si>
  <si>
    <t>Musab bin Umair School</t>
  </si>
  <si>
    <t>Hassan ibn Thabit School</t>
  </si>
  <si>
    <t>Qara Boys Elementary School</t>
  </si>
  <si>
    <t>Al-Rafi'a School</t>
  </si>
  <si>
    <t>Hadib School</t>
  </si>
  <si>
    <t>Al-Khandaq School</t>
  </si>
  <si>
    <t>Khawaa Intermediate School for Boys</t>
  </si>
  <si>
    <t>First Intermediate School in Zalum (Girls)</t>
  </si>
  <si>
    <t>First Kindergarten in Zalum</t>
  </si>
  <si>
    <t>Sixth Grade School (dhuma)</t>
  </si>
  <si>
    <t>Twenty-third school</t>
  </si>
  <si>
    <t>Al-Tuwair Elementary School</t>
  </si>
  <si>
    <t>Al-Wadi and Al-Buhayrat Primary School (Girls)</t>
  </si>
  <si>
    <t>First School in Bazloum</t>
  </si>
  <si>
    <t>The second kindergarten in Suwayr</t>
  </si>
  <si>
    <t>Second Primary Early Childhood</t>
  </si>
  <si>
    <t>The first intermediate school in Souir</t>
  </si>
  <si>
    <t>The first secondary school in Souir</t>
  </si>
  <si>
    <t>Third Intermediate School in Sakaka</t>
  </si>
  <si>
    <t>Twenty-first primary school</t>
  </si>
  <si>
    <t>Sixth Elementary School (QARA)</t>
  </si>
  <si>
    <t>Saad bin Abi Waqqas Elementary School</t>
  </si>
  <si>
    <t>The second intermediate school in Al-Laqayt</t>
  </si>
  <si>
    <t>Ninth Secondary School in Sakaka</t>
  </si>
  <si>
    <t>Intermediate School in Bahdeeb</t>
  </si>
  <si>
    <t>Secondary School II in Souir</t>
  </si>
  <si>
    <t>The first intermediate school in Al-Rafi'a for girls</t>
  </si>
  <si>
    <t>Ninth Primary and Early Childhood</t>
  </si>
  <si>
    <t>The Fourth Secondary School for Girls in Sakaka</t>
  </si>
  <si>
    <t>The Fourth Elementary School in Sakaka</t>
  </si>
  <si>
    <t>The Third Elementary School for Girls in Sakaka</t>
  </si>
  <si>
    <t>Holy Quran Memorization School Palestine</t>
  </si>
  <si>
    <t>Seville School</t>
  </si>
  <si>
    <t>Prince Fahd bin Badr School</t>
  </si>
  <si>
    <t>Imam Muslim School</t>
  </si>
  <si>
    <t>Abu Ayyub al-Ansari School</t>
  </si>
  <si>
    <t>Hisham bin Abdul Malik School</t>
  </si>
  <si>
    <t>Badr School</t>
  </si>
  <si>
    <t>Granada School</t>
  </si>
  <si>
    <t>Abdulrahman Al-Sudairy School</t>
  </si>
  <si>
    <t>Sheikh Faisal School</t>
  </si>
  <si>
    <t>Suraqa bin Malik School</t>
  </si>
  <si>
    <t>Nahavand High School</t>
  </si>
  <si>
    <t>Eleventh Intermediate School in Sakaka</t>
  </si>
  <si>
    <t>First Intermediate and Seventh Secondary School</t>
  </si>
  <si>
    <t>Al-Sudairiah School</t>
  </si>
  <si>
    <t>Salah al-Din School</t>
  </si>
  <si>
    <t>Martyrs School</t>
  </si>
  <si>
    <t>Ammar ibn Yasir School</t>
  </si>
  <si>
    <t>Saqr Quraish School</t>
  </si>
  <si>
    <t>Muadh ibn Jabal Elementary School</t>
  </si>
  <si>
    <t>King Fahd Elementary School, Sakaka</t>
  </si>
  <si>
    <t>Abdul Rahman bin Auf Elementary School</t>
  </si>
  <si>
    <t>Al-Mamoun Elementary School</t>
  </si>
  <si>
    <t>Yarmouk Secondary School</t>
  </si>
  <si>
    <t>The First Secondary School in Doumat Al-Jandal</t>
  </si>
  <si>
    <t>Nineteenth Early Childhood School</t>
  </si>
  <si>
    <t>First School in Qara</t>
  </si>
  <si>
    <t>Third School in Qara</t>
  </si>
  <si>
    <t>Secondary Elementary School in Qara</t>
  </si>
  <si>
    <t>Fifth School in Qara</t>
  </si>
  <si>
    <t>Al-Laqayt Early Childhood School</t>
  </si>
  <si>
    <t>Al-Laqayt Second Early Childhood School</t>
  </si>
  <si>
    <t>The Tenth Secondary School in Sakaka (Girls)</t>
  </si>
  <si>
    <t>Twelfth grade school</t>
  </si>
  <si>
    <t>Twenty-Fifth School</t>
  </si>
  <si>
    <t>Fourth Kindergarten School</t>
  </si>
  <si>
    <t>15th Elementary School</t>
  </si>
  <si>
    <t>Fourth Intermediate School in Dumat Al-Jandal</t>
  </si>
  <si>
    <t>First Primary School in Dumat Al-Jandal</t>
  </si>
  <si>
    <t>Omar bin Abdulaziz School</t>
  </si>
  <si>
    <t>Andalus School</t>
  </si>
  <si>
    <t>Ubadah ibn al-Samit School</t>
  </si>
  <si>
    <t>Al-Adhraa Elementary School for Boys</t>
  </si>
  <si>
    <t>Sheikh Ibn Baz School</t>
  </si>
  <si>
    <t>First Kindergarten School</t>
  </si>
  <si>
    <t>Secondary School II (Qara)</t>
  </si>
  <si>
    <t>Medium-sized</t>
  </si>
  <si>
    <t>Al-Radifah Secondary School</t>
  </si>
  <si>
    <t>Early Childhood Elementary School in Al-Adhra'</t>
  </si>
  <si>
    <t>Al-Adhraa Girls Elementary School</t>
  </si>
  <si>
    <t>Government Kindergarten in Al-Duraifa</t>
  </si>
  <si>
    <t>Dumat Al-Jandal Intermediate School</t>
  </si>
  <si>
    <t>Prince Nayef bin Abdulaziz School</t>
  </si>
  <si>
    <t>Othman ibn Affan School</t>
  </si>
  <si>
    <t>Saeed bin Zaid School</t>
  </si>
  <si>
    <t>Musa ibn Nusayr School</t>
  </si>
  <si>
    <t>King Saud bin Abdulaziz School</t>
  </si>
  <si>
    <t>Amr ibn al-Aas School</t>
  </si>
  <si>
    <t>Abdullah bin Omar School</t>
  </si>
  <si>
    <t>Imam Al-Shatibi School</t>
  </si>
  <si>
    <t>Third School (DHUMA)</t>
  </si>
  <si>
    <t>Ibn Khaldoun Elementary School</t>
  </si>
  <si>
    <t>First School in Zaloum</t>
  </si>
  <si>
    <t>Saad bin Ubadah School</t>
  </si>
  <si>
    <t>Adhfaa School (BOYS)</t>
  </si>
  <si>
    <t>First Elementary School (THABARJAL)</t>
  </si>
  <si>
    <t>Sixth Elementary School  (thabarjal)</t>
  </si>
  <si>
    <t>Adhfaa Elementary School</t>
  </si>
  <si>
    <t>Prince Fahd bin Jalawi School</t>
  </si>
  <si>
    <t>Twenty-year-old school in Al-Qurayyat</t>
  </si>
  <si>
    <t>Tenth Secondary School</t>
  </si>
  <si>
    <t>Ninth Secondary School</t>
  </si>
  <si>
    <t>Al-Qurayyat Sixth Primary School</t>
  </si>
  <si>
    <t>Fourth Primary School in Al-Qurayyat</t>
  </si>
  <si>
    <t>8th Intermediate School</t>
  </si>
  <si>
    <t>Abu Musa Al-Ash'ari Elementary School</t>
  </si>
  <si>
    <t>Fifth Elementary School in Al-Qurayyat</t>
  </si>
  <si>
    <t>Fourteenth Secondary School</t>
  </si>
  <si>
    <t>Twelfth Intermediate School</t>
  </si>
  <si>
    <t>Eighteenth Primary School</t>
  </si>
  <si>
    <t>Al-Ansar Secondary School in Al-Nabk</t>
  </si>
  <si>
    <t>Second Primary School (Thabarjal)</t>
  </si>
  <si>
    <t>Fifth Intermediate School</t>
  </si>
  <si>
    <t>Ibn Battuta School</t>
  </si>
  <si>
    <t>Abu Saeed Al-Khudri School</t>
  </si>
  <si>
    <t>Imam Bukhari School</t>
  </si>
  <si>
    <t>Jaafar Al-Tayyar School</t>
  </si>
  <si>
    <t>Qutayba ibn Muslim School</t>
  </si>
  <si>
    <t>Hamza ibn Abdul Muttalib School</t>
  </si>
  <si>
    <t>Khalid ibn al-Walid School</t>
  </si>
  <si>
    <t>Zaid bin Thabit School</t>
  </si>
  <si>
    <t>Ali ibn Abi Talib School</t>
  </si>
  <si>
    <t>Al-Nabaj Elementary School for Girls</t>
  </si>
  <si>
    <t>Miqou' Elementary School for Boys</t>
  </si>
  <si>
    <t>Asfan Girls School</t>
  </si>
  <si>
    <t>Al-Fayyadh Intermediate School</t>
  </si>
  <si>
    <t>Bilal bin Rabah School</t>
  </si>
  <si>
    <t>Al-Fayyadh Elementary School</t>
  </si>
  <si>
    <t>Asfan Boys School</t>
  </si>
  <si>
    <t>Hadraj First Primary School</t>
  </si>
  <si>
    <t>Umm Al-Mu'minin Zainab Elementary School</t>
  </si>
  <si>
    <t>The Third Intermediate School in Tabarjal</t>
  </si>
  <si>
    <t>First Secondary School (THABARJAL)</t>
  </si>
  <si>
    <t>First School in Abu Ajram</t>
  </si>
  <si>
    <t>Abu Ajram Intermediate School</t>
  </si>
  <si>
    <t>First Intermediate School (Tubarjal)</t>
  </si>
  <si>
    <t>Al-Fayyadh Secondary School</t>
  </si>
  <si>
    <t>The eighth primary school in Tabarjal</t>
  </si>
  <si>
    <t>Abu Ajram Intermediate School for Boys</t>
  </si>
  <si>
    <t>The second primary school in Abu Ajram</t>
  </si>
  <si>
    <t>Eleventh Primary School in Tabarjal</t>
  </si>
  <si>
    <t>Tabarjal Tenth Primary School</t>
  </si>
  <si>
    <t>Prince Abdullah bin Jalawi School</t>
  </si>
  <si>
    <t>Seventh School</t>
  </si>
  <si>
    <t>The First Kindergarten in Tabarjal</t>
  </si>
  <si>
    <t>Eleventh Secondary School</t>
  </si>
  <si>
    <t>Secondary School II in Thabarjal</t>
  </si>
  <si>
    <t>School G, 26th, Al-Qurayyat</t>
  </si>
  <si>
    <t>fifth secondary school</t>
  </si>
  <si>
    <t>The Fourth Intermediate School</t>
  </si>
  <si>
    <t>Umm Habiba Early Childhood School</t>
  </si>
  <si>
    <t>Harun Al Rashid Elementary School</t>
  </si>
  <si>
    <t>Ibn Rushd School</t>
  </si>
  <si>
    <t>Abdullah bin Masoud School</t>
  </si>
  <si>
    <t>The first elementary school in Hedeib</t>
  </si>
  <si>
    <t>Abu Ubaidah School</t>
  </si>
  <si>
    <t>Jabir ibn Hayyan School</t>
  </si>
  <si>
    <t>Ahmad ibn Hanbal School</t>
  </si>
  <si>
    <t>Quran Memorization School in Hadban</t>
  </si>
  <si>
    <t>الابتدائية الاولى بالطوير</t>
  </si>
  <si>
    <t>مدرسة  النهضة</t>
  </si>
  <si>
    <t>مدرسة  العباس بن عبدالمطلب</t>
  </si>
  <si>
    <t>مدرسة  مصعب بن عمير</t>
  </si>
  <si>
    <t>مدرسة  حسان بن ثابت</t>
  </si>
  <si>
    <t>ابتدائية قارا بنين</t>
  </si>
  <si>
    <t>مدرسة  الرفيعة</t>
  </si>
  <si>
    <t>مدرسة  هديب</t>
  </si>
  <si>
    <t>مدرسة  الخندق</t>
  </si>
  <si>
    <t>متوسطة خوعاء بنين</t>
  </si>
  <si>
    <t>مدرسة  ابن تيمية لتحفيظ القرآن</t>
  </si>
  <si>
    <t>المدرسة المتوسطة الأولى بزلوم (بنات)</t>
  </si>
  <si>
    <t>الروضة الأولى بزُلوم</t>
  </si>
  <si>
    <t>مدرسة  السادسة</t>
  </si>
  <si>
    <t>مدرسة  الثالثة والعشرون</t>
  </si>
  <si>
    <t>ابتدائية الطوير</t>
  </si>
  <si>
    <t>ابتدائية الوادي والبحيرات (بنات)</t>
  </si>
  <si>
    <t>مدرسة  الأولى بزلوم</t>
  </si>
  <si>
    <t>الروضة الثانية بصوير</t>
  </si>
  <si>
    <t>الابتدائية الثانية طفولة المبكرة</t>
  </si>
  <si>
    <t>المتوسطة الأولى بصوير</t>
  </si>
  <si>
    <t>الثانوية الاولى بصوير</t>
  </si>
  <si>
    <t>المتوسطة الثالثة بسكاكا</t>
  </si>
  <si>
    <t>الابتدائية الحادية والعشرون</t>
  </si>
  <si>
    <t>الابتدائية السادسة</t>
  </si>
  <si>
    <t>سعد بن أبي وقاص الابتدائية</t>
  </si>
  <si>
    <t>المتوسطة الثانية باللقائط</t>
  </si>
  <si>
    <t>الثانوية التاسعة بسكاكا</t>
  </si>
  <si>
    <t>المتوسطة بهديب</t>
  </si>
  <si>
    <t>الثانوية الثانية بصوير</t>
  </si>
  <si>
    <t>المتوسطة الاولى بالرفيعة للبنات</t>
  </si>
  <si>
    <t>الابتدائية التاسعة والطفولة مبكرة</t>
  </si>
  <si>
    <t>الثانوية الرابعة للبنات بسكاكا</t>
  </si>
  <si>
    <t>الابتدائية الرابعة بسكاكا</t>
  </si>
  <si>
    <t>الابتدائية الثالثة للبنات بسكاكا</t>
  </si>
  <si>
    <t>مدرسة  تحفيظ القرآن الكريم فلسطين</t>
  </si>
  <si>
    <t>مدرسة  أشبيلية</t>
  </si>
  <si>
    <t>مدرسة  الأمير فهد بن بدر</t>
  </si>
  <si>
    <t>مدرسة  الإمام مسلم</t>
  </si>
  <si>
    <t>مدرسة  أبي أيوب الأنصاري</t>
  </si>
  <si>
    <t>مدرسة  هشام بن عبدالملك</t>
  </si>
  <si>
    <t>مدرسة  بدر</t>
  </si>
  <si>
    <t>مدرسة  غرناطة</t>
  </si>
  <si>
    <t>مدرسة  عبدالرحمن السديري</t>
  </si>
  <si>
    <t>مدرسة  الشيخ فيصل</t>
  </si>
  <si>
    <t>مدرسة  سراقة بن مالك</t>
  </si>
  <si>
    <t>مدرسة  ثانوية نهاوند</t>
  </si>
  <si>
    <t>المتوسطة الحادية عشر بسكاكا</t>
  </si>
  <si>
    <t>الابتدائية الاولى للطفولة المبكرة بسكاكا</t>
  </si>
  <si>
    <t>المتوسطة الاولى والثانوية السابعة</t>
  </si>
  <si>
    <t>مدرسة  السديرية</t>
  </si>
  <si>
    <t>مدرسة  صلاح الدين</t>
  </si>
  <si>
    <t>مدرسة  الشهداء</t>
  </si>
  <si>
    <t>مدرسة  عمار بن ياسر</t>
  </si>
  <si>
    <t>مدرسة  صقر قريش</t>
  </si>
  <si>
    <t>ابتدائية الملك فهد سكاكا</t>
  </si>
  <si>
    <t>ابتدائية عبدالرحمن بن عوف</t>
  </si>
  <si>
    <t>ابتدائية المأمون</t>
  </si>
  <si>
    <t>ثانوية اليرموك</t>
  </si>
  <si>
    <t>مدرسة  الثانوية الأولى بدومة الجندل</t>
  </si>
  <si>
    <t>مدرسة  التاسعة عشر طفولة مبكرة</t>
  </si>
  <si>
    <t>مدرسة  الأولى بقارا</t>
  </si>
  <si>
    <t>مدرسة  الثالثة بقارا</t>
  </si>
  <si>
    <t>مدرسة ابتدائية ثانوية في قارة</t>
  </si>
  <si>
    <t>مدرسة  الخامسة بقارا</t>
  </si>
  <si>
    <t>مدرسة  الطفوله المبكره الاولي باللقائط</t>
  </si>
  <si>
    <t>مدرسة  الطفوله المبكره الثانية باللقائط</t>
  </si>
  <si>
    <t>الثانوية العاشرة بسكاكا بنات</t>
  </si>
  <si>
    <t>مدرسة  الثانية عشرة</t>
  </si>
  <si>
    <t>مدرسة  الخامسة والعشرون</t>
  </si>
  <si>
    <t>مدرسة  الروضة الرابعة</t>
  </si>
  <si>
    <t>الابتدائية السابعة عشر</t>
  </si>
  <si>
    <t>مدرسة  الابتدائية الخامسة عشر</t>
  </si>
  <si>
    <t>مدرسة  المتوسطة الرابعة</t>
  </si>
  <si>
    <t>المدرسة المتوسطة الرابعة بدومة الجندل</t>
  </si>
  <si>
    <t>الابتدائية الأولى بدومة الجندل</t>
  </si>
  <si>
    <t>مدرسة  عمر بن عبدالعزيز</t>
  </si>
  <si>
    <t>مدرسة  الاندلس</t>
  </si>
  <si>
    <t>مدرسة  عبادة بن الصامت</t>
  </si>
  <si>
    <t>ابتدائية الأضارع بنين</t>
  </si>
  <si>
    <t>مدرسة  الشيخ ابن باز</t>
  </si>
  <si>
    <t>مدرسة  الروضة الأولى</t>
  </si>
  <si>
    <t>مدرسة  الثانوية الثانية (Qara)</t>
  </si>
  <si>
    <t>متوسطة الأضارع</t>
  </si>
  <si>
    <t>مدرسة  ثانوية الرديفة</t>
  </si>
  <si>
    <t>ابتدائية الطفوله المبكره بالأضارع</t>
  </si>
  <si>
    <t>ابتدائية الأضارع بنات</t>
  </si>
  <si>
    <t>الروضة الحكومية بالدريفة</t>
  </si>
  <si>
    <t>متوسطة دومة الجندل</t>
  </si>
  <si>
    <t>مدرسة  الأمير نايف بن عبد العزيز</t>
  </si>
  <si>
    <t>مدرسة  عثمان بن عفان</t>
  </si>
  <si>
    <t>مدرسة  سعيد بن زيد</t>
  </si>
  <si>
    <t>مدرسة  موسى بن نصير</t>
  </si>
  <si>
    <t>مدرسة  الملك سعود بن عبد العزيز</t>
  </si>
  <si>
    <t>مدرسة  عمرو بن العاص</t>
  </si>
  <si>
    <t>مدرسة  عبد الله بن عمر</t>
  </si>
  <si>
    <t>مدرسة  الأمام الشاطبي</t>
  </si>
  <si>
    <t>مدرسة  الثالثة</t>
  </si>
  <si>
    <t>مدرسة  ابتدائية ابن خلدون</t>
  </si>
  <si>
    <t>مدرسة الاولى بزلوم</t>
  </si>
  <si>
    <t>مدرسة  سعد بن عبادة</t>
  </si>
  <si>
    <t>مدرسة  عذفاء (BOYS)</t>
  </si>
  <si>
    <t>مدرسة  الابتدائية الأولى</t>
  </si>
  <si>
    <t>مدرسة  الابتدائية السادسة</t>
  </si>
  <si>
    <t>مدرسة عذفاء الابتدائية</t>
  </si>
  <si>
    <t>مدرسة  الأمير فهد بن جلوي</t>
  </si>
  <si>
    <t>مدرسة  ب العشرون بالقريات</t>
  </si>
  <si>
    <t>مدرسة  الثانوية العاشرة</t>
  </si>
  <si>
    <t>مدرسة  الثانوية التاسعة</t>
  </si>
  <si>
    <t>مدرسة  المتوسطة السابعة</t>
  </si>
  <si>
    <t>مدرسة  الابتدائية السادسة بالقريات</t>
  </si>
  <si>
    <t>مدرسة  الابتدائية الرابعة بالقريات</t>
  </si>
  <si>
    <t>مدرسة  المتوسطة الثامنة</t>
  </si>
  <si>
    <t>مدرسة  ابتدائية ابو موسى الأشعري</t>
  </si>
  <si>
    <t>مدرسة  الابتدائية الخامسة بالقريات</t>
  </si>
  <si>
    <t>مدرسة  ابتدائية علي بن ابي طالب</t>
  </si>
  <si>
    <t>مدرسة  الثانوية الرابعة عشر</t>
  </si>
  <si>
    <t>مدرسة  المتوسطة الثانية عشر</t>
  </si>
  <si>
    <t>مدرسة  المتوسطة السابعة عشر</t>
  </si>
  <si>
    <t>الابتدائية الثامنة عشر</t>
  </si>
  <si>
    <t>ثانوية الانصار بالنبك</t>
  </si>
  <si>
    <t>الابتدائية الثانية</t>
  </si>
  <si>
    <t>الابتدائية الثانية للتحفيظ في طبرجل</t>
  </si>
  <si>
    <t>مدرسة  ابن بطوطة</t>
  </si>
  <si>
    <t>مدرسة  أبي سعيد الخدري</t>
  </si>
  <si>
    <t>مدرسة  الامام البخاري</t>
  </si>
  <si>
    <t>مدرسة  جعفر الطيار</t>
  </si>
  <si>
    <t>مدرسة  الثانوية الرابعة</t>
  </si>
  <si>
    <t>متوسطة الملك عبد الله بن عبدالعزيز</t>
  </si>
  <si>
    <t>مدرسة  قتيبة بن مسلم</t>
  </si>
  <si>
    <t>مدرسة  حمزة بن عبد المطلب</t>
  </si>
  <si>
    <t>مدرسة  خالد بن الوليد</t>
  </si>
  <si>
    <t>مدرسة  زيد بن ثابت</t>
  </si>
  <si>
    <t>مدرسة  علي بن أبي طالب</t>
  </si>
  <si>
    <t>ابتدائية النباج للبنات</t>
  </si>
  <si>
    <t>مدرسة  الابتدائية السابعة</t>
  </si>
  <si>
    <t>مدرسة  الابتدائية الثالثة</t>
  </si>
  <si>
    <t>ابتدائية ميقوع للبنين</t>
  </si>
  <si>
    <t>متوسطة معاوية بن أبي سفيان</t>
  </si>
  <si>
    <t>مدرسة  اصفان بنات</t>
  </si>
  <si>
    <t>مدرسة  الشقيق</t>
  </si>
  <si>
    <t>متوسطة الفياض</t>
  </si>
  <si>
    <t>مدرسة  بلال بن رباح</t>
  </si>
  <si>
    <t>ابتدائية الفياض</t>
  </si>
  <si>
    <t>مدرسة  اصفان بنين</t>
  </si>
  <si>
    <t>مدرسة  الابتدائية الأولى بحدرج</t>
  </si>
  <si>
    <t>مدرسة  ابتدائية أم المؤمنين زينب</t>
  </si>
  <si>
    <t>المتوسطة الثالثة بطبرجل</t>
  </si>
  <si>
    <t>مدرسة  الثانوية الأولى</t>
  </si>
  <si>
    <t>مدرسة  الأولى بأبو عجرم</t>
  </si>
  <si>
    <t>متوسطة أبو عجرم</t>
  </si>
  <si>
    <t>مدرسة  المتوسطة الأولى</t>
  </si>
  <si>
    <t>مدرسة  الثانوية بالفياض</t>
  </si>
  <si>
    <t>الابتدائية الثامنة بطبرجل</t>
  </si>
  <si>
    <t>متوسطة ابو عجرم بنين</t>
  </si>
  <si>
    <t>الابتدائية الثانية بأبو عجرم</t>
  </si>
  <si>
    <t>الابتدائية الحادية عشر بطبرجل</t>
  </si>
  <si>
    <t>الابتدائية التاسعة طفولة مبكرة بطبرجل</t>
  </si>
  <si>
    <t>الابتدائية العاشرة بطبرجل</t>
  </si>
  <si>
    <t>متوسطة وثانوية الاولى بحدرج</t>
  </si>
  <si>
    <t>مدرسة  الأمير عبد الله بن جلوي</t>
  </si>
  <si>
    <t>مدرسة  السابعة</t>
  </si>
  <si>
    <t>الروضة الأولى في طبرجل،</t>
  </si>
  <si>
    <t>مدرسة  الثانوية الحادية عشرة</t>
  </si>
  <si>
    <t>مدرسة  الثانوية الثانية(Thabarjal)</t>
  </si>
  <si>
    <t>الابتدائية الخامسة والطفولة المبكرة بطبرجل</t>
  </si>
  <si>
    <t>المدرسة الثانوية الأولى والمتوسطة الثالثة</t>
  </si>
  <si>
    <t>مدرسة  ب السادسة والعشرون بالقريات</t>
  </si>
  <si>
    <t>المدرسة الثانوية الخامسة (بنات)</t>
  </si>
  <si>
    <t xml:space="preserve">مدرسة أم حبيبة للطفولة المبكرة </t>
  </si>
  <si>
    <t>مدرسة  ابتدائية هارون الرشيد</t>
  </si>
  <si>
    <t>مدرسة  ابن رشد</t>
  </si>
  <si>
    <t>مدرسة  عبد الله بن مسعود</t>
  </si>
  <si>
    <t>الابتدائية الاولى بهديب</t>
  </si>
  <si>
    <t>مدرسة  أبي عبيدة</t>
  </si>
  <si>
    <t>مدرسة  جابر بن حيان</t>
  </si>
  <si>
    <t>مدرسة  أحمد بن حنبل</t>
  </si>
  <si>
    <t>مدرسة  تحفيظ القرآن بهدبان</t>
  </si>
  <si>
    <t>ابتدائية ومتوسطة هديان لتحفيظ القرآن الكريم</t>
  </si>
  <si>
    <t>KFM2020660075677</t>
  </si>
  <si>
    <t>KFM2120660238801</t>
  </si>
  <si>
    <t>KFM2020660179535</t>
  </si>
  <si>
    <t>KFM2020660179650</t>
  </si>
  <si>
    <t>KFM2020660179540</t>
  </si>
  <si>
    <t>KFM2020660179674</t>
  </si>
  <si>
    <t>KFM2120660261712</t>
  </si>
  <si>
    <t>KFM2120660238756</t>
  </si>
  <si>
    <t>KFM2120660238866</t>
  </si>
  <si>
    <t>KFM2020660179680</t>
  </si>
  <si>
    <t>KFM2120660239654</t>
  </si>
  <si>
    <t>KFM2020660179658</t>
  </si>
  <si>
    <t>KFM2120660239685</t>
  </si>
  <si>
    <t>KFM2020660179441</t>
  </si>
  <si>
    <t>KFM2120660239622</t>
  </si>
  <si>
    <t>KFM2120660261656</t>
  </si>
  <si>
    <t>SMR2420661036810</t>
  </si>
  <si>
    <t>KFM2020660185628</t>
  </si>
  <si>
    <t>KFM2020660179607</t>
  </si>
  <si>
    <t>KFM2020660182971</t>
  </si>
  <si>
    <t>KFM2020660182960</t>
  </si>
  <si>
    <t>KFM2120660240734</t>
  </si>
  <si>
    <t>KFM2120660239653</t>
  </si>
  <si>
    <t>KFM2120660239645</t>
  </si>
  <si>
    <t>KFM2120660239688</t>
  </si>
  <si>
    <t>KFM2120660239687</t>
  </si>
  <si>
    <t>KFM2020660179687</t>
  </si>
  <si>
    <t>KFM2020660179655</t>
  </si>
  <si>
    <t>KFM2020660179642</t>
  </si>
  <si>
    <t>KFM2020660179656</t>
  </si>
  <si>
    <t>SMR2420661036806</t>
  </si>
  <si>
    <t>KFM2020660179608</t>
  </si>
  <si>
    <t>KFM2020660075181</t>
  </si>
  <si>
    <t>KFM2120660238870</t>
  </si>
  <si>
    <t>KFM2120660239662</t>
  </si>
  <si>
    <t>KFM2120660261706</t>
  </si>
  <si>
    <t>KFM2120660235808</t>
  </si>
  <si>
    <t>KFM2120660243979</t>
  </si>
  <si>
    <t>KFM2120660239631</t>
  </si>
  <si>
    <t>KFM2120660243980</t>
  </si>
  <si>
    <t>KFM2020660179399</t>
  </si>
  <si>
    <t>KFM2020660179689</t>
  </si>
  <si>
    <t>KFM2020660179682</t>
  </si>
  <si>
    <t>KFM2020660179516</t>
  </si>
  <si>
    <t>KFM2020660184671</t>
  </si>
  <si>
    <t>KFM2020660182943</t>
  </si>
  <si>
    <t>KFM2020660179582</t>
  </si>
  <si>
    <t>KFM2120660235780</t>
  </si>
  <si>
    <t>KFM2120660238863</t>
  </si>
  <si>
    <t>KFM2120660235814</t>
  </si>
  <si>
    <t>KFM2020660184672</t>
  </si>
  <si>
    <t>KFM2120660243131</t>
  </si>
  <si>
    <t>KFM2120660243975</t>
  </si>
  <si>
    <t>KFM2020660179408</t>
  </si>
  <si>
    <t>KFM2020660182944</t>
  </si>
  <si>
    <t>KFM2020660182975</t>
  </si>
  <si>
    <t>KFM2020660076506</t>
  </si>
  <si>
    <t>KFM2120660243075</t>
  </si>
  <si>
    <t>KFM2020660179621</t>
  </si>
  <si>
    <t>KFM2020660179398</t>
  </si>
  <si>
    <t>KFM2020660179421</t>
  </si>
  <si>
    <t>KFM2020660152238</t>
  </si>
  <si>
    <t>SMR2420661037087</t>
  </si>
  <si>
    <t>KFM2120660261708</t>
  </si>
  <si>
    <t>KFM2020660184756</t>
  </si>
  <si>
    <t>KFM2020660179630</t>
  </si>
  <si>
    <t>KFM2020660185748</t>
  </si>
  <si>
    <t>KFM2020660179430</t>
  </si>
  <si>
    <t>KFM2020660179675</t>
  </si>
  <si>
    <t>KFM2020660179641</t>
  </si>
  <si>
    <t>KFM2020660179531</t>
  </si>
  <si>
    <t>KFM2020660179619</t>
  </si>
  <si>
    <t>KFM2020660179485</t>
  </si>
  <si>
    <t>KFM2020660184680</t>
  </si>
  <si>
    <t>KFM2020660179685</t>
  </si>
  <si>
    <t>KFM2120660244001</t>
  </si>
  <si>
    <t>KFM2120660238783</t>
  </si>
  <si>
    <t>KFM2120660235813</t>
  </si>
  <si>
    <t>KFM2120660235807</t>
  </si>
  <si>
    <t>KFM2020660182946</t>
  </si>
  <si>
    <t>SMR2220661010477</t>
  </si>
  <si>
    <t>SMR2420668002100</t>
  </si>
  <si>
    <t>KFM2020660184803</t>
  </si>
  <si>
    <t>KFM2020660182940</t>
  </si>
  <si>
    <t>KFM2020660179636</t>
  </si>
  <si>
    <t>KFM2020660182973</t>
  </si>
  <si>
    <t>KFM2020660179443</t>
  </si>
  <si>
    <t>KFM2020660182997</t>
  </si>
  <si>
    <t>KFM2020660182902</t>
  </si>
  <si>
    <t>KFM2020660179407</t>
  </si>
  <si>
    <t>kfm2020660177678</t>
  </si>
  <si>
    <t>KFM2120660236896</t>
  </si>
  <si>
    <t>KFM2020660182987</t>
  </si>
  <si>
    <t>KFM2020660184740</t>
  </si>
  <si>
    <t>KFM2020660182901</t>
  </si>
  <si>
    <t>KFM2020660182990</t>
  </si>
  <si>
    <t>KFM2020660184792</t>
  </si>
  <si>
    <t>KFM2120660238808</t>
  </si>
  <si>
    <t>KFM2020660184800</t>
  </si>
  <si>
    <t>KFM2020660184796</t>
  </si>
  <si>
    <t>KFM2020660182050</t>
  </si>
  <si>
    <t>KFM2020660182053</t>
  </si>
  <si>
    <t>SMR2420668002104</t>
  </si>
  <si>
    <t>SMR2420668002076</t>
  </si>
  <si>
    <t>SMR2420661037092</t>
  </si>
  <si>
    <t>KFM2020660184801</t>
  </si>
  <si>
    <t>KFM2120660238820</t>
  </si>
  <si>
    <t>KFM2020660182948</t>
  </si>
  <si>
    <t>KFM2120660261655</t>
  </si>
  <si>
    <t>KFM2020660182011</t>
  </si>
  <si>
    <t>KFM2120660243954</t>
  </si>
  <si>
    <t>KFM2120660242487</t>
  </si>
  <si>
    <t>KFM2120660242488</t>
  </si>
  <si>
    <t>AEC2020830306498</t>
  </si>
  <si>
    <t>KFM2120660239630</t>
  </si>
  <si>
    <t>KFM2020660182826</t>
  </si>
  <si>
    <t>KFM2020660182846</t>
  </si>
  <si>
    <t>Kfm2020660182758</t>
  </si>
  <si>
    <t>Kfm2020660182760</t>
  </si>
  <si>
    <t>KFM2020660182757</t>
  </si>
  <si>
    <t>KFM2020760221344</t>
  </si>
  <si>
    <t>KFM2020660182860</t>
  </si>
  <si>
    <t>Kfm2020660182710</t>
  </si>
  <si>
    <t>KFM2020660182796</t>
  </si>
  <si>
    <t>Kfm2020660180787</t>
  </si>
  <si>
    <t>Kfm2020660182900</t>
  </si>
  <si>
    <t>Kfm2020660182787</t>
  </si>
  <si>
    <t>Kfm2020660180645</t>
  </si>
  <si>
    <t>Kfm2020660182897</t>
  </si>
  <si>
    <t>KFM2120660242441</t>
  </si>
  <si>
    <t>KFM2020660158502</t>
  </si>
  <si>
    <t>KFM2020660158636</t>
  </si>
  <si>
    <t>KFM2120660242506</t>
  </si>
  <si>
    <t>KFM2120660242428</t>
  </si>
  <si>
    <t>KFM2120660242434</t>
  </si>
  <si>
    <t>KFM2120660237850</t>
  </si>
  <si>
    <t>KFM2120660242483</t>
  </si>
  <si>
    <t>SMR2220661014774</t>
  </si>
  <si>
    <t>KFM2120660243846</t>
  </si>
  <si>
    <t>KFM2120660237937</t>
  </si>
  <si>
    <t>KFM2120660243783</t>
  </si>
  <si>
    <t>KFM2120660243777</t>
  </si>
  <si>
    <t>KFM2120660242563</t>
  </si>
  <si>
    <t>KFM2120660237911</t>
  </si>
  <si>
    <t>KFM2120660242543</t>
  </si>
  <si>
    <t>KFM2120660242517</t>
  </si>
  <si>
    <t>KFM2120660243849</t>
  </si>
  <si>
    <t>SMR2220661010332</t>
  </si>
  <si>
    <t>KFM2020660182916</t>
  </si>
  <si>
    <t>KFM2120660245535</t>
  </si>
  <si>
    <t>KFM2020660184769</t>
  </si>
  <si>
    <t>KFM2120660236882</t>
  </si>
  <si>
    <t>KFM2120660243852</t>
  </si>
  <si>
    <t>KFM2020660158520</t>
  </si>
  <si>
    <t>SMR2220661014737</t>
  </si>
  <si>
    <t>KFM2120660243922</t>
  </si>
  <si>
    <t>KFM2120660237793</t>
  </si>
  <si>
    <t>KFM2120660237790</t>
  </si>
  <si>
    <t>KFM2120660243854</t>
  </si>
  <si>
    <t>KFM2120660242533</t>
  </si>
  <si>
    <t>KFM2120660242489</t>
  </si>
  <si>
    <t>KFM2020660181949</t>
  </si>
  <si>
    <t>MMF2420601016831</t>
  </si>
  <si>
    <t>KFM2120660237823</t>
  </si>
  <si>
    <t>KFM2020660158509</t>
  </si>
  <si>
    <t>KFM2120660237819</t>
  </si>
  <si>
    <t>KFM2120660236939</t>
  </si>
  <si>
    <t>KFM2020660181941</t>
  </si>
  <si>
    <t>KFM2120660242502</t>
  </si>
  <si>
    <t>KFM2120660237846</t>
  </si>
  <si>
    <t>KFM2120660237919</t>
  </si>
  <si>
    <t>KFM2020660184795</t>
  </si>
  <si>
    <t>KFM2120660237791</t>
  </si>
  <si>
    <t>KFM2020660184819</t>
  </si>
  <si>
    <t>KFM2020660185688</t>
  </si>
  <si>
    <t>SMR2420661037204</t>
  </si>
  <si>
    <t>Kfm2020660182855</t>
  </si>
  <si>
    <t>KFM2120660237818</t>
  </si>
  <si>
    <t>KFM2120660242513</t>
  </si>
  <si>
    <t>KFM2120660237817</t>
  </si>
  <si>
    <t>SMR2320661029139</t>
  </si>
  <si>
    <t>KFM2020660182746</t>
  </si>
  <si>
    <t>KFM2020660180644</t>
  </si>
  <si>
    <t>KFM2020660182789</t>
  </si>
  <si>
    <t>KFM2020660182899</t>
  </si>
  <si>
    <t>KFM2020660180641</t>
  </si>
  <si>
    <t>kfm2020660180750</t>
  </si>
  <si>
    <t>KFM2120660239565</t>
  </si>
  <si>
    <t>KFM2120660238766</t>
  </si>
  <si>
    <t>SMR2220661010372</t>
  </si>
  <si>
    <t>KFM2120660243187</t>
  </si>
  <si>
    <t>KFM2020660179612</t>
  </si>
  <si>
    <t>KFM2020660154927</t>
  </si>
  <si>
    <t>KFM2120660238755</t>
  </si>
  <si>
    <t>KFM2120660238764</t>
  </si>
  <si>
    <t>مدرسة النبيك الابتدائية لتحفيظ القرآن الكريم / 
مدرسة متوسطة أبي عمرو البصري</t>
  </si>
  <si>
    <t>ابتدائية الثالثة والطفولة المبكرة
 بدومة الجندل - بنات</t>
  </si>
  <si>
    <t>Halima Al-Saadia Elementary School and
 Intermediate School, May Allah be pleased with her,
 Umm Al-Mu'mineen Khadija bint Khuwailid,May 
Allah be pleased with her</t>
  </si>
  <si>
    <t>The third intermediate school and the 
second secondary school in Doumat Al-Jandal</t>
  </si>
  <si>
    <t>The Fourth Elementary School for
 Early Childhood in Dumat al-Jandal</t>
  </si>
  <si>
    <t>The fourteenth primary school and
 the thirteenth intermediate school in Sakaka</t>
  </si>
  <si>
    <t>Hail Schools 3.0 MWp</t>
  </si>
  <si>
    <t>intermediate</t>
  </si>
  <si>
    <t>Al Shaqiq Secondary School – Girls</t>
  </si>
  <si>
    <t>Primary Imam Yaqub bin Ishaq Al-Hadrami
 for Memorizing the Holy Quran for Boys</t>
  </si>
  <si>
    <t>Primary The third for memorizing the Holy Quran
 in Madinah for girls</t>
  </si>
  <si>
    <t>ب/ الإمام يعقوب بن اسحاق الحضرمي
 لتحفيظ القرآن الكريم  بنين</t>
  </si>
  <si>
    <t>Prince Abdulmohsen bin Abdulaziz 
Secondary School (Curriculum) for Boys</t>
  </si>
  <si>
    <t>Prince Abdulmajid bin Abdulaziz Secondary
 School (Curriculum) for Boys</t>
  </si>
  <si>
    <t>Primary Abi Bin Kaab for Memorizing the Holy
 Quran for Boys</t>
  </si>
  <si>
    <t>Aqaba Bin Amer Elementary School and
 Kaab Bin Adi Intermediate School</t>
  </si>
  <si>
    <t>Hadyan Elementary and Intermediate
 School for Memorizing the Holy Quran</t>
  </si>
  <si>
    <t>Al-Andalus Elementary School / 
Autism Center name changed to</t>
  </si>
  <si>
    <t>Imam Muhammad bin Saud 
Intermediate School</t>
  </si>
  <si>
    <t>Early Childhood Elementary School 
in the Riyadh Intermediate School Building</t>
  </si>
  <si>
    <t>Abi Bin Kaab Intermediate School
 for Quran Memorization in Hail</t>
  </si>
  <si>
    <t>Fifteenth Intermediate School
 for Adult Education 15</t>
  </si>
  <si>
    <t>The Thirty-Ninth Elementary School
 for Early Childhood</t>
  </si>
  <si>
    <t>Princess Noura bint Abdul Rahman
 Al Saud High School</t>
  </si>
  <si>
    <t>The thirty-sixth intermediate school 
(Naqrat Qafar Intermediate School)</t>
  </si>
  <si>
    <t>Sheikh Muhammad bin Abdul 
Wahhab Elementary School</t>
  </si>
  <si>
    <t>Reeman Intermediate School for Girls
 (Tenth Intermediate School)</t>
  </si>
  <si>
    <t>Ibn Al-Qayyim High School and the Intellectual
 Education Program</t>
  </si>
  <si>
    <t>Al-Mughirah Bin Shu'bah Primary School 
and the Hearing Impaired Program</t>
  </si>
  <si>
    <t>Seventh Kindergarten in Al Muntashir 
/ Habiba Al Ansariyah School</t>
  </si>
  <si>
    <t>Ibn Kathir Primary School for Memorizing 
the Holy Quran</t>
  </si>
  <si>
    <t>Jerusalem Elementary School and the
 Blind Integration Program</t>
  </si>
  <si>
    <t>Uhud Intermediate School and the Intellectual 
Education Program</t>
  </si>
  <si>
    <t>Ahmad Ibn Hanbal Elementary School and the
 Intellectual Education Program</t>
  </si>
  <si>
    <t>Sheikh Muhammad bin Abdul Wahhab
 Elementary School for Boys</t>
  </si>
  <si>
    <t>Abi Bin Kaab Intermediate School for
 Memorizing the Holy Quran</t>
  </si>
  <si>
    <t>Hilal Bin Umayya Intermediate School for Boys
 (formerly Al-Dhayqa Intermediate School)</t>
  </si>
  <si>
    <t>The First Intermediate School for
 Memorizing the Holy Quran</t>
  </si>
  <si>
    <t>Second Intermediate School for
 Memorizing the Holy Quran</t>
  </si>
  <si>
    <t>هلال بن أمية المتوسطة بنين
 (الضيقة المتوسطة سابقا)</t>
  </si>
  <si>
    <t>مدرسة القدس الابتدائية وبرنامج 
دمج المكفوفين</t>
  </si>
  <si>
    <t>مدرسة ابن كثير الابتدائية لتحفيظ
 القران الكريم</t>
  </si>
  <si>
    <t>الروضة السابعه بالمنتشر / مدرسة
 حبيبة الانصارية</t>
  </si>
  <si>
    <t>ابتدائية المغيره بن شعبة الابتدائية
 وبرنامج ضعاف السمع</t>
  </si>
  <si>
    <t>مدرسة اسماء بنت الحارث
 للطفولة المبكرة</t>
  </si>
  <si>
    <t>مدرسة متوسطة ريمان للبنات 
(المتوسطة العاشرة)</t>
  </si>
  <si>
    <t xml:space="preserve">School Level 
</t>
  </si>
  <si>
    <t>School Coordinates</t>
  </si>
  <si>
    <t>17.457188268855216, 44.11027381483723</t>
  </si>
  <si>
    <t>17.8790611048747, 43.71716257487458</t>
  </si>
  <si>
    <t>17.45667482960641, 44.11804944241546</t>
  </si>
  <si>
    <t>Al Jouf Schools Project</t>
  </si>
  <si>
    <t>The second primary school for 
memorization in Tabarjal</t>
  </si>
  <si>
    <t>King Abdullah bin Abdulaziz
 Intermediate School</t>
  </si>
  <si>
    <t>Muawiyah bin Abi Sufyan Intermediate 
School</t>
  </si>
  <si>
    <t>Rufaidah Al-Ansariyah Early Childhood 
Primary School</t>
  </si>
  <si>
    <t>Ninth Elementary Early Childhood 
School in Tabarjal</t>
  </si>
  <si>
    <t>Third Elementary and Early Childhood
 School –Dumat Al-Jandal (Girls)</t>
  </si>
  <si>
    <t>Intermediate and Secondary School I
 in Hadraj</t>
  </si>
  <si>
    <t>Fifth Elementary and Early Childhood 
in Tabarjal</t>
  </si>
  <si>
    <t>“The First Primary Quran Memorization 
School in Tabb Rajal</t>
  </si>
  <si>
    <t>Al-Nabik Primary School for Quran 
Memorization &amp; Abi Amr Al-Basri
 Intermediate School</t>
  </si>
  <si>
    <t>First Secondary and Third Intermediate 
School (Girls)</t>
  </si>
  <si>
    <t>ابتدائية رُفيدة الأنصارية للطفولة المبكرة 
بدومة الجندل للبنات</t>
  </si>
  <si>
    <t>المتوسطة الثالثة و الثانوية الثانية 
بدومة الجندل</t>
  </si>
  <si>
    <t>المدرسة الابتدائية الرابعة للطفولة
 المبكرة بدومة الجندل</t>
  </si>
  <si>
    <t>الابتدائية الرابعة عشر و المتوسطة
 الثالثة عشر بسكاكا</t>
  </si>
  <si>
    <t>الابتدائية العشرون والطفولة
 المبكرة بسكاكا</t>
  </si>
  <si>
    <t>The twentieth primary and early childhood 
school in Sakaka</t>
  </si>
  <si>
    <t>The second primary school, the first 
middle school, and the first secondary 
school,For memorizing the Holy Quran in 
Doumat Al-Jandal</t>
  </si>
  <si>
    <t>Umm Al-Mu’mineen Sawda bint Zam’a 
Primary and Early Childhood School in 
Qara (Girls)</t>
  </si>
  <si>
    <t>Ibn Taymiyyah School for Quran
 Memorization</t>
  </si>
  <si>
    <t>Sixth Primary and Early Childhood
 School in Sakaka (Girls)</t>
  </si>
  <si>
    <t>First Primary and Early Childhood
 of Qara</t>
  </si>
  <si>
    <t>مدرسة قارا الأولى الابتدائية 
والطفولة المبكرة للبنات"</t>
  </si>
  <si>
    <t>الابتدائية السادسة والطفولة 
المبكرة بسكاكا (بنات)</t>
  </si>
  <si>
    <t>ابتدائية أم المؤمنين سودة بنت
 زمعة والطفولة المبكرة بقارا (بنات)</t>
  </si>
  <si>
    <t>الإبتدائية الثانية والمتوسطة
 الأولى والثانوية الأولى
 لتحفيظ القران الكريم بدومة الجندل</t>
  </si>
  <si>
    <t>مدرسة ابتدائية حليمة السعدية
 و متوسطة, رضي الله عنها
, أم المؤمنين خديجة بنت خويلد, رضي الله عنها</t>
  </si>
  <si>
    <t>ابتدائية تحفيظ القرآن الكريم
 الأولى بطبب رجالترحب بكم”</t>
  </si>
  <si>
    <t>The First Elementary School for Early 
Childhood in Sakaka</t>
  </si>
  <si>
    <t>30061554394
10052292530</t>
  </si>
  <si>
    <t>10053480801
10053484426</t>
  </si>
  <si>
    <t>10053249382
10052043211</t>
  </si>
  <si>
    <t>مجمع المقدسي التعليمي ابتدائي 
- متوسط - ثانوي بنين</t>
  </si>
  <si>
    <t>مجمع المركوز التعليمي متوسط
 - ثانوي بنات</t>
  </si>
  <si>
    <t>تحفيظ القرآن الكريم التعليمي
 ابتدائية - متوسط بنات</t>
  </si>
  <si>
    <t xml:space="preserve">المدرسة الابتدائية والمتوسطة
 لتحفيظ القرآن برفحاء (بنات) </t>
  </si>
  <si>
    <t>مدرسة ابتدائية ومتوسطة وثانوية
 ابن شريم ( بنات )</t>
  </si>
  <si>
    <t>مجمع مدارس المحمدية الإبتدائية
 برفحاء (بنات)</t>
  </si>
  <si>
    <t>مدرسة أم غار الخشيبي الابتدائية
 والمتوسطة (بنين)</t>
  </si>
  <si>
    <t>درسة الابتدار المتوسطة والثانوية 
للبنات بالخشبب( بنات</t>
  </si>
  <si>
    <t>المدرسة المتوسطة والثانوية الخامسة 
بحي القادسية   ( بنات )</t>
  </si>
  <si>
    <t>المدرسة المتوسطة والثانوية
 للبنات بطلعة التمياط</t>
  </si>
  <si>
    <t>الحادية عشر الابتدائية ومتوسطة
 حفصة بنت عمر بنات</t>
  </si>
  <si>
    <t>المدرسة الإبتدائية الخامسة
 بحي القادسية ( بنات )</t>
  </si>
  <si>
    <t>المدرسة المتوسطة الرابعة
 بحي المدينة ( بنات )</t>
  </si>
  <si>
    <t>ابتدائية المثنى بن حارثه
 للطفولة المبكرة</t>
  </si>
  <si>
    <t>المدرسة الثانوية الرابعة
 بحي المدينة ( للبنات )</t>
  </si>
  <si>
    <t>المدرسة الثانوية الثالثة
 برفحاء ( بنات)</t>
  </si>
  <si>
    <t>مدرسة موسى بن نصير
 الإبتدائية</t>
  </si>
  <si>
    <t>مدرسة عمرو بن العاص
 الإبتدائية ( بنين )</t>
  </si>
  <si>
    <t>مدرسة عبادة بن الصامت
 المتوسطة برفحاء( بنين )</t>
  </si>
  <si>
    <t>مدرسة المغيرة بن شعبة 
الثانوية برفحاء( بنين )</t>
  </si>
  <si>
    <t>Al-Mughira bin Shu'bah Secondary 
School in Rafha (Boys)</t>
  </si>
  <si>
    <t>Ubadah bin Al-Samit Intermediate 
School in Rafha (Boys)</t>
  </si>
  <si>
    <t>Fourth Secondary School in Al-Madinah
 District (for girls)</t>
  </si>
  <si>
    <t>Fourth Intermediate School in Al-Madinah
 District (Girls)</t>
  </si>
  <si>
    <t>Al-Muthanna bin Haritha Elementary School for 
Early Childhood</t>
  </si>
  <si>
    <t>Intermediate and Secondary School for Girls in 
Talat Al-Tamiyat</t>
  </si>
  <si>
    <t>The Fifth Intermediate and Secondary School in
 Al-Qadisiyah District (Girls)</t>
  </si>
  <si>
    <t>Umm Ghar Al-Khushaibi Elementary and Intermediate
 School (Boys)</t>
  </si>
  <si>
    <t>Al-Muhammadiyah Elementary Schools Complex in
 Rafha (Girls)</t>
  </si>
  <si>
    <t>Ibn Shuraim Elementary, Intermediate, and Secondary
 School (Girls)</t>
  </si>
  <si>
    <t>Rafha Elementary and Intermediate School for
 Quran Memorization (Girls)</t>
  </si>
  <si>
    <t>Educational Quran Memorization Elementary -
 Intermediate (Girls)</t>
  </si>
  <si>
    <t>Al-Markouz Intermediate and Secondary
 School Complex</t>
  </si>
  <si>
    <t>Al-Markouz Educational Complex Intermediate 
- Secondary Girls</t>
  </si>
  <si>
    <t>Al-Maqdisi Educational Complex: Elementary
 - Intermediate - Secondary Boys</t>
  </si>
  <si>
    <t>Intermediate and Secondary School for Girls 
in Al-Khashab Elementary School</t>
  </si>
  <si>
    <t>Rawdat Mabad Intermediate and Secondary
 School (for girls)</t>
  </si>
  <si>
    <t>Elementary and Intermediate Quran
 Memorization (Boys)</t>
  </si>
  <si>
    <t xml:space="preserve">Talat Al-Tamyat Authority and Talat Al-Tamyat 
Secondary School </t>
  </si>
  <si>
    <t>The Fifth Elementary School in Al-Qadisiyah
 District (Girls)</t>
  </si>
  <si>
    <t>Second Secondary School for Girls in 
Al-Aziziyah District</t>
  </si>
  <si>
    <t>Al-Hasan Al-Basri Secondary School for 
Boys in Rafha</t>
  </si>
  <si>
    <t>Eleventh Elementary and Intermediate
 Hafsa bint Omar</t>
  </si>
  <si>
    <t>King Faisal Intermediate School, the board
 is erased.</t>
  </si>
  <si>
    <t>Nusaybah Bint Ka'ab Intermediate School for Girls
 in Dammam</t>
  </si>
  <si>
    <t>Sulaiman Bin Abdulmalik Educational Complex Elementary
 School for Boys</t>
  </si>
  <si>
    <t>Imam Al-Duri Complex for Quran Memorization Intermediate 
School for Boys</t>
  </si>
  <si>
    <t>Nafe' Al-Madani Elementary School for Quran Memorization
 in Dammam for Boys</t>
  </si>
  <si>
    <t>Naeem Bin Abdullah Al-Nahham Early
 Childhood Elementary School</t>
  </si>
  <si>
    <t>Muslimah bin Abdulmalik Educational Complex 
- Intermediate Section for Boys</t>
  </si>
  <si>
    <t>Al-Nu'man bin Bashir Educational Complex Elementary
 School for Boys</t>
  </si>
  <si>
    <t>The 3rd Dammam Elementary School for Quran 
Memorization</t>
  </si>
  <si>
    <t>The 2nd Dammam Intermediate School for Quran
 Memorization for Girls</t>
  </si>
  <si>
    <t>Early Child Hood</t>
  </si>
  <si>
    <t>Al-Ahad Primary and Intermediate School for Quran Memorization +
 Third Secondary School in Al-Ahad</t>
  </si>
  <si>
    <t>Elementary, intermediate and secondary Quran memorization schools in Ahad 
Al-Masarah + Al-Ghusainiyah Elementary School</t>
  </si>
  <si>
    <t>Al-Rawda, Early Childhood and Primary School, Al-Shamaniya +
 Al-Tawal First Primary School</t>
  </si>
  <si>
    <t>Jumana Al-Hashimiya Elementary and Intermediate School +
 Umm Ammar Bint Umays Kindergarten + Al-Tawal Second Elementary School</t>
  </si>
  <si>
    <t>Suez Elementary School, Mu'adh ibn Jabal Intermediate School, and 
Prince Faisal ibn Abdullah Secondary School</t>
  </si>
  <si>
    <t>Khalid Bin Al-Walid Elementary School + Dar Al-Tawhid 
Elementary and Intermediate School</t>
  </si>
  <si>
    <t>Umm Kulthum Bint Abi Bakr Kindergarten + Al-Hajfar Elementary
 and Intermediate School</t>
  </si>
  <si>
    <t>ابتدائية ومتوسطة جمانة الهاشمية 
+ روضة ام عمار بنت عميس + الابتدائية الثانية بالطوال</t>
  </si>
  <si>
    <t xml:space="preserve">ابتدائية ومتوسطة وثانوية تحفيظ القرآن الكريم بأحد المسارة
 + ابتدائية الغصينية </t>
  </si>
  <si>
    <t>ابتدائية السويس ومتوسطة معاذ بن جبل
 وثانوية الأمير فيصل بن عبد الله</t>
  </si>
  <si>
    <t>Kinder Garten</t>
  </si>
  <si>
    <t>School Gender
(Boys / Girls)</t>
  </si>
  <si>
    <t>School 
Coordinates</t>
  </si>
  <si>
    <t>School
Coordinates</t>
  </si>
  <si>
    <t>Pending</t>
  </si>
  <si>
    <t>26.377565371878394, 43.9531232</t>
  </si>
  <si>
    <t>26.378638081566947, 43.9632862981472</t>
  </si>
  <si>
    <t>26.314535938770497, 43.97916734232776</t>
  </si>
  <si>
    <t>26.36656987398822, 43.95879028079699</t>
  </si>
  <si>
    <t>26.350849068455826, 43.96486583862219</t>
  </si>
  <si>
    <t>26.421786846547906, 43.92867671694747</t>
  </si>
  <si>
    <t>26.31762513871044, 44.0157636981472</t>
  </si>
  <si>
    <t>26.429288367147016, 43.92249690734597</t>
  </si>
  <si>
    <t>26.33457611928418, 44.02365450753766</t>
  </si>
  <si>
    <t>26.35850960225151, 43.99530875396663</t>
  </si>
  <si>
    <t>26.341639525760833, 43.98283699999999</t>
  </si>
  <si>
    <t>26.342109361437224, 43.9824027962944</t>
  </si>
  <si>
    <t>26.31284069234813, 43.963026367980376</t>
  </si>
  <si>
    <t>26.30930340608794, 44.0394545968165</t>
  </si>
  <si>
    <t>26.37959284467777, 43.97124627116389</t>
  </si>
  <si>
    <t>26.38233964845454, 43.86308381534445</t>
  </si>
  <si>
    <t>26.38471803685407, 43.864888596294406</t>
  </si>
  <si>
    <t>26.338008220827337, 43.97967345767223</t>
  </si>
  <si>
    <t>26.3159592371164, 43.78489492327772</t>
  </si>
  <si>
    <t>26.33878430851326, 44.05046893590979</t>
  </si>
  <si>
    <t>26.36832347696112, 43.86238881349165</t>
  </si>
  <si>
    <t>26.379869620922396, 43.91422657116387</t>
  </si>
  <si>
    <t>26.32394673981208, 43.96395886805202</t>
  </si>
  <si>
    <t>26.32904751397411, 44.02574537472621</t>
  </si>
  <si>
    <t>26.319494666557546, 43.95655717843181</t>
  </si>
  <si>
    <t>26.330200483184264, 43.963206492537836</t>
  </si>
  <si>
    <t>26.32279582404724, 44.038697957672234</t>
  </si>
  <si>
    <t>26.301624323358322, 44.01321574774289</t>
  </si>
  <si>
    <t>26.32470672160058, 43.98975740897745</t>
  </si>
  <si>
    <t>26.411313246560834, 43.92881765296699</t>
  </si>
  <si>
    <t>26.376439485956773, 43.97463795767222</t>
  </si>
  <si>
    <t>26.317296626174514, 43.98055042572424</t>
  </si>
  <si>
    <t>26.382602096476422, 43.861201071163876</t>
  </si>
  <si>
    <t>26.31241804812618, 44.049906169311086</t>
  </si>
  <si>
    <t>26.376231062490895, 43.975591571163875</t>
  </si>
  <si>
    <t>26.37571274734229, 43.97458145767222</t>
  </si>
  <si>
    <t>26.321960364370632, 43.992020830545634</t>
  </si>
  <si>
    <t>26.324600368916112, 43.98639152016585</t>
  </si>
  <si>
    <t>26.374335293387343, 43.85332699999999</t>
  </si>
  <si>
    <t>26.347307744090386, 43.96624915952503</t>
  </si>
  <si>
    <t>26.393832861696563, 43.85994402698332</t>
  </si>
  <si>
    <t>26.291501333642245, 43.9229215275054</t>
  </si>
  <si>
    <t>26.37020224713368, 43.9700071944416</t>
  </si>
  <si>
    <t>26.311027734517022, 43.93207346007274</t>
  </si>
  <si>
    <t>26.379858168868818, 43.96285143280276</t>
  </si>
  <si>
    <t>26.320849099166402, 43.98245987909717</t>
  </si>
  <si>
    <t>26.313418848958282, 43.96353614788615</t>
  </si>
  <si>
    <t>26.332593004571695, 43.97315585767222</t>
  </si>
  <si>
    <t>26.319108766819472, 43.95657777301668</t>
  </si>
  <si>
    <t>26.417416428403282, 43.89447228220243</t>
  </si>
  <si>
    <t>26.277119262889055, 43.98425871163887</t>
  </si>
  <si>
    <t>26.338229354981287, 43.978952171711065</t>
  </si>
  <si>
    <t>26.29979415939092, 43.946270637363114</t>
  </si>
  <si>
    <t>26.31139037314534, 43.901889446033366</t>
  </si>
  <si>
    <t>26.343210472889155, 43.922067121163884</t>
  </si>
  <si>
    <t>26.380217364278348, 43.97081228094994</t>
  </si>
  <si>
    <t>26.31362338615485, 43.88969244076161</t>
  </si>
  <si>
    <t>26.28881142484351, 43.870193986221814</t>
  </si>
  <si>
    <t>26.297134752077834, 43.9470385048214</t>
  </si>
  <si>
    <t>26.30062884565418, 43.868010958716404</t>
  </si>
  <si>
    <t>26.329769579059793, 43.94388911349165</t>
  </si>
  <si>
    <t>26.320032665241932, 43.78165145767223</t>
  </si>
  <si>
    <t>26.33418730794302, 44.000028152349394</t>
  </si>
  <si>
    <t>26.318055775856685, 43.975305775105035</t>
  </si>
  <si>
    <t>26.329352158232364, 43.976792336104026</t>
  </si>
  <si>
    <t>26.34100821614053, 43.9599191018528</t>
  </si>
  <si>
    <t>26.31595478152602, 43.95927945605498</t>
  </si>
  <si>
    <t>26.31665865725146, 43.9628236931109</t>
  </si>
  <si>
    <t>26.316858694522594, 43.983174631733085</t>
  </si>
  <si>
    <t>26.308874500225702, 43.981028207105275</t>
  </si>
  <si>
    <t>26.336672334839776, 43.97651995767224</t>
  </si>
  <si>
    <t>26.3871174535979, 43.94129152883611</t>
  </si>
  <si>
    <t>26.3870790095243, 43.94117351163886</t>
  </si>
  <si>
    <t>26.37987083255587, 43.93275596931109</t>
  </si>
  <si>
    <t>26.387546057842513, 43.937181173066996</t>
  </si>
  <si>
    <t>26.391087471084507, 43.935849611638865</t>
  </si>
  <si>
    <t>26.391013992594548, 43.93669404603337</t>
  </si>
  <si>
    <t>26.265311612886602, 43.965557307945524</t>
  </si>
  <si>
    <t>26.3173393708925, 43.92695851244751</t>
  </si>
  <si>
    <t>26.30873405516097, 43.92011791683302</t>
  </si>
  <si>
    <t>26.27447048807195, 43.96482441483462</t>
  </si>
  <si>
    <t>26.34381368033462, 43.90822034418056</t>
  </si>
  <si>
    <t>26.382671836698457, 43.908229713491664</t>
  </si>
  <si>
    <t>26.38943242748317, 43.9242179</t>
  </si>
  <si>
    <t>26.356783738746635, 43.89440538650834</t>
  </si>
  <si>
    <t>26.378958557498862, 43.92255399258881</t>
  </si>
  <si>
    <t>26.394986307396927, 43.9145904981472</t>
  </si>
  <si>
    <t>26.3919197699761, 43.88946678836114</t>
  </si>
  <si>
    <t>26.355327403063765, 43.933707341021844</t>
  </si>
  <si>
    <t>26.380000355591978, 43.859246284655555</t>
  </si>
  <si>
    <t>26.3481290983487, 43.937466565630345</t>
  </si>
  <si>
    <t>26.319929015576975, 43.88647257672227</t>
  </si>
  <si>
    <t>26.40674516303153, 43.91426422698332</t>
  </si>
  <si>
    <t>26.362518200662844, 43.928413371163884</t>
  </si>
  <si>
    <t>26.386674531969643, 43.924104330688905</t>
  </si>
  <si>
    <t>26.365128147135497, 43.862554417197266</t>
  </si>
  <si>
    <t>26.36313913433603, 43.92815821349166</t>
  </si>
  <si>
    <t>26.42753633784184, 43.88341486931109</t>
  </si>
  <si>
    <t>26.340335677183976, 44.026047017139156</t>
  </si>
  <si>
    <t>26.399250382648333, 44.05753607854146</t>
  </si>
  <si>
    <t>26.309087525409335, 44.04616383068891</t>
  </si>
  <si>
    <t>26.30523594208417, 44.02529593700494</t>
  </si>
  <si>
    <t>26.370042311184683, 43.99909298280275</t>
  </si>
  <si>
    <t>26.338518363318304, 44.017421313727205</t>
  </si>
  <si>
    <t>26.327724955372318, 43.98563082379981</t>
  </si>
  <si>
    <t>26.320412430379776, 43.995247572873424</t>
  </si>
  <si>
    <t>26.33369121767994, 44.00049476109128</t>
  </si>
  <si>
    <t>26.31159357248084, 44.052365102482334</t>
  </si>
  <si>
    <t>26.368527876587144, 43.974010173016666</t>
  </si>
  <si>
    <t>26.37048572333879, 43.96851391349165</t>
  </si>
  <si>
    <t>26.38493605980373, 43.97027698094996</t>
  </si>
  <si>
    <t>26.387036454407905, 43.9889119</t>
  </si>
  <si>
    <t>26.307803573023445, 43.968642471685975</t>
  </si>
  <si>
    <t>26.328497839727987, 43.96678259688814</t>
  </si>
  <si>
    <t>26.276879105318084, 44.004020687902276</t>
  </si>
  <si>
    <t>26.34135447774397, 43.960972808526996</t>
  </si>
  <si>
    <t>26.29202506351482, 43.99553417412409</t>
  </si>
  <si>
    <t>26.314341838996057, 43.97866863729147</t>
  </si>
  <si>
    <t>26.366295367905543, 43.94053079999999</t>
  </si>
  <si>
    <t>26.36138155013897, 43.937517342327766</t>
  </si>
  <si>
    <t>26.363098069053965, 43.94367154232776</t>
  </si>
  <si>
    <t>26.362168417862076, 43.94296027116389</t>
  </si>
  <si>
    <t>26.37361051866034, 43.93423041534445</t>
  </si>
  <si>
    <t>26.40595720805846, 43.93031854232778</t>
  </si>
  <si>
    <t>26.35949371978003, 43.95122697116389</t>
  </si>
  <si>
    <t>26.37976563273092, 43.950047963491656</t>
  </si>
  <si>
    <t>26.362326396275712, 43.95387671163886</t>
  </si>
  <si>
    <t>26.413045012824316, 43.918196515344455</t>
  </si>
  <si>
    <t>26.39860646184259, 43.92647101349167</t>
  </si>
  <si>
    <t>26.398558411530253, 43.92661048836115</t>
  </si>
  <si>
    <t>26.323220459418938, 43.963271084655545</t>
  </si>
  <si>
    <t>26.297590755370496, 43.945617500378816</t>
  </si>
  <si>
    <t>26.380922700109544, 43.85885952698333</t>
  </si>
  <si>
    <t>26.312232657871945, 44.049376849280115</t>
  </si>
  <si>
    <t>26.331365740900385, 44.02226357168597</t>
  </si>
  <si>
    <t>26.364834225742662, 43.95055415767222</t>
  </si>
  <si>
    <t>26.352541705828425, 43.93546585581944</t>
  </si>
  <si>
    <t>26.30910586259207, 43.968390356341516</t>
  </si>
  <si>
    <t>26.364882034800335, 43.95386168465554</t>
  </si>
  <si>
    <t>26.327812418703093, 44.01522104893033</t>
  </si>
  <si>
    <t>26.369313750033438, 43.96481985396663</t>
  </si>
  <si>
    <t>26.336315052437982, 43.99215230109516</t>
  </si>
  <si>
    <t>26.31645050560227, 43.78534588465554</t>
  </si>
  <si>
    <t>26.345199175696244, 43.98885132698332</t>
  </si>
  <si>
    <t>26.354056025751344, 44.05134590936107</t>
  </si>
  <si>
    <t>26.329057417034154, 43.961431928836106</t>
  </si>
  <si>
    <t>26.372956106047504, 43.944630750225585</t>
  </si>
  <si>
    <t>26.34799261191683, 43.93919372541639</t>
  </si>
  <si>
    <t>26.332925295071004, 43.997307772873405</t>
  </si>
  <si>
    <t>26.367798254983068, 43.95116555581943</t>
  </si>
  <si>
    <t>26.407754332718472, 43.931189084655536</t>
  </si>
  <si>
    <t>26.28709495130798, 43.99391834589009</t>
  </si>
  <si>
    <t>26.325852254611064, 43.96214831349165</t>
  </si>
  <si>
    <t>26.31251608179027, 43.9684069802846</t>
  </si>
  <si>
    <t>26.287326162249233, 43.993840642849854</t>
  </si>
  <si>
    <t>26.320502031242786, 43.960034788361135</t>
  </si>
  <si>
    <t>26.309048815217224, 44.04020573068891</t>
  </si>
  <si>
    <t>26.39046529480199, 43.965816142276786</t>
  </si>
  <si>
    <t>26.319217421252738, 44.04450267365488</t>
  </si>
  <si>
    <t>26.3084281394196, 44.03986656308734</t>
  </si>
  <si>
    <t>26.331229950756892, 44.05837297916552</t>
  </si>
  <si>
    <t>26.380026933531184, 43.91397443543868</t>
  </si>
  <si>
    <t>26.31785624058549, 44.04114466821593</t>
  </si>
  <si>
    <t>26.30274680977106, 44.0175897451034</t>
  </si>
  <si>
    <t>26.270286461704664, 43.99027734407149</t>
  </si>
  <si>
    <t>26.330230761522508, 44.010021460072316</t>
  </si>
  <si>
    <t>26.335699416553183, 43.99177432691168</t>
  </si>
  <si>
    <t>26.310286352210124, 43.94257004166242</t>
  </si>
  <si>
    <t>26.3169865751678, 43.95802462374882</t>
  </si>
  <si>
    <t>26.310202643805948, 43.942044355819434</t>
  </si>
  <si>
    <t>26.329293794958925, 43.95442932854958</t>
  </si>
  <si>
    <t>26.396006689050985, 43.93224591774332</t>
  </si>
  <si>
    <t>26.373321967814764, 43.977363442327764</t>
  </si>
  <si>
    <t>26.387652441583597, 43.935140915344455</t>
  </si>
  <si>
    <t>26.38119645340258, 43.92634608465554</t>
  </si>
  <si>
    <t>26.39120173164096, 43.95456343886928</t>
  </si>
  <si>
    <t>26.346858039286957, 43.965770933349816</t>
  </si>
  <si>
    <t>26.379229287133114, 43.97073625795757</t>
  </si>
  <si>
    <t>26.327304351958116, 43.955545157672226</t>
  </si>
  <si>
    <t>26.36971017442387, 43.93595169814721</t>
  </si>
  <si>
    <t>26.35822820886655, 43.97341198650834</t>
  </si>
  <si>
    <t>26.34881134109138, 43.990224973016666</t>
  </si>
  <si>
    <t>26.341584711040777, 43.97735656931109</t>
  </si>
  <si>
    <t>26.352575272597374, 43.96518324102187</t>
  </si>
  <si>
    <t>26.389509899065413, 43.93115424287386</t>
  </si>
  <si>
    <t>26.389404180022495, 43.93113278520163</t>
  </si>
  <si>
    <t>26.371093484260633, 43.90132838465555</t>
  </si>
  <si>
    <t>26.4073285178253, 43.91474572698332</t>
  </si>
  <si>
    <t>26.427907814385815, 43.88312484047497</t>
  </si>
  <si>
    <t>26.374387290053946, 43.92410432142493</t>
  </si>
  <si>
    <t>26.32406152299356, 44.04229607116389</t>
  </si>
  <si>
    <t>26.349443439979897, 43.990259469858024</t>
  </si>
  <si>
    <t>26.337589024094505, 43.97685203068891</t>
  </si>
  <si>
    <t>26.334850176655724, 43.96485239999999</t>
  </si>
  <si>
    <t>26.3964142337164, 43.931974925130525</t>
  </si>
  <si>
    <t>26.381190614313844, 43.92680661377689</t>
  </si>
  <si>
    <t>26.38110612278998, 43.92789818650834</t>
  </si>
  <si>
    <t>26.41076768146228, 43.91398131534446</t>
  </si>
  <si>
    <t>26.410815726691098, 43.91398131534446</t>
  </si>
  <si>
    <t>الروضة العاشرة بعرعر</t>
  </si>
  <si>
    <t>The tenth kindergarten in Arar</t>
  </si>
  <si>
    <t>30.976063734366452, 41.00935991777005</t>
  </si>
  <si>
    <t>الابتدائية الرابعة عشر بعرعر</t>
  </si>
  <si>
    <t>Fourteenth Elementary School in Arrar</t>
  </si>
  <si>
    <t>30.99493733726857, 41.03028808091357</t>
  </si>
  <si>
    <t>KFM2120660242640</t>
  </si>
  <si>
    <t>المتطوسطه سابعه بعرعر</t>
  </si>
  <si>
    <t>Seventh Middle school</t>
  </si>
  <si>
    <t>30.99569420558648, 41.02883237080394</t>
  </si>
  <si>
    <t>الروضه حكومي السادسه</t>
  </si>
  <si>
    <t>Sixth Government Kindergarten</t>
  </si>
  <si>
    <t>30.991265070316686, 41.01818545281235</t>
  </si>
  <si>
    <t>KFM2020660178599</t>
  </si>
  <si>
    <t>ابتدائية التاسعة</t>
  </si>
  <si>
    <t>30.985033389151816, 41.03923087308402</t>
  </si>
  <si>
    <t>KFM2020660178712</t>
  </si>
  <si>
    <t>الابتدائية الثانية والعشرون بعرعر - بنات</t>
  </si>
  <si>
    <t xml:space="preserve">The twenty-second elementary school in Arar </t>
  </si>
  <si>
    <t>30.98340820006508, 41.011149043368455</t>
  </si>
  <si>
    <t>KFM2020660178726</t>
  </si>
  <si>
    <t>مدرسة  ابتدائيه الثانيه سكاكا</t>
  </si>
  <si>
    <t>Second Primary School in Sakakka</t>
  </si>
  <si>
    <t>29.9889243898008, 40.2084716373593</t>
  </si>
  <si>
    <t>KFM2020660179637</t>
  </si>
  <si>
    <t>KFM2020660034317</t>
  </si>
  <si>
    <t>Saqar Quraish</t>
  </si>
  <si>
    <t>Twenty Elemantry School</t>
  </si>
  <si>
    <t>30.997342794551894, 41.0307545505276</t>
  </si>
  <si>
    <t>KFM2020660178601</t>
  </si>
  <si>
    <t>MMF2320601008493</t>
  </si>
  <si>
    <t>31.666882591236885, 38.65767267800416</t>
  </si>
  <si>
    <t>30.962561825393145, 41.04226583583268</t>
  </si>
  <si>
    <t xml:space="preserve">16th Middle School </t>
  </si>
  <si>
    <t>30.99517611379525, 40.999673713066244</t>
  </si>
  <si>
    <t>KFM2020660178858</t>
  </si>
  <si>
    <t>المدرسه المتوسطه السابعه و الثانويه السادسه</t>
  </si>
  <si>
    <t>Seventh Intermediate and Sixth Secondary School</t>
  </si>
  <si>
    <t>KFM2020660154925</t>
  </si>
  <si>
    <t>29.9341191656329, 40.1943880770686</t>
  </si>
  <si>
    <t>مدرسة  الابتدايه الخامسه بنات</t>
  </si>
  <si>
    <t>Fifth Primary School for Girls</t>
  </si>
  <si>
    <t>KFM2020660075177</t>
  </si>
  <si>
    <t>29.978022, 40.212609</t>
  </si>
  <si>
    <t>ابتدائية الثانيه  و الثانويه الاولئ بالسكاكا</t>
  </si>
  <si>
    <t>Second Primary and First Secondary School in Sakaka</t>
  </si>
  <si>
    <t>29.933891, 40.194796</t>
  </si>
  <si>
    <t>KFM2020660154924</t>
  </si>
  <si>
    <t>مدرسة ابتدائية تحفيظ الخماسين</t>
  </si>
  <si>
    <t>Ibtday Tahfez alquraan</t>
  </si>
  <si>
    <t>ابتدائية/Elementary</t>
  </si>
  <si>
    <t>بنين/Boys</t>
  </si>
  <si>
    <t>Riyadh region/ منطقة الرياض</t>
  </si>
  <si>
    <t>Riyadh</t>
  </si>
  <si>
    <t>20.467917724519168, 44.78055045396983</t>
  </si>
  <si>
    <t>KFM2020660234422</t>
  </si>
  <si>
    <t>23/02/2026 10:32:35</t>
  </si>
  <si>
    <t>ابتدائية العقيق</t>
  </si>
  <si>
    <t>Ibtday alaqeq</t>
  </si>
  <si>
    <t>20.47128927450877, 44.7825351804188</t>
  </si>
  <si>
    <t>Kfm2020660212684</t>
  </si>
  <si>
    <t>23/02/2026 12:43:49</t>
  </si>
  <si>
    <t>ابتدائية الإمام أحمد بن حنبل</t>
  </si>
  <si>
    <t>Alamam Ahmed ibn hanbal</t>
  </si>
  <si>
    <t>20.459649353412384, 44.81541427301509</t>
  </si>
  <si>
    <t>Kfm2020660174648</t>
  </si>
  <si>
    <t>26/02/2026 00:25:45</t>
  </si>
  <si>
    <t>ثانوية مجمع الأمير سلطان التعليمي - مسارات</t>
  </si>
  <si>
    <t>mujmae al'amir sultan altaelimi, alqism althaanawia</t>
  </si>
  <si>
    <t>ثانوية/High school</t>
  </si>
  <si>
    <t>20.466240200359696, 44.80167415952262</t>
  </si>
  <si>
    <t>Kfm2020660177804</t>
  </si>
  <si>
    <t>26/02/2026 01:53:41</t>
  </si>
  <si>
    <t>ابتدائية مجمع الأمير سلطان التعليمي</t>
  </si>
  <si>
    <t>mujamae al'amir sultan altaelimi, alqism aliabtidayiyi</t>
  </si>
  <si>
    <t>20.466220097129767, 44.801749261373544</t>
  </si>
  <si>
    <t>Kfm2020660177808</t>
  </si>
  <si>
    <t>26/02/2026 02:08:16</t>
  </si>
  <si>
    <t>Ali ibn Abi Talib Elementary School</t>
  </si>
  <si>
    <t>20.47458527256921, 44.794443400000006</t>
  </si>
  <si>
    <t>Kfm2020660176051</t>
  </si>
  <si>
    <t>26/02/2026 02:24:15</t>
  </si>
  <si>
    <t>ثانوية المعتلى - مسارات</t>
  </si>
  <si>
    <t>Thanawia almaatla</t>
  </si>
  <si>
    <t>20.447525775578374, 44.82571510185094</t>
  </si>
  <si>
    <t>Kfm2020660172286</t>
  </si>
  <si>
    <t>26/02/2026 02:51:35</t>
  </si>
  <si>
    <t>ابتدائية الإمام الترمذي</t>
  </si>
  <si>
    <t>Imam al trmidhi pramary school</t>
  </si>
  <si>
    <t>20.452444980888604, 44.81890792698492</t>
  </si>
  <si>
    <t>Kfm202660193437</t>
  </si>
  <si>
    <t>26/02/2026 03:28:26</t>
  </si>
  <si>
    <t>ابتدائية أبوهريرة</t>
  </si>
  <si>
    <t>Abu hrira</t>
  </si>
  <si>
    <t>20.454870709168464, 44.78294137486601</t>
  </si>
  <si>
    <t>Kfm2020660212694</t>
  </si>
  <si>
    <t>26/02/2026 03:53:52</t>
  </si>
  <si>
    <t>ابتدائية الأندلس</t>
  </si>
  <si>
    <t>Alandlus elementary</t>
  </si>
  <si>
    <t>20.46101762352187, 44.78288805952263</t>
  </si>
  <si>
    <t>KFM2020660212756</t>
  </si>
  <si>
    <t>26/02/2026 04:34:23</t>
  </si>
  <si>
    <t>ابتدائية قرطبة</t>
  </si>
  <si>
    <t>Qurtba elementary school</t>
  </si>
  <si>
    <t>20.471476330703947, 44.769193217194314</t>
  </si>
  <si>
    <t>Kfm2020660177875</t>
  </si>
  <si>
    <t>26/02/2026 04:44:53</t>
  </si>
  <si>
    <t>ابتدائية ابن القيم</t>
  </si>
  <si>
    <t>Ibn alqaim</t>
  </si>
  <si>
    <t>20.46498090679228, 44.77909786137357</t>
  </si>
  <si>
    <t>KFM2020660212760</t>
  </si>
  <si>
    <t>26/02/2026 05:04:30</t>
  </si>
  <si>
    <t>متوسطة أحد</t>
  </si>
  <si>
    <t>Ahud middle school</t>
  </si>
  <si>
    <t>متوسطة/middle school</t>
  </si>
  <si>
    <t>20.46615863579147, 44.78602333068678</t>
  </si>
  <si>
    <t>KFM2020660206216</t>
  </si>
  <si>
    <t>26/02/2026 06:52:12</t>
  </si>
  <si>
    <t>متوسطة الخماسين</t>
  </si>
  <si>
    <t>Khamasin middle school</t>
  </si>
  <si>
    <t>20.472002076122163, 44.77719110185093</t>
  </si>
  <si>
    <t>Kfm2020660206106</t>
  </si>
  <si>
    <t>ثانوية الخماسين - مقررات</t>
  </si>
  <si>
    <t>Khmasin High School</t>
  </si>
  <si>
    <t>20.471738620152326, 44.77830770185092</t>
  </si>
  <si>
    <t>Kfm2020660206103</t>
  </si>
  <si>
    <t>26/02/2026 14:19:42</t>
  </si>
  <si>
    <t>King Faisal elementary</t>
  </si>
  <si>
    <t>20.46707667032961, 44.79436241904525</t>
  </si>
  <si>
    <t>Kfm2020660212758</t>
  </si>
  <si>
    <t>26/02/2026 14:41:27</t>
  </si>
  <si>
    <t>ثانوية الولامين - مسارات</t>
  </si>
  <si>
    <t>Al-walamin secondary</t>
  </si>
  <si>
    <t>20.475008367776816, 44.77439945582076</t>
  </si>
  <si>
    <t>Kfm2020660174651</t>
  </si>
  <si>
    <t>متوسطة الفرعة</t>
  </si>
  <si>
    <t>Al faraa middle school</t>
  </si>
  <si>
    <t>20.484855758438883, 44.76778718835847</t>
  </si>
  <si>
    <t>Kfm2020660174726</t>
  </si>
  <si>
    <t>ثانوية الشيخ محمد بن عثيمين مقررات</t>
  </si>
  <si>
    <t>Sheikh Mohammad bin othimeen</t>
  </si>
  <si>
    <t>20.484622406647954, 44.76547493068679</t>
  </si>
  <si>
    <t>Kfm2020660177891</t>
  </si>
  <si>
    <t>ابتدائية القادسية</t>
  </si>
  <si>
    <t>Alqadisiyah elementary</t>
  </si>
  <si>
    <t>20.493710495065802, 44.75110800185093</t>
  </si>
  <si>
    <t>Kfm2020660174723</t>
  </si>
  <si>
    <t>ابتدائية الولامين</t>
  </si>
  <si>
    <t>Walami elementary school</t>
  </si>
  <si>
    <t>20.480007763658154, 44.7761833693132</t>
  </si>
  <si>
    <t>Kfm2020660174678</t>
  </si>
  <si>
    <t>ابتدائية طويق</t>
  </si>
  <si>
    <t>Tuwaiq elementary</t>
  </si>
  <si>
    <t>20.433726197501556, 44.84347627301507</t>
  </si>
  <si>
    <t>Kfm2020660223668</t>
  </si>
  <si>
    <t>ابتدائية الصالحية</t>
  </si>
  <si>
    <t>Alsalihia elementary school</t>
  </si>
  <si>
    <t>20.442057551232153, 44.851526319045256</t>
  </si>
  <si>
    <t>Kfm2020660247637</t>
  </si>
  <si>
    <t>ابتدائية النويعمة</t>
  </si>
  <si>
    <t>Alnuwayimah elementary school</t>
  </si>
  <si>
    <t>20.44976341752288, 44.85445261534338</t>
  </si>
  <si>
    <t>Kfm2020660174714</t>
  </si>
  <si>
    <t>مدرسة ثانوية النويعمة للمقررات</t>
  </si>
  <si>
    <t>Alnuwayimah secondary school</t>
  </si>
  <si>
    <t>20.456629597256686, 44.856285888358464</t>
  </si>
  <si>
    <t>Kfm2020660206090</t>
  </si>
  <si>
    <t>مدرسة ابتدائية تحفيظ النويعمة</t>
  </si>
  <si>
    <t>Alnuwayimah elementary tahfez al quran</t>
  </si>
  <si>
    <t>20.44952727608582, 44.858778417194316</t>
  </si>
  <si>
    <t>Kfm2020660234471</t>
  </si>
  <si>
    <t>ابتدائية الملك سعود</t>
  </si>
  <si>
    <t>King saud elementary and middle school</t>
  </si>
  <si>
    <t>20.440120039928825, 44.876970319045256</t>
  </si>
  <si>
    <t>Kfm2020660174694</t>
  </si>
  <si>
    <t>مدرسة عمرو بن العاص الثانوية - مسارات</t>
  </si>
  <si>
    <t>Amr ibn alas secondary school</t>
  </si>
  <si>
    <t>20.438537608352895, 44.90064157116415</t>
  </si>
  <si>
    <t>Kfm2020660174691</t>
  </si>
  <si>
    <t>ابتدائية الزويراء</t>
  </si>
  <si>
    <t>Alzuwaira elementary school</t>
  </si>
  <si>
    <t>20.46415605636114, 44.8312998</t>
  </si>
  <si>
    <t>Kfm2020660177856</t>
  </si>
  <si>
    <t>ابتدائية القويز</t>
  </si>
  <si>
    <t>AIquwaiz eiementary school</t>
  </si>
  <si>
    <t>20.454189353027445, 44.84741184603016</t>
  </si>
  <si>
    <t>KFM2020660174662</t>
  </si>
  <si>
    <t>ثانوية كمدة - مقررات</t>
  </si>
  <si>
    <t>Kamdah high school</t>
  </si>
  <si>
    <t>20.387811780926334, 45.0834741</t>
  </si>
  <si>
    <t>KFM2020660177865</t>
  </si>
  <si>
    <t>مدرسة المعتلا الابتدائية</t>
  </si>
  <si>
    <t>Almaatla elementary school</t>
  </si>
  <si>
    <t>20.448467502890725, 44.82579652883585</t>
  </si>
  <si>
    <t>Kfm2020660177978</t>
  </si>
  <si>
    <t>16.898206725469915, 42.5488962346085</t>
  </si>
  <si>
    <t>صقر الجزيرة - مسارات</t>
  </si>
  <si>
    <t>عبدالملك بن مروان المتوسطة</t>
  </si>
  <si>
    <t>قباء الثانوية</t>
  </si>
  <si>
    <t>القاسم بن محمد الثانوية</t>
  </si>
  <si>
    <t xml:space="preserve">مدرسة قرطبة الثانوية </t>
  </si>
  <si>
    <t>عبد الله لن عمر المتوسطة</t>
  </si>
  <si>
    <t>الامام الذهبي المتوسطة</t>
  </si>
  <si>
    <t>الحذيفات الابتدائية</t>
  </si>
  <si>
    <t>مدرسة ثانوية القيروان بمكة</t>
  </si>
  <si>
    <t>يزيد بن رومان القارىء المتوسطة لتحفيظ القرآن الكريم</t>
  </si>
  <si>
    <t>الخوارزمي الابتدائية</t>
  </si>
  <si>
    <t>ابن رشد الثانوية - مسارات</t>
  </si>
  <si>
    <t>ابن قتيبة الابتدائية</t>
  </si>
  <si>
    <t>الإمام الشافعي الابتدائية</t>
  </si>
  <si>
    <t>زمزم الابتدائية</t>
  </si>
  <si>
    <t>أبي بن كعب المتوسطة</t>
  </si>
  <si>
    <t>أبي سعيد الخدري الابتدائية</t>
  </si>
  <si>
    <t>عمر الفاروق الثانوية - نظام مسارات</t>
  </si>
  <si>
    <t>عبدالله بن أم مكتوم المتوسطة</t>
  </si>
  <si>
    <t>عمير بن الحمام المتوسطة</t>
  </si>
  <si>
    <t>الثانوية السادسة و الخمسون بمكة المكرمة   - مسارات</t>
  </si>
  <si>
    <t>الثانوية السادسة لتحفيظ القرآن الكريم بمكة المكرمة - مسارات</t>
  </si>
  <si>
    <t xml:space="preserve">ثانوية مريم بنت عمران </t>
  </si>
  <si>
    <t xml:space="preserve">ثانوية الجعرانة </t>
  </si>
  <si>
    <t xml:space="preserve">المتوسطة الرابعة </t>
  </si>
  <si>
    <t>مدرسة الثانية والعشرين المتوسطة ممدرسة الرابعة والستون الابتدائية</t>
  </si>
  <si>
    <t>ابتدائيه الرياض للطفوله المبكره</t>
  </si>
  <si>
    <t>ثانوية خولة بنت اليمان</t>
  </si>
  <si>
    <t>ابن ماجه للطفولة المبكرة</t>
  </si>
  <si>
    <t>المتوسطة السادسة بمكة المكرمة</t>
  </si>
  <si>
    <t>التاسعة والثلاثون بعد المائة</t>
  </si>
  <si>
    <t xml:space="preserve"> الابتدائيه ١٠٤</t>
  </si>
  <si>
    <t xml:space="preserve">ابتدائيه صفية بنت عبد المطلب </t>
  </si>
  <si>
    <t xml:space="preserve">الابتدائية الخامسة والثمانون </t>
  </si>
  <si>
    <t>الخليل بن احمد طفولة مبكرة</t>
  </si>
  <si>
    <t>المتوسطة الرابعة والثلاثون بمكة المكرمة</t>
  </si>
  <si>
    <t>جعفر بن الزبير الابتدائية - طفولة مبكرة</t>
  </si>
  <si>
    <t>أم العلاء الأنصارية الابتدائية</t>
  </si>
  <si>
    <t>الابتدائية العشرون بمكة المكرمة</t>
  </si>
  <si>
    <t>عروة بن الزبير الابتدائية – طفولة مبكرة</t>
  </si>
  <si>
    <t>الإمام أحمد بن حنبل الابتدائية - طفولة مبكرة</t>
  </si>
  <si>
    <t>المتوسطة التاسعة والعشرون بمكة المكرمة</t>
  </si>
  <si>
    <t>جويرية بنت الحارث الابتدائية بمكة المكرمة</t>
  </si>
  <si>
    <t>Imam Al-Dhahabi Intermediate School</t>
  </si>
  <si>
    <t>Al-Hudhaifat Primary School</t>
  </si>
  <si>
    <t>Al-Khwarizmi Primary School</t>
  </si>
  <si>
    <t>Imam Al-Shafi'i Primary School</t>
  </si>
  <si>
    <t>Zamzam Primary School</t>
  </si>
  <si>
    <t>Al-Biruni Primary School</t>
  </si>
  <si>
    <t>21.45136846603668, 39.53979894964285</t>
  </si>
  <si>
    <t>21.46763901326242, 39.95535222491324</t>
  </si>
  <si>
    <t>21.551074918360477, 39.78280928271348</t>
  </si>
  <si>
    <t>21.400430376245765, 39.778217185566774</t>
  </si>
  <si>
    <t>21.608913866965437, 39.69461653121545</t>
  </si>
  <si>
    <t>21.449758167976338, 39.822188393065574</t>
  </si>
  <si>
    <t>21.453139119485215, 39.96939791409704</t>
  </si>
  <si>
    <t>21.411404462537096, 39.41049598477201</t>
  </si>
  <si>
    <t>21.46457377638942, 39.94816208571467</t>
  </si>
  <si>
    <t>21.468319194739443, 39.9553942923763</t>
  </si>
  <si>
    <t>21.62719268178675, 39.67903118789279</t>
  </si>
  <si>
    <t>21.389707013726465, 39.44136567785869</t>
  </si>
  <si>
    <t>21.462310509848948, 39.96310306570355</t>
  </si>
  <si>
    <t>21.351384081894114, 39.827158409215095</t>
  </si>
  <si>
    <t>21.569776417228443, 39.776035906072615</t>
  </si>
  <si>
    <t>21.557728978514106, 39.77056053292044</t>
  </si>
  <si>
    <t>21.529335089266045, 39.79498016635642</t>
  </si>
  <si>
    <t>21.257858046763207, 39.83168191306601</t>
  </si>
  <si>
    <t>21.46543120537429, 39.94261286235746</t>
  </si>
  <si>
    <t>21.394361970230317, 39.442075162302494</t>
  </si>
  <si>
    <t>21.469549046764673, 39.96058778333442</t>
  </si>
  <si>
    <t>21.462765439713852, 39.95991768358629</t>
  </si>
  <si>
    <t>21.443655526828323, 39.96995968239436</t>
  </si>
  <si>
    <t>21.453071777452237, 40.01690508645412</t>
  </si>
  <si>
    <t>21.558962164482107, 39.95069487199849</t>
  </si>
  <si>
    <t>21.559502369972908, 39.783612160779676</t>
  </si>
  <si>
    <t>21.360926890710054, 39.82887896355301</t>
  </si>
  <si>
    <t>21.499579447245186, 39.94927844647362</t>
  </si>
  <si>
    <t>21.309277109871196, 39.67952217488982</t>
  </si>
  <si>
    <t>21.431128955122873, 39.787416755796954</t>
  </si>
  <si>
    <t>21.44050907095445, 39.81963571094555</t>
  </si>
  <si>
    <t>21.35030343597336, 39.8286163797635</t>
  </si>
  <si>
    <t>21.46052762200192, 39.95177747521121</t>
  </si>
  <si>
    <t>21.533294013853716, 39.78653441632028</t>
  </si>
  <si>
    <t>21.48761937888378, 39.93339842023651</t>
  </si>
  <si>
    <t>21.34504633078294, 39.90900526393855</t>
  </si>
  <si>
    <t>21.35858834929687, 39.89461010325547</t>
  </si>
  <si>
    <t>21.395763326798857, 39.77916387469575</t>
  </si>
  <si>
    <t>21.42696652108847, 39.783941117003465</t>
  </si>
  <si>
    <t>21.43457756994896, 39.81239060276834</t>
  </si>
  <si>
    <t>21.35884719592216, 39.89550103090238</t>
  </si>
  <si>
    <t>21.557965642214423, 39.771107328863984</t>
  </si>
  <si>
    <t>21.443949461961875, 39.83812364769366</t>
  </si>
  <si>
    <t>21.495974653893505, 39.96587040245815</t>
  </si>
  <si>
    <t>21.568955109500283, 39.76546290336363</t>
  </si>
  <si>
    <t>School Coordination</t>
  </si>
  <si>
    <t>B</t>
  </si>
  <si>
    <t>G</t>
  </si>
  <si>
    <t>HLY2020627009766</t>
  </si>
  <si>
    <t>SXE2020627069715</t>
  </si>
  <si>
    <t>SXE202062700152</t>
  </si>
  <si>
    <t>KFM2120655995662</t>
  </si>
  <si>
    <t>HLY2020627055320</t>
  </si>
  <si>
    <t>SXE2020627072939</t>
  </si>
  <si>
    <t>SXE2020627073168</t>
  </si>
  <si>
    <t>HLY2020627012391</t>
  </si>
  <si>
    <t>LYE2020800096887</t>
  </si>
  <si>
    <t>LYE2020809717527</t>
  </si>
  <si>
    <t>HLY2020627055234</t>
  </si>
  <si>
    <t>SMR2420628005442</t>
  </si>
  <si>
    <t>SMR2420628005661</t>
  </si>
  <si>
    <t>HLY2020627054561</t>
  </si>
  <si>
    <t>HLY2020627012248</t>
  </si>
  <si>
    <t>HLY2020627012284</t>
  </si>
  <si>
    <t xml:space="preserve">HLY2020627036116 </t>
  </si>
  <si>
    <t>SXE2120627502831</t>
  </si>
  <si>
    <t>HLY2020627036358</t>
  </si>
  <si>
    <t>SMR2320621013926</t>
  </si>
  <si>
    <t>HLY20206270108441</t>
  </si>
  <si>
    <t>SMR2420628005523</t>
  </si>
  <si>
    <t>HLY2020627010679</t>
  </si>
  <si>
    <t>HLY2020627001899</t>
  </si>
  <si>
    <t>SXE2020627006149</t>
  </si>
  <si>
    <t>SXE2020627056749</t>
  </si>
  <si>
    <t>SXE2020627070543</t>
  </si>
  <si>
    <t>SXE2120627502461</t>
  </si>
  <si>
    <t>HLY2020627001261</t>
  </si>
  <si>
    <t>SXE202062707908</t>
  </si>
  <si>
    <t>SXE2020627057603</t>
  </si>
  <si>
    <t>SXE2020627061695</t>
  </si>
  <si>
    <t>SMR2220621004029</t>
  </si>
  <si>
    <t>HLY2020627010777</t>
  </si>
  <si>
    <t>sxe2020627059431</t>
  </si>
  <si>
    <t>SXE2020627071935, SXE20206227060916</t>
  </si>
  <si>
    <t>KFM2120655005659</t>
  </si>
  <si>
    <t>SXE2020627057610</t>
  </si>
  <si>
    <t>SMR2420628005721</t>
  </si>
  <si>
    <t>HLY2020627036008</t>
  </si>
  <si>
    <t>HLY2020627012279</t>
  </si>
  <si>
    <t>SMR2420628005818</t>
  </si>
  <si>
    <t>HLY2020627001774</t>
  </si>
  <si>
    <t>HLY2020627011972</t>
  </si>
  <si>
    <t>المدرسه المشار الابتدايه</t>
  </si>
  <si>
    <t>Mashar Primary School</t>
  </si>
  <si>
    <t>KFM2020660232307</t>
  </si>
  <si>
    <t>Iلمتطوسطه و الثانويه الوادي والبحيرات (بنات)</t>
  </si>
  <si>
    <t>Al-Wadi and Al-Buhayrat Intermediate and Secondary School (Girls)</t>
  </si>
  <si>
    <t>SMR2420668002093</t>
  </si>
  <si>
    <t>مدرسة ام سلمة بنت أبي أمية للطفولة المبكرة</t>
  </si>
  <si>
    <t>umm salamah bint abi umayyah early childhood school</t>
  </si>
  <si>
    <t>girls</t>
  </si>
  <si>
    <t>20.467416696350497, 45.56761865355024</t>
  </si>
  <si>
    <t>KFM2020660206011</t>
  </si>
  <si>
    <t>ابتدائية ومتوسطة وثانوية اًل ضويان</t>
  </si>
  <si>
    <t>Al-Dhuwayan Primary, Intermediate and Secondary Schools</t>
  </si>
  <si>
    <t>KFM2120660271395</t>
  </si>
  <si>
    <t>مدرسة الخماسين الرابعة الابتدائية للطفولة المبكرة</t>
  </si>
  <si>
    <t>AL-KHAMASIN FOURTH ELEMENTARY SCHOOL</t>
  </si>
  <si>
    <t>20.46383302587874, 44.77661308172574</t>
  </si>
  <si>
    <t>KFM2020660176032</t>
  </si>
  <si>
    <t>مدرسة الخماسين الأولى الثانوية</t>
  </si>
  <si>
    <t>Al-Khamaseen First Secondary School</t>
  </si>
  <si>
    <t>20.464097584729256, 44.776051791963944</t>
  </si>
  <si>
    <t>KFM2020660176031</t>
  </si>
  <si>
    <t>ابتدائية الولامين الثانية للطفولة المبكرة</t>
  </si>
  <si>
    <t>Al-Walamin Second Primary School for Early Childhood</t>
  </si>
  <si>
    <t>20.45948438822131, 44.756335831031784</t>
  </si>
  <si>
    <t>KFM2120660249024</t>
  </si>
  <si>
    <t>ثانوية اللدام الاولى</t>
  </si>
  <si>
    <t>Al-Ladaam First Secondary School</t>
  </si>
  <si>
    <t>20.46735320770259, 44.79582074308425</t>
  </si>
  <si>
    <t>KFM2020660206079</t>
  </si>
  <si>
    <t>ابتدائية ومتوسطة نزوى</t>
  </si>
  <si>
    <t>Nizwa Primary and Intermediate School</t>
  </si>
  <si>
    <t>20.458018867215284, 44.85683806481024</t>
  </si>
  <si>
    <t>kfm2020660206084</t>
  </si>
  <si>
    <t>ابتدائية اللدام الرابعة و متوسطة اللدام الثالثة</t>
  </si>
  <si>
    <t>Al-Ladam Fourth Primary School and Al-Ladam Third Intermediate School</t>
  </si>
  <si>
    <t>20.474105035684065, 44.79798679933438</t>
  </si>
  <si>
    <t>KFM2020660176055</t>
  </si>
  <si>
    <t>Al-Salihia Primary School</t>
  </si>
  <si>
    <t>20.443425525662878, 44.848424801375884</t>
  </si>
  <si>
    <t>kfm2020660212697</t>
  </si>
  <si>
    <t>مدرسة ابتدائية تحفيظ المعتلا للطفولة المبكرة</t>
  </si>
  <si>
    <t>Al-Mu'tala Primary School for Early Childhood Memorization</t>
  </si>
  <si>
    <t>20.447932704463593, 44.8223451895018</t>
  </si>
  <si>
    <t>kfm2020660212722</t>
  </si>
  <si>
    <t>مدرسة متوسطة و ثانوية القويز</t>
  </si>
  <si>
    <t>Al-Quwaiz Intermediate and Secondary School</t>
  </si>
  <si>
    <t>20.454896807140553, 44.84806069134327</t>
  </si>
  <si>
    <t>kfm2020660174669</t>
  </si>
  <si>
    <t>مدرسة ابتدائية موسى بن النصير</t>
  </si>
  <si>
    <t>20.505029883407786, 44.73411135952363</t>
  </si>
  <si>
    <t>kfm2020660174789</t>
  </si>
  <si>
    <t>ثانوية بدر مقررات</t>
  </si>
  <si>
    <t>Badr Secondary School (Curriculum)</t>
  </si>
  <si>
    <t>KFM2020660206214</t>
  </si>
  <si>
    <t>مدرسه الشرافاء الابتدائيه</t>
  </si>
  <si>
    <t>Al-Shurafa Primary School</t>
  </si>
  <si>
    <t>20.43753445155977, 44.898104597618214</t>
  </si>
  <si>
    <t>KFM2020660205957</t>
  </si>
  <si>
    <t>مدرسه الشرافا الثانيه الابتدائيه للطفوله المبكره</t>
  </si>
  <si>
    <t>Al-Shurafa Second Primary School for Early Childhood</t>
  </si>
  <si>
    <t>20.435384219147906, 44.89168063068768</t>
  </si>
  <si>
    <t>KFM2020660174718</t>
  </si>
  <si>
    <t>مدرسه الشرافاء الاوله الثانويه</t>
  </si>
  <si>
    <t>Al-Shurafa First Secondary School</t>
  </si>
  <si>
    <t>20.435930847368837, 44.891764599999995</t>
  </si>
  <si>
    <t>kfm2020660174711</t>
  </si>
  <si>
    <t>مدرسة الفرعة الثانيه الابتدائية</t>
  </si>
  <si>
    <t>Al-Fara'a Second Primary School</t>
  </si>
  <si>
    <t>20.492959897162194, 44.74493507301576</t>
  </si>
  <si>
    <t>KFM2020660174682</t>
  </si>
  <si>
    <t>مدرسه الفرعه الرابعه الابتدائيه</t>
  </si>
  <si>
    <t>Al-Fara'a Elementary School No. 4</t>
  </si>
  <si>
    <t>20.49646794105015, 44.739060488359605</t>
  </si>
  <si>
    <t>KFM2020660206232</t>
  </si>
  <si>
    <t>مدرسه متوسطه وثانويه كمده</t>
  </si>
  <si>
    <t>Kamda Middle and High School</t>
  </si>
  <si>
    <t>20.38935975960722, 45.080318718835954</t>
  </si>
  <si>
    <t>KFM2120660247696</t>
  </si>
  <si>
    <t>مدرسه ابتدائيه المعتلا</t>
  </si>
  <si>
    <t>Al-Mu'tala Primary School</t>
  </si>
  <si>
    <t>20.448499002851577, 44.822663376719206</t>
  </si>
  <si>
    <t>KFM2020660212723</t>
  </si>
  <si>
    <t>ابتدائية الفرعه الاولي</t>
  </si>
  <si>
    <t>Al-Far'ah First Primary School</t>
  </si>
  <si>
    <t>20.481021653239075, 44.763788566930536</t>
  </si>
  <si>
    <t>kfm2020660177892</t>
  </si>
  <si>
    <t>متوسطة الفرعة الاولي</t>
  </si>
  <si>
    <t>Al-Fara'a Al-Oula Intermediate School</t>
  </si>
  <si>
    <t>20.481025557144868, 44.762797626984245</t>
  </si>
  <si>
    <t>KFM2020660177893</t>
  </si>
  <si>
    <t>مدرسة مقابل الابتدائية للطفولة المبكرة</t>
  </si>
  <si>
    <t>School muqabil the primary school for early childhood</t>
  </si>
  <si>
    <t>20.460242922540257, 44.81639091788483</t>
  </si>
  <si>
    <t>KFM2020660174604</t>
  </si>
  <si>
    <t>مدرسة متوسطة وثانوية الولامين</t>
  </si>
  <si>
    <t>Al-Walamin Intermediate and Secondary School</t>
  </si>
  <si>
    <t>/متوسطة/middle school</t>
  </si>
  <si>
    <t>20.4600769560206, 44.81635417378103</t>
  </si>
  <si>
    <t>kfm2020660205984</t>
  </si>
  <si>
    <t>Saqr Al-Jazira - Masarat</t>
  </si>
  <si>
    <t>Makkah Region</t>
  </si>
  <si>
    <t>Abdul Malik bin Marwan Intermediate School</t>
  </si>
  <si>
    <t>Quba High School</t>
  </si>
  <si>
    <t>Al-Qasim bin Mohammed High School</t>
  </si>
  <si>
    <t>Abdullah bin Umar Intermediate School</t>
  </si>
  <si>
    <t>13/11/2025</t>
  </si>
  <si>
    <t>Al-Qayrawan High School in Mecca</t>
  </si>
  <si>
    <t>Yazid bin Roman Al-Qari' Intermediate School for Quran Memorization</t>
  </si>
  <si>
    <t>13-11-2025</t>
  </si>
  <si>
    <t>Ibn Rushd High School - Masarat</t>
  </si>
  <si>
    <t>Ibn Qutaiba Primary School</t>
  </si>
  <si>
    <t>Abi bin Ka'ab Intermediate School</t>
  </si>
  <si>
    <t>Abi Saeed Al-Khudri Primary School</t>
  </si>
  <si>
    <t>Omar Al-Farouq High School - Masarat System</t>
  </si>
  <si>
    <t>16/11/2025</t>
  </si>
  <si>
    <t>Abdullah bin Umm Maktoum Intermediate School</t>
  </si>
  <si>
    <t>Umair bin Al-Hammam Intermediate School</t>
  </si>
  <si>
    <t>Fifty-Sixth High School in Mecca - Masarat</t>
  </si>
  <si>
    <t>17/11/2025</t>
  </si>
  <si>
    <t>Sixth High School for Quran Memorization in Mecca - Masarat</t>
  </si>
  <si>
    <t>Maryam bint Imran High School</t>
  </si>
  <si>
    <t>Al-Ja'arana High School</t>
  </si>
  <si>
    <t>Twenty-Second Intermediate School and Sixty-Fourth Primary School</t>
  </si>
  <si>
    <t>Riyadh Primary School for Early Childhood</t>
  </si>
  <si>
    <t>Khawla bint Al-Yaman High School</t>
  </si>
  <si>
    <t>19/11/2025</t>
  </si>
  <si>
    <t>Ibn Majah for Early Childhood</t>
  </si>
  <si>
    <t xml:space="preserve">The Sixth Intermediate in Mecca  </t>
  </si>
  <si>
    <t xml:space="preserve">The One Hundred Thirty-Ninth  </t>
  </si>
  <si>
    <t xml:space="preserve">Primary 104  </t>
  </si>
  <si>
    <t xml:space="preserve">Safiyya bint Abdul Muttalib Primary  </t>
  </si>
  <si>
    <t xml:space="preserve">The Eighty-Fifth Primary  </t>
  </si>
  <si>
    <t xml:space="preserve">Khalil bin Ahmed Early Childhood  </t>
  </si>
  <si>
    <t>20/11/2025</t>
  </si>
  <si>
    <t xml:space="preserve">The Thirty-Fourth Intermediate in Mecca  </t>
  </si>
  <si>
    <t xml:space="preserve">Jaafar bin Al-Zubair Primary - Early Childhood  </t>
  </si>
  <si>
    <t xml:space="preserve">Umm Al-Alaa Al-Ansariyah Primary  </t>
  </si>
  <si>
    <t xml:space="preserve">The Twentieth Primary in Mecca  </t>
  </si>
  <si>
    <t xml:space="preserve">Urwah bin Al-Zubair Primary - Early Childhood  </t>
  </si>
  <si>
    <t xml:space="preserve">Imam Ahmad bin Hanbal Primary - Early Childhood  </t>
  </si>
  <si>
    <t xml:space="preserve">The Twenty-Ninth Intermediate in Mecca  </t>
  </si>
  <si>
    <t>19//11/2025</t>
  </si>
  <si>
    <t>Juwayriya bint Al-Harith Primary in Mecca</t>
  </si>
  <si>
    <t>30/11/2025</t>
  </si>
  <si>
    <t>مدرسة الولامين الاولى الابتدائية</t>
  </si>
  <si>
    <t>Al-Walamin First Primary School</t>
  </si>
  <si>
    <t>20.48127560632821, 44.77526968465616</t>
  </si>
  <si>
    <t>KFM2020660206128</t>
  </si>
  <si>
    <t>مدرسة الزويراء الابتدائية</t>
  </si>
  <si>
    <t>Al-Zuwaira Primary School</t>
  </si>
  <si>
    <t>المرحلة الدراسية</t>
  </si>
  <si>
    <t>20.45981756877918, 44.83472231</t>
  </si>
  <si>
    <t>KFM2120660292715</t>
  </si>
  <si>
    <t>Revisit</t>
  </si>
  <si>
    <t>مدرسة حفصة بنت عمر بن الخطاب الابتدائية للطفولة المبكرة</t>
  </si>
  <si>
    <t>Hafsa Bint Omar Bin Al-Khattab Primary School for Early Childhood</t>
  </si>
  <si>
    <t>20.426420196449424, 44.709122515343836</t>
  </si>
  <si>
    <t>kfm2020660205979</t>
  </si>
  <si>
    <t>مدرسة الفرعة الثالثة الابتدائية</t>
  </si>
  <si>
    <t>Al-Fara'a Third Primary School</t>
  </si>
  <si>
    <t>20.486409256300963, 44.77379725343842</t>
  </si>
  <si>
    <t>kfm2020660206126</t>
  </si>
  <si>
    <t>مدرسة الريان المتوسطة والثانوية بنين</t>
  </si>
  <si>
    <t>Al‑Rayan Intermediate and Secondary School - Boys</t>
  </si>
  <si>
    <t>16.979833030684986, 42.69366300168897</t>
  </si>
  <si>
    <t>SXE2120627106886</t>
  </si>
  <si>
    <t>مدرسة الامير محمد بن ناصر بن عبدالعزيز</t>
  </si>
  <si>
    <t>Mohammed bin Nasser bin Abdulaziz School</t>
  </si>
  <si>
    <t>16.87718668127097, 42.63469912928091</t>
  </si>
  <si>
    <t>SXE2120627089711</t>
  </si>
  <si>
    <t>ثانوية الكربوس بنين</t>
  </si>
  <si>
    <t>Al‑Karboos Secondary School - Boys</t>
  </si>
  <si>
    <t>16.876699959785967, 42.63560014462911</t>
  </si>
  <si>
    <t>SXE2120627089753</t>
  </si>
  <si>
    <t>ابتدائية ومتوسطة وثانوية الاساملة بنين</t>
  </si>
  <si>
    <t>Alasamilah Primary Intermediate and Secondary School</t>
  </si>
  <si>
    <t>16.877056222650502, 42.749272687649004</t>
  </si>
  <si>
    <t>SXE2120627106987</t>
  </si>
  <si>
    <t>متوسطة وثانوية مزهرة بنين</t>
  </si>
  <si>
    <t>Mazharah Intermediate and Secondary School - Boys</t>
  </si>
  <si>
    <t>16.81801913788841, 42.73757735756474</t>
  </si>
  <si>
    <t>SXE2120627101298</t>
  </si>
  <si>
    <t>مدرسة السبخة الابتدائية</t>
  </si>
  <si>
    <t>Al‑Sabkha Primary School</t>
  </si>
  <si>
    <t>17.07816729945585, 42.52827534881189</t>
  </si>
  <si>
    <t>SXE2120627097492</t>
  </si>
  <si>
    <t>ابتدائية ومتوسطة جريبة</t>
  </si>
  <si>
    <t>Jareebah Primary and Intermediate Schoo</t>
  </si>
  <si>
    <t>17.11120423121248, 42.54845414673346</t>
  </si>
  <si>
    <t>SXE2120627097573</t>
  </si>
  <si>
    <t>مدرسة الجديين</t>
  </si>
  <si>
    <t>Al‑Jadiyeen School</t>
  </si>
  <si>
    <t>17.11339980272827, 42.57500157734841</t>
  </si>
  <si>
    <t>SXE2120627106741</t>
  </si>
  <si>
    <t>مجمع الباحر التعليمي</t>
  </si>
  <si>
    <t>Al‑Baher Educational Complex</t>
  </si>
  <si>
    <t>17.125357853951087, 42.603054626969524</t>
  </si>
  <si>
    <t>SXE2120627097669</t>
  </si>
  <si>
    <t>ابتدائية الظبية الاولي</t>
  </si>
  <si>
    <t>Al‑Dhabyah First Primary School</t>
  </si>
  <si>
    <t>17.1153352274889, 42.66680476887286</t>
  </si>
  <si>
    <t>SXE2120627097450</t>
  </si>
  <si>
    <t>العريش الابتدائية والمتوسطة</t>
  </si>
  <si>
    <t>Al‑Areesh Primary and Intermediate School</t>
  </si>
  <si>
    <t>17.140444377933726, 42.71710193081111</t>
  </si>
  <si>
    <t>SXE2120627097419</t>
  </si>
  <si>
    <t>ابتدائية ابن خلدون</t>
  </si>
  <si>
    <t>Ibn Khaldun Primary School</t>
  </si>
  <si>
    <t>17.152216638318624, 42.638015080148904</t>
  </si>
  <si>
    <t>SXE2120627106763</t>
  </si>
  <si>
    <t>ثانوية صبيا ا الثانية</t>
  </si>
  <si>
    <t>Sabya Second Secondary School</t>
  </si>
  <si>
    <t>17.151915384888458, 42.63915443832309</t>
  </si>
  <si>
    <t>SXE2120627106623</t>
  </si>
  <si>
    <t>مدرسة الجمالة الابتدائية والمتوسطة</t>
  </si>
  <si>
    <t>Al‑Jamalah Primary and Intermediate School</t>
  </si>
  <si>
    <t>17.181664393135556, 42.57668245261395</t>
  </si>
  <si>
    <t>SXE2120627097668</t>
  </si>
  <si>
    <t>مدرسة ابوالقعائد الابتدائية والمتوسطة</t>
  </si>
  <si>
    <t>Abu Al‑Qa’aid Primary and Intermediate School</t>
  </si>
  <si>
    <t>17.268271036148075, 42.60168829775256</t>
  </si>
  <si>
    <t>SXE2120627106762</t>
  </si>
  <si>
    <t>مدرسة نخلان الابتدائية والمتوسطة</t>
  </si>
  <si>
    <t>Nakhlan Primary and Intermediate School</t>
  </si>
  <si>
    <t>17.206500360273285, 42.65262910404406</t>
  </si>
  <si>
    <t>SXE2120627097431</t>
  </si>
  <si>
    <t>مدرسةالحسيني الابتدائية والمتوسطة</t>
  </si>
  <si>
    <t>Al‑Husaini Primary and Intermediate School</t>
  </si>
  <si>
    <t>17.15360150987553, 42.68468383737506</t>
  </si>
  <si>
    <t>HLY2020627045588</t>
  </si>
  <si>
    <t>مدرسة ثانوية الحسيني مسارات</t>
  </si>
  <si>
    <t>Al‑Husaini Tracks Secondary School</t>
  </si>
  <si>
    <t>17.153314685623805, 42.68826215158078</t>
  </si>
  <si>
    <t>ALH2020807077233</t>
  </si>
  <si>
    <t>المجمع التعليمي لمدارس جخيرة والجر الاعلي</t>
  </si>
  <si>
    <t>Jukhayrah and Al‑Jar Al‑A‘la Schools Educational Complex</t>
  </si>
  <si>
    <t>17.16587655618579, 42.71737121348731</t>
  </si>
  <si>
    <t>SXE2120627097514</t>
  </si>
  <si>
    <t>مدرسة المحلة الابتدائية</t>
  </si>
  <si>
    <t>Al‑Mahallah Primary School</t>
  </si>
  <si>
    <t>17.292081793589833, 42.59998317019321</t>
  </si>
  <si>
    <t>HLY2020627010413</t>
  </si>
  <si>
    <t>17.247806310148682, 42.611034184658806</t>
  </si>
  <si>
    <t>17.296092474636197, 42.75200704676873</t>
  </si>
  <si>
    <t>17.252877810121436, 42.75447981608179</t>
  </si>
  <si>
    <t>16.987548567934102, 42.849456780358025</t>
  </si>
  <si>
    <t>17.156799679777272, 42.6363276404922</t>
  </si>
  <si>
    <t>17.36964072784007, 42.52918987861999</t>
  </si>
  <si>
    <t>17.316238472415105, 42.523981604398344</t>
  </si>
  <si>
    <t>17.379123695865346, 42.53734628396789</t>
  </si>
  <si>
    <t>16.903783619918542, 42.59797102154037</t>
  </si>
  <si>
    <t>16.91598740730388, 42.67129805653441</t>
  </si>
  <si>
    <t>16.94355630459715, 42.69492362167121</t>
  </si>
  <si>
    <t>17.12392487115642, 42.48596779999999</t>
  </si>
  <si>
    <t>توبان الابتدائية بنين</t>
  </si>
  <si>
    <t>Thawban Elementary School for Boys</t>
  </si>
  <si>
    <t>HLY2020627051984</t>
  </si>
  <si>
    <t>ابتدائية السليل لتحفيظ القرآن الكريم</t>
  </si>
  <si>
    <t>Al-Salil Primary School forTahfez alquraan</t>
  </si>
  <si>
    <t>20.46545907170644, 45.5800548558202</t>
  </si>
  <si>
    <t>kfm2120660263530</t>
  </si>
  <si>
    <t>روضة السليل الثالثه</t>
  </si>
  <si>
    <t>Rawdat Al-Salil Third</t>
  </si>
  <si>
    <t>20.47540701835841, 45.59231984047636</t>
  </si>
  <si>
    <t>kfm2120660271538</t>
  </si>
  <si>
    <t>مدرسة حطين المتوسطه</t>
  </si>
  <si>
    <t>Hattin Intermediate School</t>
  </si>
  <si>
    <t>20.453505800000002, 45.58566438650788</t>
  </si>
  <si>
    <t>KFM2120660271433</t>
  </si>
  <si>
    <t>مدرسة حمزة بن عبد المطلب الابتدائية</t>
  </si>
  <si>
    <t>20.47933879975774, 45.58793518073971</t>
  </si>
  <si>
    <t>KFM2120660271490</t>
  </si>
  <si>
    <t>مدرسة سعد بن ابي وقاص الابتدائية</t>
  </si>
  <si>
    <t>Saad Bin Abi Waqqas Elementary School</t>
  </si>
  <si>
    <t>20.464172326670415, 45.59263133766172</t>
  </si>
  <si>
    <t>KFM2120660271520</t>
  </si>
  <si>
    <t>مدرسة السليل الثانويه</t>
  </si>
  <si>
    <t>Al-Salil Secondary School</t>
  </si>
  <si>
    <t>20.457447626325866, 45.58139991534338</t>
  </si>
  <si>
    <t>KFM2120660263529</t>
  </si>
  <si>
    <t>مدرسة خالد بن الوليد الابتدائية</t>
  </si>
  <si>
    <t>Khalid Bin Al-Walid Elementary School</t>
  </si>
  <si>
    <t>20.454381547942084, 45.57928835767169</t>
  </si>
  <si>
    <t>KFM2120660271397</t>
  </si>
  <si>
    <t>مدرسة ابن كثير الابتدائية لتحفيظ القران</t>
  </si>
  <si>
    <t>Ibn Kathir Primary School tahfiz alquran</t>
  </si>
  <si>
    <t>20.449911849717385, 45.58487931584191</t>
  </si>
  <si>
    <t>KFM2120660271427</t>
  </si>
  <si>
    <t>ثانوية ابن تيميه</t>
  </si>
  <si>
    <t>Ibn Taymiyyah High School</t>
  </si>
  <si>
    <t>Al-Salil</t>
  </si>
  <si>
    <t>20.462291722521044, 45.55960871534339</t>
  </si>
  <si>
    <t>KFM2120660271452</t>
  </si>
  <si>
    <t>مدرسه خيران الابتدائية</t>
  </si>
  <si>
    <t>Khairan Primary School</t>
  </si>
  <si>
    <t>20.405882755769593, 45.43111578835848</t>
  </si>
  <si>
    <t>closed Available</t>
  </si>
  <si>
    <t>مدرسه متوسطة خيران</t>
  </si>
  <si>
    <t>Khairan Intermediate School</t>
  </si>
  <si>
    <t>20.402344771767442, 45.42810802883584</t>
  </si>
  <si>
    <t>KFM2120660273202</t>
  </si>
  <si>
    <t>مدرسة تمره الابتدائية</t>
  </si>
  <si>
    <t>Tamra Elementary School</t>
  </si>
  <si>
    <t>20.398098397183624, 45.41464247301508</t>
  </si>
  <si>
    <t>مدرسة عمر بن الخطاب الابتدائيه</t>
  </si>
  <si>
    <t>Omar Bin Al-Khattab Elementary School</t>
  </si>
  <si>
    <t>20.471443615330294, 45.56961773068678</t>
  </si>
  <si>
    <t>KFM2120660271403</t>
  </si>
  <si>
    <t>مدرسة عبد العزيز بن باز الثانويه</t>
  </si>
  <si>
    <t>Abdul Aziz Bin Baz Secondary School</t>
  </si>
  <si>
    <t>20.40030348301157, 45.41863386137356</t>
  </si>
  <si>
    <t>kfm2120660263501</t>
  </si>
  <si>
    <t>مدرسة ابتدائيه تمرة لتحفيظ القران الكريم</t>
  </si>
  <si>
    <t>Tamra Elementary School for Quran Memorization</t>
  </si>
  <si>
    <t>20.397555397750654, 45.413909617194314</t>
  </si>
  <si>
    <t>kfm2120660292701</t>
  </si>
  <si>
    <t>مدرسة السليل المتوسطة</t>
  </si>
  <si>
    <t>Al-Salil Intermediate School</t>
  </si>
  <si>
    <t>20.464148913369407, 45.58612135582076</t>
  </si>
  <si>
    <t>kfm2120660270776</t>
  </si>
  <si>
    <t>مدرسة ابتدائية ال حجي</t>
  </si>
  <si>
    <t>Al Hajji Elementary School</t>
  </si>
  <si>
    <t>20.463112232850253, 45.56558062513399</t>
  </si>
  <si>
    <t>KFM2120660271389</t>
  </si>
  <si>
    <t>المدرسة الابتدائية الثانيه بال حنيش</t>
  </si>
  <si>
    <t>Second Elementary School in Al-Hanish</t>
  </si>
  <si>
    <t>20.451253709863348, 45.58195658465661</t>
  </si>
  <si>
    <t>SMR2220661018222</t>
  </si>
  <si>
    <t>مدرسة متوسطة وثانويه السليل</t>
  </si>
  <si>
    <t>Al-Salil Intermediate and Secondary School</t>
  </si>
  <si>
    <t>KFM2120660271511</t>
  </si>
  <si>
    <t>مدرسة ابتدائية و متوسطة خيران</t>
  </si>
  <si>
    <t>Khairan Elementary and Intermediate School</t>
  </si>
  <si>
    <t>20.414642524902074, 45.43937401534338</t>
  </si>
  <si>
    <t>kfm2120660263417</t>
  </si>
  <si>
    <t xml:space="preserve">
اميمة بنت الحارث للطفولة المبكرة
</t>
  </si>
  <si>
    <t>Ummaymah Bint Al- Harith for Early Childhood</t>
  </si>
  <si>
    <t>HLY2020627046723</t>
  </si>
  <si>
    <t>HLY2020627012247</t>
  </si>
  <si>
    <t>مدرسة جعفر بن ابي طالب المتوسطة    بنين</t>
  </si>
  <si>
    <t>Jaafar bin Abi Talib Middle School for Boys</t>
  </si>
  <si>
    <t>الملك فيصل الثانوية   بنين</t>
  </si>
  <si>
    <t>King Faisal Secondary School for Boys</t>
  </si>
  <si>
    <t>الثانوية الثالثة والثلاثون للبنات</t>
  </si>
  <si>
    <t>The Thirty-Third Girls' High School</t>
  </si>
  <si>
    <t>المدرسة المتوسطة الرابعة والستون بنات</t>
  </si>
  <si>
    <t>64th Intermediate School</t>
  </si>
  <si>
    <t>المدرسة المائة والثلاثة والثلاثون الابتدائية</t>
  </si>
  <si>
    <t>The 133rd Elementary School</t>
  </si>
  <si>
    <t>ابتدائية حمزة بن عبدالمطلب بنين</t>
  </si>
  <si>
    <t>Hamza bin Abdul Muttalib Primary School for Boys</t>
  </si>
  <si>
    <t>مدرسة ابن هشام الابتدائية</t>
  </si>
  <si>
    <t>Ibn Hisham Elementary School for Boys</t>
  </si>
  <si>
    <t>مدرسة أبو بكر الرازي الابتدائية</t>
  </si>
  <si>
    <t>HLY2020627036277</t>
  </si>
  <si>
    <t>HLY2020627036276</t>
  </si>
  <si>
    <t>SXE2020627069748</t>
  </si>
  <si>
    <t>HLY2020627010226</t>
  </si>
  <si>
    <t>SXE2020627059810</t>
  </si>
  <si>
    <t>HLY2020627012447</t>
  </si>
  <si>
    <t>SXE2020627005317
SXE2020627005320
SXE2020627005433
SXE2020627005423</t>
  </si>
  <si>
    <t>SXE2020627006152</t>
  </si>
  <si>
    <t>SXE2020627071972</t>
  </si>
  <si>
    <t>HLY2020627010910</t>
  </si>
  <si>
    <t>SXE2020627071264</t>
  </si>
  <si>
    <t>SXE2020627069716</t>
  </si>
  <si>
    <t>SXE2020627070539</t>
  </si>
  <si>
    <t>`المدرسة الثانوية للبنات رقم 35</t>
  </si>
  <si>
    <t>مدرسة تمره الثانوية - مسارات</t>
  </si>
  <si>
    <t>Tamrah Secondary School - Pathways</t>
  </si>
  <si>
    <t>20.392369416072754, 45.41021265582076</t>
  </si>
  <si>
    <t>KFM2120660263500</t>
  </si>
  <si>
    <t>مدرسة السليل الاولى للمقررات الثانوية</t>
  </si>
  <si>
    <t>Al-Salil First Secondary School</t>
  </si>
  <si>
    <t>20.459831708140598, 45.58945399999999</t>
  </si>
  <si>
    <t>KFM2120660263528</t>
  </si>
  <si>
    <t xml:space="preserve">روضة الشفاء الأولى 
</t>
  </si>
  <si>
    <t>First alshifa Kindergarten</t>
  </si>
  <si>
    <t>20.473251141929765, 45.584267519045255</t>
  </si>
  <si>
    <t>kfm2120660271500</t>
  </si>
  <si>
    <t>مدرسة ابتدائية تحفيظ القران الأولى بالسليل</t>
  </si>
  <si>
    <t>The first Quran memorization primary school in Al-Sulayyil</t>
  </si>
  <si>
    <t>20.469790233353983, 45.59163695582075</t>
  </si>
  <si>
    <t>KFM2120660271501</t>
  </si>
  <si>
    <t>ابتدائية الشيخ عبدالعزيز بن باز</t>
  </si>
  <si>
    <t>Sheikh Abdulaziz bin Baz Elementary School</t>
  </si>
  <si>
    <t>Al-Aflaj</t>
  </si>
  <si>
    <t>22.297312705795765, 46.72825872883586</t>
  </si>
  <si>
    <t>KFM2020660170992</t>
  </si>
  <si>
    <t>متوسطة الخالدية</t>
  </si>
  <si>
    <t>Al-Khalidiyah Intermediate School</t>
  </si>
  <si>
    <t>22.312397494404514, 46.72492052698491</t>
  </si>
  <si>
    <t>KFM2020660213365</t>
  </si>
  <si>
    <t>ثانوية الملك فهد - مسارات</t>
  </si>
  <si>
    <t>King Fahd High School - Pathways</t>
  </si>
  <si>
    <t>22.29954410278351, 46.719739844179244</t>
  </si>
  <si>
    <t>KFM2020660165143</t>
  </si>
  <si>
    <t>22.28938602717755, 46.71164863253772</t>
  </si>
  <si>
    <t>KFM2020660170205</t>
  </si>
  <si>
    <t>Uhud Intermediate School</t>
  </si>
  <si>
    <t>22.300293890468126, 46.711624901850946</t>
  </si>
  <si>
    <t>KFM2020660170945</t>
  </si>
  <si>
    <t>الثانوية الثانية بليلى - مسارات</t>
  </si>
  <si>
    <t>Second Secondary School in Layla - Pathways</t>
  </si>
  <si>
    <t>22.291957815978815, 46.71947229206034</t>
  </si>
  <si>
    <t>KFM2020660165141</t>
  </si>
  <si>
    <t>ابتدائية الأولى بليلى</t>
  </si>
  <si>
    <t>First Elementary School in Layla</t>
  </si>
  <si>
    <t>22.29146714890829, 46.71922154603016</t>
  </si>
  <si>
    <t>KFM2020660170240</t>
  </si>
  <si>
    <t>متوسطة الثالثة بليلى</t>
  </si>
  <si>
    <t>Third Intermediate School in Layla</t>
  </si>
  <si>
    <t>22.29531385495619, 46.72008995952262</t>
  </si>
  <si>
    <t>kfm2020660165142</t>
  </si>
  <si>
    <t>ابتدائية ابن كثير لتحفيظ القرآن بليلى</t>
  </si>
  <si>
    <t>Ibn Kathir Primary School for Quran Memorization in Layla</t>
  </si>
  <si>
    <t>22.311074207684467, 46.70327841719431</t>
  </si>
  <si>
    <t>kfm2020660176158</t>
  </si>
  <si>
    <t>22.312642282949348, 46.69692596137355</t>
  </si>
  <si>
    <t>KFM2020660165116</t>
  </si>
  <si>
    <t>ثانوية الملك عبدالله بن عبدالعزيز - مسارات</t>
  </si>
  <si>
    <t>King Abdullah Bin Abdulaziz High School - Pathways</t>
  </si>
  <si>
    <t>22.303215559942952, 46.70405968835847</t>
  </si>
  <si>
    <t>KFM2020660169742</t>
  </si>
  <si>
    <t>ثانوية ليلى - مسارات</t>
  </si>
  <si>
    <t>Layla Secondary School - Pathways</t>
  </si>
  <si>
    <t>22.28250464367827, 46.72623480185093</t>
  </si>
  <si>
    <t>KFM2020660166849</t>
  </si>
  <si>
    <t>الابتدائية الخامسه ليلي</t>
  </si>
  <si>
    <t>Fifth Elementary School in Layli</t>
  </si>
  <si>
    <t>22.295738547497127, 46.72727714603017</t>
  </si>
  <si>
    <t>KFM2020660165193</t>
  </si>
  <si>
    <t>ابتدائية الرابعة بليلى</t>
  </si>
  <si>
    <t>Fourth Elementary School in Layla</t>
  </si>
  <si>
    <t>22.287351845923514, 46.72459679814906</t>
  </si>
  <si>
    <t>kfm2020660170198</t>
  </si>
  <si>
    <t>الثانوية الأولى بليلى - مسارات</t>
  </si>
  <si>
    <t>First Secondary School in Layla - Pathways</t>
  </si>
  <si>
    <t>22.310308162545006, 46.70818936931322</t>
  </si>
  <si>
    <t>smr2320661030891</t>
  </si>
  <si>
    <t>متوسطة الرابعة بليلى</t>
  </si>
  <si>
    <t>Fourth Intermediate School in Layla</t>
  </si>
  <si>
    <t>22.308460813240853, 46.707806973015074</t>
  </si>
  <si>
    <t>kfm2020660176153</t>
  </si>
  <si>
    <t>متوسطة الفيصلية</t>
  </si>
  <si>
    <t>Al-Faisaliah Intermediate School</t>
  </si>
  <si>
    <t>22.27344779123905, 46.713923519581186</t>
  </si>
  <si>
    <t>kfm2020660213343</t>
  </si>
  <si>
    <t>ابتدائية أحمد بن حنبل</t>
  </si>
  <si>
    <t>Ahmad Ibn Hanbal Elementary School</t>
  </si>
  <si>
    <t>22.297677126975056, 46.73043102320697</t>
  </si>
  <si>
    <t>kfm2020660165189</t>
  </si>
  <si>
    <t>ابتدائية خالد بن الوليد</t>
  </si>
  <si>
    <t>22.29544970699159, 46.71813726322449</t>
  </si>
  <si>
    <t>kfm2020660165158</t>
  </si>
  <si>
    <t>ابتدائية تحفيظ القرآن الأولى بليلى</t>
  </si>
  <si>
    <t>First Quran Memorization Primary School in Layla</t>
  </si>
  <si>
    <t>22.299058050434034, 46.7162573423283</t>
  </si>
  <si>
    <t>kfm2020660170104</t>
  </si>
  <si>
    <t>ابتدائية الثامنة بليلى</t>
  </si>
  <si>
    <t>Eighth Elementary School in Layla</t>
  </si>
  <si>
    <t>22.299463142621708, 46.71668578048688</t>
  </si>
  <si>
    <t>kfm2020660170101</t>
  </si>
  <si>
    <t>متوسطة الثانية بليلى</t>
  </si>
  <si>
    <t>Second Intermediate School in Layla</t>
  </si>
  <si>
    <t>22.293103294443164, 46.7099872406559</t>
  </si>
  <si>
    <t>kfm2020660170107</t>
  </si>
  <si>
    <t>متوسطة الأولى بليلى</t>
  </si>
  <si>
    <t>First Intermediate School in Layla</t>
  </si>
  <si>
    <t>22.301892894409736, 46.706814028835836</t>
  </si>
  <si>
    <t>kfm2020660176127</t>
  </si>
  <si>
    <t>ابتدائية تحفيظ القرآن الكريم الثانية بليلى</t>
  </si>
  <si>
    <t>Second Primary School for Quran Memorization in Layla</t>
  </si>
  <si>
    <t>22.3035815402526, 46.7083249423283</t>
  </si>
  <si>
    <t>kfm2020660213347</t>
  </si>
  <si>
    <t>ابتدائية السابعة بليلى</t>
  </si>
  <si>
    <t>Seventh Elementary School in Layla</t>
  </si>
  <si>
    <t>22.29295093862082, 46.70520431534339</t>
  </si>
  <si>
    <t>kfm2020660170208</t>
  </si>
  <si>
    <t>Othman Bin Affan Elementary School</t>
  </si>
  <si>
    <t>22.048522597793454, 46.59186367116414</t>
  </si>
  <si>
    <t>kfm2020660211803</t>
  </si>
  <si>
    <t>متوسطة حطين</t>
  </si>
  <si>
    <t>22.02311681975984, 46.574367940477366</t>
  </si>
  <si>
    <t>kfm2020660213361</t>
  </si>
  <si>
    <t>ابتدائية أبوبكر الصديق</t>
  </si>
  <si>
    <t>Abu Bakr Al-Siddiq Elementary School</t>
  </si>
  <si>
    <t>22.027704939291862, 46.56095769999999</t>
  </si>
  <si>
    <t>kfm2020660213428</t>
  </si>
  <si>
    <t>ثانوية البديع - مسارات</t>
  </si>
  <si>
    <t>Al-Badi' Secondary School - Pathways</t>
  </si>
  <si>
    <t>22.026098383092158, 46.55820218465662</t>
  </si>
  <si>
    <t>kfm2020660211844</t>
  </si>
  <si>
    <t>ابتدائية الثانية بالبديع الشمالي</t>
  </si>
  <si>
    <t>Second Elementary School in Al-Badi' Al-Shamali</t>
  </si>
  <si>
    <t>22.019765255626364, 46.5808651423283</t>
  </si>
  <si>
    <t>kfm2020660211808</t>
  </si>
  <si>
    <t>ابتدائية الأولى بالبديع</t>
  </si>
  <si>
    <t>Al-Badi'a First Primary School</t>
  </si>
  <si>
    <t>22.025811848956014, 46.5548517423283</t>
  </si>
  <si>
    <t>KFM2020660213424</t>
  </si>
  <si>
    <t>ثانوية البديع - مقررات</t>
  </si>
  <si>
    <t>Al-Badi' Secondary School - Curriculum</t>
  </si>
  <si>
    <t>22.025581866485645, 46.55420865582076</t>
  </si>
  <si>
    <t>kfm2020660211842</t>
  </si>
  <si>
    <t>ابتدائية السادسة بليلى</t>
  </si>
  <si>
    <t>Sixth Elementary School in Layla</t>
  </si>
  <si>
    <t>22.29361852592434, 46.710325913492454</t>
  </si>
  <si>
    <t>kfm2020660169743</t>
  </si>
  <si>
    <t>ابتدائية الثالثة بالبديع الشمالي</t>
  </si>
  <si>
    <t>Third Elementary School in Al-Badi' Al-Shamali</t>
  </si>
  <si>
    <t>22.047223330190675, 46.58788418465661</t>
  </si>
  <si>
    <t>kfm2020660211802</t>
  </si>
  <si>
    <t>مدرسة عبد الله بن مسعود الابتدائية</t>
  </si>
  <si>
    <t>Abdullah Bin Masoud Elementary School</t>
  </si>
  <si>
    <t>22.220618880889916, 46.773252299999996</t>
  </si>
  <si>
    <t>kfm2020660177814</t>
  </si>
  <si>
    <t>مدرسة الابتدائية زيد بن ثابت</t>
  </si>
  <si>
    <t>Zaid Bin Thabit Elementary School</t>
  </si>
  <si>
    <t>Hawtat Bani Tamim</t>
  </si>
  <si>
    <t>23.49686192763482, 46.8819748576717</t>
  </si>
  <si>
    <t>KFM2020660169777</t>
  </si>
  <si>
    <t>متوسطة تحفيظ القرآن بحوطة بني تميم</t>
  </si>
  <si>
    <t>Intermediate Quran Memorization School in Hawtat Bani Tamim</t>
  </si>
  <si>
    <t>23.501478588832736, 46.88955212698491</t>
  </si>
  <si>
    <t>KFM2020660108315</t>
  </si>
  <si>
    <t>ثانوية ابن باز (بنين) - مسارات</t>
  </si>
  <si>
    <t>Ibn Baz High School (Boys) - Pathways</t>
  </si>
  <si>
    <t>23.490386375085805, 46.87713591349245</t>
  </si>
  <si>
    <t>SMR2420661040688</t>
  </si>
  <si>
    <t>Ibn Al-Qayyim Elementary School</t>
  </si>
  <si>
    <t>23.489235256154018, 46.8747672576717</t>
  </si>
  <si>
    <t>KFM2020660213798</t>
  </si>
  <si>
    <t>متوسطة ابن تيمية</t>
  </si>
  <si>
    <t>Ibn Taymiyyah Intermediate School</t>
  </si>
  <si>
    <t>23.49254499101818, 46.87125215767169</t>
  </si>
  <si>
    <t>KFM2020660200906</t>
  </si>
  <si>
    <t>المدرسة الابتدائية الاولي والمدرسة المتوسطة الاولي</t>
  </si>
  <si>
    <t>The first primary school and the first intermediate school</t>
  </si>
  <si>
    <t>22.234112535444222, 46.78284372883584</t>
  </si>
  <si>
    <t>KFM2020660177812</t>
  </si>
  <si>
    <t>Eleventh Elementary School</t>
  </si>
  <si>
    <t>23.502746669777242, 46.88758876931322</t>
  </si>
  <si>
    <t>KFM2020660169773</t>
  </si>
  <si>
    <t>المتوسطة الرابعة بالحوطة</t>
  </si>
  <si>
    <t>Fourth Intermediate School in Al-Hawta</t>
  </si>
  <si>
    <t>23.48257638803067, 46.87362504232829</t>
  </si>
  <si>
    <t>KFM2120660270888</t>
  </si>
  <si>
    <t>مدرسة الحوطه الاولي</t>
  </si>
  <si>
    <t>Al-Houta First School</t>
  </si>
  <si>
    <t>23.49248577242187, 46.85442525767169</t>
  </si>
  <si>
    <t>KFM2020660205789</t>
  </si>
  <si>
    <t>ابتدائية تحفيظ القران الكريم بحوطة بني تميم</t>
  </si>
  <si>
    <t>Primary School for Memorizing the Holy Quran in Hawtat Bani Tamim</t>
  </si>
  <si>
    <t>23.492999529864296, 46.85471781534338</t>
  </si>
  <si>
    <t>MMF2320601005250</t>
  </si>
  <si>
    <t>ثانوية حوطة بني تميم (بنين) - مسارات</t>
  </si>
  <si>
    <t>Hawtat Bani Tamim Secondary School (Boys) - Pathways</t>
  </si>
  <si>
    <t>23.49551340791454, 46.851703184656614</t>
  </si>
  <si>
    <t>KFM2020660213894</t>
  </si>
  <si>
    <t>ابتدائية زياد</t>
  </si>
  <si>
    <t>Ziad Elementary School</t>
  </si>
  <si>
    <t>23.506201277941376, 46.83715858465661</t>
  </si>
  <si>
    <t>KFM2020660195488</t>
  </si>
  <si>
    <t>مدرسة الثالثه عشر بنات</t>
  </si>
  <si>
    <t>Thirteenth Girls' School</t>
  </si>
  <si>
    <t>23.48423958201387, 46.874526957671705</t>
  </si>
  <si>
    <t>KFM2020660205836</t>
  </si>
  <si>
    <t>مدرسة الابتدائية الاولي</t>
  </si>
  <si>
    <t>First Primary School</t>
  </si>
  <si>
    <t>23.496998455124185, 46.852604379778164</t>
  </si>
  <si>
    <t>KFM2020660213784</t>
  </si>
  <si>
    <t>ابتدائية التحفيظ الاولي بحوطة بني تميم</t>
  </si>
  <si>
    <t>Primary Quran Memorization School in Hawtat Bani Tamim</t>
  </si>
  <si>
    <t>23.496706602550898, 46.85289137301508</t>
  </si>
  <si>
    <t>KFM2020660213783</t>
  </si>
  <si>
    <t>المدرسة الابتدائية الثامنة</t>
  </si>
  <si>
    <t>Eighth Elementary School</t>
  </si>
  <si>
    <t>23.493058844517947, 46.88363807584533</t>
  </si>
  <si>
    <t>KFM2020660169760</t>
  </si>
  <si>
    <t>Saturday 9 May 2026</t>
  </si>
  <si>
    <t>الطفولة المبكرة بالروضة الثامنة</t>
  </si>
  <si>
    <t>Early childhood at the eighth kindergarten</t>
  </si>
  <si>
    <t>23.493223806088963, 46.88414602698492</t>
  </si>
  <si>
    <t>KFM2020660169758</t>
  </si>
  <si>
    <t>23.49369719194597, 46.86886297116415</t>
  </si>
  <si>
    <t>KFM2020660200904</t>
  </si>
  <si>
    <t>ثانوية الحلوة (بنين) - مسارات</t>
  </si>
  <si>
    <t>Al-Hilwa Secondary School (Boys) - Pathways</t>
  </si>
  <si>
    <t>23.44694683015593, 46.80374263068677</t>
  </si>
  <si>
    <t>KFM2020660234497</t>
  </si>
  <si>
    <t>متوسطة الحلوة</t>
  </si>
  <si>
    <t>Al-Hilwa Intermediate School</t>
  </si>
  <si>
    <t>23.43742740421875, 46.77538718650753</t>
  </si>
  <si>
    <t>KFM2020660193216</t>
  </si>
  <si>
    <t>متوسط الحلوه بنات</t>
  </si>
  <si>
    <t>Al-Hilwa Intermediate School for Girls</t>
  </si>
  <si>
    <t>23.4443826923025, 46.8016645846566</t>
  </si>
  <si>
    <t>SMR2420661040564</t>
  </si>
  <si>
    <t>الابتدائية التاسعة بالحلوة</t>
  </si>
  <si>
    <t>The Ninth Elementary School in Al-Hilwa</t>
  </si>
  <si>
    <t>23.450726410719607, 46.80580928650754</t>
  </si>
  <si>
    <t>KFM2020660230810</t>
  </si>
  <si>
    <t>الابتدائية الرابعة بالحلوة</t>
  </si>
  <si>
    <t>Fourth Elementary School in Al-Hilwa</t>
  </si>
  <si>
    <t>23.432955715879668, 46.78852816746229</t>
  </si>
  <si>
    <t>KFM2020660172219</t>
  </si>
  <si>
    <t>ثانوية الحلوة (بنات) - مسارات</t>
  </si>
  <si>
    <t>Al-Hilwa Secondary School (Girls) - Tracks</t>
  </si>
  <si>
    <t>23.452065510362136, 46.80266370834573</t>
  </si>
  <si>
    <t>KFM2020660232738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</si>
</sst>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[$-409]d\-mmm\-yyyy;@"/>
    <numFmt numFmtId="166" formatCode="[$-F800]dddd\,\ mmmm\ dd\,\ yyyy"/>
  </numFmts>
  <fonts count="29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4"/>
      <name val="Calibri"/>
      <family val="1"/>
    </font>
    <font>
      <sz val="12"/>
      <name val="Calibri"/>
      <family val="1"/>
    </font>
    <font>
      <sz val="10"/>
      <color rgb="FF434343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A4C2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A4C2F4"/>
      </patternFill>
    </fill>
    <fill>
      <patternFill patternType="solid">
        <fgColor theme="9"/>
        <bgColor rgb="FF9FC5E8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>
      <alignment vertical="center"/>
    </xf>
  </cellStyleXfs>
  <cellXfs count="303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5" fontId="6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5" fontId="6" fillId="0" borderId="5" xfId="0" applyNumberFormat="1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6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2" fillId="10" borderId="1" xfId="1" applyNumberFormat="1" applyFont="1" applyFill="1" applyBorder="1" applyAlignment="1">
      <alignment horizontal="center" vertical="center"/>
    </xf>
    <xf numFmtId="3" fontId="2" fillId="0" borderId="5" xfId="1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15" fontId="13" fillId="13" borderId="0" xfId="0" applyNumberFormat="1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5" fontId="13" fillId="13" borderId="0" xfId="0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5" fontId="13" fillId="13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15" fontId="2" fillId="13" borderId="0" xfId="0" applyNumberFormat="1" applyFont="1" applyFill="1" applyAlignment="1">
      <alignment horizontal="left" vertical="center"/>
    </xf>
    <xf numFmtId="0" fontId="9" fillId="10" borderId="1" xfId="0" applyFont="1" applyFill="1" applyBorder="1" applyAlignment="1">
      <alignment vertical="center"/>
    </xf>
    <xf numFmtId="0" fontId="9" fillId="10" borderId="22" xfId="0" applyFont="1" applyFill="1" applyBorder="1" applyAlignment="1">
      <alignment vertical="center"/>
    </xf>
    <xf numFmtId="0" fontId="9" fillId="10" borderId="0" xfId="0" applyFont="1" applyFill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4" fontId="2" fillId="10" borderId="19" xfId="1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9" fillId="10" borderId="14" xfId="0" applyFont="1" applyFill="1" applyBorder="1" applyAlignment="1">
      <alignment vertical="center"/>
    </xf>
    <xf numFmtId="0" fontId="5" fillId="1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13" borderId="18" xfId="0" applyFont="1" applyFill="1" applyBorder="1" applyAlignment="1">
      <alignment vertical="center"/>
    </xf>
    <xf numFmtId="15" fontId="2" fillId="0" borderId="0" xfId="0" applyNumberFormat="1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10" borderId="16" xfId="0" applyFont="1" applyFill="1" applyBorder="1" applyAlignment="1">
      <alignment vertical="center"/>
    </xf>
    <xf numFmtId="0" fontId="2" fillId="13" borderId="25" xfId="0" applyFont="1" applyFill="1" applyBorder="1" applyAlignment="1">
      <alignment vertical="center"/>
    </xf>
    <xf numFmtId="0" fontId="5" fillId="13" borderId="14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right" vertical="center"/>
    </xf>
    <xf numFmtId="0" fontId="9" fillId="10" borderId="26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1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5" fillId="15" borderId="7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5" fontId="13" fillId="13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2" fillId="1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/>
    <xf numFmtId="0" fontId="16" fillId="0" borderId="0" xfId="0" applyFont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15" fontId="17" fillId="13" borderId="0" xfId="0" applyNumberFormat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15" fontId="7" fillId="0" borderId="5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3" fontId="17" fillId="0" borderId="5" xfId="1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15" fontId="7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right" vertical="center"/>
    </xf>
    <xf numFmtId="0" fontId="6" fillId="18" borderId="2" xfId="0" applyFont="1" applyFill="1" applyBorder="1" applyAlignment="1">
      <alignment horizontal="left" vertical="center"/>
    </xf>
    <xf numFmtId="0" fontId="6" fillId="18" borderId="8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right" vertical="center"/>
    </xf>
    <xf numFmtId="0" fontId="3" fillId="18" borderId="7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/>
    </xf>
    <xf numFmtId="0" fontId="5" fillId="0" borderId="14" xfId="3" applyFont="1" applyBorder="1" applyAlignment="1">
      <alignment horizontal="right" wrapText="1"/>
    </xf>
    <xf numFmtId="0" fontId="5" fillId="0" borderId="1" xfId="3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18" borderId="8" xfId="0" applyFont="1" applyFill="1" applyBorder="1" applyAlignment="1">
      <alignment horizontal="right" vertical="center"/>
    </xf>
    <xf numFmtId="0" fontId="4" fillId="18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center" vertical="center"/>
    </xf>
    <xf numFmtId="0" fontId="4" fillId="18" borderId="23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horizontal="right" wrapText="1"/>
    </xf>
    <xf numFmtId="0" fontId="5" fillId="18" borderId="1" xfId="0" applyFont="1" applyFill="1" applyBorder="1" applyAlignment="1">
      <alignment horizontal="left" vertical="center" wrapText="1"/>
    </xf>
    <xf numFmtId="0" fontId="6" fillId="18" borderId="23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6" fillId="18" borderId="2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6" fillId="21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0" fillId="0" borderId="1" xfId="0" applyBorder="1"/>
    <xf numFmtId="0" fontId="0" fillId="0" borderId="19" xfId="0" applyBorder="1"/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15" borderId="2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18" borderId="2" xfId="0" applyNumberFormat="1" applyFont="1" applyFill="1" applyBorder="1" applyAlignment="1">
      <alignment horizontal="center" vertical="center"/>
    </xf>
    <xf numFmtId="22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17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right" vertical="center" wrapText="1"/>
    </xf>
    <xf numFmtId="0" fontId="28" fillId="0" borderId="1" xfId="0" applyFont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5" fontId="6" fillId="0" borderId="2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5" fontId="6" fillId="0" borderId="6" xfId="0" applyNumberFormat="1" applyFont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180"/>
    </xf>
    <xf numFmtId="0" fontId="12" fillId="0" borderId="12" xfId="0" applyFont="1" applyBorder="1" applyAlignment="1">
      <alignment horizontal="center" vertical="center" textRotation="180"/>
    </xf>
    <xf numFmtId="0" fontId="12" fillId="0" borderId="13" xfId="0" applyFont="1" applyBorder="1" applyAlignment="1">
      <alignment horizontal="center" vertical="center" textRotation="180"/>
    </xf>
    <xf numFmtId="0" fontId="9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textRotation="180"/>
    </xf>
    <xf numFmtId="0" fontId="12" fillId="0" borderId="17" xfId="0" applyFont="1" applyBorder="1" applyAlignment="1">
      <alignment horizontal="center" vertical="center" textRotation="180"/>
    </xf>
    <xf numFmtId="0" fontId="9" fillId="10" borderId="19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textRotation="180"/>
    </xf>
    <xf numFmtId="0" fontId="17" fillId="0" borderId="17" xfId="0" applyFont="1" applyBorder="1" applyAlignment="1">
      <alignment horizontal="center" vertical="center" textRotation="180"/>
    </xf>
    <xf numFmtId="0" fontId="17" fillId="0" borderId="18" xfId="0" applyFont="1" applyBorder="1" applyAlignment="1">
      <alignment horizontal="center" vertical="center" textRotation="180"/>
    </xf>
    <xf numFmtId="0" fontId="20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textRotation="180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horizontal="center" vertical="center" wrapText="1"/>
    </xf>
    <xf numFmtId="0" fontId="11" fillId="12" borderId="2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textRotation="90"/>
    </xf>
    <xf numFmtId="0" fontId="17" fillId="0" borderId="27" xfId="0" applyFont="1" applyBorder="1" applyAlignment="1">
      <alignment horizontal="center" vertical="center" textRotation="90"/>
    </xf>
    <xf numFmtId="0" fontId="17" fillId="0" borderId="20" xfId="0" applyFont="1" applyBorder="1" applyAlignment="1">
      <alignment horizontal="center" vertical="center" textRotation="90"/>
    </xf>
    <xf numFmtId="0" fontId="2" fillId="10" borderId="14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5" fillId="1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29" xfId="0" applyNumberFormat="1" applyFont="1" applyBorder="1" applyAlignment="1">
      <alignment horizontal="center" vertical="center"/>
    </xf>
  </cellXfs>
  <cellStyles count="4">
    <cellStyle name="Hyperlink" xfId="2" xr:uid="{A684BD49-5444-48D5-9EEF-7D2EB0BF8B82}"/>
    <cellStyle name="Normal" xfId="0" builtinId="0"/>
    <cellStyle name="Normal 3" xfId="3" xr:uid="{4966540F-3B49-4C4A-8A9D-6FD4B76D15BB}"/>
    <cellStyle name="Percent" xfId="1" builtinId="5"/>
  </cellStyles>
  <dxfs count="1960"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8520-2E8F-42F3-B691-BEA22CDC6570}">
  <sheetPr>
    <outlinePr summaryBelow="0" summaryRight="0"/>
  </sheetPr>
  <dimension ref="A1:AO206"/>
  <sheetViews>
    <sheetView showGridLines="0" tabSelected="1" zoomScale="95" zoomScaleNormal="95" workbookViewId="0">
      <selection activeCell="D144" sqref="D144"/>
    </sheetView>
  </sheetViews>
  <sheetFormatPr defaultColWidth="12.54296875" defaultRowHeight="15.75" customHeight="1" x14ac:dyDescent="0.25"/>
  <cols>
    <col min="1" max="1" width="12.54296875" style="1"/>
    <col min="2" max="2" width="13.1796875" style="1" bestFit="1" customWidth="1"/>
    <col min="3" max="3" width="15.6328125" style="54" bestFit="1" customWidth="1"/>
    <col min="4" max="4" width="36.7265625" style="58" bestFit="1" customWidth="1"/>
    <col min="5" max="5" width="51.26953125" style="1" bestFit="1" customWidth="1"/>
    <col min="6" max="6" width="15.36328125" style="1" bestFit="1" customWidth="1"/>
    <col min="7" max="8" width="9.36328125" style="1" bestFit="1" customWidth="1"/>
    <col min="9" max="9" width="7.81640625" style="1" customWidth="1"/>
    <col min="10" max="10" width="17.26953125" style="1" hidden="1" customWidth="1"/>
    <col min="11" max="11" width="17.81640625" style="1" hidden="1" customWidth="1"/>
    <col min="12" max="12" width="25.1796875" style="1" customWidth="1"/>
    <col min="13" max="13" width="18.54296875" style="1" customWidth="1"/>
    <col min="14" max="18" width="12.54296875" style="1"/>
    <col min="19" max="19" width="14.81640625" style="1" customWidth="1"/>
    <col min="20" max="20" width="14.7265625" style="1" customWidth="1"/>
    <col min="21" max="21" width="12.54296875" style="1"/>
    <col min="22" max="22" width="15.81640625" style="1" customWidth="1"/>
    <col min="23" max="23" width="20.1796875" style="1" customWidth="1"/>
    <col min="24" max="37" width="12.54296875" style="1"/>
    <col min="38" max="38" width="37.81640625" style="1" customWidth="1"/>
    <col min="39" max="39" width="18.453125" style="1" customWidth="1"/>
    <col min="40" max="40" width="12.54296875" style="1" customWidth="1"/>
    <col min="41" max="16384" width="12.54296875" style="1"/>
  </cols>
  <sheetData>
    <row r="1" spans="1:41" ht="37" customHeight="1" x14ac:dyDescent="0.25">
      <c r="C1" s="51" t="s">
        <v>0</v>
      </c>
      <c r="D1" s="55">
        <v>46076</v>
      </c>
    </row>
    <row r="2" spans="1:41" ht="13" customHeight="1" x14ac:dyDescent="0.25">
      <c r="A2" s="236" t="s">
        <v>1</v>
      </c>
      <c r="B2" s="109"/>
      <c r="C2" s="237" t="s">
        <v>2</v>
      </c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9"/>
      <c r="P2" s="240" t="s">
        <v>3</v>
      </c>
      <c r="Q2" s="241" t="s">
        <v>4</v>
      </c>
      <c r="R2" s="242"/>
      <c r="S2" s="242"/>
      <c r="T2" s="242"/>
      <c r="U2" s="243" t="s">
        <v>5</v>
      </c>
      <c r="V2" s="243"/>
      <c r="W2" s="243"/>
      <c r="X2" s="243"/>
      <c r="Y2" s="243"/>
      <c r="Z2" s="243"/>
      <c r="AA2" s="243"/>
      <c r="AB2" s="243"/>
      <c r="AC2" s="243"/>
      <c r="AD2" s="244" t="s">
        <v>6</v>
      </c>
      <c r="AE2" s="251" t="s">
        <v>7</v>
      </c>
      <c r="AF2" s="252" t="s">
        <v>8</v>
      </c>
      <c r="AG2" s="235" t="s">
        <v>9</v>
      </c>
      <c r="AH2" s="235" t="s">
        <v>10</v>
      </c>
      <c r="AI2" s="235" t="s">
        <v>11</v>
      </c>
      <c r="AJ2" s="235" t="s">
        <v>12</v>
      </c>
    </row>
    <row r="3" spans="1:41" s="2" customFormat="1" ht="39" x14ac:dyDescent="0.25">
      <c r="A3" s="236"/>
      <c r="B3" s="23" t="s">
        <v>9669</v>
      </c>
      <c r="C3" s="23" t="s">
        <v>13</v>
      </c>
      <c r="D3" s="52" t="s">
        <v>14</v>
      </c>
      <c r="E3" s="56" t="s">
        <v>15</v>
      </c>
      <c r="F3" s="23" t="s">
        <v>10256</v>
      </c>
      <c r="G3" s="23" t="s">
        <v>17</v>
      </c>
      <c r="H3" s="23" t="s">
        <v>18</v>
      </c>
      <c r="I3" s="23" t="s">
        <v>19</v>
      </c>
      <c r="J3" s="245" t="s">
        <v>20</v>
      </c>
      <c r="K3" s="246"/>
      <c r="L3" s="135" t="s">
        <v>10360</v>
      </c>
      <c r="M3" s="23" t="s">
        <v>21</v>
      </c>
      <c r="N3" s="23" t="s">
        <v>22</v>
      </c>
      <c r="O3" s="23" t="s">
        <v>23</v>
      </c>
      <c r="P3" s="240"/>
      <c r="Q3" s="42" t="s">
        <v>24</v>
      </c>
      <c r="R3" s="42" t="s">
        <v>25</v>
      </c>
      <c r="S3" s="42" t="s">
        <v>26</v>
      </c>
      <c r="T3" s="42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  <c r="AD3" s="244"/>
      <c r="AE3" s="251"/>
      <c r="AF3" s="252"/>
      <c r="AG3" s="235"/>
      <c r="AH3" s="235"/>
      <c r="AI3" s="235"/>
      <c r="AJ3" s="235"/>
      <c r="AM3" s="5" t="s">
        <v>16</v>
      </c>
      <c r="AN3" s="5" t="s">
        <v>17</v>
      </c>
      <c r="AO3" s="5" t="s">
        <v>37</v>
      </c>
    </row>
    <row r="4" spans="1:41" ht="15.75" customHeight="1" x14ac:dyDescent="0.35">
      <c r="A4" s="247" t="s">
        <v>252</v>
      </c>
      <c r="B4" s="14">
        <v>1</v>
      </c>
      <c r="C4" s="14" t="s">
        <v>253</v>
      </c>
      <c r="D4" s="108" t="s">
        <v>4868</v>
      </c>
      <c r="E4" s="57" t="s">
        <v>8897</v>
      </c>
      <c r="F4" s="7" t="s">
        <v>51</v>
      </c>
      <c r="G4" s="13" t="s">
        <v>48</v>
      </c>
      <c r="H4" s="14" t="s">
        <v>5286</v>
      </c>
      <c r="I4" s="14" t="s">
        <v>5286</v>
      </c>
      <c r="J4" s="112">
        <v>26.372222600000001</v>
      </c>
      <c r="K4" s="113">
        <v>50.038782099999999</v>
      </c>
      <c r="L4" s="137" t="str">
        <f>_xlfn.CONCAT(J4,",",K4)</f>
        <v>26.3722226,50.0387821</v>
      </c>
      <c r="M4" s="13" t="s">
        <v>5068</v>
      </c>
      <c r="N4" s="13">
        <v>10006265229</v>
      </c>
      <c r="O4" s="16"/>
      <c r="P4" s="31"/>
      <c r="Q4" s="29" t="s">
        <v>11</v>
      </c>
      <c r="R4" s="29" t="s">
        <v>11</v>
      </c>
      <c r="S4" s="29" t="s">
        <v>11</v>
      </c>
      <c r="T4" s="29" t="s">
        <v>11</v>
      </c>
      <c r="U4" s="29" t="s">
        <v>11</v>
      </c>
      <c r="V4" s="29" t="s">
        <v>11</v>
      </c>
      <c r="W4" s="29" t="s">
        <v>11</v>
      </c>
      <c r="X4" s="29" t="s">
        <v>11</v>
      </c>
      <c r="Y4" s="29" t="s">
        <v>11</v>
      </c>
      <c r="Z4" s="29" t="s">
        <v>11</v>
      </c>
      <c r="AA4" s="29" t="s">
        <v>11</v>
      </c>
      <c r="AB4" s="29" t="s">
        <v>11</v>
      </c>
      <c r="AC4" s="29" t="s">
        <v>11</v>
      </c>
      <c r="AD4" s="29" t="s">
        <v>11</v>
      </c>
      <c r="AE4" s="29" t="s">
        <v>11</v>
      </c>
      <c r="AF4" s="110" t="s">
        <v>11</v>
      </c>
      <c r="AG4" s="24">
        <f t="shared" ref="AG4:AG67" si="0">COUNTIF(Q4:AE4,$AG$2)</f>
        <v>0</v>
      </c>
      <c r="AH4" s="24">
        <f t="shared" ref="AH4:AH67" si="1">COUNTIF(Q4:AE4,$AH$2)</f>
        <v>0</v>
      </c>
      <c r="AI4" s="24">
        <f t="shared" ref="AI4:AI67" si="2">COUNTIF(Q4:AE4,$AI$2)</f>
        <v>15</v>
      </c>
      <c r="AJ4" s="41" t="str" cm="1">
        <f t="array" ref="AJ4">_xlfn.IFS(
$AG4=15,"Not Started",
$AI4&lt;15,"In Progress",
$AI4=15,"Completed",
SUM(AG4:AI4)&gt;15,"Error"
)</f>
        <v>Completed</v>
      </c>
      <c r="AM4" s="3" t="s">
        <v>43</v>
      </c>
      <c r="AN4" s="3" t="s">
        <v>44</v>
      </c>
      <c r="AO4" s="3" t="s">
        <v>9</v>
      </c>
    </row>
    <row r="5" spans="1:41" ht="14.5" x14ac:dyDescent="0.35">
      <c r="A5" s="248"/>
      <c r="B5" s="14">
        <v>2</v>
      </c>
      <c r="C5" s="7" t="s">
        <v>254</v>
      </c>
      <c r="D5" s="53" t="s">
        <v>4869</v>
      </c>
      <c r="E5" s="57" t="s">
        <v>8898</v>
      </c>
      <c r="F5" s="7" t="s">
        <v>43</v>
      </c>
      <c r="G5" s="8" t="s">
        <v>48</v>
      </c>
      <c r="H5" s="14" t="s">
        <v>5286</v>
      </c>
      <c r="I5" s="14" t="s">
        <v>5286</v>
      </c>
      <c r="J5" s="112">
        <v>26.373203660000001</v>
      </c>
      <c r="K5" s="113">
        <v>50.0393325</v>
      </c>
      <c r="L5" s="137" t="str">
        <f t="shared" ref="L5:L68" si="3">_xlfn.CONCAT(J5,",",K5)</f>
        <v>26.37320366,50.0393325</v>
      </c>
      <c r="M5" s="6" t="s">
        <v>5069</v>
      </c>
      <c r="N5" s="6">
        <v>10006262245</v>
      </c>
      <c r="O5" s="9"/>
      <c r="P5" s="32"/>
      <c r="Q5" s="29" t="s">
        <v>11</v>
      </c>
      <c r="R5" s="29" t="s">
        <v>11</v>
      </c>
      <c r="S5" s="29" t="s">
        <v>11</v>
      </c>
      <c r="T5" s="29" t="s">
        <v>11</v>
      </c>
      <c r="U5" s="29" t="s">
        <v>11</v>
      </c>
      <c r="V5" s="29" t="s">
        <v>11</v>
      </c>
      <c r="W5" s="29" t="s">
        <v>11</v>
      </c>
      <c r="X5" s="29" t="s">
        <v>11</v>
      </c>
      <c r="Y5" s="29" t="s">
        <v>11</v>
      </c>
      <c r="Z5" s="29" t="s">
        <v>11</v>
      </c>
      <c r="AA5" s="29" t="s">
        <v>11</v>
      </c>
      <c r="AB5" s="29" t="s">
        <v>11</v>
      </c>
      <c r="AC5" s="29" t="s">
        <v>11</v>
      </c>
      <c r="AD5" s="29" t="s">
        <v>11</v>
      </c>
      <c r="AE5" s="29" t="s">
        <v>11</v>
      </c>
      <c r="AF5" s="110" t="s">
        <v>11</v>
      </c>
      <c r="AG5" s="24">
        <f t="shared" si="0"/>
        <v>0</v>
      </c>
      <c r="AH5" s="24">
        <f t="shared" si="1"/>
        <v>0</v>
      </c>
      <c r="AI5" s="24">
        <f t="shared" si="2"/>
        <v>15</v>
      </c>
      <c r="AJ5" s="41" t="str" cm="1">
        <f t="array" ref="AJ5">_xlfn.IFS(
$AG5=15,"Not Started",
$AI5&lt;15,"In Progress",
$AI5=15,"Completed",
SUM(AG5:AI5)&gt;15,"Error"
)</f>
        <v>Completed</v>
      </c>
      <c r="AM5" s="3" t="s">
        <v>47</v>
      </c>
      <c r="AN5" s="3" t="s">
        <v>48</v>
      </c>
      <c r="AO5" s="3" t="s">
        <v>10</v>
      </c>
    </row>
    <row r="6" spans="1:41" ht="14.5" x14ac:dyDescent="0.35">
      <c r="A6" s="248"/>
      <c r="B6" s="14">
        <v>3</v>
      </c>
      <c r="C6" s="14" t="s">
        <v>255</v>
      </c>
      <c r="D6" s="53" t="s">
        <v>4870</v>
      </c>
      <c r="E6" s="57" t="s">
        <v>8899</v>
      </c>
      <c r="F6" s="7" t="s">
        <v>47</v>
      </c>
      <c r="G6" s="8" t="s">
        <v>48</v>
      </c>
      <c r="H6" s="14" t="s">
        <v>5286</v>
      </c>
      <c r="I6" s="14" t="s">
        <v>5286</v>
      </c>
      <c r="J6" s="112">
        <v>26.3959349</v>
      </c>
      <c r="K6" s="113">
        <v>50.068232440000003</v>
      </c>
      <c r="L6" s="137" t="str">
        <f t="shared" si="3"/>
        <v>26.3959349,50.06823244</v>
      </c>
      <c r="M6" s="6" t="s">
        <v>5070</v>
      </c>
      <c r="N6" s="6">
        <v>10006265210</v>
      </c>
      <c r="O6" s="9"/>
      <c r="P6" s="32"/>
      <c r="Q6" s="29" t="s">
        <v>11</v>
      </c>
      <c r="R6" s="29" t="s">
        <v>11</v>
      </c>
      <c r="S6" s="29" t="s">
        <v>11</v>
      </c>
      <c r="T6" s="29" t="s">
        <v>11</v>
      </c>
      <c r="U6" s="29" t="s">
        <v>11</v>
      </c>
      <c r="V6" s="29" t="s">
        <v>11</v>
      </c>
      <c r="W6" s="29" t="s">
        <v>11</v>
      </c>
      <c r="X6" s="29" t="s">
        <v>11</v>
      </c>
      <c r="Y6" s="29" t="s">
        <v>11</v>
      </c>
      <c r="Z6" s="29" t="s">
        <v>11</v>
      </c>
      <c r="AA6" s="29" t="s">
        <v>11</v>
      </c>
      <c r="AB6" s="29" t="s">
        <v>11</v>
      </c>
      <c r="AC6" s="29" t="s">
        <v>11</v>
      </c>
      <c r="AD6" s="29" t="s">
        <v>11</v>
      </c>
      <c r="AE6" s="29" t="s">
        <v>11</v>
      </c>
      <c r="AF6" s="110" t="s">
        <v>11</v>
      </c>
      <c r="AG6" s="24">
        <f t="shared" si="0"/>
        <v>0</v>
      </c>
      <c r="AH6" s="24">
        <f t="shared" si="1"/>
        <v>0</v>
      </c>
      <c r="AI6" s="24">
        <f t="shared" si="2"/>
        <v>15</v>
      </c>
      <c r="AJ6" s="41" t="str" cm="1">
        <f t="array" ref="AJ6">_xlfn.IFS(
$AG6=15,"Not Started",
$AI6&lt;15,"In Progress",
$AI6=15,"Completed",
SUM(AG6:AI6)&gt;15,"Error"
)</f>
        <v>Completed</v>
      </c>
      <c r="AM6" s="3" t="s">
        <v>51</v>
      </c>
      <c r="AN6" s="3" t="s">
        <v>52</v>
      </c>
      <c r="AO6" s="3" t="s">
        <v>11</v>
      </c>
    </row>
    <row r="7" spans="1:41" ht="14.5" x14ac:dyDescent="0.35">
      <c r="A7" s="248"/>
      <c r="B7" s="14">
        <v>4</v>
      </c>
      <c r="C7" s="7" t="s">
        <v>256</v>
      </c>
      <c r="D7" s="53" t="s">
        <v>4871</v>
      </c>
      <c r="E7" s="57" t="s">
        <v>8900</v>
      </c>
      <c r="F7" s="7" t="s">
        <v>51</v>
      </c>
      <c r="G7" s="8" t="s">
        <v>48</v>
      </c>
      <c r="H7" s="14" t="s">
        <v>5286</v>
      </c>
      <c r="I7" s="14" t="s">
        <v>5286</v>
      </c>
      <c r="J7" s="112">
        <v>26.363037169999998</v>
      </c>
      <c r="K7" s="113">
        <v>50.065697790000002</v>
      </c>
      <c r="L7" s="137" t="str">
        <f t="shared" si="3"/>
        <v>26.36303717,50.06569779</v>
      </c>
      <c r="M7" s="6" t="s">
        <v>5071</v>
      </c>
      <c r="N7" s="6">
        <v>10006250880</v>
      </c>
      <c r="O7" s="9"/>
      <c r="P7" s="32"/>
      <c r="Q7" s="29" t="s">
        <v>11</v>
      </c>
      <c r="R7" s="29" t="s">
        <v>11</v>
      </c>
      <c r="S7" s="29" t="s">
        <v>11</v>
      </c>
      <c r="T7" s="29" t="s">
        <v>11</v>
      </c>
      <c r="U7" s="29" t="s">
        <v>11</v>
      </c>
      <c r="V7" s="29" t="s">
        <v>11</v>
      </c>
      <c r="W7" s="29" t="s">
        <v>11</v>
      </c>
      <c r="X7" s="29" t="s">
        <v>11</v>
      </c>
      <c r="Y7" s="29" t="s">
        <v>11</v>
      </c>
      <c r="Z7" s="29" t="s">
        <v>11</v>
      </c>
      <c r="AA7" s="29" t="s">
        <v>11</v>
      </c>
      <c r="AB7" s="29" t="s">
        <v>11</v>
      </c>
      <c r="AC7" s="29" t="s">
        <v>11</v>
      </c>
      <c r="AD7" s="29" t="s">
        <v>11</v>
      </c>
      <c r="AE7" s="29" t="s">
        <v>11</v>
      </c>
      <c r="AF7" s="110" t="s">
        <v>11</v>
      </c>
      <c r="AG7" s="24">
        <f t="shared" si="0"/>
        <v>0</v>
      </c>
      <c r="AH7" s="24">
        <f t="shared" si="1"/>
        <v>0</v>
      </c>
      <c r="AI7" s="24">
        <f t="shared" si="2"/>
        <v>15</v>
      </c>
      <c r="AJ7" s="41" t="str" cm="1">
        <f t="array" ref="AJ7">_xlfn.IFS(
$AG7=15,"Not Started",
$AI7&lt;15,"In Progress",
$AI7=15,"Completed",
SUM(AG7:AI7)&gt;15,"Error"
)</f>
        <v>Completed</v>
      </c>
      <c r="AM7" s="3" t="s">
        <v>9671</v>
      </c>
      <c r="AN7" s="3"/>
      <c r="AO7" s="3" t="s">
        <v>52</v>
      </c>
    </row>
    <row r="8" spans="1:41" ht="26" x14ac:dyDescent="0.35">
      <c r="A8" s="248"/>
      <c r="B8" s="14">
        <v>5</v>
      </c>
      <c r="C8" s="14" t="s">
        <v>257</v>
      </c>
      <c r="D8" s="53" t="s">
        <v>4872</v>
      </c>
      <c r="E8" s="80" t="s">
        <v>10338</v>
      </c>
      <c r="F8" s="7" t="s">
        <v>47</v>
      </c>
      <c r="G8" s="7" t="s">
        <v>48</v>
      </c>
      <c r="H8" s="14" t="s">
        <v>5286</v>
      </c>
      <c r="I8" s="14" t="s">
        <v>5286</v>
      </c>
      <c r="J8" s="112">
        <v>26.37401624</v>
      </c>
      <c r="K8" s="113">
        <v>50.078076580000001</v>
      </c>
      <c r="L8" s="137" t="str">
        <f t="shared" si="3"/>
        <v>26.37401624,50.07807658</v>
      </c>
      <c r="M8" s="7" t="s">
        <v>5072</v>
      </c>
      <c r="N8" s="7">
        <v>10006266852</v>
      </c>
      <c r="O8" s="9"/>
      <c r="P8" s="32"/>
      <c r="Q8" s="29" t="s">
        <v>11</v>
      </c>
      <c r="R8" s="29" t="s">
        <v>11</v>
      </c>
      <c r="S8" s="29" t="s">
        <v>11</v>
      </c>
      <c r="T8" s="29" t="s">
        <v>11</v>
      </c>
      <c r="U8" s="29" t="s">
        <v>11</v>
      </c>
      <c r="V8" s="29" t="s">
        <v>11</v>
      </c>
      <c r="W8" s="29" t="s">
        <v>11</v>
      </c>
      <c r="X8" s="29" t="s">
        <v>11</v>
      </c>
      <c r="Y8" s="29" t="s">
        <v>11</v>
      </c>
      <c r="Z8" s="29" t="s">
        <v>11</v>
      </c>
      <c r="AA8" s="29" t="s">
        <v>11</v>
      </c>
      <c r="AB8" s="29" t="s">
        <v>11</v>
      </c>
      <c r="AC8" s="29" t="s">
        <v>11</v>
      </c>
      <c r="AD8" s="29" t="s">
        <v>11</v>
      </c>
      <c r="AE8" s="29" t="s">
        <v>11</v>
      </c>
      <c r="AF8" s="110" t="s">
        <v>11</v>
      </c>
      <c r="AG8" s="24">
        <f t="shared" si="0"/>
        <v>0</v>
      </c>
      <c r="AH8" s="24">
        <f t="shared" si="1"/>
        <v>0</v>
      </c>
      <c r="AI8" s="24">
        <f t="shared" si="2"/>
        <v>15</v>
      </c>
      <c r="AJ8" s="41" t="str" cm="1">
        <f t="array" ref="AJ8">_xlfn.IFS(
$AG8=15,"Not Started",
$AI8&lt;15,"In Progress",
$AI8=15,"Completed",
SUM(AG8:AI8)&gt;15,"Error"
)</f>
        <v>Completed</v>
      </c>
      <c r="AM8" s="3" t="s">
        <v>9670</v>
      </c>
      <c r="AN8" s="3"/>
      <c r="AO8" s="3"/>
    </row>
    <row r="9" spans="1:41" ht="14.5" x14ac:dyDescent="0.35">
      <c r="A9" s="248"/>
      <c r="B9" s="14">
        <v>6</v>
      </c>
      <c r="C9" s="7" t="s">
        <v>258</v>
      </c>
      <c r="D9" s="53" t="s">
        <v>4873</v>
      </c>
      <c r="E9" s="57" t="s">
        <v>8901</v>
      </c>
      <c r="F9" s="7" t="s">
        <v>51</v>
      </c>
      <c r="G9" s="7" t="s">
        <v>48</v>
      </c>
      <c r="H9" s="14" t="s">
        <v>5286</v>
      </c>
      <c r="I9" s="14" t="s">
        <v>5286</v>
      </c>
      <c r="J9" s="112">
        <v>26.3962827</v>
      </c>
      <c r="K9" s="113">
        <v>50.068402489999997</v>
      </c>
      <c r="L9" s="137" t="str">
        <f t="shared" si="3"/>
        <v>26.3962827,50.06840249</v>
      </c>
      <c r="M9" s="7" t="s">
        <v>5073</v>
      </c>
      <c r="N9" s="7">
        <v>10006272617</v>
      </c>
      <c r="O9" s="9"/>
      <c r="P9" s="32"/>
      <c r="Q9" s="29" t="s">
        <v>11</v>
      </c>
      <c r="R9" s="29" t="s">
        <v>11</v>
      </c>
      <c r="S9" s="29" t="s">
        <v>11</v>
      </c>
      <c r="T9" s="29" t="s">
        <v>11</v>
      </c>
      <c r="U9" s="29" t="s">
        <v>11</v>
      </c>
      <c r="V9" s="29" t="s">
        <v>11</v>
      </c>
      <c r="W9" s="29" t="s">
        <v>11</v>
      </c>
      <c r="X9" s="29" t="s">
        <v>11</v>
      </c>
      <c r="Y9" s="29" t="s">
        <v>11</v>
      </c>
      <c r="Z9" s="29" t="s">
        <v>11</v>
      </c>
      <c r="AA9" s="29" t="s">
        <v>11</v>
      </c>
      <c r="AB9" s="29" t="s">
        <v>11</v>
      </c>
      <c r="AC9" s="29" t="s">
        <v>11</v>
      </c>
      <c r="AD9" s="29" t="s">
        <v>11</v>
      </c>
      <c r="AE9" s="29" t="s">
        <v>11</v>
      </c>
      <c r="AF9" s="110" t="s">
        <v>11</v>
      </c>
      <c r="AG9" s="24">
        <f t="shared" si="0"/>
        <v>0</v>
      </c>
      <c r="AH9" s="24">
        <f t="shared" si="1"/>
        <v>0</v>
      </c>
      <c r="AI9" s="24">
        <f t="shared" si="2"/>
        <v>15</v>
      </c>
      <c r="AJ9" s="41" t="str" cm="1">
        <f t="array" ref="AJ9">_xlfn.IFS(
$AG9=15,"Not Started",
$AI9&lt;15,"In Progress",
$AI9=15,"Completed",
SUM(AG9:AI9)&gt;15,"Error"
)</f>
        <v>Completed</v>
      </c>
    </row>
    <row r="10" spans="1:41" ht="14.5" x14ac:dyDescent="0.35">
      <c r="A10" s="248"/>
      <c r="B10" s="14">
        <v>7</v>
      </c>
      <c r="C10" s="14" t="s">
        <v>259</v>
      </c>
      <c r="D10" s="53" t="s">
        <v>4874</v>
      </c>
      <c r="E10" s="57" t="s">
        <v>8902</v>
      </c>
      <c r="F10" s="7" t="s">
        <v>47</v>
      </c>
      <c r="G10" s="8" t="s">
        <v>48</v>
      </c>
      <c r="H10" s="14" t="s">
        <v>5286</v>
      </c>
      <c r="I10" s="14" t="s">
        <v>5286</v>
      </c>
      <c r="J10" s="112">
        <v>26.374275440000002</v>
      </c>
      <c r="K10" s="113">
        <v>50.077475730000003</v>
      </c>
      <c r="L10" s="137" t="str">
        <f t="shared" si="3"/>
        <v>26.37427544,50.07747573</v>
      </c>
      <c r="M10" s="7" t="s">
        <v>5074</v>
      </c>
      <c r="N10" s="7">
        <v>10006237064</v>
      </c>
      <c r="O10" s="9"/>
      <c r="P10" s="32"/>
      <c r="Q10" s="29" t="s">
        <v>11</v>
      </c>
      <c r="R10" s="29" t="s">
        <v>11</v>
      </c>
      <c r="S10" s="29" t="s">
        <v>11</v>
      </c>
      <c r="T10" s="29" t="s">
        <v>11</v>
      </c>
      <c r="U10" s="29" t="s">
        <v>11</v>
      </c>
      <c r="V10" s="29" t="s">
        <v>11</v>
      </c>
      <c r="W10" s="29" t="s">
        <v>11</v>
      </c>
      <c r="X10" s="29" t="s">
        <v>11</v>
      </c>
      <c r="Y10" s="29" t="s">
        <v>11</v>
      </c>
      <c r="Z10" s="29" t="s">
        <v>11</v>
      </c>
      <c r="AA10" s="29" t="s">
        <v>11</v>
      </c>
      <c r="AB10" s="29" t="s">
        <v>11</v>
      </c>
      <c r="AC10" s="29" t="s">
        <v>11</v>
      </c>
      <c r="AD10" s="29" t="s">
        <v>11</v>
      </c>
      <c r="AE10" s="29" t="s">
        <v>11</v>
      </c>
      <c r="AF10" s="110" t="s">
        <v>11</v>
      </c>
      <c r="AG10" s="24">
        <f t="shared" si="0"/>
        <v>0</v>
      </c>
      <c r="AH10" s="24">
        <f t="shared" si="1"/>
        <v>0</v>
      </c>
      <c r="AI10" s="24">
        <f t="shared" si="2"/>
        <v>15</v>
      </c>
      <c r="AJ10" s="41" t="str" cm="1">
        <f t="array" ref="AJ10">_xlfn.IFS(
$AG10=15,"Not Started",
$AI10&lt;15,"In Progress",
$AI10=15,"Completed",
SUM(AG10:AI10)&gt;15,"Error"
)</f>
        <v>Completed</v>
      </c>
    </row>
    <row r="11" spans="1:41" ht="14.5" x14ac:dyDescent="0.35">
      <c r="A11" s="248"/>
      <c r="B11" s="14">
        <v>8</v>
      </c>
      <c r="C11" s="7" t="s">
        <v>260</v>
      </c>
      <c r="D11" s="53" t="s">
        <v>4875</v>
      </c>
      <c r="E11" s="57" t="s">
        <v>8903</v>
      </c>
      <c r="F11" s="7" t="s">
        <v>43</v>
      </c>
      <c r="G11" s="7" t="s">
        <v>48</v>
      </c>
      <c r="H11" s="14" t="s">
        <v>5286</v>
      </c>
      <c r="I11" s="14" t="s">
        <v>5286</v>
      </c>
      <c r="J11" s="112">
        <v>26.39639772</v>
      </c>
      <c r="K11" s="113">
        <v>50.068323700000001</v>
      </c>
      <c r="L11" s="137" t="str">
        <f t="shared" si="3"/>
        <v>26.39639772,50.0683237</v>
      </c>
      <c r="M11" s="7" t="s">
        <v>5075</v>
      </c>
      <c r="N11" s="7">
        <v>10006190791</v>
      </c>
      <c r="O11" s="9"/>
      <c r="P11" s="32"/>
      <c r="Q11" s="29" t="s">
        <v>11</v>
      </c>
      <c r="R11" s="29" t="s">
        <v>11</v>
      </c>
      <c r="S11" s="29" t="s">
        <v>11</v>
      </c>
      <c r="T11" s="29" t="s">
        <v>11</v>
      </c>
      <c r="U11" s="29" t="s">
        <v>11</v>
      </c>
      <c r="V11" s="29" t="s">
        <v>11</v>
      </c>
      <c r="W11" s="29" t="s">
        <v>11</v>
      </c>
      <c r="X11" s="29" t="s">
        <v>11</v>
      </c>
      <c r="Y11" s="29" t="s">
        <v>11</v>
      </c>
      <c r="Z11" s="29" t="s">
        <v>11</v>
      </c>
      <c r="AA11" s="29" t="s">
        <v>11</v>
      </c>
      <c r="AB11" s="29" t="s">
        <v>11</v>
      </c>
      <c r="AC11" s="29" t="s">
        <v>11</v>
      </c>
      <c r="AD11" s="29" t="s">
        <v>11</v>
      </c>
      <c r="AE11" s="29" t="s">
        <v>11</v>
      </c>
      <c r="AF11" s="110" t="s">
        <v>11</v>
      </c>
      <c r="AG11" s="24">
        <f t="shared" si="0"/>
        <v>0</v>
      </c>
      <c r="AH11" s="24">
        <f t="shared" si="1"/>
        <v>0</v>
      </c>
      <c r="AI11" s="24">
        <f t="shared" si="2"/>
        <v>15</v>
      </c>
      <c r="AJ11" s="41" t="str" cm="1">
        <f t="array" ref="AJ11">_xlfn.IFS(
$AG11=15,"Not Started",
$AI11&lt;15,"In Progress",
$AI11=15,"Completed",
SUM(AG11:AI11)&gt;15,"Error"
)</f>
        <v>Completed</v>
      </c>
    </row>
    <row r="12" spans="1:41" ht="14.5" x14ac:dyDescent="0.35">
      <c r="A12" s="248"/>
      <c r="B12" s="14">
        <v>9</v>
      </c>
      <c r="C12" s="14" t="s">
        <v>261</v>
      </c>
      <c r="D12" s="53" t="s">
        <v>4876</v>
      </c>
      <c r="E12" s="57" t="s">
        <v>8904</v>
      </c>
      <c r="F12" s="7" t="s">
        <v>43</v>
      </c>
      <c r="G12" s="7" t="s">
        <v>44</v>
      </c>
      <c r="H12" s="14" t="s">
        <v>5286</v>
      </c>
      <c r="I12" s="14" t="s">
        <v>5286</v>
      </c>
      <c r="J12" s="112">
        <v>26.378739880000001</v>
      </c>
      <c r="K12" s="113">
        <v>50.033914189999997</v>
      </c>
      <c r="L12" s="137" t="str">
        <f t="shared" si="3"/>
        <v>26.37873988,50.03391419</v>
      </c>
      <c r="M12" s="7" t="s">
        <v>5076</v>
      </c>
      <c r="N12" s="7">
        <v>10006240847</v>
      </c>
      <c r="O12" s="9"/>
      <c r="P12" s="32"/>
      <c r="Q12" s="29" t="s">
        <v>11</v>
      </c>
      <c r="R12" s="29" t="s">
        <v>11</v>
      </c>
      <c r="S12" s="29" t="s">
        <v>11</v>
      </c>
      <c r="T12" s="29" t="s">
        <v>11</v>
      </c>
      <c r="U12" s="29" t="s">
        <v>11</v>
      </c>
      <c r="V12" s="29" t="s">
        <v>11</v>
      </c>
      <c r="W12" s="29" t="s">
        <v>11</v>
      </c>
      <c r="X12" s="29" t="s">
        <v>11</v>
      </c>
      <c r="Y12" s="29" t="s">
        <v>11</v>
      </c>
      <c r="Z12" s="29" t="s">
        <v>11</v>
      </c>
      <c r="AA12" s="29" t="s">
        <v>11</v>
      </c>
      <c r="AB12" s="29" t="s">
        <v>11</v>
      </c>
      <c r="AC12" s="29" t="s">
        <v>11</v>
      </c>
      <c r="AD12" s="29" t="s">
        <v>11</v>
      </c>
      <c r="AE12" s="29" t="s">
        <v>11</v>
      </c>
      <c r="AF12" s="110" t="s">
        <v>11</v>
      </c>
      <c r="AG12" s="24">
        <f t="shared" si="0"/>
        <v>0</v>
      </c>
      <c r="AH12" s="24">
        <f t="shared" si="1"/>
        <v>0</v>
      </c>
      <c r="AI12" s="24">
        <f t="shared" si="2"/>
        <v>15</v>
      </c>
      <c r="AJ12" s="41" t="str" cm="1">
        <f t="array" ref="AJ12">_xlfn.IFS(
$AG12=15,"Not Started",
$AI12&lt;15,"In Progress",
$AI12=15,"Completed",
SUM(AG12:AI12)&gt;15,"Error"
)</f>
        <v>Completed</v>
      </c>
    </row>
    <row r="13" spans="1:41" ht="14.5" x14ac:dyDescent="0.35">
      <c r="A13" s="248"/>
      <c r="B13" s="14">
        <v>10</v>
      </c>
      <c r="C13" s="7" t="s">
        <v>262</v>
      </c>
      <c r="D13" s="53" t="s">
        <v>4877</v>
      </c>
      <c r="E13" s="57" t="s">
        <v>8905</v>
      </c>
      <c r="F13" s="7" t="s">
        <v>51</v>
      </c>
      <c r="G13" s="8" t="s">
        <v>48</v>
      </c>
      <c r="H13" s="14" t="s">
        <v>5286</v>
      </c>
      <c r="I13" s="14" t="s">
        <v>5286</v>
      </c>
      <c r="J13" s="112">
        <v>26.367719990000001</v>
      </c>
      <c r="K13" s="113">
        <v>50.08985448</v>
      </c>
      <c r="L13" s="137" t="str">
        <f t="shared" si="3"/>
        <v>26.36771999,50.08985448</v>
      </c>
      <c r="M13" s="7" t="s">
        <v>5077</v>
      </c>
      <c r="N13" s="7">
        <v>10006248934</v>
      </c>
      <c r="O13" s="9"/>
      <c r="P13" s="32"/>
      <c r="Q13" s="29" t="s">
        <v>11</v>
      </c>
      <c r="R13" s="29" t="s">
        <v>11</v>
      </c>
      <c r="S13" s="29" t="s">
        <v>11</v>
      </c>
      <c r="T13" s="29" t="s">
        <v>11</v>
      </c>
      <c r="U13" s="29" t="s">
        <v>11</v>
      </c>
      <c r="V13" s="29" t="s">
        <v>11</v>
      </c>
      <c r="W13" s="29" t="s">
        <v>11</v>
      </c>
      <c r="X13" s="29" t="s">
        <v>11</v>
      </c>
      <c r="Y13" s="29" t="s">
        <v>11</v>
      </c>
      <c r="Z13" s="29" t="s">
        <v>11</v>
      </c>
      <c r="AA13" s="29" t="s">
        <v>11</v>
      </c>
      <c r="AB13" s="29" t="s">
        <v>11</v>
      </c>
      <c r="AC13" s="29" t="s">
        <v>11</v>
      </c>
      <c r="AD13" s="29" t="s">
        <v>11</v>
      </c>
      <c r="AE13" s="29" t="s">
        <v>11</v>
      </c>
      <c r="AF13" s="110" t="s">
        <v>11</v>
      </c>
      <c r="AG13" s="24">
        <f t="shared" si="0"/>
        <v>0</v>
      </c>
      <c r="AH13" s="24">
        <f t="shared" si="1"/>
        <v>0</v>
      </c>
      <c r="AI13" s="24">
        <f t="shared" si="2"/>
        <v>15</v>
      </c>
      <c r="AJ13" s="41" t="str" cm="1">
        <f t="array" ref="AJ13">_xlfn.IFS(
$AG13=15,"Not Started",
$AI13&lt;15,"In Progress",
$AI13=15,"Completed",
SUM(AG13:AI13)&gt;15,"Error"
)</f>
        <v>Completed</v>
      </c>
    </row>
    <row r="14" spans="1:41" ht="15.75" customHeight="1" x14ac:dyDescent="0.35">
      <c r="A14" s="248"/>
      <c r="B14" s="14">
        <v>11</v>
      </c>
      <c r="C14" s="14" t="s">
        <v>263</v>
      </c>
      <c r="D14" s="53" t="s">
        <v>4878</v>
      </c>
      <c r="E14" s="57" t="s">
        <v>8906</v>
      </c>
      <c r="F14" s="7" t="s">
        <v>47</v>
      </c>
      <c r="G14" s="7" t="s">
        <v>48</v>
      </c>
      <c r="H14" s="14" t="s">
        <v>5286</v>
      </c>
      <c r="I14" s="14" t="s">
        <v>5286</v>
      </c>
      <c r="J14" s="112">
        <v>26.399994899999999</v>
      </c>
      <c r="K14" s="113">
        <v>50.03886</v>
      </c>
      <c r="L14" s="137" t="str">
        <f t="shared" si="3"/>
        <v>26.3999949,50.03886</v>
      </c>
      <c r="M14" s="7" t="s">
        <v>5078</v>
      </c>
      <c r="N14" s="7">
        <v>10006230591</v>
      </c>
      <c r="O14" s="9"/>
      <c r="P14" s="32"/>
      <c r="Q14" s="29" t="s">
        <v>11</v>
      </c>
      <c r="R14" s="29" t="s">
        <v>11</v>
      </c>
      <c r="S14" s="29" t="s">
        <v>11</v>
      </c>
      <c r="T14" s="29" t="s">
        <v>11</v>
      </c>
      <c r="U14" s="29" t="s">
        <v>11</v>
      </c>
      <c r="V14" s="29" t="s">
        <v>11</v>
      </c>
      <c r="W14" s="29" t="s">
        <v>11</v>
      </c>
      <c r="X14" s="29" t="s">
        <v>11</v>
      </c>
      <c r="Y14" s="29" t="s">
        <v>11</v>
      </c>
      <c r="Z14" s="29" t="s">
        <v>11</v>
      </c>
      <c r="AA14" s="29" t="s">
        <v>11</v>
      </c>
      <c r="AB14" s="29" t="s">
        <v>11</v>
      </c>
      <c r="AC14" s="29" t="s">
        <v>11</v>
      </c>
      <c r="AD14" s="29" t="s">
        <v>11</v>
      </c>
      <c r="AE14" s="29" t="s">
        <v>11</v>
      </c>
      <c r="AF14" s="110" t="s">
        <v>11</v>
      </c>
      <c r="AG14" s="24">
        <f t="shared" si="0"/>
        <v>0</v>
      </c>
      <c r="AH14" s="24">
        <f t="shared" si="1"/>
        <v>0</v>
      </c>
      <c r="AI14" s="24">
        <f t="shared" si="2"/>
        <v>15</v>
      </c>
      <c r="AJ14" s="41" t="str" cm="1">
        <f t="array" ref="AJ14">_xlfn.IFS(
$AG14=15,"Not Started",
$AI14&lt;15,"In Progress",
$AI14=15,"Completed",
SUM(AG14:AI14)&gt;15,"Error"
)</f>
        <v>Completed</v>
      </c>
    </row>
    <row r="15" spans="1:41" ht="15.75" customHeight="1" x14ac:dyDescent="0.35">
      <c r="A15" s="248"/>
      <c r="B15" s="14">
        <v>12</v>
      </c>
      <c r="C15" s="7" t="s">
        <v>264</v>
      </c>
      <c r="D15" s="53" t="s">
        <v>4879</v>
      </c>
      <c r="E15" s="57" t="s">
        <v>8907</v>
      </c>
      <c r="F15" s="7" t="s">
        <v>51</v>
      </c>
      <c r="G15" s="8" t="s">
        <v>48</v>
      </c>
      <c r="H15" s="14" t="s">
        <v>5286</v>
      </c>
      <c r="I15" s="14" t="s">
        <v>5286</v>
      </c>
      <c r="J15" s="112">
        <v>26.38175013</v>
      </c>
      <c r="K15" s="113">
        <v>50.039990639999999</v>
      </c>
      <c r="L15" s="137" t="str">
        <f t="shared" si="3"/>
        <v>26.38175013,50.03999064</v>
      </c>
      <c r="M15" s="7" t="s">
        <v>5079</v>
      </c>
      <c r="N15" s="7">
        <v>10018852692</v>
      </c>
      <c r="O15" s="9"/>
      <c r="P15" s="32"/>
      <c r="Q15" s="29" t="s">
        <v>11</v>
      </c>
      <c r="R15" s="29" t="s">
        <v>11</v>
      </c>
      <c r="S15" s="29" t="s">
        <v>11</v>
      </c>
      <c r="T15" s="29" t="s">
        <v>11</v>
      </c>
      <c r="U15" s="29" t="s">
        <v>11</v>
      </c>
      <c r="V15" s="29" t="s">
        <v>11</v>
      </c>
      <c r="W15" s="29" t="s">
        <v>11</v>
      </c>
      <c r="X15" s="29" t="s">
        <v>11</v>
      </c>
      <c r="Y15" s="29" t="s">
        <v>11</v>
      </c>
      <c r="Z15" s="29" t="s">
        <v>11</v>
      </c>
      <c r="AA15" s="29" t="s">
        <v>11</v>
      </c>
      <c r="AB15" s="29" t="s">
        <v>11</v>
      </c>
      <c r="AC15" s="29" t="s">
        <v>11</v>
      </c>
      <c r="AD15" s="29" t="s">
        <v>11</v>
      </c>
      <c r="AE15" s="29" t="s">
        <v>11</v>
      </c>
      <c r="AF15" s="110" t="s">
        <v>11</v>
      </c>
      <c r="AG15" s="24">
        <f t="shared" si="0"/>
        <v>0</v>
      </c>
      <c r="AH15" s="24">
        <f t="shared" si="1"/>
        <v>0</v>
      </c>
      <c r="AI15" s="24">
        <f t="shared" si="2"/>
        <v>15</v>
      </c>
      <c r="AJ15" s="41" t="str" cm="1">
        <f t="array" ref="AJ15">_xlfn.IFS(
$AG15=15,"Not Started",
$AI15&lt;15,"In Progress",
$AI15=15,"Completed",
SUM(AG15:AI15)&gt;15,"Error"
)</f>
        <v>Completed</v>
      </c>
    </row>
    <row r="16" spans="1:41" ht="15.75" customHeight="1" x14ac:dyDescent="0.35">
      <c r="A16" s="248"/>
      <c r="B16" s="14">
        <v>13</v>
      </c>
      <c r="C16" s="14" t="s">
        <v>265</v>
      </c>
      <c r="D16" s="53" t="s">
        <v>4880</v>
      </c>
      <c r="E16" s="57" t="s">
        <v>8908</v>
      </c>
      <c r="F16" s="7" t="s">
        <v>43</v>
      </c>
      <c r="G16" s="7" t="s">
        <v>48</v>
      </c>
      <c r="H16" s="14" t="s">
        <v>5286</v>
      </c>
      <c r="I16" s="14" t="s">
        <v>5286</v>
      </c>
      <c r="J16" s="112">
        <v>26.378225359999998</v>
      </c>
      <c r="K16" s="113">
        <v>50.034643389999999</v>
      </c>
      <c r="L16" s="137" t="str">
        <f t="shared" si="3"/>
        <v>26.37822536,50.03464339</v>
      </c>
      <c r="M16" s="7" t="s">
        <v>5080</v>
      </c>
      <c r="N16" s="7">
        <v>10006253442</v>
      </c>
      <c r="O16" s="9"/>
      <c r="P16" s="32"/>
      <c r="Q16" s="29" t="s">
        <v>11</v>
      </c>
      <c r="R16" s="29" t="s">
        <v>11</v>
      </c>
      <c r="S16" s="29" t="s">
        <v>11</v>
      </c>
      <c r="T16" s="29" t="s">
        <v>11</v>
      </c>
      <c r="U16" s="29" t="s">
        <v>11</v>
      </c>
      <c r="V16" s="29" t="s">
        <v>11</v>
      </c>
      <c r="W16" s="29" t="s">
        <v>11</v>
      </c>
      <c r="X16" s="29" t="s">
        <v>11</v>
      </c>
      <c r="Y16" s="29" t="s">
        <v>11</v>
      </c>
      <c r="Z16" s="29" t="s">
        <v>11</v>
      </c>
      <c r="AA16" s="29" t="s">
        <v>11</v>
      </c>
      <c r="AB16" s="29" t="s">
        <v>11</v>
      </c>
      <c r="AC16" s="29" t="s">
        <v>11</v>
      </c>
      <c r="AD16" s="29" t="s">
        <v>11</v>
      </c>
      <c r="AE16" s="29" t="s">
        <v>11</v>
      </c>
      <c r="AF16" s="110" t="s">
        <v>11</v>
      </c>
      <c r="AG16" s="24">
        <f t="shared" si="0"/>
        <v>0</v>
      </c>
      <c r="AH16" s="24">
        <f t="shared" si="1"/>
        <v>0</v>
      </c>
      <c r="AI16" s="24">
        <f t="shared" si="2"/>
        <v>15</v>
      </c>
      <c r="AJ16" s="41" t="str" cm="1">
        <f t="array" ref="AJ16">_xlfn.IFS(
$AG16=15,"Not Started",
$AI16&lt;15,"In Progress",
$AI16=15,"Completed",
SUM(AG16:AI16)&gt;15,"Error"
)</f>
        <v>Completed</v>
      </c>
    </row>
    <row r="17" spans="1:36" ht="15.75" customHeight="1" x14ac:dyDescent="0.35">
      <c r="A17" s="248"/>
      <c r="B17" s="14">
        <v>14</v>
      </c>
      <c r="C17" s="7" t="s">
        <v>266</v>
      </c>
      <c r="D17" s="53" t="s">
        <v>4881</v>
      </c>
      <c r="E17" s="57" t="s">
        <v>8909</v>
      </c>
      <c r="F17" s="7" t="s">
        <v>43</v>
      </c>
      <c r="G17" s="7" t="s">
        <v>48</v>
      </c>
      <c r="H17" s="14" t="s">
        <v>5286</v>
      </c>
      <c r="I17" s="14" t="s">
        <v>5286</v>
      </c>
      <c r="J17" s="112">
        <v>26.390759070000001</v>
      </c>
      <c r="K17" s="113">
        <v>50.072309230000002</v>
      </c>
      <c r="L17" s="137" t="str">
        <f t="shared" si="3"/>
        <v>26.39075907,50.07230923</v>
      </c>
      <c r="M17" s="7" t="s">
        <v>5081</v>
      </c>
      <c r="N17" s="7">
        <v>10006229714</v>
      </c>
      <c r="O17" s="9"/>
      <c r="P17" s="32"/>
      <c r="Q17" s="29" t="s">
        <v>11</v>
      </c>
      <c r="R17" s="29" t="s">
        <v>11</v>
      </c>
      <c r="S17" s="29" t="s">
        <v>11</v>
      </c>
      <c r="T17" s="29" t="s">
        <v>11</v>
      </c>
      <c r="U17" s="29" t="s">
        <v>11</v>
      </c>
      <c r="V17" s="29" t="s">
        <v>11</v>
      </c>
      <c r="W17" s="29" t="s">
        <v>11</v>
      </c>
      <c r="X17" s="29" t="s">
        <v>11</v>
      </c>
      <c r="Y17" s="29" t="s">
        <v>11</v>
      </c>
      <c r="Z17" s="29" t="s">
        <v>11</v>
      </c>
      <c r="AA17" s="29" t="s">
        <v>11</v>
      </c>
      <c r="AB17" s="29" t="s">
        <v>11</v>
      </c>
      <c r="AC17" s="29" t="s">
        <v>11</v>
      </c>
      <c r="AD17" s="29" t="s">
        <v>11</v>
      </c>
      <c r="AE17" s="29" t="s">
        <v>11</v>
      </c>
      <c r="AF17" s="110" t="s">
        <v>11</v>
      </c>
      <c r="AG17" s="24">
        <f t="shared" si="0"/>
        <v>0</v>
      </c>
      <c r="AH17" s="24">
        <f t="shared" si="1"/>
        <v>0</v>
      </c>
      <c r="AI17" s="24">
        <f t="shared" si="2"/>
        <v>15</v>
      </c>
      <c r="AJ17" s="41" t="str" cm="1">
        <f t="array" ref="AJ17">_xlfn.IFS(
$AG17=15,"Not Started",
$AI17&lt;15,"In Progress",
$AI17=15,"Completed",
SUM(AG17:AI17)&gt;15,"Error"
)</f>
        <v>Completed</v>
      </c>
    </row>
    <row r="18" spans="1:36" ht="15.75" customHeight="1" x14ac:dyDescent="0.35">
      <c r="A18" s="248"/>
      <c r="B18" s="14">
        <v>15</v>
      </c>
      <c r="C18" s="14" t="s">
        <v>267</v>
      </c>
      <c r="D18" s="53" t="s">
        <v>4882</v>
      </c>
      <c r="E18" s="57" t="s">
        <v>8910</v>
      </c>
      <c r="F18" s="7" t="s">
        <v>47</v>
      </c>
      <c r="G18" s="7" t="s">
        <v>48</v>
      </c>
      <c r="H18" s="14" t="s">
        <v>5286</v>
      </c>
      <c r="I18" s="14" t="s">
        <v>5286</v>
      </c>
      <c r="J18" s="112">
        <v>26.402566050000001</v>
      </c>
      <c r="K18" s="113">
        <v>50.020614289999997</v>
      </c>
      <c r="L18" s="137" t="str">
        <f t="shared" si="3"/>
        <v>26.40256605,50.02061429</v>
      </c>
      <c r="M18" s="7" t="s">
        <v>5082</v>
      </c>
      <c r="N18" s="7">
        <v>10006246930</v>
      </c>
      <c r="O18" s="9"/>
      <c r="P18" s="32"/>
      <c r="Q18" s="29" t="s">
        <v>11</v>
      </c>
      <c r="R18" s="29" t="s">
        <v>11</v>
      </c>
      <c r="S18" s="29" t="s">
        <v>11</v>
      </c>
      <c r="T18" s="29" t="s">
        <v>11</v>
      </c>
      <c r="U18" s="29" t="s">
        <v>11</v>
      </c>
      <c r="V18" s="29" t="s">
        <v>11</v>
      </c>
      <c r="W18" s="29" t="s">
        <v>11</v>
      </c>
      <c r="X18" s="29" t="s">
        <v>11</v>
      </c>
      <c r="Y18" s="29" t="s">
        <v>11</v>
      </c>
      <c r="Z18" s="29" t="s">
        <v>11</v>
      </c>
      <c r="AA18" s="29" t="s">
        <v>11</v>
      </c>
      <c r="AB18" s="29" t="s">
        <v>11</v>
      </c>
      <c r="AC18" s="29" t="s">
        <v>11</v>
      </c>
      <c r="AD18" s="29" t="s">
        <v>11</v>
      </c>
      <c r="AE18" s="29" t="s">
        <v>11</v>
      </c>
      <c r="AF18" s="110" t="s">
        <v>11</v>
      </c>
      <c r="AG18" s="24">
        <f t="shared" si="0"/>
        <v>0</v>
      </c>
      <c r="AH18" s="24">
        <f t="shared" si="1"/>
        <v>0</v>
      </c>
      <c r="AI18" s="24">
        <f t="shared" si="2"/>
        <v>15</v>
      </c>
      <c r="AJ18" s="41" t="str" cm="1">
        <f t="array" ref="AJ18">_xlfn.IFS(
$AG18=15,"Not Started",
$AI18&lt;15,"In Progress",
$AI18=15,"Completed",
SUM(AG18:AI18)&gt;15,"Error"
)</f>
        <v>Completed</v>
      </c>
    </row>
    <row r="19" spans="1:36" ht="15.75" customHeight="1" x14ac:dyDescent="0.35">
      <c r="A19" s="248"/>
      <c r="B19" s="14">
        <v>16</v>
      </c>
      <c r="C19" s="7" t="s">
        <v>268</v>
      </c>
      <c r="D19" s="53" t="s">
        <v>4883</v>
      </c>
      <c r="E19" s="57" t="s">
        <v>8911</v>
      </c>
      <c r="F19" s="7" t="s">
        <v>51</v>
      </c>
      <c r="G19" s="7" t="s">
        <v>48</v>
      </c>
      <c r="H19" s="14" t="s">
        <v>5286</v>
      </c>
      <c r="I19" s="14" t="s">
        <v>5286</v>
      </c>
      <c r="J19" s="112">
        <v>26.414593249999999</v>
      </c>
      <c r="K19" s="113">
        <v>50.049671869999997</v>
      </c>
      <c r="L19" s="137" t="str">
        <f t="shared" si="3"/>
        <v>26.41459325,50.04967187</v>
      </c>
      <c r="M19" s="7" t="s">
        <v>5083</v>
      </c>
      <c r="N19" s="7">
        <v>10006272232</v>
      </c>
      <c r="O19" s="9"/>
      <c r="P19" s="32"/>
      <c r="Q19" s="29" t="s">
        <v>11</v>
      </c>
      <c r="R19" s="29" t="s">
        <v>11</v>
      </c>
      <c r="S19" s="29" t="s">
        <v>11</v>
      </c>
      <c r="T19" s="29" t="s">
        <v>11</v>
      </c>
      <c r="U19" s="29" t="s">
        <v>11</v>
      </c>
      <c r="V19" s="29" t="s">
        <v>11</v>
      </c>
      <c r="W19" s="29" t="s">
        <v>11</v>
      </c>
      <c r="X19" s="29" t="s">
        <v>11</v>
      </c>
      <c r="Y19" s="29" t="s">
        <v>11</v>
      </c>
      <c r="Z19" s="29" t="s">
        <v>11</v>
      </c>
      <c r="AA19" s="29" t="s">
        <v>11</v>
      </c>
      <c r="AB19" s="29" t="s">
        <v>11</v>
      </c>
      <c r="AC19" s="29" t="s">
        <v>11</v>
      </c>
      <c r="AD19" s="29" t="s">
        <v>11</v>
      </c>
      <c r="AE19" s="29" t="s">
        <v>11</v>
      </c>
      <c r="AF19" s="110" t="s">
        <v>11</v>
      </c>
      <c r="AG19" s="24">
        <f t="shared" si="0"/>
        <v>0</v>
      </c>
      <c r="AH19" s="24">
        <f t="shared" si="1"/>
        <v>0</v>
      </c>
      <c r="AI19" s="24">
        <f t="shared" si="2"/>
        <v>15</v>
      </c>
      <c r="AJ19" s="41" t="str" cm="1">
        <f t="array" ref="AJ19">_xlfn.IFS(
$AG19=15,"Not Started",
$AI19&lt;15,"In Progress",
$AI19=15,"Completed",
SUM(AG19:AI19)&gt;15,"Error"
)</f>
        <v>Completed</v>
      </c>
    </row>
    <row r="20" spans="1:36" ht="15.75" customHeight="1" x14ac:dyDescent="0.35">
      <c r="A20" s="248"/>
      <c r="B20" s="14">
        <v>17</v>
      </c>
      <c r="C20" s="14" t="s">
        <v>269</v>
      </c>
      <c r="D20" s="53" t="s">
        <v>4884</v>
      </c>
      <c r="E20" s="57" t="s">
        <v>8912</v>
      </c>
      <c r="F20" s="7" t="s">
        <v>43</v>
      </c>
      <c r="G20" s="7" t="s">
        <v>48</v>
      </c>
      <c r="H20" s="14" t="s">
        <v>5286</v>
      </c>
      <c r="I20" s="14" t="s">
        <v>5286</v>
      </c>
      <c r="J20" s="112">
        <v>26.413436149999999</v>
      </c>
      <c r="K20" s="113">
        <v>50.036741489999997</v>
      </c>
      <c r="L20" s="137" t="str">
        <f t="shared" si="3"/>
        <v>26.41343615,50.03674149</v>
      </c>
      <c r="M20" s="7" t="s">
        <v>5084</v>
      </c>
      <c r="N20" s="7">
        <v>10006229017</v>
      </c>
      <c r="O20" s="9"/>
      <c r="P20" s="32"/>
      <c r="Q20" s="29" t="s">
        <v>11</v>
      </c>
      <c r="R20" s="29" t="s">
        <v>11</v>
      </c>
      <c r="S20" s="29" t="s">
        <v>11</v>
      </c>
      <c r="T20" s="29" t="s">
        <v>11</v>
      </c>
      <c r="U20" s="29" t="s">
        <v>11</v>
      </c>
      <c r="V20" s="29" t="s">
        <v>11</v>
      </c>
      <c r="W20" s="29" t="s">
        <v>11</v>
      </c>
      <c r="X20" s="29" t="s">
        <v>11</v>
      </c>
      <c r="Y20" s="29" t="s">
        <v>11</v>
      </c>
      <c r="Z20" s="29" t="s">
        <v>11</v>
      </c>
      <c r="AA20" s="29" t="s">
        <v>11</v>
      </c>
      <c r="AB20" s="29" t="s">
        <v>11</v>
      </c>
      <c r="AC20" s="29" t="s">
        <v>11</v>
      </c>
      <c r="AD20" s="29" t="s">
        <v>11</v>
      </c>
      <c r="AE20" s="29" t="s">
        <v>11</v>
      </c>
      <c r="AF20" s="110" t="s">
        <v>11</v>
      </c>
      <c r="AG20" s="24">
        <f t="shared" si="0"/>
        <v>0</v>
      </c>
      <c r="AH20" s="24">
        <f t="shared" si="1"/>
        <v>0</v>
      </c>
      <c r="AI20" s="24">
        <f t="shared" si="2"/>
        <v>15</v>
      </c>
      <c r="AJ20" s="41" t="str" cm="1">
        <f t="array" ref="AJ20">_xlfn.IFS(
$AG20=15,"Not Started",
$AI20&lt;15,"In Progress",
$AI20=15,"Completed",
SUM(AG20:AI20)&gt;15,"Error"
)</f>
        <v>Completed</v>
      </c>
    </row>
    <row r="21" spans="1:36" ht="14.5" x14ac:dyDescent="0.35">
      <c r="A21" s="248"/>
      <c r="B21" s="14">
        <v>18</v>
      </c>
      <c r="C21" s="7" t="s">
        <v>270</v>
      </c>
      <c r="D21" s="53" t="s">
        <v>4885</v>
      </c>
      <c r="E21" s="57" t="s">
        <v>8913</v>
      </c>
      <c r="F21" s="7" t="s">
        <v>43</v>
      </c>
      <c r="G21" s="7" t="s">
        <v>48</v>
      </c>
      <c r="H21" s="14" t="s">
        <v>5286</v>
      </c>
      <c r="I21" s="14" t="s">
        <v>5286</v>
      </c>
      <c r="J21" s="112">
        <v>26.41893211</v>
      </c>
      <c r="K21" s="113">
        <v>50.039651470000003</v>
      </c>
      <c r="L21" s="137" t="str">
        <f t="shared" si="3"/>
        <v>26.41893211,50.03965147</v>
      </c>
      <c r="M21" s="7" t="s">
        <v>5085</v>
      </c>
      <c r="N21" s="7">
        <v>10006228548</v>
      </c>
      <c r="O21" s="9"/>
      <c r="P21" s="32"/>
      <c r="Q21" s="29" t="s">
        <v>11</v>
      </c>
      <c r="R21" s="29" t="s">
        <v>11</v>
      </c>
      <c r="S21" s="29" t="s">
        <v>11</v>
      </c>
      <c r="T21" s="29" t="s">
        <v>11</v>
      </c>
      <c r="U21" s="29" t="s">
        <v>11</v>
      </c>
      <c r="V21" s="29" t="s">
        <v>11</v>
      </c>
      <c r="W21" s="29" t="s">
        <v>11</v>
      </c>
      <c r="X21" s="29" t="s">
        <v>11</v>
      </c>
      <c r="Y21" s="29" t="s">
        <v>11</v>
      </c>
      <c r="Z21" s="29" t="s">
        <v>11</v>
      </c>
      <c r="AA21" s="29" t="s">
        <v>11</v>
      </c>
      <c r="AB21" s="29" t="s">
        <v>11</v>
      </c>
      <c r="AC21" s="29" t="s">
        <v>11</v>
      </c>
      <c r="AD21" s="29" t="s">
        <v>11</v>
      </c>
      <c r="AE21" s="29" t="s">
        <v>11</v>
      </c>
      <c r="AF21" s="110" t="s">
        <v>11</v>
      </c>
      <c r="AG21" s="24">
        <f t="shared" si="0"/>
        <v>0</v>
      </c>
      <c r="AH21" s="24">
        <f t="shared" si="1"/>
        <v>0</v>
      </c>
      <c r="AI21" s="24">
        <f t="shared" si="2"/>
        <v>15</v>
      </c>
      <c r="AJ21" s="41" t="str" cm="1">
        <f t="array" ref="AJ21">_xlfn.IFS(
$AG21=15,"Not Started",
$AI21&lt;15,"In Progress",
$AI21=15,"Completed",
SUM(AG21:AI21)&gt;15,"Error"
)</f>
        <v>Completed</v>
      </c>
    </row>
    <row r="22" spans="1:36" ht="14.5" x14ac:dyDescent="0.35">
      <c r="A22" s="248"/>
      <c r="B22" s="14">
        <v>19</v>
      </c>
      <c r="C22" s="14" t="s">
        <v>271</v>
      </c>
      <c r="D22" s="53" t="s">
        <v>4886</v>
      </c>
      <c r="E22" s="57" t="s">
        <v>8914</v>
      </c>
      <c r="F22" s="7" t="s">
        <v>47</v>
      </c>
      <c r="G22" s="7" t="s">
        <v>48</v>
      </c>
      <c r="H22" s="14" t="s">
        <v>5286</v>
      </c>
      <c r="I22" s="14" t="s">
        <v>5286</v>
      </c>
      <c r="J22" s="112">
        <v>26.410426810000001</v>
      </c>
      <c r="K22" s="113">
        <v>50.05370748</v>
      </c>
      <c r="L22" s="137" t="str">
        <f t="shared" si="3"/>
        <v>26.41042681,50.05370748</v>
      </c>
      <c r="M22" s="7" t="s">
        <v>5086</v>
      </c>
      <c r="N22" s="7">
        <v>10006272921</v>
      </c>
      <c r="O22" s="9"/>
      <c r="P22" s="32"/>
      <c r="Q22" s="29" t="s">
        <v>11</v>
      </c>
      <c r="R22" s="29" t="s">
        <v>11</v>
      </c>
      <c r="S22" s="29" t="s">
        <v>11</v>
      </c>
      <c r="T22" s="29" t="s">
        <v>11</v>
      </c>
      <c r="U22" s="29" t="s">
        <v>11</v>
      </c>
      <c r="V22" s="29" t="s">
        <v>11</v>
      </c>
      <c r="W22" s="29" t="s">
        <v>11</v>
      </c>
      <c r="X22" s="29" t="s">
        <v>11</v>
      </c>
      <c r="Y22" s="29" t="s">
        <v>11</v>
      </c>
      <c r="Z22" s="29" t="s">
        <v>11</v>
      </c>
      <c r="AA22" s="29" t="s">
        <v>11</v>
      </c>
      <c r="AB22" s="29" t="s">
        <v>11</v>
      </c>
      <c r="AC22" s="29" t="s">
        <v>11</v>
      </c>
      <c r="AD22" s="29" t="s">
        <v>11</v>
      </c>
      <c r="AE22" s="29" t="s">
        <v>11</v>
      </c>
      <c r="AF22" s="110" t="s">
        <v>11</v>
      </c>
      <c r="AG22" s="24">
        <f t="shared" si="0"/>
        <v>0</v>
      </c>
      <c r="AH22" s="24">
        <f t="shared" si="1"/>
        <v>0</v>
      </c>
      <c r="AI22" s="24">
        <f t="shared" si="2"/>
        <v>15</v>
      </c>
      <c r="AJ22" s="41" t="str" cm="1">
        <f t="array" ref="AJ22">_xlfn.IFS(
$AG22=15,"Not Started",
$AI22&lt;15,"In Progress",
$AI22=15,"Completed",
SUM(AG22:AI22)&gt;15,"Error"
)</f>
        <v>Completed</v>
      </c>
    </row>
    <row r="23" spans="1:36" ht="14.5" x14ac:dyDescent="0.35">
      <c r="A23" s="248"/>
      <c r="B23" s="14">
        <v>20</v>
      </c>
      <c r="C23" s="7" t="s">
        <v>272</v>
      </c>
      <c r="D23" s="53" t="s">
        <v>4887</v>
      </c>
      <c r="E23" s="57" t="s">
        <v>8915</v>
      </c>
      <c r="F23" s="7" t="s">
        <v>43</v>
      </c>
      <c r="G23" s="7" t="s">
        <v>48</v>
      </c>
      <c r="H23" s="14" t="s">
        <v>5286</v>
      </c>
      <c r="I23" s="14" t="s">
        <v>5286</v>
      </c>
      <c r="J23" s="112">
        <v>26.415053180000001</v>
      </c>
      <c r="K23" s="113">
        <v>50.050241479999997</v>
      </c>
      <c r="L23" s="137" t="str">
        <f t="shared" si="3"/>
        <v>26.41505318,50.05024148</v>
      </c>
      <c r="M23" s="7" t="s">
        <v>5087</v>
      </c>
      <c r="N23" s="7">
        <v>10006268454</v>
      </c>
      <c r="O23" s="9"/>
      <c r="P23" s="32"/>
      <c r="Q23" s="29" t="s">
        <v>11</v>
      </c>
      <c r="R23" s="29" t="s">
        <v>11</v>
      </c>
      <c r="S23" s="29" t="s">
        <v>11</v>
      </c>
      <c r="T23" s="29" t="s">
        <v>11</v>
      </c>
      <c r="U23" s="29" t="s">
        <v>11</v>
      </c>
      <c r="V23" s="29" t="s">
        <v>11</v>
      </c>
      <c r="W23" s="29" t="s">
        <v>11</v>
      </c>
      <c r="X23" s="29" t="s">
        <v>11</v>
      </c>
      <c r="Y23" s="29" t="s">
        <v>11</v>
      </c>
      <c r="Z23" s="29" t="s">
        <v>11</v>
      </c>
      <c r="AA23" s="29" t="s">
        <v>11</v>
      </c>
      <c r="AB23" s="29" t="s">
        <v>11</v>
      </c>
      <c r="AC23" s="29" t="s">
        <v>11</v>
      </c>
      <c r="AD23" s="29" t="s">
        <v>11</v>
      </c>
      <c r="AE23" s="29" t="s">
        <v>11</v>
      </c>
      <c r="AF23" s="110" t="s">
        <v>11</v>
      </c>
      <c r="AG23" s="24">
        <f t="shared" si="0"/>
        <v>0</v>
      </c>
      <c r="AH23" s="24">
        <f t="shared" si="1"/>
        <v>0</v>
      </c>
      <c r="AI23" s="24">
        <f t="shared" si="2"/>
        <v>15</v>
      </c>
      <c r="AJ23" s="41" t="str" cm="1">
        <f t="array" ref="AJ23">_xlfn.IFS(
$AG23=15,"Not Started",
$AI23&lt;15,"In Progress",
$AI23=15,"Completed",
SUM(AG23:AI23)&gt;15,"Error"
)</f>
        <v>Completed</v>
      </c>
    </row>
    <row r="24" spans="1:36" ht="14.5" x14ac:dyDescent="0.35">
      <c r="A24" s="248"/>
      <c r="B24" s="14">
        <v>21</v>
      </c>
      <c r="C24" s="14" t="s">
        <v>273</v>
      </c>
      <c r="D24" s="53" t="s">
        <v>4888</v>
      </c>
      <c r="E24" s="57" t="s">
        <v>8916</v>
      </c>
      <c r="F24" s="7" t="s">
        <v>47</v>
      </c>
      <c r="G24" s="7" t="s">
        <v>48</v>
      </c>
      <c r="H24" s="14" t="s">
        <v>5286</v>
      </c>
      <c r="I24" s="14" t="s">
        <v>5286</v>
      </c>
      <c r="J24" s="112">
        <v>26.42262401</v>
      </c>
      <c r="K24" s="113">
        <v>50.017128919999998</v>
      </c>
      <c r="L24" s="137" t="str">
        <f t="shared" si="3"/>
        <v>26.42262401,50.01712892</v>
      </c>
      <c r="M24" s="7" t="s">
        <v>5088</v>
      </c>
      <c r="N24" s="7">
        <v>10006240702</v>
      </c>
      <c r="O24" s="9"/>
      <c r="P24" s="32"/>
      <c r="Q24" s="29" t="s">
        <v>11</v>
      </c>
      <c r="R24" s="29" t="s">
        <v>11</v>
      </c>
      <c r="S24" s="29" t="s">
        <v>11</v>
      </c>
      <c r="T24" s="29" t="s">
        <v>11</v>
      </c>
      <c r="U24" s="29" t="s">
        <v>11</v>
      </c>
      <c r="V24" s="29" t="s">
        <v>11</v>
      </c>
      <c r="W24" s="29" t="s">
        <v>11</v>
      </c>
      <c r="X24" s="29" t="s">
        <v>11</v>
      </c>
      <c r="Y24" s="29" t="s">
        <v>11</v>
      </c>
      <c r="Z24" s="29" t="s">
        <v>11</v>
      </c>
      <c r="AA24" s="29" t="s">
        <v>11</v>
      </c>
      <c r="AB24" s="29" t="s">
        <v>11</v>
      </c>
      <c r="AC24" s="29" t="s">
        <v>11</v>
      </c>
      <c r="AD24" s="29" t="s">
        <v>11</v>
      </c>
      <c r="AE24" s="29" t="s">
        <v>11</v>
      </c>
      <c r="AF24" s="110" t="s">
        <v>11</v>
      </c>
      <c r="AG24" s="24">
        <f t="shared" si="0"/>
        <v>0</v>
      </c>
      <c r="AH24" s="24">
        <f t="shared" si="1"/>
        <v>0</v>
      </c>
      <c r="AI24" s="24">
        <f t="shared" si="2"/>
        <v>15</v>
      </c>
      <c r="AJ24" s="41" t="str" cm="1">
        <f t="array" ref="AJ24">_xlfn.IFS(
$AG24=15,"Not Started",
$AI24&lt;15,"In Progress",
$AI24=15,"Completed",
SUM(AG24:AI24)&gt;15,"Error"
)</f>
        <v>Completed</v>
      </c>
    </row>
    <row r="25" spans="1:36" ht="14.5" x14ac:dyDescent="0.35">
      <c r="A25" s="248"/>
      <c r="B25" s="14">
        <v>22</v>
      </c>
      <c r="C25" s="7" t="s">
        <v>274</v>
      </c>
      <c r="D25" s="53" t="s">
        <v>4889</v>
      </c>
      <c r="E25" s="57" t="s">
        <v>8917</v>
      </c>
      <c r="F25" s="7" t="s">
        <v>43</v>
      </c>
      <c r="G25" s="7" t="s">
        <v>48</v>
      </c>
      <c r="H25" s="14" t="s">
        <v>5286</v>
      </c>
      <c r="I25" s="14" t="s">
        <v>5286</v>
      </c>
      <c r="J25" s="112">
        <v>26.408953660000002</v>
      </c>
      <c r="K25" s="113">
        <v>50.039275240000002</v>
      </c>
      <c r="L25" s="137" t="str">
        <f t="shared" si="3"/>
        <v>26.40895366,50.03927524</v>
      </c>
      <c r="M25" s="7" t="s">
        <v>5089</v>
      </c>
      <c r="N25" s="7">
        <v>10006263421</v>
      </c>
      <c r="O25" s="9"/>
      <c r="P25" s="32"/>
      <c r="Q25" s="29" t="s">
        <v>11</v>
      </c>
      <c r="R25" s="29" t="s">
        <v>11</v>
      </c>
      <c r="S25" s="29" t="s">
        <v>11</v>
      </c>
      <c r="T25" s="29" t="s">
        <v>11</v>
      </c>
      <c r="U25" s="29" t="s">
        <v>11</v>
      </c>
      <c r="V25" s="29" t="s">
        <v>11</v>
      </c>
      <c r="W25" s="29" t="s">
        <v>11</v>
      </c>
      <c r="X25" s="29" t="s">
        <v>11</v>
      </c>
      <c r="Y25" s="29" t="s">
        <v>11</v>
      </c>
      <c r="Z25" s="29" t="s">
        <v>11</v>
      </c>
      <c r="AA25" s="29" t="s">
        <v>11</v>
      </c>
      <c r="AB25" s="29" t="s">
        <v>11</v>
      </c>
      <c r="AC25" s="29" t="s">
        <v>11</v>
      </c>
      <c r="AD25" s="29" t="s">
        <v>11</v>
      </c>
      <c r="AE25" s="29" t="s">
        <v>11</v>
      </c>
      <c r="AF25" s="110" t="s">
        <v>11</v>
      </c>
      <c r="AG25" s="24">
        <f t="shared" si="0"/>
        <v>0</v>
      </c>
      <c r="AH25" s="24">
        <f t="shared" si="1"/>
        <v>0</v>
      </c>
      <c r="AI25" s="24">
        <f t="shared" si="2"/>
        <v>15</v>
      </c>
      <c r="AJ25" s="41" t="str" cm="1">
        <f t="array" ref="AJ25">_xlfn.IFS(
$AG25=15,"Not Started",
$AI25&lt;15,"In Progress",
$AI25=15,"Completed",
SUM(AG25:AI25)&gt;15,"Error"
)</f>
        <v>Completed</v>
      </c>
    </row>
    <row r="26" spans="1:36" ht="14.5" x14ac:dyDescent="0.35">
      <c r="A26" s="248"/>
      <c r="B26" s="14">
        <v>23</v>
      </c>
      <c r="C26" s="14" t="s">
        <v>275</v>
      </c>
      <c r="D26" s="53" t="s">
        <v>4890</v>
      </c>
      <c r="E26" s="57" t="s">
        <v>8918</v>
      </c>
      <c r="F26" s="7" t="s">
        <v>43</v>
      </c>
      <c r="G26" s="7" t="s">
        <v>48</v>
      </c>
      <c r="H26" s="14" t="s">
        <v>5286</v>
      </c>
      <c r="I26" s="14" t="s">
        <v>5286</v>
      </c>
      <c r="J26" s="112">
        <v>26.40504293</v>
      </c>
      <c r="K26" s="113">
        <v>50.04934471</v>
      </c>
      <c r="L26" s="137" t="str">
        <f t="shared" si="3"/>
        <v>26.40504293,50.04934471</v>
      </c>
      <c r="M26" s="7" t="s">
        <v>5090</v>
      </c>
      <c r="N26" s="7">
        <v>10006272260</v>
      </c>
      <c r="O26" s="9"/>
      <c r="P26" s="32"/>
      <c r="Q26" s="29" t="s">
        <v>11</v>
      </c>
      <c r="R26" s="29" t="s">
        <v>11</v>
      </c>
      <c r="S26" s="29" t="s">
        <v>11</v>
      </c>
      <c r="T26" s="29" t="s">
        <v>11</v>
      </c>
      <c r="U26" s="29" t="s">
        <v>11</v>
      </c>
      <c r="V26" s="29" t="s">
        <v>11</v>
      </c>
      <c r="W26" s="29" t="s">
        <v>11</v>
      </c>
      <c r="X26" s="29" t="s">
        <v>11</v>
      </c>
      <c r="Y26" s="29" t="s">
        <v>11</v>
      </c>
      <c r="Z26" s="29" t="s">
        <v>11</v>
      </c>
      <c r="AA26" s="29" t="s">
        <v>11</v>
      </c>
      <c r="AB26" s="29" t="s">
        <v>11</v>
      </c>
      <c r="AC26" s="29" t="s">
        <v>11</v>
      </c>
      <c r="AD26" s="29" t="s">
        <v>11</v>
      </c>
      <c r="AE26" s="29" t="s">
        <v>11</v>
      </c>
      <c r="AF26" s="110" t="s">
        <v>11</v>
      </c>
      <c r="AG26" s="24">
        <f t="shared" si="0"/>
        <v>0</v>
      </c>
      <c r="AH26" s="24">
        <f t="shared" si="1"/>
        <v>0</v>
      </c>
      <c r="AI26" s="24">
        <f t="shared" si="2"/>
        <v>15</v>
      </c>
      <c r="AJ26" s="41" t="str" cm="1">
        <f t="array" ref="AJ26">_xlfn.IFS(
$AG26=15,"Not Started",
$AI26&lt;15,"In Progress",
$AI26=15,"Completed",
SUM(AG26:AI26)&gt;15,"Error"
)</f>
        <v>Completed</v>
      </c>
    </row>
    <row r="27" spans="1:36" ht="14.5" x14ac:dyDescent="0.35">
      <c r="A27" s="248"/>
      <c r="B27" s="14">
        <v>24</v>
      </c>
      <c r="C27" s="7" t="s">
        <v>276</v>
      </c>
      <c r="D27" s="53" t="s">
        <v>4891</v>
      </c>
      <c r="E27" s="57" t="s">
        <v>8919</v>
      </c>
      <c r="F27" s="7" t="s">
        <v>43</v>
      </c>
      <c r="G27" s="7" t="s">
        <v>48</v>
      </c>
      <c r="H27" s="14" t="s">
        <v>5286</v>
      </c>
      <c r="I27" s="14" t="s">
        <v>5286</v>
      </c>
      <c r="J27" s="112">
        <v>26.423119369999998</v>
      </c>
      <c r="K27" s="113">
        <v>50.008150989999997</v>
      </c>
      <c r="L27" s="137" t="str">
        <f t="shared" si="3"/>
        <v>26.42311937,50.00815099</v>
      </c>
      <c r="M27" s="7" t="s">
        <v>5091</v>
      </c>
      <c r="N27" s="7">
        <v>10006240631</v>
      </c>
      <c r="O27" s="9"/>
      <c r="P27" s="32"/>
      <c r="Q27" s="29" t="s">
        <v>11</v>
      </c>
      <c r="R27" s="29" t="s">
        <v>11</v>
      </c>
      <c r="S27" s="29" t="s">
        <v>11</v>
      </c>
      <c r="T27" s="29" t="s">
        <v>11</v>
      </c>
      <c r="U27" s="29" t="s">
        <v>11</v>
      </c>
      <c r="V27" s="29" t="s">
        <v>11</v>
      </c>
      <c r="W27" s="29" t="s">
        <v>11</v>
      </c>
      <c r="X27" s="29" t="s">
        <v>11</v>
      </c>
      <c r="Y27" s="29" t="s">
        <v>11</v>
      </c>
      <c r="Z27" s="29" t="s">
        <v>11</v>
      </c>
      <c r="AA27" s="29" t="s">
        <v>11</v>
      </c>
      <c r="AB27" s="29" t="s">
        <v>11</v>
      </c>
      <c r="AC27" s="29" t="s">
        <v>11</v>
      </c>
      <c r="AD27" s="29" t="s">
        <v>11</v>
      </c>
      <c r="AE27" s="29" t="s">
        <v>11</v>
      </c>
      <c r="AF27" s="110" t="s">
        <v>11</v>
      </c>
      <c r="AG27" s="24">
        <f t="shared" si="0"/>
        <v>0</v>
      </c>
      <c r="AH27" s="24">
        <f t="shared" si="1"/>
        <v>0</v>
      </c>
      <c r="AI27" s="24">
        <f t="shared" si="2"/>
        <v>15</v>
      </c>
      <c r="AJ27" s="41" t="str" cm="1">
        <f t="array" ref="AJ27">_xlfn.IFS(
$AG27=15,"Not Started",
$AI27&lt;15,"In Progress",
$AI27=15,"Completed",
SUM(AG27:AI27)&gt;15,"Error"
)</f>
        <v>Completed</v>
      </c>
    </row>
    <row r="28" spans="1:36" ht="14.5" x14ac:dyDescent="0.35">
      <c r="A28" s="248"/>
      <c r="B28" s="14">
        <v>25</v>
      </c>
      <c r="C28" s="14" t="s">
        <v>277</v>
      </c>
      <c r="D28" s="53" t="s">
        <v>4892</v>
      </c>
      <c r="E28" s="57" t="s">
        <v>8920</v>
      </c>
      <c r="F28" s="7" t="s">
        <v>47</v>
      </c>
      <c r="G28" s="7" t="s">
        <v>48</v>
      </c>
      <c r="H28" s="14" t="s">
        <v>5286</v>
      </c>
      <c r="I28" s="14" t="s">
        <v>5286</v>
      </c>
      <c r="J28" s="112">
        <v>26.437345329999999</v>
      </c>
      <c r="K28" s="113">
        <v>50.040613880000002</v>
      </c>
      <c r="L28" s="137" t="str">
        <f t="shared" si="3"/>
        <v>26.43734533,50.04061388</v>
      </c>
      <c r="M28" s="7" t="s">
        <v>5092</v>
      </c>
      <c r="N28" s="7">
        <v>10006245306</v>
      </c>
      <c r="O28" s="9"/>
      <c r="P28" s="32"/>
      <c r="Q28" s="29" t="s">
        <v>11</v>
      </c>
      <c r="R28" s="29" t="s">
        <v>11</v>
      </c>
      <c r="S28" s="29" t="s">
        <v>11</v>
      </c>
      <c r="T28" s="29" t="s">
        <v>11</v>
      </c>
      <c r="U28" s="29" t="s">
        <v>11</v>
      </c>
      <c r="V28" s="29" t="s">
        <v>11</v>
      </c>
      <c r="W28" s="29" t="s">
        <v>11</v>
      </c>
      <c r="X28" s="29" t="s">
        <v>11</v>
      </c>
      <c r="Y28" s="29" t="s">
        <v>11</v>
      </c>
      <c r="Z28" s="29" t="s">
        <v>11</v>
      </c>
      <c r="AA28" s="29" t="s">
        <v>11</v>
      </c>
      <c r="AB28" s="29" t="s">
        <v>11</v>
      </c>
      <c r="AC28" s="29" t="s">
        <v>11</v>
      </c>
      <c r="AD28" s="29" t="s">
        <v>11</v>
      </c>
      <c r="AE28" s="29" t="s">
        <v>11</v>
      </c>
      <c r="AF28" s="110" t="s">
        <v>11</v>
      </c>
      <c r="AG28" s="24">
        <f t="shared" si="0"/>
        <v>0</v>
      </c>
      <c r="AH28" s="24">
        <f t="shared" si="1"/>
        <v>0</v>
      </c>
      <c r="AI28" s="24">
        <f t="shared" si="2"/>
        <v>15</v>
      </c>
      <c r="AJ28" s="41" t="str" cm="1">
        <f t="array" ref="AJ28">_xlfn.IFS(
$AG28=15,"Not Started",
$AI28&lt;15,"In Progress",
$AI28=15,"Completed",
SUM(AG28:AI28)&gt;15,"Error"
)</f>
        <v>Completed</v>
      </c>
    </row>
    <row r="29" spans="1:36" ht="14.5" x14ac:dyDescent="0.35">
      <c r="A29" s="248"/>
      <c r="B29" s="14">
        <v>26</v>
      </c>
      <c r="C29" s="7" t="s">
        <v>278</v>
      </c>
      <c r="D29" s="53" t="s">
        <v>4893</v>
      </c>
      <c r="E29" s="57" t="s">
        <v>8921</v>
      </c>
      <c r="F29" s="7" t="s">
        <v>47</v>
      </c>
      <c r="G29" s="7" t="s">
        <v>48</v>
      </c>
      <c r="H29" s="14" t="s">
        <v>5286</v>
      </c>
      <c r="I29" s="14" t="s">
        <v>5286</v>
      </c>
      <c r="J29" s="112">
        <v>26.423189140000002</v>
      </c>
      <c r="K29" s="113">
        <v>50.008152279999997</v>
      </c>
      <c r="L29" s="137" t="str">
        <f t="shared" si="3"/>
        <v>26.42318914,50.00815228</v>
      </c>
      <c r="M29" s="7" t="s">
        <v>5093</v>
      </c>
      <c r="N29" s="7">
        <v>10019102679</v>
      </c>
      <c r="O29" s="9"/>
      <c r="P29" s="32"/>
      <c r="Q29" s="29" t="s">
        <v>11</v>
      </c>
      <c r="R29" s="29" t="s">
        <v>11</v>
      </c>
      <c r="S29" s="29" t="s">
        <v>11</v>
      </c>
      <c r="T29" s="29" t="s">
        <v>11</v>
      </c>
      <c r="U29" s="29" t="s">
        <v>11</v>
      </c>
      <c r="V29" s="29" t="s">
        <v>11</v>
      </c>
      <c r="W29" s="29" t="s">
        <v>11</v>
      </c>
      <c r="X29" s="29" t="s">
        <v>11</v>
      </c>
      <c r="Y29" s="29" t="s">
        <v>11</v>
      </c>
      <c r="Z29" s="29" t="s">
        <v>11</v>
      </c>
      <c r="AA29" s="29" t="s">
        <v>11</v>
      </c>
      <c r="AB29" s="29" t="s">
        <v>11</v>
      </c>
      <c r="AC29" s="29" t="s">
        <v>11</v>
      </c>
      <c r="AD29" s="29" t="s">
        <v>11</v>
      </c>
      <c r="AE29" s="29" t="s">
        <v>11</v>
      </c>
      <c r="AF29" s="110" t="s">
        <v>11</v>
      </c>
      <c r="AG29" s="24">
        <f t="shared" si="0"/>
        <v>0</v>
      </c>
      <c r="AH29" s="24">
        <f t="shared" si="1"/>
        <v>0</v>
      </c>
      <c r="AI29" s="24">
        <f t="shared" si="2"/>
        <v>15</v>
      </c>
      <c r="AJ29" s="41" t="str" cm="1">
        <f t="array" ref="AJ29">_xlfn.IFS(
$AG29=15,"Not Started",
$AI29&lt;15,"In Progress",
$AI29=15,"Completed",
SUM(AG29:AI29)&gt;15,"Error"
)</f>
        <v>Completed</v>
      </c>
    </row>
    <row r="30" spans="1:36" ht="14.5" x14ac:dyDescent="0.35">
      <c r="A30" s="248"/>
      <c r="B30" s="14">
        <v>27</v>
      </c>
      <c r="C30" s="14" t="s">
        <v>279</v>
      </c>
      <c r="D30" s="53" t="s">
        <v>4894</v>
      </c>
      <c r="E30" s="57" t="s">
        <v>8922</v>
      </c>
      <c r="F30" s="7" t="s">
        <v>47</v>
      </c>
      <c r="G30" s="7" t="s">
        <v>48</v>
      </c>
      <c r="H30" s="14" t="s">
        <v>5286</v>
      </c>
      <c r="I30" s="14" t="s">
        <v>5286</v>
      </c>
      <c r="J30" s="112">
        <v>26.411610249999999</v>
      </c>
      <c r="K30" s="113">
        <v>50.029337050000002</v>
      </c>
      <c r="L30" s="137" t="str">
        <f t="shared" si="3"/>
        <v>26.41161025,50.02933705</v>
      </c>
      <c r="M30" s="7" t="s">
        <v>5094</v>
      </c>
      <c r="N30" s="7">
        <v>10006245244</v>
      </c>
      <c r="O30" s="9"/>
      <c r="P30" s="32"/>
      <c r="Q30" s="29" t="s">
        <v>11</v>
      </c>
      <c r="R30" s="29" t="s">
        <v>11</v>
      </c>
      <c r="S30" s="29" t="s">
        <v>11</v>
      </c>
      <c r="T30" s="29" t="s">
        <v>11</v>
      </c>
      <c r="U30" s="29" t="s">
        <v>11</v>
      </c>
      <c r="V30" s="29" t="s">
        <v>11</v>
      </c>
      <c r="W30" s="29" t="s">
        <v>11</v>
      </c>
      <c r="X30" s="29" t="s">
        <v>11</v>
      </c>
      <c r="Y30" s="29" t="s">
        <v>11</v>
      </c>
      <c r="Z30" s="29" t="s">
        <v>11</v>
      </c>
      <c r="AA30" s="29" t="s">
        <v>11</v>
      </c>
      <c r="AB30" s="29" t="s">
        <v>11</v>
      </c>
      <c r="AC30" s="29" t="s">
        <v>11</v>
      </c>
      <c r="AD30" s="29" t="s">
        <v>11</v>
      </c>
      <c r="AE30" s="29" t="s">
        <v>11</v>
      </c>
      <c r="AF30" s="110" t="s">
        <v>11</v>
      </c>
      <c r="AG30" s="24">
        <f t="shared" si="0"/>
        <v>0</v>
      </c>
      <c r="AH30" s="24">
        <f t="shared" si="1"/>
        <v>0</v>
      </c>
      <c r="AI30" s="24">
        <f t="shared" si="2"/>
        <v>15</v>
      </c>
      <c r="AJ30" s="41" t="str" cm="1">
        <f t="array" ref="AJ30">_xlfn.IFS(
$AG30=15,"Not Started",
$AI30&lt;15,"In Progress",
$AI30=15,"Completed",
SUM(AG30:AI30)&gt;15,"Error"
)</f>
        <v>Completed</v>
      </c>
    </row>
    <row r="31" spans="1:36" ht="14.5" x14ac:dyDescent="0.35">
      <c r="A31" s="248"/>
      <c r="B31" s="14">
        <v>28</v>
      </c>
      <c r="C31" s="7" t="s">
        <v>280</v>
      </c>
      <c r="D31" s="53" t="s">
        <v>4895</v>
      </c>
      <c r="E31" s="57" t="s">
        <v>8923</v>
      </c>
      <c r="F31" s="7" t="s">
        <v>51</v>
      </c>
      <c r="G31" s="7" t="s">
        <v>48</v>
      </c>
      <c r="H31" s="14" t="s">
        <v>5286</v>
      </c>
      <c r="I31" s="14" t="s">
        <v>5286</v>
      </c>
      <c r="J31" s="112">
        <v>26.415828869999999</v>
      </c>
      <c r="K31" s="113">
        <v>50.02174772</v>
      </c>
      <c r="L31" s="137" t="str">
        <f t="shared" si="3"/>
        <v>26.41582887,50.02174772</v>
      </c>
      <c r="M31" s="7" t="s">
        <v>5095</v>
      </c>
      <c r="N31" s="7">
        <v>10006245262</v>
      </c>
      <c r="O31" s="9"/>
      <c r="P31" s="32"/>
      <c r="Q31" s="29" t="s">
        <v>11</v>
      </c>
      <c r="R31" s="29" t="s">
        <v>11</v>
      </c>
      <c r="S31" s="29" t="s">
        <v>11</v>
      </c>
      <c r="T31" s="29" t="s">
        <v>11</v>
      </c>
      <c r="U31" s="29" t="s">
        <v>11</v>
      </c>
      <c r="V31" s="29" t="s">
        <v>11</v>
      </c>
      <c r="W31" s="29" t="s">
        <v>11</v>
      </c>
      <c r="X31" s="29" t="s">
        <v>11</v>
      </c>
      <c r="Y31" s="29" t="s">
        <v>11</v>
      </c>
      <c r="Z31" s="29" t="s">
        <v>11</v>
      </c>
      <c r="AA31" s="29" t="s">
        <v>11</v>
      </c>
      <c r="AB31" s="29" t="s">
        <v>11</v>
      </c>
      <c r="AC31" s="29" t="s">
        <v>11</v>
      </c>
      <c r="AD31" s="29" t="s">
        <v>11</v>
      </c>
      <c r="AE31" s="29" t="s">
        <v>11</v>
      </c>
      <c r="AF31" s="110" t="s">
        <v>11</v>
      </c>
      <c r="AG31" s="24">
        <f t="shared" si="0"/>
        <v>0</v>
      </c>
      <c r="AH31" s="24">
        <f t="shared" si="1"/>
        <v>0</v>
      </c>
      <c r="AI31" s="24">
        <f t="shared" si="2"/>
        <v>15</v>
      </c>
      <c r="AJ31" s="41" t="str" cm="1">
        <f t="array" ref="AJ31">_xlfn.IFS(
$AG31=15,"Not Started",
$AI31&lt;15,"In Progress",
$AI31=15,"Completed",
SUM(AG31:AI31)&gt;15,"Error"
)</f>
        <v>Completed</v>
      </c>
    </row>
    <row r="32" spans="1:36" ht="14.5" x14ac:dyDescent="0.35">
      <c r="A32" s="248"/>
      <c r="B32" s="14">
        <v>29</v>
      </c>
      <c r="C32" s="14" t="s">
        <v>281</v>
      </c>
      <c r="D32" s="53" t="s">
        <v>4896</v>
      </c>
      <c r="E32" s="57" t="s">
        <v>8924</v>
      </c>
      <c r="F32" s="7" t="s">
        <v>47</v>
      </c>
      <c r="G32" s="7" t="s">
        <v>48</v>
      </c>
      <c r="H32" s="14" t="s">
        <v>5286</v>
      </c>
      <c r="I32" s="14" t="s">
        <v>5286</v>
      </c>
      <c r="J32" s="112">
        <v>26.400078050000001</v>
      </c>
      <c r="K32" s="113">
        <v>50.021937149999999</v>
      </c>
      <c r="L32" s="137" t="str">
        <f t="shared" si="3"/>
        <v>26.40007805,50.02193715</v>
      </c>
      <c r="M32" s="7" t="s">
        <v>5096</v>
      </c>
      <c r="N32" s="7">
        <v>10006262209</v>
      </c>
      <c r="O32" s="9"/>
      <c r="P32" s="32"/>
      <c r="Q32" s="29" t="s">
        <v>11</v>
      </c>
      <c r="R32" s="29" t="s">
        <v>11</v>
      </c>
      <c r="S32" s="29" t="s">
        <v>11</v>
      </c>
      <c r="T32" s="29" t="s">
        <v>11</v>
      </c>
      <c r="U32" s="29" t="s">
        <v>11</v>
      </c>
      <c r="V32" s="29" t="s">
        <v>11</v>
      </c>
      <c r="W32" s="29" t="s">
        <v>11</v>
      </c>
      <c r="X32" s="29" t="s">
        <v>11</v>
      </c>
      <c r="Y32" s="29" t="s">
        <v>11</v>
      </c>
      <c r="Z32" s="29" t="s">
        <v>11</v>
      </c>
      <c r="AA32" s="29" t="s">
        <v>11</v>
      </c>
      <c r="AB32" s="29" t="s">
        <v>11</v>
      </c>
      <c r="AC32" s="29" t="s">
        <v>11</v>
      </c>
      <c r="AD32" s="29" t="s">
        <v>11</v>
      </c>
      <c r="AE32" s="29" t="s">
        <v>11</v>
      </c>
      <c r="AF32" s="110" t="s">
        <v>11</v>
      </c>
      <c r="AG32" s="24">
        <f t="shared" si="0"/>
        <v>0</v>
      </c>
      <c r="AH32" s="24">
        <f t="shared" si="1"/>
        <v>0</v>
      </c>
      <c r="AI32" s="24">
        <f t="shared" si="2"/>
        <v>15</v>
      </c>
      <c r="AJ32" s="41" t="str" cm="1">
        <f t="array" ref="AJ32">_xlfn.IFS(
$AG32=15,"Not Started",
$AI32&lt;15,"In Progress",
$AI32=15,"Completed",
SUM(AG32:AI32)&gt;15,"Error"
)</f>
        <v>Completed</v>
      </c>
    </row>
    <row r="33" spans="1:36" ht="14.5" x14ac:dyDescent="0.35">
      <c r="A33" s="248"/>
      <c r="B33" s="14">
        <v>30</v>
      </c>
      <c r="C33" s="7" t="s">
        <v>282</v>
      </c>
      <c r="D33" s="53" t="s">
        <v>4897</v>
      </c>
      <c r="E33" s="57" t="s">
        <v>8925</v>
      </c>
      <c r="F33" s="7" t="s">
        <v>43</v>
      </c>
      <c r="G33" s="7" t="s">
        <v>48</v>
      </c>
      <c r="H33" s="14" t="s">
        <v>5286</v>
      </c>
      <c r="I33" s="14" t="s">
        <v>5286</v>
      </c>
      <c r="J33" s="112">
        <v>26.41275606</v>
      </c>
      <c r="K33" s="113">
        <v>50.029263520000001</v>
      </c>
      <c r="L33" s="137" t="str">
        <f t="shared" si="3"/>
        <v>26.41275606,50.02926352</v>
      </c>
      <c r="M33" s="7" t="s">
        <v>5097</v>
      </c>
      <c r="N33" s="7">
        <v>10006250923</v>
      </c>
      <c r="O33" s="9"/>
      <c r="P33" s="32"/>
      <c r="Q33" s="29" t="s">
        <v>11</v>
      </c>
      <c r="R33" s="29" t="s">
        <v>11</v>
      </c>
      <c r="S33" s="29" t="s">
        <v>11</v>
      </c>
      <c r="T33" s="29" t="s">
        <v>11</v>
      </c>
      <c r="U33" s="29" t="s">
        <v>11</v>
      </c>
      <c r="V33" s="29" t="s">
        <v>11</v>
      </c>
      <c r="W33" s="29" t="s">
        <v>11</v>
      </c>
      <c r="X33" s="29" t="s">
        <v>11</v>
      </c>
      <c r="Y33" s="29" t="s">
        <v>11</v>
      </c>
      <c r="Z33" s="29" t="s">
        <v>11</v>
      </c>
      <c r="AA33" s="29" t="s">
        <v>11</v>
      </c>
      <c r="AB33" s="29" t="s">
        <v>11</v>
      </c>
      <c r="AC33" s="29" t="s">
        <v>11</v>
      </c>
      <c r="AD33" s="29" t="s">
        <v>11</v>
      </c>
      <c r="AE33" s="29" t="s">
        <v>11</v>
      </c>
      <c r="AF33" s="110" t="s">
        <v>11</v>
      </c>
      <c r="AG33" s="24">
        <f t="shared" si="0"/>
        <v>0</v>
      </c>
      <c r="AH33" s="24">
        <f t="shared" si="1"/>
        <v>0</v>
      </c>
      <c r="AI33" s="24">
        <f t="shared" si="2"/>
        <v>15</v>
      </c>
      <c r="AJ33" s="41" t="str" cm="1">
        <f t="array" ref="AJ33">_xlfn.IFS(
$AG33=15,"Not Started",
$AI33&lt;15,"In Progress",
$AI33=15,"Completed",
SUM(AG33:AI33)&gt;15,"Error"
)</f>
        <v>Completed</v>
      </c>
    </row>
    <row r="34" spans="1:36" ht="14.5" x14ac:dyDescent="0.35">
      <c r="A34" s="248"/>
      <c r="B34" s="14">
        <v>31</v>
      </c>
      <c r="C34" s="14" t="s">
        <v>283</v>
      </c>
      <c r="D34" s="53" t="s">
        <v>4898</v>
      </c>
      <c r="E34" s="57" t="s">
        <v>8926</v>
      </c>
      <c r="F34" s="7" t="s">
        <v>43</v>
      </c>
      <c r="G34" s="7" t="s">
        <v>48</v>
      </c>
      <c r="H34" s="14" t="s">
        <v>5286</v>
      </c>
      <c r="I34" s="14" t="s">
        <v>5286</v>
      </c>
      <c r="J34" s="112">
        <v>26.410267439999998</v>
      </c>
      <c r="K34" s="113">
        <v>50.021645460000002</v>
      </c>
      <c r="L34" s="137" t="str">
        <f t="shared" si="3"/>
        <v>26.41026744,50.02164546</v>
      </c>
      <c r="M34" s="7" t="s">
        <v>5098</v>
      </c>
      <c r="N34" s="7">
        <v>10006262227</v>
      </c>
      <c r="O34" s="9"/>
      <c r="P34" s="32"/>
      <c r="Q34" s="29" t="s">
        <v>11</v>
      </c>
      <c r="R34" s="29" t="s">
        <v>11</v>
      </c>
      <c r="S34" s="29" t="s">
        <v>11</v>
      </c>
      <c r="T34" s="29" t="s">
        <v>11</v>
      </c>
      <c r="U34" s="29" t="s">
        <v>11</v>
      </c>
      <c r="V34" s="29" t="s">
        <v>11</v>
      </c>
      <c r="W34" s="29" t="s">
        <v>11</v>
      </c>
      <c r="X34" s="29" t="s">
        <v>11</v>
      </c>
      <c r="Y34" s="29" t="s">
        <v>11</v>
      </c>
      <c r="Z34" s="29" t="s">
        <v>11</v>
      </c>
      <c r="AA34" s="29" t="s">
        <v>11</v>
      </c>
      <c r="AB34" s="29" t="s">
        <v>11</v>
      </c>
      <c r="AC34" s="29" t="s">
        <v>11</v>
      </c>
      <c r="AD34" s="29" t="s">
        <v>11</v>
      </c>
      <c r="AE34" s="29" t="s">
        <v>11</v>
      </c>
      <c r="AF34" s="110" t="s">
        <v>11</v>
      </c>
      <c r="AG34" s="24">
        <f t="shared" si="0"/>
        <v>0</v>
      </c>
      <c r="AH34" s="24">
        <f t="shared" si="1"/>
        <v>0</v>
      </c>
      <c r="AI34" s="24">
        <f t="shared" si="2"/>
        <v>15</v>
      </c>
      <c r="AJ34" s="41" t="str" cm="1">
        <f t="array" ref="AJ34">_xlfn.IFS(
$AG34=15,"Not Started",
$AI34&lt;15,"In Progress",
$AI34=15,"Completed",
SUM(AG34:AI34)&gt;15,"Error"
)</f>
        <v>Completed</v>
      </c>
    </row>
    <row r="35" spans="1:36" ht="14.5" x14ac:dyDescent="0.35">
      <c r="A35" s="248"/>
      <c r="B35" s="14">
        <v>32</v>
      </c>
      <c r="C35" s="7" t="s">
        <v>284</v>
      </c>
      <c r="D35" s="53" t="s">
        <v>4899</v>
      </c>
      <c r="E35" s="57" t="s">
        <v>8927</v>
      </c>
      <c r="F35" s="7" t="s">
        <v>51</v>
      </c>
      <c r="G35" s="7" t="s">
        <v>48</v>
      </c>
      <c r="H35" s="14" t="s">
        <v>5286</v>
      </c>
      <c r="I35" s="14" t="s">
        <v>5286</v>
      </c>
      <c r="J35" s="112">
        <v>26.393812180000001</v>
      </c>
      <c r="K35" s="113">
        <v>50.025393770000001</v>
      </c>
      <c r="L35" s="137" t="str">
        <f t="shared" si="3"/>
        <v>26.39381218,50.02539377</v>
      </c>
      <c r="M35" s="7" t="s">
        <v>5099</v>
      </c>
      <c r="N35" s="7">
        <v>10006245324</v>
      </c>
      <c r="O35" s="9"/>
      <c r="P35" s="32"/>
      <c r="Q35" s="29" t="s">
        <v>11</v>
      </c>
      <c r="R35" s="29" t="s">
        <v>11</v>
      </c>
      <c r="S35" s="29" t="s">
        <v>11</v>
      </c>
      <c r="T35" s="29" t="s">
        <v>11</v>
      </c>
      <c r="U35" s="29" t="s">
        <v>11</v>
      </c>
      <c r="V35" s="29" t="s">
        <v>11</v>
      </c>
      <c r="W35" s="29" t="s">
        <v>11</v>
      </c>
      <c r="X35" s="29" t="s">
        <v>11</v>
      </c>
      <c r="Y35" s="29" t="s">
        <v>11</v>
      </c>
      <c r="Z35" s="29" t="s">
        <v>11</v>
      </c>
      <c r="AA35" s="29" t="s">
        <v>11</v>
      </c>
      <c r="AB35" s="29" t="s">
        <v>11</v>
      </c>
      <c r="AC35" s="29" t="s">
        <v>11</v>
      </c>
      <c r="AD35" s="29" t="s">
        <v>11</v>
      </c>
      <c r="AE35" s="29" t="s">
        <v>11</v>
      </c>
      <c r="AF35" s="110" t="s">
        <v>11</v>
      </c>
      <c r="AG35" s="24">
        <f t="shared" si="0"/>
        <v>0</v>
      </c>
      <c r="AH35" s="24">
        <f t="shared" si="1"/>
        <v>0</v>
      </c>
      <c r="AI35" s="24">
        <f t="shared" si="2"/>
        <v>15</v>
      </c>
      <c r="AJ35" s="41" t="str" cm="1">
        <f t="array" ref="AJ35">_xlfn.IFS(
$AG35=15,"Not Started",
$AI35&lt;15,"In Progress",
$AI35=15,"Completed",
SUM(AG35:AI35)&gt;15,"Error"
)</f>
        <v>Completed</v>
      </c>
    </row>
    <row r="36" spans="1:36" ht="14.5" x14ac:dyDescent="0.35">
      <c r="A36" s="248"/>
      <c r="B36" s="14">
        <v>33</v>
      </c>
      <c r="C36" s="14" t="s">
        <v>285</v>
      </c>
      <c r="D36" s="53" t="s">
        <v>4900</v>
      </c>
      <c r="E36" s="57" t="s">
        <v>8928</v>
      </c>
      <c r="F36" s="7" t="s">
        <v>43</v>
      </c>
      <c r="G36" s="7" t="s">
        <v>48</v>
      </c>
      <c r="H36" s="14" t="s">
        <v>5286</v>
      </c>
      <c r="I36" s="14" t="s">
        <v>5286</v>
      </c>
      <c r="J36" s="112">
        <v>26.399773710000002</v>
      </c>
      <c r="K36" s="113">
        <v>50.039018300000002</v>
      </c>
      <c r="L36" s="137" t="str">
        <f t="shared" si="3"/>
        <v>26.39977371,50.0390183</v>
      </c>
      <c r="M36" s="7" t="s">
        <v>5100</v>
      </c>
      <c r="N36" s="7">
        <v>10006245226</v>
      </c>
      <c r="O36" s="9"/>
      <c r="P36" s="32"/>
      <c r="Q36" s="29" t="s">
        <v>11</v>
      </c>
      <c r="R36" s="29" t="s">
        <v>11</v>
      </c>
      <c r="S36" s="29" t="s">
        <v>11</v>
      </c>
      <c r="T36" s="29" t="s">
        <v>11</v>
      </c>
      <c r="U36" s="29" t="s">
        <v>11</v>
      </c>
      <c r="V36" s="29" t="s">
        <v>11</v>
      </c>
      <c r="W36" s="29" t="s">
        <v>11</v>
      </c>
      <c r="X36" s="29" t="s">
        <v>11</v>
      </c>
      <c r="Y36" s="29" t="s">
        <v>11</v>
      </c>
      <c r="Z36" s="29" t="s">
        <v>11</v>
      </c>
      <c r="AA36" s="29" t="s">
        <v>11</v>
      </c>
      <c r="AB36" s="29" t="s">
        <v>11</v>
      </c>
      <c r="AC36" s="29" t="s">
        <v>11</v>
      </c>
      <c r="AD36" s="29" t="s">
        <v>11</v>
      </c>
      <c r="AE36" s="29" t="s">
        <v>11</v>
      </c>
      <c r="AF36" s="110" t="s">
        <v>11</v>
      </c>
      <c r="AG36" s="24">
        <f t="shared" si="0"/>
        <v>0</v>
      </c>
      <c r="AH36" s="24">
        <f t="shared" si="1"/>
        <v>0</v>
      </c>
      <c r="AI36" s="24">
        <f t="shared" si="2"/>
        <v>15</v>
      </c>
      <c r="AJ36" s="41" t="str" cm="1">
        <f t="array" ref="AJ36">_xlfn.IFS(
$AG36=15,"Not Started",
$AI36&lt;15,"In Progress",
$AI36=15,"Completed",
SUM(AG36:AI36)&gt;15,"Error"
)</f>
        <v>Completed</v>
      </c>
    </row>
    <row r="37" spans="1:36" ht="14.5" x14ac:dyDescent="0.35">
      <c r="A37" s="248"/>
      <c r="B37" s="14">
        <v>34</v>
      </c>
      <c r="C37" s="7" t="s">
        <v>286</v>
      </c>
      <c r="D37" s="53" t="s">
        <v>4901</v>
      </c>
      <c r="E37" s="57" t="s">
        <v>8929</v>
      </c>
      <c r="F37" s="7" t="s">
        <v>43</v>
      </c>
      <c r="G37" s="7" t="s">
        <v>48</v>
      </c>
      <c r="H37" s="14" t="s">
        <v>5286</v>
      </c>
      <c r="I37" s="14" t="s">
        <v>5286</v>
      </c>
      <c r="J37" s="112">
        <v>26.410163099999998</v>
      </c>
      <c r="K37" s="113">
        <v>50.015635090000004</v>
      </c>
      <c r="L37" s="137" t="str">
        <f t="shared" si="3"/>
        <v>26.4101631,50.01563509</v>
      </c>
      <c r="M37" s="7" t="s">
        <v>5101</v>
      </c>
      <c r="N37" s="7">
        <v>10085798114</v>
      </c>
      <c r="O37" s="9"/>
      <c r="P37" s="32"/>
      <c r="Q37" s="29" t="s">
        <v>11</v>
      </c>
      <c r="R37" s="29" t="s">
        <v>11</v>
      </c>
      <c r="S37" s="29" t="s">
        <v>11</v>
      </c>
      <c r="T37" s="29" t="s">
        <v>11</v>
      </c>
      <c r="U37" s="29" t="s">
        <v>11</v>
      </c>
      <c r="V37" s="29" t="s">
        <v>11</v>
      </c>
      <c r="W37" s="29" t="s">
        <v>11</v>
      </c>
      <c r="X37" s="29" t="s">
        <v>11</v>
      </c>
      <c r="Y37" s="29" t="s">
        <v>11</v>
      </c>
      <c r="Z37" s="29" t="s">
        <v>11</v>
      </c>
      <c r="AA37" s="29" t="s">
        <v>11</v>
      </c>
      <c r="AB37" s="29" t="s">
        <v>11</v>
      </c>
      <c r="AC37" s="29" t="s">
        <v>11</v>
      </c>
      <c r="AD37" s="29" t="s">
        <v>11</v>
      </c>
      <c r="AE37" s="29" t="s">
        <v>11</v>
      </c>
      <c r="AF37" s="110" t="s">
        <v>11</v>
      </c>
      <c r="AG37" s="24">
        <f t="shared" si="0"/>
        <v>0</v>
      </c>
      <c r="AH37" s="24">
        <f t="shared" si="1"/>
        <v>0</v>
      </c>
      <c r="AI37" s="24">
        <f t="shared" si="2"/>
        <v>15</v>
      </c>
      <c r="AJ37" s="41" t="str" cm="1">
        <f t="array" ref="AJ37">_xlfn.IFS(
$AG37=15,"Not Started",
$AI37&lt;15,"In Progress",
$AI37=15,"Completed",
SUM(AG37:AI37)&gt;15,"Error"
)</f>
        <v>Completed</v>
      </c>
    </row>
    <row r="38" spans="1:36" ht="14.5" x14ac:dyDescent="0.35">
      <c r="A38" s="248"/>
      <c r="B38" s="14">
        <v>35</v>
      </c>
      <c r="C38" s="14" t="s">
        <v>287</v>
      </c>
      <c r="D38" s="53" t="s">
        <v>4902</v>
      </c>
      <c r="E38" s="57" t="s">
        <v>8930</v>
      </c>
      <c r="F38" s="7" t="s">
        <v>51</v>
      </c>
      <c r="G38" s="7" t="s">
        <v>48</v>
      </c>
      <c r="H38" s="14" t="s">
        <v>5286</v>
      </c>
      <c r="I38" s="14" t="s">
        <v>5286</v>
      </c>
      <c r="J38" s="112">
        <v>26.41013427</v>
      </c>
      <c r="K38" s="113">
        <v>50.01555999</v>
      </c>
      <c r="L38" s="137" t="str">
        <f t="shared" si="3"/>
        <v>26.41013427,50.01555999</v>
      </c>
      <c r="M38" s="7" t="s">
        <v>5102</v>
      </c>
      <c r="N38" s="7">
        <v>10019110035</v>
      </c>
      <c r="O38" s="9"/>
      <c r="P38" s="32"/>
      <c r="Q38" s="29" t="s">
        <v>11</v>
      </c>
      <c r="R38" s="29" t="s">
        <v>11</v>
      </c>
      <c r="S38" s="29" t="s">
        <v>11</v>
      </c>
      <c r="T38" s="29" t="s">
        <v>11</v>
      </c>
      <c r="U38" s="29" t="s">
        <v>11</v>
      </c>
      <c r="V38" s="29" t="s">
        <v>11</v>
      </c>
      <c r="W38" s="29" t="s">
        <v>11</v>
      </c>
      <c r="X38" s="29" t="s">
        <v>11</v>
      </c>
      <c r="Y38" s="29" t="s">
        <v>11</v>
      </c>
      <c r="Z38" s="29" t="s">
        <v>11</v>
      </c>
      <c r="AA38" s="29" t="s">
        <v>11</v>
      </c>
      <c r="AB38" s="29" t="s">
        <v>11</v>
      </c>
      <c r="AC38" s="29" t="s">
        <v>11</v>
      </c>
      <c r="AD38" s="29" t="s">
        <v>11</v>
      </c>
      <c r="AE38" s="29" t="s">
        <v>11</v>
      </c>
      <c r="AF38" s="110" t="s">
        <v>11</v>
      </c>
      <c r="AG38" s="24">
        <f t="shared" si="0"/>
        <v>0</v>
      </c>
      <c r="AH38" s="24">
        <f t="shared" si="1"/>
        <v>0</v>
      </c>
      <c r="AI38" s="24">
        <f t="shared" si="2"/>
        <v>15</v>
      </c>
      <c r="AJ38" s="41" t="str" cm="1">
        <f t="array" ref="AJ38">_xlfn.IFS(
$AG38=15,"Not Started",
$AI38&lt;15,"In Progress",
$AI38=15,"Completed",
SUM(AG38:AI38)&gt;15,"Error"
)</f>
        <v>Completed</v>
      </c>
    </row>
    <row r="39" spans="1:36" ht="14.5" x14ac:dyDescent="0.35">
      <c r="A39" s="248"/>
      <c r="B39" s="14">
        <v>36</v>
      </c>
      <c r="C39" s="7" t="s">
        <v>288</v>
      </c>
      <c r="D39" s="53" t="s">
        <v>4903</v>
      </c>
      <c r="E39" s="57" t="s">
        <v>8931</v>
      </c>
      <c r="F39" s="7" t="s">
        <v>43</v>
      </c>
      <c r="G39" s="7" t="s">
        <v>48</v>
      </c>
      <c r="H39" s="14" t="s">
        <v>5286</v>
      </c>
      <c r="I39" s="14" t="s">
        <v>5286</v>
      </c>
      <c r="J39" s="112">
        <v>26.41556688</v>
      </c>
      <c r="K39" s="113">
        <v>50.034065689999998</v>
      </c>
      <c r="L39" s="137" t="str">
        <f t="shared" si="3"/>
        <v>26.41556688,50.03406569</v>
      </c>
      <c r="M39" s="7" t="s">
        <v>5103</v>
      </c>
      <c r="N39" s="7">
        <v>10006266262</v>
      </c>
      <c r="O39" s="9"/>
      <c r="P39" s="32"/>
      <c r="Q39" s="29" t="s">
        <v>11</v>
      </c>
      <c r="R39" s="29" t="s">
        <v>11</v>
      </c>
      <c r="S39" s="29" t="s">
        <v>11</v>
      </c>
      <c r="T39" s="29" t="s">
        <v>11</v>
      </c>
      <c r="U39" s="29" t="s">
        <v>11</v>
      </c>
      <c r="V39" s="29" t="s">
        <v>11</v>
      </c>
      <c r="W39" s="29" t="s">
        <v>11</v>
      </c>
      <c r="X39" s="29" t="s">
        <v>11</v>
      </c>
      <c r="Y39" s="29" t="s">
        <v>11</v>
      </c>
      <c r="Z39" s="29" t="s">
        <v>11</v>
      </c>
      <c r="AA39" s="29" t="s">
        <v>11</v>
      </c>
      <c r="AB39" s="29" t="s">
        <v>11</v>
      </c>
      <c r="AC39" s="29" t="s">
        <v>11</v>
      </c>
      <c r="AD39" s="29" t="s">
        <v>11</v>
      </c>
      <c r="AE39" s="29" t="s">
        <v>11</v>
      </c>
      <c r="AF39" s="110" t="s">
        <v>11</v>
      </c>
      <c r="AG39" s="24">
        <f t="shared" si="0"/>
        <v>0</v>
      </c>
      <c r="AH39" s="24">
        <f t="shared" si="1"/>
        <v>0</v>
      </c>
      <c r="AI39" s="24">
        <f t="shared" si="2"/>
        <v>15</v>
      </c>
      <c r="AJ39" s="41" t="str" cm="1">
        <f t="array" ref="AJ39">_xlfn.IFS(
$AG39=15,"Not Started",
$AI39&lt;15,"In Progress",
$AI39=15,"Completed",
SUM(AG39:AI39)&gt;15,"Error"
)</f>
        <v>Completed</v>
      </c>
    </row>
    <row r="40" spans="1:36" ht="14.5" x14ac:dyDescent="0.35">
      <c r="A40" s="248"/>
      <c r="B40" s="14">
        <v>37</v>
      </c>
      <c r="C40" s="14" t="s">
        <v>289</v>
      </c>
      <c r="D40" s="53" t="s">
        <v>4904</v>
      </c>
      <c r="E40" s="57" t="s">
        <v>8932</v>
      </c>
      <c r="F40" s="7" t="s">
        <v>47</v>
      </c>
      <c r="G40" s="7" t="s">
        <v>48</v>
      </c>
      <c r="H40" s="14" t="s">
        <v>5286</v>
      </c>
      <c r="I40" s="14" t="s">
        <v>5286</v>
      </c>
      <c r="J40" s="112">
        <v>26.402922530000001</v>
      </c>
      <c r="K40" s="113">
        <v>50.042780970000003</v>
      </c>
      <c r="L40" s="137" t="str">
        <f t="shared" si="3"/>
        <v>26.40292253,50.04278097</v>
      </c>
      <c r="M40" s="7" t="s">
        <v>5104</v>
      </c>
      <c r="N40" s="7">
        <v>10006250905</v>
      </c>
      <c r="O40" s="9"/>
      <c r="P40" s="32"/>
      <c r="Q40" s="29" t="s">
        <v>11</v>
      </c>
      <c r="R40" s="29" t="s">
        <v>11</v>
      </c>
      <c r="S40" s="29" t="s">
        <v>11</v>
      </c>
      <c r="T40" s="29" t="s">
        <v>11</v>
      </c>
      <c r="U40" s="29" t="s">
        <v>11</v>
      </c>
      <c r="V40" s="29" t="s">
        <v>11</v>
      </c>
      <c r="W40" s="29" t="s">
        <v>11</v>
      </c>
      <c r="X40" s="29" t="s">
        <v>11</v>
      </c>
      <c r="Y40" s="29" t="s">
        <v>11</v>
      </c>
      <c r="Z40" s="29" t="s">
        <v>11</v>
      </c>
      <c r="AA40" s="29" t="s">
        <v>11</v>
      </c>
      <c r="AB40" s="29" t="s">
        <v>11</v>
      </c>
      <c r="AC40" s="29" t="s">
        <v>11</v>
      </c>
      <c r="AD40" s="29" t="s">
        <v>11</v>
      </c>
      <c r="AE40" s="29" t="s">
        <v>11</v>
      </c>
      <c r="AF40" s="110" t="s">
        <v>11</v>
      </c>
      <c r="AG40" s="24">
        <f t="shared" si="0"/>
        <v>0</v>
      </c>
      <c r="AH40" s="24">
        <f t="shared" si="1"/>
        <v>0</v>
      </c>
      <c r="AI40" s="24">
        <f t="shared" si="2"/>
        <v>15</v>
      </c>
      <c r="AJ40" s="41" t="str" cm="1">
        <f t="array" ref="AJ40">_xlfn.IFS(
$AG40=15,"Not Started",
$AI40&lt;15,"In Progress",
$AI40=15,"Completed",
SUM(AG40:AI40)&gt;15,"Error"
)</f>
        <v>Completed</v>
      </c>
    </row>
    <row r="41" spans="1:36" ht="14.5" x14ac:dyDescent="0.35">
      <c r="A41" s="248"/>
      <c r="B41" s="14">
        <v>38</v>
      </c>
      <c r="C41" s="7" t="s">
        <v>290</v>
      </c>
      <c r="D41" s="53" t="s">
        <v>4905</v>
      </c>
      <c r="E41" s="57" t="s">
        <v>8933</v>
      </c>
      <c r="F41" s="7" t="s">
        <v>43</v>
      </c>
      <c r="G41" s="7" t="s">
        <v>48</v>
      </c>
      <c r="H41" s="14" t="s">
        <v>5286</v>
      </c>
      <c r="I41" s="14" t="s">
        <v>5286</v>
      </c>
      <c r="J41" s="112">
        <v>26.408749159999999</v>
      </c>
      <c r="K41" s="113">
        <v>50.056023089999997</v>
      </c>
      <c r="L41" s="137" t="str">
        <f t="shared" si="3"/>
        <v>26.40874916,50.05602309</v>
      </c>
      <c r="M41" s="7" t="s">
        <v>5105</v>
      </c>
      <c r="N41" s="7">
        <v>10006264910</v>
      </c>
      <c r="O41" s="9"/>
      <c r="P41" s="32"/>
      <c r="Q41" s="29" t="s">
        <v>11</v>
      </c>
      <c r="R41" s="29" t="s">
        <v>11</v>
      </c>
      <c r="S41" s="29" t="s">
        <v>11</v>
      </c>
      <c r="T41" s="29" t="s">
        <v>11</v>
      </c>
      <c r="U41" s="29" t="s">
        <v>11</v>
      </c>
      <c r="V41" s="29" t="s">
        <v>11</v>
      </c>
      <c r="W41" s="29" t="s">
        <v>11</v>
      </c>
      <c r="X41" s="29" t="s">
        <v>11</v>
      </c>
      <c r="Y41" s="29" t="s">
        <v>11</v>
      </c>
      <c r="Z41" s="29" t="s">
        <v>11</v>
      </c>
      <c r="AA41" s="29" t="s">
        <v>11</v>
      </c>
      <c r="AB41" s="29" t="s">
        <v>11</v>
      </c>
      <c r="AC41" s="29" t="s">
        <v>11</v>
      </c>
      <c r="AD41" s="29" t="s">
        <v>11</v>
      </c>
      <c r="AE41" s="29" t="s">
        <v>11</v>
      </c>
      <c r="AF41" s="110" t="s">
        <v>11</v>
      </c>
      <c r="AG41" s="24">
        <f t="shared" si="0"/>
        <v>0</v>
      </c>
      <c r="AH41" s="24">
        <f t="shared" si="1"/>
        <v>0</v>
      </c>
      <c r="AI41" s="24">
        <f t="shared" si="2"/>
        <v>15</v>
      </c>
      <c r="AJ41" s="41" t="str" cm="1">
        <f t="array" ref="AJ41">_xlfn.IFS(
$AG41=15,"Not Started",
$AI41&lt;15,"In Progress",
$AI41=15,"Completed",
SUM(AG41:AI41)&gt;15,"Error"
)</f>
        <v>Completed</v>
      </c>
    </row>
    <row r="42" spans="1:36" ht="14.5" x14ac:dyDescent="0.35">
      <c r="A42" s="248"/>
      <c r="B42" s="14">
        <v>39</v>
      </c>
      <c r="C42" s="14" t="s">
        <v>291</v>
      </c>
      <c r="D42" s="53" t="s">
        <v>4906</v>
      </c>
      <c r="E42" s="57" t="s">
        <v>8934</v>
      </c>
      <c r="F42" s="7" t="s">
        <v>43</v>
      </c>
      <c r="G42" s="7" t="s">
        <v>48</v>
      </c>
      <c r="H42" s="14" t="s">
        <v>5286</v>
      </c>
      <c r="I42" s="14" t="s">
        <v>5286</v>
      </c>
      <c r="J42" s="112">
        <v>26.419893099999999</v>
      </c>
      <c r="K42" s="113">
        <v>50.047120810000003</v>
      </c>
      <c r="L42" s="137" t="str">
        <f t="shared" si="3"/>
        <v>26.4198931,50.04712081</v>
      </c>
      <c r="M42" s="7" t="s">
        <v>5106</v>
      </c>
      <c r="N42" s="7">
        <v>10006225921</v>
      </c>
      <c r="O42" s="9"/>
      <c r="P42" s="32"/>
      <c r="Q42" s="29" t="s">
        <v>11</v>
      </c>
      <c r="R42" s="29" t="s">
        <v>11</v>
      </c>
      <c r="S42" s="29" t="s">
        <v>11</v>
      </c>
      <c r="T42" s="29" t="s">
        <v>11</v>
      </c>
      <c r="U42" s="29" t="s">
        <v>11</v>
      </c>
      <c r="V42" s="29" t="s">
        <v>11</v>
      </c>
      <c r="W42" s="29" t="s">
        <v>11</v>
      </c>
      <c r="X42" s="29" t="s">
        <v>11</v>
      </c>
      <c r="Y42" s="29" t="s">
        <v>11</v>
      </c>
      <c r="Z42" s="29" t="s">
        <v>11</v>
      </c>
      <c r="AA42" s="29" t="s">
        <v>11</v>
      </c>
      <c r="AB42" s="29" t="s">
        <v>11</v>
      </c>
      <c r="AC42" s="29" t="s">
        <v>11</v>
      </c>
      <c r="AD42" s="29" t="s">
        <v>11</v>
      </c>
      <c r="AE42" s="29" t="s">
        <v>11</v>
      </c>
      <c r="AF42" s="110" t="s">
        <v>11</v>
      </c>
      <c r="AG42" s="24">
        <f t="shared" si="0"/>
        <v>0</v>
      </c>
      <c r="AH42" s="24">
        <f t="shared" si="1"/>
        <v>0</v>
      </c>
      <c r="AI42" s="24">
        <f t="shared" si="2"/>
        <v>15</v>
      </c>
      <c r="AJ42" s="41" t="str" cm="1">
        <f t="array" ref="AJ42">_xlfn.IFS(
$AG42=15,"Not Started",
$AI42&lt;15,"In Progress",
$AI42=15,"Completed",
SUM(AG42:AI42)&gt;15,"Error"
)</f>
        <v>Completed</v>
      </c>
    </row>
    <row r="43" spans="1:36" ht="14.5" x14ac:dyDescent="0.35">
      <c r="A43" s="248"/>
      <c r="B43" s="14">
        <v>40</v>
      </c>
      <c r="C43" s="7" t="s">
        <v>292</v>
      </c>
      <c r="D43" s="53" t="s">
        <v>4907</v>
      </c>
      <c r="E43" s="57" t="s">
        <v>8935</v>
      </c>
      <c r="F43" s="7" t="s">
        <v>47</v>
      </c>
      <c r="G43" s="7" t="s">
        <v>48</v>
      </c>
      <c r="H43" s="14" t="s">
        <v>5286</v>
      </c>
      <c r="I43" s="14" t="s">
        <v>5286</v>
      </c>
      <c r="J43" s="112">
        <v>26.404569429999999</v>
      </c>
      <c r="K43" s="113">
        <v>50.044623600000001</v>
      </c>
      <c r="L43" s="137" t="str">
        <f t="shared" si="3"/>
        <v>26.40456943,50.0446236</v>
      </c>
      <c r="M43" s="7" t="s">
        <v>5107</v>
      </c>
      <c r="N43" s="7">
        <v>10006228584</v>
      </c>
      <c r="O43" s="9"/>
      <c r="P43" s="32"/>
      <c r="Q43" s="29" t="s">
        <v>11</v>
      </c>
      <c r="R43" s="29" t="s">
        <v>11</v>
      </c>
      <c r="S43" s="29" t="s">
        <v>11</v>
      </c>
      <c r="T43" s="29" t="s">
        <v>11</v>
      </c>
      <c r="U43" s="29" t="s">
        <v>11</v>
      </c>
      <c r="V43" s="29" t="s">
        <v>11</v>
      </c>
      <c r="W43" s="29" t="s">
        <v>11</v>
      </c>
      <c r="X43" s="29" t="s">
        <v>11</v>
      </c>
      <c r="Y43" s="29" t="s">
        <v>11</v>
      </c>
      <c r="Z43" s="29" t="s">
        <v>11</v>
      </c>
      <c r="AA43" s="29" t="s">
        <v>11</v>
      </c>
      <c r="AB43" s="29" t="s">
        <v>11</v>
      </c>
      <c r="AC43" s="29" t="s">
        <v>11</v>
      </c>
      <c r="AD43" s="29" t="s">
        <v>11</v>
      </c>
      <c r="AE43" s="29" t="s">
        <v>11</v>
      </c>
      <c r="AF43" s="110" t="s">
        <v>11</v>
      </c>
      <c r="AG43" s="24">
        <f t="shared" si="0"/>
        <v>0</v>
      </c>
      <c r="AH43" s="24">
        <f t="shared" si="1"/>
        <v>0</v>
      </c>
      <c r="AI43" s="24">
        <f t="shared" si="2"/>
        <v>15</v>
      </c>
      <c r="AJ43" s="41" t="str" cm="1">
        <f t="array" ref="AJ43">_xlfn.IFS(
$AG43=15,"Not Started",
$AI43&lt;15,"In Progress",
$AI43=15,"Completed",
SUM(AG43:AI43)&gt;15,"Error"
)</f>
        <v>Completed</v>
      </c>
    </row>
    <row r="44" spans="1:36" ht="14.5" x14ac:dyDescent="0.35">
      <c r="A44" s="248"/>
      <c r="B44" s="14">
        <v>41</v>
      </c>
      <c r="C44" s="14" t="s">
        <v>293</v>
      </c>
      <c r="D44" s="53" t="s">
        <v>4908</v>
      </c>
      <c r="E44" s="57" t="s">
        <v>8936</v>
      </c>
      <c r="F44" s="7" t="s">
        <v>43</v>
      </c>
      <c r="G44" s="7" t="s">
        <v>48</v>
      </c>
      <c r="H44" s="14" t="s">
        <v>5286</v>
      </c>
      <c r="I44" s="14" t="s">
        <v>5286</v>
      </c>
      <c r="J44" s="112">
        <v>26.434224629999999</v>
      </c>
      <c r="K44" s="113">
        <v>50.043767090000003</v>
      </c>
      <c r="L44" s="137" t="str">
        <f t="shared" si="3"/>
        <v>26.43422463,50.04376709</v>
      </c>
      <c r="M44" s="7" t="s">
        <v>5108</v>
      </c>
      <c r="N44" s="7">
        <v>10006240641</v>
      </c>
      <c r="O44" s="9"/>
      <c r="P44" s="32"/>
      <c r="Q44" s="29" t="s">
        <v>11</v>
      </c>
      <c r="R44" s="29" t="s">
        <v>11</v>
      </c>
      <c r="S44" s="29" t="s">
        <v>11</v>
      </c>
      <c r="T44" s="29" t="s">
        <v>11</v>
      </c>
      <c r="U44" s="29" t="s">
        <v>11</v>
      </c>
      <c r="V44" s="29" t="s">
        <v>11</v>
      </c>
      <c r="W44" s="29" t="s">
        <v>11</v>
      </c>
      <c r="X44" s="29" t="s">
        <v>11</v>
      </c>
      <c r="Y44" s="29" t="s">
        <v>11</v>
      </c>
      <c r="Z44" s="29" t="s">
        <v>11</v>
      </c>
      <c r="AA44" s="29" t="s">
        <v>11</v>
      </c>
      <c r="AB44" s="29" t="s">
        <v>11</v>
      </c>
      <c r="AC44" s="29" t="s">
        <v>11</v>
      </c>
      <c r="AD44" s="29" t="s">
        <v>11</v>
      </c>
      <c r="AE44" s="29" t="s">
        <v>11</v>
      </c>
      <c r="AF44" s="110" t="s">
        <v>11</v>
      </c>
      <c r="AG44" s="24">
        <f t="shared" si="0"/>
        <v>0</v>
      </c>
      <c r="AH44" s="24">
        <f t="shared" si="1"/>
        <v>0</v>
      </c>
      <c r="AI44" s="24">
        <f t="shared" si="2"/>
        <v>15</v>
      </c>
      <c r="AJ44" s="41" t="str" cm="1">
        <f t="array" ref="AJ44">_xlfn.IFS(
$AG44=15,"Not Started",
$AI44&lt;15,"In Progress",
$AI44=15,"Completed",
SUM(AG44:AI44)&gt;15,"Error"
)</f>
        <v>Completed</v>
      </c>
    </row>
    <row r="45" spans="1:36" ht="14.5" x14ac:dyDescent="0.35">
      <c r="A45" s="248"/>
      <c r="B45" s="14">
        <v>42</v>
      </c>
      <c r="C45" s="7" t="s">
        <v>294</v>
      </c>
      <c r="D45" s="53" t="s">
        <v>4909</v>
      </c>
      <c r="E45" s="57" t="s">
        <v>8937</v>
      </c>
      <c r="F45" s="7" t="s">
        <v>43</v>
      </c>
      <c r="G45" s="7" t="s">
        <v>48</v>
      </c>
      <c r="H45" s="14" t="s">
        <v>5286</v>
      </c>
      <c r="I45" s="14" t="s">
        <v>5286</v>
      </c>
      <c r="J45" s="112">
        <v>26.414245609999998</v>
      </c>
      <c r="K45" s="113">
        <v>50.036966659999997</v>
      </c>
      <c r="L45" s="137" t="str">
        <f t="shared" si="3"/>
        <v>26.41424561,50.03696666</v>
      </c>
      <c r="M45" s="7" t="s">
        <v>5109</v>
      </c>
      <c r="N45" s="7">
        <v>10006263725</v>
      </c>
      <c r="O45" s="9"/>
      <c r="P45" s="32"/>
      <c r="Q45" s="29" t="s">
        <v>11</v>
      </c>
      <c r="R45" s="29" t="s">
        <v>11</v>
      </c>
      <c r="S45" s="29" t="s">
        <v>11</v>
      </c>
      <c r="T45" s="29" t="s">
        <v>11</v>
      </c>
      <c r="U45" s="29" t="s">
        <v>11</v>
      </c>
      <c r="V45" s="29" t="s">
        <v>11</v>
      </c>
      <c r="W45" s="29" t="s">
        <v>11</v>
      </c>
      <c r="X45" s="29" t="s">
        <v>11</v>
      </c>
      <c r="Y45" s="29" t="s">
        <v>11</v>
      </c>
      <c r="Z45" s="29" t="s">
        <v>11</v>
      </c>
      <c r="AA45" s="29" t="s">
        <v>11</v>
      </c>
      <c r="AB45" s="29" t="s">
        <v>11</v>
      </c>
      <c r="AC45" s="29" t="s">
        <v>11</v>
      </c>
      <c r="AD45" s="29" t="s">
        <v>11</v>
      </c>
      <c r="AE45" s="29" t="s">
        <v>11</v>
      </c>
      <c r="AF45" s="110" t="s">
        <v>11</v>
      </c>
      <c r="AG45" s="24">
        <f t="shared" si="0"/>
        <v>0</v>
      </c>
      <c r="AH45" s="24">
        <f t="shared" si="1"/>
        <v>0</v>
      </c>
      <c r="AI45" s="24">
        <f t="shared" si="2"/>
        <v>15</v>
      </c>
      <c r="AJ45" s="41" t="str" cm="1">
        <f t="array" ref="AJ45">_xlfn.IFS(
$AG45=15,"Not Started",
$AI45&lt;15,"In Progress",
$AI45=15,"Completed",
SUM(AG45:AI45)&gt;15,"Error"
)</f>
        <v>Completed</v>
      </c>
    </row>
    <row r="46" spans="1:36" ht="14.5" x14ac:dyDescent="0.35">
      <c r="A46" s="248"/>
      <c r="B46" s="14">
        <v>43</v>
      </c>
      <c r="C46" s="14" t="s">
        <v>295</v>
      </c>
      <c r="D46" s="53" t="s">
        <v>4910</v>
      </c>
      <c r="E46" s="57" t="s">
        <v>8938</v>
      </c>
      <c r="F46" s="7" t="s">
        <v>51</v>
      </c>
      <c r="G46" s="7" t="s">
        <v>48</v>
      </c>
      <c r="H46" s="14" t="s">
        <v>5286</v>
      </c>
      <c r="I46" s="14" t="s">
        <v>5286</v>
      </c>
      <c r="J46" s="112">
        <v>26.411766579999998</v>
      </c>
      <c r="K46" s="113">
        <v>50.027227500000002</v>
      </c>
      <c r="L46" s="137" t="str">
        <f t="shared" si="3"/>
        <v>26.41176658,50.0272275</v>
      </c>
      <c r="M46" s="7" t="s">
        <v>5110</v>
      </c>
      <c r="N46" s="7">
        <v>10006250100</v>
      </c>
      <c r="O46" s="9"/>
      <c r="P46" s="32"/>
      <c r="Q46" s="29" t="s">
        <v>11</v>
      </c>
      <c r="R46" s="29" t="s">
        <v>11</v>
      </c>
      <c r="S46" s="29" t="s">
        <v>11</v>
      </c>
      <c r="T46" s="29" t="s">
        <v>11</v>
      </c>
      <c r="U46" s="29" t="s">
        <v>11</v>
      </c>
      <c r="V46" s="29" t="s">
        <v>11</v>
      </c>
      <c r="W46" s="29" t="s">
        <v>11</v>
      </c>
      <c r="X46" s="29" t="s">
        <v>11</v>
      </c>
      <c r="Y46" s="29" t="s">
        <v>11</v>
      </c>
      <c r="Z46" s="29" t="s">
        <v>11</v>
      </c>
      <c r="AA46" s="29" t="s">
        <v>11</v>
      </c>
      <c r="AB46" s="29" t="s">
        <v>11</v>
      </c>
      <c r="AC46" s="29" t="s">
        <v>11</v>
      </c>
      <c r="AD46" s="29" t="s">
        <v>11</v>
      </c>
      <c r="AE46" s="29" t="s">
        <v>11</v>
      </c>
      <c r="AF46" s="110" t="s">
        <v>11</v>
      </c>
      <c r="AG46" s="24">
        <f t="shared" si="0"/>
        <v>0</v>
      </c>
      <c r="AH46" s="24">
        <f t="shared" si="1"/>
        <v>0</v>
      </c>
      <c r="AI46" s="24">
        <f t="shared" si="2"/>
        <v>15</v>
      </c>
      <c r="AJ46" s="41" t="str" cm="1">
        <f t="array" ref="AJ46">_xlfn.IFS(
$AG46=15,"Not Started",
$AI46&lt;15,"In Progress",
$AI46=15,"Completed",
SUM(AG46:AI46)&gt;15,"Error"
)</f>
        <v>Completed</v>
      </c>
    </row>
    <row r="47" spans="1:36" ht="14.5" x14ac:dyDescent="0.35">
      <c r="A47" s="248"/>
      <c r="B47" s="14">
        <v>44</v>
      </c>
      <c r="C47" s="7" t="s">
        <v>296</v>
      </c>
      <c r="D47" s="53" t="s">
        <v>4911</v>
      </c>
      <c r="E47" s="57" t="s">
        <v>8939</v>
      </c>
      <c r="F47" s="7" t="s">
        <v>43</v>
      </c>
      <c r="G47" s="7" t="s">
        <v>48</v>
      </c>
      <c r="H47" s="14" t="s">
        <v>5286</v>
      </c>
      <c r="I47" s="14" t="s">
        <v>5286</v>
      </c>
      <c r="J47" s="112">
        <v>26.40573874</v>
      </c>
      <c r="K47" s="113">
        <v>50.026688309999997</v>
      </c>
      <c r="L47" s="137" t="str">
        <f t="shared" si="3"/>
        <v>26.40573874,50.02668831</v>
      </c>
      <c r="M47" s="7" t="s">
        <v>5111</v>
      </c>
      <c r="N47" s="7">
        <v>10006228332</v>
      </c>
      <c r="O47" s="9"/>
      <c r="P47" s="32"/>
      <c r="Q47" s="29" t="s">
        <v>11</v>
      </c>
      <c r="R47" s="29" t="s">
        <v>11</v>
      </c>
      <c r="S47" s="29" t="s">
        <v>11</v>
      </c>
      <c r="T47" s="29" t="s">
        <v>11</v>
      </c>
      <c r="U47" s="29" t="s">
        <v>11</v>
      </c>
      <c r="V47" s="29" t="s">
        <v>11</v>
      </c>
      <c r="W47" s="29" t="s">
        <v>11</v>
      </c>
      <c r="X47" s="29" t="s">
        <v>11</v>
      </c>
      <c r="Y47" s="29" t="s">
        <v>11</v>
      </c>
      <c r="Z47" s="29" t="s">
        <v>11</v>
      </c>
      <c r="AA47" s="29" t="s">
        <v>11</v>
      </c>
      <c r="AB47" s="29" t="s">
        <v>11</v>
      </c>
      <c r="AC47" s="29" t="s">
        <v>11</v>
      </c>
      <c r="AD47" s="29" t="s">
        <v>11</v>
      </c>
      <c r="AE47" s="29" t="s">
        <v>11</v>
      </c>
      <c r="AF47" s="110" t="s">
        <v>11</v>
      </c>
      <c r="AG47" s="24">
        <f t="shared" si="0"/>
        <v>0</v>
      </c>
      <c r="AH47" s="24">
        <f t="shared" si="1"/>
        <v>0</v>
      </c>
      <c r="AI47" s="24">
        <f t="shared" si="2"/>
        <v>15</v>
      </c>
      <c r="AJ47" s="41" t="str" cm="1">
        <f t="array" ref="AJ47">_xlfn.IFS(
$AG47=15,"Not Started",
$AI47&lt;15,"In Progress",
$AI47=15,"Completed",
SUM(AG47:AI47)&gt;15,"Error"
)</f>
        <v>Completed</v>
      </c>
    </row>
    <row r="48" spans="1:36" ht="14.5" x14ac:dyDescent="0.35">
      <c r="A48" s="248"/>
      <c r="B48" s="14">
        <v>45</v>
      </c>
      <c r="C48" s="14" t="s">
        <v>297</v>
      </c>
      <c r="D48" s="53" t="s">
        <v>4912</v>
      </c>
      <c r="E48" s="57" t="s">
        <v>8940</v>
      </c>
      <c r="F48" s="7" t="s">
        <v>43</v>
      </c>
      <c r="G48" s="7" t="s">
        <v>48</v>
      </c>
      <c r="H48" s="14" t="s">
        <v>5286</v>
      </c>
      <c r="I48" s="14" t="s">
        <v>5286</v>
      </c>
      <c r="J48" s="112">
        <v>26.396396209999999</v>
      </c>
      <c r="K48" s="113">
        <v>50.02795631</v>
      </c>
      <c r="L48" s="137" t="str">
        <f t="shared" si="3"/>
        <v>26.39639621,50.02795631</v>
      </c>
      <c r="M48" s="7" t="s">
        <v>5112</v>
      </c>
      <c r="N48" s="7">
        <v>10006228708</v>
      </c>
      <c r="O48" s="9"/>
      <c r="P48" s="32"/>
      <c r="Q48" s="29" t="s">
        <v>11</v>
      </c>
      <c r="R48" s="29" t="s">
        <v>11</v>
      </c>
      <c r="S48" s="29" t="s">
        <v>11</v>
      </c>
      <c r="T48" s="29" t="s">
        <v>11</v>
      </c>
      <c r="U48" s="29" t="s">
        <v>11</v>
      </c>
      <c r="V48" s="29" t="s">
        <v>11</v>
      </c>
      <c r="W48" s="29" t="s">
        <v>11</v>
      </c>
      <c r="X48" s="29" t="s">
        <v>11</v>
      </c>
      <c r="Y48" s="29" t="s">
        <v>11</v>
      </c>
      <c r="Z48" s="29" t="s">
        <v>11</v>
      </c>
      <c r="AA48" s="29" t="s">
        <v>11</v>
      </c>
      <c r="AB48" s="29" t="s">
        <v>11</v>
      </c>
      <c r="AC48" s="29" t="s">
        <v>11</v>
      </c>
      <c r="AD48" s="29" t="s">
        <v>11</v>
      </c>
      <c r="AE48" s="29" t="s">
        <v>11</v>
      </c>
      <c r="AF48" s="110" t="s">
        <v>11</v>
      </c>
      <c r="AG48" s="24">
        <f t="shared" si="0"/>
        <v>0</v>
      </c>
      <c r="AH48" s="24">
        <f t="shared" si="1"/>
        <v>0</v>
      </c>
      <c r="AI48" s="24">
        <f t="shared" si="2"/>
        <v>15</v>
      </c>
      <c r="AJ48" s="41" t="str" cm="1">
        <f t="array" ref="AJ48">_xlfn.IFS(
$AG48=15,"Not Started",
$AI48&lt;15,"In Progress",
$AI48=15,"Completed",
SUM(AG48:AI48)&gt;15,"Error"
)</f>
        <v>Completed</v>
      </c>
    </row>
    <row r="49" spans="1:36" ht="14.5" x14ac:dyDescent="0.35">
      <c r="A49" s="248"/>
      <c r="B49" s="14">
        <v>46</v>
      </c>
      <c r="C49" s="7" t="s">
        <v>298</v>
      </c>
      <c r="D49" s="53" t="s">
        <v>4913</v>
      </c>
      <c r="E49" s="57" t="s">
        <v>8941</v>
      </c>
      <c r="F49" s="7" t="s">
        <v>43</v>
      </c>
      <c r="G49" s="7" t="s">
        <v>48</v>
      </c>
      <c r="H49" s="14" t="s">
        <v>5286</v>
      </c>
      <c r="I49" s="14" t="s">
        <v>5286</v>
      </c>
      <c r="J49" s="112">
        <v>26.406044779999998</v>
      </c>
      <c r="K49" s="113">
        <v>50.027292889999998</v>
      </c>
      <c r="L49" s="137" t="str">
        <f t="shared" si="3"/>
        <v>26.40604478,50.02729289</v>
      </c>
      <c r="M49" s="7" t="s">
        <v>5113</v>
      </c>
      <c r="N49" s="7">
        <v>10006240622</v>
      </c>
      <c r="O49" s="9"/>
      <c r="P49" s="32"/>
      <c r="Q49" s="29" t="s">
        <v>11</v>
      </c>
      <c r="R49" s="29" t="s">
        <v>11</v>
      </c>
      <c r="S49" s="29" t="s">
        <v>11</v>
      </c>
      <c r="T49" s="29" t="s">
        <v>11</v>
      </c>
      <c r="U49" s="29" t="s">
        <v>11</v>
      </c>
      <c r="V49" s="29" t="s">
        <v>11</v>
      </c>
      <c r="W49" s="29" t="s">
        <v>11</v>
      </c>
      <c r="X49" s="29" t="s">
        <v>11</v>
      </c>
      <c r="Y49" s="29" t="s">
        <v>11</v>
      </c>
      <c r="Z49" s="29" t="s">
        <v>11</v>
      </c>
      <c r="AA49" s="29" t="s">
        <v>11</v>
      </c>
      <c r="AB49" s="29" t="s">
        <v>11</v>
      </c>
      <c r="AC49" s="29" t="s">
        <v>11</v>
      </c>
      <c r="AD49" s="29" t="s">
        <v>11</v>
      </c>
      <c r="AE49" s="29" t="s">
        <v>11</v>
      </c>
      <c r="AF49" s="110" t="s">
        <v>11</v>
      </c>
      <c r="AG49" s="24">
        <f t="shared" si="0"/>
        <v>0</v>
      </c>
      <c r="AH49" s="24">
        <f t="shared" si="1"/>
        <v>0</v>
      </c>
      <c r="AI49" s="24">
        <f t="shared" si="2"/>
        <v>15</v>
      </c>
      <c r="AJ49" s="41" t="str" cm="1">
        <f t="array" ref="AJ49">_xlfn.IFS(
$AG49=15,"Not Started",
$AI49&lt;15,"In Progress",
$AI49=15,"Completed",
SUM(AG49:AI49)&gt;15,"Error"
)</f>
        <v>Completed</v>
      </c>
    </row>
    <row r="50" spans="1:36" ht="14.5" x14ac:dyDescent="0.35">
      <c r="A50" s="248"/>
      <c r="B50" s="14">
        <v>47</v>
      </c>
      <c r="C50" s="14" t="s">
        <v>299</v>
      </c>
      <c r="D50" s="53" t="s">
        <v>4914</v>
      </c>
      <c r="E50" s="57" t="s">
        <v>8942</v>
      </c>
      <c r="F50" s="7" t="s">
        <v>47</v>
      </c>
      <c r="G50" s="7" t="s">
        <v>44</v>
      </c>
      <c r="H50" s="14" t="s">
        <v>5286</v>
      </c>
      <c r="I50" s="14" t="s">
        <v>5286</v>
      </c>
      <c r="J50" s="112">
        <v>26.431978040000001</v>
      </c>
      <c r="K50" s="113">
        <v>50.033062649999998</v>
      </c>
      <c r="L50" s="137" t="str">
        <f t="shared" si="3"/>
        <v>26.43197804,50.03306265</v>
      </c>
      <c r="M50" s="7" t="s">
        <v>5114</v>
      </c>
      <c r="N50" s="7">
        <v>10006262076</v>
      </c>
      <c r="O50" s="9"/>
      <c r="P50" s="32"/>
      <c r="Q50" s="29" t="s">
        <v>11</v>
      </c>
      <c r="R50" s="29" t="s">
        <v>11</v>
      </c>
      <c r="S50" s="29" t="s">
        <v>11</v>
      </c>
      <c r="T50" s="29" t="s">
        <v>11</v>
      </c>
      <c r="U50" s="29" t="s">
        <v>11</v>
      </c>
      <c r="V50" s="29" t="s">
        <v>11</v>
      </c>
      <c r="W50" s="29" t="s">
        <v>11</v>
      </c>
      <c r="X50" s="29" t="s">
        <v>11</v>
      </c>
      <c r="Y50" s="29" t="s">
        <v>11</v>
      </c>
      <c r="Z50" s="29" t="s">
        <v>11</v>
      </c>
      <c r="AA50" s="29" t="s">
        <v>11</v>
      </c>
      <c r="AB50" s="29" t="s">
        <v>11</v>
      </c>
      <c r="AC50" s="29" t="s">
        <v>11</v>
      </c>
      <c r="AD50" s="29" t="s">
        <v>11</v>
      </c>
      <c r="AE50" s="29" t="s">
        <v>11</v>
      </c>
      <c r="AF50" s="110" t="s">
        <v>11</v>
      </c>
      <c r="AG50" s="24">
        <f t="shared" si="0"/>
        <v>0</v>
      </c>
      <c r="AH50" s="24">
        <f t="shared" si="1"/>
        <v>0</v>
      </c>
      <c r="AI50" s="24">
        <f t="shared" si="2"/>
        <v>15</v>
      </c>
      <c r="AJ50" s="41" t="str" cm="1">
        <f t="array" ref="AJ50">_xlfn.IFS(
$AG50=15,"Not Started",
$AI50&lt;15,"In Progress",
$AI50=15,"Completed",
SUM(AG50:AI50)&gt;15,"Error"
)</f>
        <v>Completed</v>
      </c>
    </row>
    <row r="51" spans="1:36" ht="14.5" x14ac:dyDescent="0.35">
      <c r="A51" s="248"/>
      <c r="B51" s="14">
        <v>48</v>
      </c>
      <c r="C51" s="7" t="s">
        <v>300</v>
      </c>
      <c r="D51" s="53" t="s">
        <v>4915</v>
      </c>
      <c r="E51" s="57" t="s">
        <v>8943</v>
      </c>
      <c r="F51" s="7" t="s">
        <v>51</v>
      </c>
      <c r="G51" s="7" t="s">
        <v>44</v>
      </c>
      <c r="H51" s="14" t="s">
        <v>5286</v>
      </c>
      <c r="I51" s="14" t="s">
        <v>5286</v>
      </c>
      <c r="J51" s="112">
        <v>26.411578769999998</v>
      </c>
      <c r="K51" s="113">
        <v>50.026725229999997</v>
      </c>
      <c r="L51" s="137" t="str">
        <f t="shared" si="3"/>
        <v>26.41157877,50.02672523</v>
      </c>
      <c r="M51" s="7" t="s">
        <v>5115</v>
      </c>
      <c r="N51" s="7">
        <v>10006241227</v>
      </c>
      <c r="O51" s="9"/>
      <c r="P51" s="32"/>
      <c r="Q51" s="29" t="s">
        <v>11</v>
      </c>
      <c r="R51" s="29" t="s">
        <v>11</v>
      </c>
      <c r="S51" s="29" t="s">
        <v>11</v>
      </c>
      <c r="T51" s="29" t="s">
        <v>11</v>
      </c>
      <c r="U51" s="29" t="s">
        <v>11</v>
      </c>
      <c r="V51" s="29" t="s">
        <v>11</v>
      </c>
      <c r="W51" s="29" t="s">
        <v>11</v>
      </c>
      <c r="X51" s="29" t="s">
        <v>11</v>
      </c>
      <c r="Y51" s="29" t="s">
        <v>11</v>
      </c>
      <c r="Z51" s="29" t="s">
        <v>11</v>
      </c>
      <c r="AA51" s="29" t="s">
        <v>11</v>
      </c>
      <c r="AB51" s="29" t="s">
        <v>11</v>
      </c>
      <c r="AC51" s="29" t="s">
        <v>11</v>
      </c>
      <c r="AD51" s="29" t="s">
        <v>11</v>
      </c>
      <c r="AE51" s="29" t="s">
        <v>11</v>
      </c>
      <c r="AF51" s="110" t="s">
        <v>11</v>
      </c>
      <c r="AG51" s="24">
        <f t="shared" si="0"/>
        <v>0</v>
      </c>
      <c r="AH51" s="24">
        <f t="shared" si="1"/>
        <v>0</v>
      </c>
      <c r="AI51" s="24">
        <f t="shared" si="2"/>
        <v>15</v>
      </c>
      <c r="AJ51" s="41" t="str" cm="1">
        <f t="array" ref="AJ51">_xlfn.IFS(
$AG51=15,"Not Started",
$AI51&lt;15,"In Progress",
$AI51=15,"Completed",
SUM(AG51:AI51)&gt;15,"Error"
)</f>
        <v>Completed</v>
      </c>
    </row>
    <row r="52" spans="1:36" ht="14.5" x14ac:dyDescent="0.35">
      <c r="A52" s="248"/>
      <c r="B52" s="14">
        <v>49</v>
      </c>
      <c r="C52" s="14" t="s">
        <v>301</v>
      </c>
      <c r="D52" s="53" t="s">
        <v>4916</v>
      </c>
      <c r="E52" s="57" t="s">
        <v>8944</v>
      </c>
      <c r="F52" s="7" t="s">
        <v>43</v>
      </c>
      <c r="G52" s="7" t="s">
        <v>44</v>
      </c>
      <c r="H52" s="14" t="s">
        <v>5286</v>
      </c>
      <c r="I52" s="14" t="s">
        <v>5286</v>
      </c>
      <c r="J52" s="112">
        <v>26.400461450000002</v>
      </c>
      <c r="K52" s="113">
        <v>50.035827939999997</v>
      </c>
      <c r="L52" s="137" t="str">
        <f t="shared" si="3"/>
        <v>26.40046145,50.03582794</v>
      </c>
      <c r="M52" s="7" t="s">
        <v>5116</v>
      </c>
      <c r="N52" s="7">
        <v>10006231445</v>
      </c>
      <c r="O52" s="9"/>
      <c r="P52" s="32"/>
      <c r="Q52" s="29" t="s">
        <v>11</v>
      </c>
      <c r="R52" s="29" t="s">
        <v>11</v>
      </c>
      <c r="S52" s="29" t="s">
        <v>11</v>
      </c>
      <c r="T52" s="29" t="s">
        <v>11</v>
      </c>
      <c r="U52" s="29" t="s">
        <v>11</v>
      </c>
      <c r="V52" s="29" t="s">
        <v>11</v>
      </c>
      <c r="W52" s="29" t="s">
        <v>11</v>
      </c>
      <c r="X52" s="29" t="s">
        <v>11</v>
      </c>
      <c r="Y52" s="29" t="s">
        <v>11</v>
      </c>
      <c r="Z52" s="29" t="s">
        <v>11</v>
      </c>
      <c r="AA52" s="29" t="s">
        <v>11</v>
      </c>
      <c r="AB52" s="29" t="s">
        <v>11</v>
      </c>
      <c r="AC52" s="29" t="s">
        <v>11</v>
      </c>
      <c r="AD52" s="29" t="s">
        <v>11</v>
      </c>
      <c r="AE52" s="29" t="s">
        <v>11</v>
      </c>
      <c r="AF52" s="110" t="s">
        <v>11</v>
      </c>
      <c r="AG52" s="24">
        <f t="shared" si="0"/>
        <v>0</v>
      </c>
      <c r="AH52" s="24">
        <f t="shared" si="1"/>
        <v>0</v>
      </c>
      <c r="AI52" s="24">
        <f t="shared" si="2"/>
        <v>15</v>
      </c>
      <c r="AJ52" s="41" t="str" cm="1">
        <f t="array" ref="AJ52">_xlfn.IFS(
$AG52=15,"Not Started",
$AI52&lt;15,"In Progress",
$AI52=15,"Completed",
SUM(AG52:AI52)&gt;15,"Error"
)</f>
        <v>Completed</v>
      </c>
    </row>
    <row r="53" spans="1:36" ht="14.5" x14ac:dyDescent="0.35">
      <c r="A53" s="248"/>
      <c r="B53" s="14">
        <v>50</v>
      </c>
      <c r="C53" s="7" t="s">
        <v>302</v>
      </c>
      <c r="D53" s="53" t="s">
        <v>4917</v>
      </c>
      <c r="E53" s="57" t="s">
        <v>8945</v>
      </c>
      <c r="F53" s="7" t="s">
        <v>43</v>
      </c>
      <c r="G53" s="7" t="s">
        <v>44</v>
      </c>
      <c r="H53" s="14" t="s">
        <v>5286</v>
      </c>
      <c r="I53" s="14" t="s">
        <v>5286</v>
      </c>
      <c r="J53" s="112">
        <v>26.395248250000002</v>
      </c>
      <c r="K53" s="113">
        <v>50.02843945</v>
      </c>
      <c r="L53" s="137" t="str">
        <f t="shared" si="3"/>
        <v>26.39524825,50.02843945</v>
      </c>
      <c r="M53" s="7" t="s">
        <v>5117</v>
      </c>
      <c r="N53" s="7">
        <v>10006228931</v>
      </c>
      <c r="O53" s="9"/>
      <c r="P53" s="32"/>
      <c r="Q53" s="29" t="s">
        <v>11</v>
      </c>
      <c r="R53" s="29" t="s">
        <v>11</v>
      </c>
      <c r="S53" s="29" t="s">
        <v>11</v>
      </c>
      <c r="T53" s="29" t="s">
        <v>11</v>
      </c>
      <c r="U53" s="29" t="s">
        <v>11</v>
      </c>
      <c r="V53" s="29" t="s">
        <v>11</v>
      </c>
      <c r="W53" s="29" t="s">
        <v>11</v>
      </c>
      <c r="X53" s="29" t="s">
        <v>11</v>
      </c>
      <c r="Y53" s="29" t="s">
        <v>11</v>
      </c>
      <c r="Z53" s="29" t="s">
        <v>11</v>
      </c>
      <c r="AA53" s="29" t="s">
        <v>11</v>
      </c>
      <c r="AB53" s="29" t="s">
        <v>11</v>
      </c>
      <c r="AC53" s="29" t="s">
        <v>11</v>
      </c>
      <c r="AD53" s="29" t="s">
        <v>11</v>
      </c>
      <c r="AE53" s="29" t="s">
        <v>11</v>
      </c>
      <c r="AF53" s="110" t="s">
        <v>11</v>
      </c>
      <c r="AG53" s="24">
        <f t="shared" si="0"/>
        <v>0</v>
      </c>
      <c r="AH53" s="24">
        <f t="shared" si="1"/>
        <v>0</v>
      </c>
      <c r="AI53" s="24">
        <f t="shared" si="2"/>
        <v>15</v>
      </c>
      <c r="AJ53" s="41" t="str" cm="1">
        <f t="array" ref="AJ53">_xlfn.IFS(
$AG53=15,"Not Started",
$AI53&lt;15,"In Progress",
$AI53=15,"Completed",
SUM(AG53:AI53)&gt;15,"Error"
)</f>
        <v>Completed</v>
      </c>
    </row>
    <row r="54" spans="1:36" ht="14.5" x14ac:dyDescent="0.35">
      <c r="A54" s="248"/>
      <c r="B54" s="14">
        <v>51</v>
      </c>
      <c r="C54" s="14" t="s">
        <v>303</v>
      </c>
      <c r="D54" s="53" t="s">
        <v>4918</v>
      </c>
      <c r="E54" s="57" t="s">
        <v>8946</v>
      </c>
      <c r="F54" s="7" t="s">
        <v>47</v>
      </c>
      <c r="G54" s="7" t="s">
        <v>44</v>
      </c>
      <c r="H54" s="14" t="s">
        <v>5286</v>
      </c>
      <c r="I54" s="14" t="s">
        <v>5286</v>
      </c>
      <c r="J54" s="112">
        <v>26.413382519999999</v>
      </c>
      <c r="K54" s="113">
        <v>50.015150409999997</v>
      </c>
      <c r="L54" s="137" t="str">
        <f t="shared" si="3"/>
        <v>26.41338252,50.01515041</v>
      </c>
      <c r="M54" s="7" t="s">
        <v>5118</v>
      </c>
      <c r="N54" s="7">
        <v>10006242716</v>
      </c>
      <c r="O54" s="9"/>
      <c r="P54" s="32"/>
      <c r="Q54" s="29" t="s">
        <v>11</v>
      </c>
      <c r="R54" s="29" t="s">
        <v>11</v>
      </c>
      <c r="S54" s="29" t="s">
        <v>11</v>
      </c>
      <c r="T54" s="29" t="s">
        <v>11</v>
      </c>
      <c r="U54" s="29" t="s">
        <v>11</v>
      </c>
      <c r="V54" s="29" t="s">
        <v>11</v>
      </c>
      <c r="W54" s="29" t="s">
        <v>11</v>
      </c>
      <c r="X54" s="29" t="s">
        <v>11</v>
      </c>
      <c r="Y54" s="29" t="s">
        <v>11</v>
      </c>
      <c r="Z54" s="29" t="s">
        <v>11</v>
      </c>
      <c r="AA54" s="29" t="s">
        <v>11</v>
      </c>
      <c r="AB54" s="29" t="s">
        <v>11</v>
      </c>
      <c r="AC54" s="29" t="s">
        <v>11</v>
      </c>
      <c r="AD54" s="29" t="s">
        <v>11</v>
      </c>
      <c r="AE54" s="29" t="s">
        <v>11</v>
      </c>
      <c r="AF54" s="110" t="s">
        <v>11</v>
      </c>
      <c r="AG54" s="24">
        <f t="shared" si="0"/>
        <v>0</v>
      </c>
      <c r="AH54" s="24">
        <f t="shared" si="1"/>
        <v>0</v>
      </c>
      <c r="AI54" s="24">
        <f t="shared" si="2"/>
        <v>15</v>
      </c>
      <c r="AJ54" s="41" t="str" cm="1">
        <f t="array" ref="AJ54">_xlfn.IFS(
$AG54=15,"Not Started",
$AI54&lt;15,"In Progress",
$AI54=15,"Completed",
SUM(AG54:AI54)&gt;15,"Error"
)</f>
        <v>Completed</v>
      </c>
    </row>
    <row r="55" spans="1:36" ht="14.5" x14ac:dyDescent="0.35">
      <c r="A55" s="248"/>
      <c r="B55" s="14">
        <v>52</v>
      </c>
      <c r="C55" s="7" t="s">
        <v>304</v>
      </c>
      <c r="D55" s="53" t="s">
        <v>4919</v>
      </c>
      <c r="E55" s="57" t="s">
        <v>8947</v>
      </c>
      <c r="F55" s="7" t="s">
        <v>47</v>
      </c>
      <c r="G55" s="7" t="s">
        <v>44</v>
      </c>
      <c r="H55" s="14" t="s">
        <v>5286</v>
      </c>
      <c r="I55" s="14" t="s">
        <v>5286</v>
      </c>
      <c r="J55" s="112">
        <v>26.403879920000001</v>
      </c>
      <c r="K55" s="113">
        <v>50.044991629999998</v>
      </c>
      <c r="L55" s="137" t="str">
        <f t="shared" si="3"/>
        <v>26.40387992,50.04499163</v>
      </c>
      <c r="M55" s="7" t="s">
        <v>5119</v>
      </c>
      <c r="N55" s="7">
        <v>10006216841</v>
      </c>
      <c r="O55" s="9"/>
      <c r="P55" s="32"/>
      <c r="Q55" s="29" t="s">
        <v>11</v>
      </c>
      <c r="R55" s="29" t="s">
        <v>11</v>
      </c>
      <c r="S55" s="29" t="s">
        <v>11</v>
      </c>
      <c r="T55" s="29" t="s">
        <v>11</v>
      </c>
      <c r="U55" s="29" t="s">
        <v>11</v>
      </c>
      <c r="V55" s="29" t="s">
        <v>11</v>
      </c>
      <c r="W55" s="29" t="s">
        <v>11</v>
      </c>
      <c r="X55" s="29" t="s">
        <v>11</v>
      </c>
      <c r="Y55" s="29" t="s">
        <v>11</v>
      </c>
      <c r="Z55" s="29" t="s">
        <v>11</v>
      </c>
      <c r="AA55" s="29" t="s">
        <v>11</v>
      </c>
      <c r="AB55" s="29" t="s">
        <v>11</v>
      </c>
      <c r="AC55" s="29" t="s">
        <v>11</v>
      </c>
      <c r="AD55" s="29" t="s">
        <v>11</v>
      </c>
      <c r="AE55" s="29" t="s">
        <v>11</v>
      </c>
      <c r="AF55" s="110" t="s">
        <v>11</v>
      </c>
      <c r="AG55" s="24">
        <f t="shared" si="0"/>
        <v>0</v>
      </c>
      <c r="AH55" s="24">
        <f t="shared" si="1"/>
        <v>0</v>
      </c>
      <c r="AI55" s="24">
        <f t="shared" si="2"/>
        <v>15</v>
      </c>
      <c r="AJ55" s="41" t="str" cm="1">
        <f t="array" ref="AJ55">_xlfn.IFS(
$AG55=15,"Not Started",
$AI55&lt;15,"In Progress",
$AI55=15,"Completed",
SUM(AG55:AI55)&gt;15,"Error"
)</f>
        <v>Completed</v>
      </c>
    </row>
    <row r="56" spans="1:36" ht="14.5" x14ac:dyDescent="0.35">
      <c r="A56" s="248"/>
      <c r="B56" s="14">
        <v>53</v>
      </c>
      <c r="C56" s="14" t="s">
        <v>305</v>
      </c>
      <c r="D56" s="53" t="s">
        <v>4920</v>
      </c>
      <c r="E56" s="57" t="s">
        <v>8948</v>
      </c>
      <c r="F56" s="7" t="s">
        <v>43</v>
      </c>
      <c r="G56" s="7" t="s">
        <v>44</v>
      </c>
      <c r="H56" s="14" t="s">
        <v>5286</v>
      </c>
      <c r="I56" s="14" t="s">
        <v>5286</v>
      </c>
      <c r="J56" s="112">
        <v>26.40004128</v>
      </c>
      <c r="K56" s="113">
        <v>50.03838803</v>
      </c>
      <c r="L56" s="137" t="str">
        <f t="shared" si="3"/>
        <v>26.40004128,50.03838803</v>
      </c>
      <c r="M56" s="7" t="s">
        <v>5120</v>
      </c>
      <c r="N56" s="7">
        <v>10006241933</v>
      </c>
      <c r="O56" s="9"/>
      <c r="P56" s="32"/>
      <c r="Q56" s="29" t="s">
        <v>11</v>
      </c>
      <c r="R56" s="29" t="s">
        <v>11</v>
      </c>
      <c r="S56" s="29" t="s">
        <v>11</v>
      </c>
      <c r="T56" s="29" t="s">
        <v>11</v>
      </c>
      <c r="U56" s="29" t="s">
        <v>11</v>
      </c>
      <c r="V56" s="29" t="s">
        <v>11</v>
      </c>
      <c r="W56" s="29" t="s">
        <v>11</v>
      </c>
      <c r="X56" s="29" t="s">
        <v>11</v>
      </c>
      <c r="Y56" s="29" t="s">
        <v>11</v>
      </c>
      <c r="Z56" s="29" t="s">
        <v>11</v>
      </c>
      <c r="AA56" s="29" t="s">
        <v>11</v>
      </c>
      <c r="AB56" s="29" t="s">
        <v>11</v>
      </c>
      <c r="AC56" s="29" t="s">
        <v>11</v>
      </c>
      <c r="AD56" s="29" t="s">
        <v>11</v>
      </c>
      <c r="AE56" s="29" t="s">
        <v>11</v>
      </c>
      <c r="AF56" s="110" t="s">
        <v>11</v>
      </c>
      <c r="AG56" s="24">
        <f t="shared" si="0"/>
        <v>0</v>
      </c>
      <c r="AH56" s="24">
        <f t="shared" si="1"/>
        <v>0</v>
      </c>
      <c r="AI56" s="24">
        <f t="shared" si="2"/>
        <v>15</v>
      </c>
      <c r="AJ56" s="41" t="str" cm="1">
        <f t="array" ref="AJ56">_xlfn.IFS(
$AG56=15,"Not Started",
$AI56&lt;15,"In Progress",
$AI56=15,"Completed",
SUM(AG56:AI56)&gt;15,"Error"
)</f>
        <v>Completed</v>
      </c>
    </row>
    <row r="57" spans="1:36" ht="14.5" x14ac:dyDescent="0.35">
      <c r="A57" s="248"/>
      <c r="B57" s="14">
        <v>54</v>
      </c>
      <c r="C57" s="7" t="s">
        <v>306</v>
      </c>
      <c r="D57" s="53" t="s">
        <v>4921</v>
      </c>
      <c r="E57" s="57" t="s">
        <v>8949</v>
      </c>
      <c r="F57" s="7" t="s">
        <v>43</v>
      </c>
      <c r="G57" s="7" t="s">
        <v>44</v>
      </c>
      <c r="H57" s="14" t="s">
        <v>5286</v>
      </c>
      <c r="I57" s="14" t="s">
        <v>5286</v>
      </c>
      <c r="J57" s="112">
        <v>26.40904256</v>
      </c>
      <c r="K57" s="113">
        <v>50.093048940000003</v>
      </c>
      <c r="L57" s="137" t="str">
        <f t="shared" si="3"/>
        <v>26.40904256,50.09304894</v>
      </c>
      <c r="M57" s="7" t="s">
        <v>5121</v>
      </c>
      <c r="N57" s="7">
        <v>10006228501</v>
      </c>
      <c r="O57" s="9"/>
      <c r="P57" s="32"/>
      <c r="Q57" s="29" t="s">
        <v>11</v>
      </c>
      <c r="R57" s="29" t="s">
        <v>11</v>
      </c>
      <c r="S57" s="29" t="s">
        <v>11</v>
      </c>
      <c r="T57" s="29" t="s">
        <v>11</v>
      </c>
      <c r="U57" s="29" t="s">
        <v>11</v>
      </c>
      <c r="V57" s="29" t="s">
        <v>11</v>
      </c>
      <c r="W57" s="29" t="s">
        <v>11</v>
      </c>
      <c r="X57" s="29" t="s">
        <v>11</v>
      </c>
      <c r="Y57" s="29" t="s">
        <v>11</v>
      </c>
      <c r="Z57" s="29" t="s">
        <v>11</v>
      </c>
      <c r="AA57" s="29" t="s">
        <v>11</v>
      </c>
      <c r="AB57" s="29" t="s">
        <v>11</v>
      </c>
      <c r="AC57" s="29" t="s">
        <v>11</v>
      </c>
      <c r="AD57" s="29" t="s">
        <v>11</v>
      </c>
      <c r="AE57" s="29" t="s">
        <v>11</v>
      </c>
      <c r="AF57" s="110" t="s">
        <v>11</v>
      </c>
      <c r="AG57" s="24">
        <f t="shared" si="0"/>
        <v>0</v>
      </c>
      <c r="AH57" s="24">
        <f t="shared" si="1"/>
        <v>0</v>
      </c>
      <c r="AI57" s="24">
        <f t="shared" si="2"/>
        <v>15</v>
      </c>
      <c r="AJ57" s="41" t="str" cm="1">
        <f t="array" ref="AJ57">_xlfn.IFS(
$AG57=15,"Not Started",
$AI57&lt;15,"In Progress",
$AI57=15,"Completed",
SUM(AG57:AI57)&gt;15,"Error"
)</f>
        <v>Completed</v>
      </c>
    </row>
    <row r="58" spans="1:36" ht="14.5" x14ac:dyDescent="0.35">
      <c r="A58" s="248"/>
      <c r="B58" s="14">
        <v>55</v>
      </c>
      <c r="C58" s="14" t="s">
        <v>307</v>
      </c>
      <c r="D58" s="53" t="s">
        <v>4922</v>
      </c>
      <c r="E58" s="57" t="s">
        <v>8950</v>
      </c>
      <c r="F58" s="7" t="s">
        <v>51</v>
      </c>
      <c r="G58" s="7" t="s">
        <v>44</v>
      </c>
      <c r="H58" s="14" t="s">
        <v>5286</v>
      </c>
      <c r="I58" s="14" t="s">
        <v>5286</v>
      </c>
      <c r="J58" s="112">
        <v>26.368205700000001</v>
      </c>
      <c r="K58" s="113">
        <v>50.090041300000003</v>
      </c>
      <c r="L58" s="137" t="str">
        <f t="shared" si="3"/>
        <v>26.3682057,50.0900413</v>
      </c>
      <c r="M58" s="7" t="s">
        <v>5122</v>
      </c>
      <c r="N58" s="7">
        <v>10006224941</v>
      </c>
      <c r="O58" s="9"/>
      <c r="P58" s="32"/>
      <c r="Q58" s="29" t="s">
        <v>11</v>
      </c>
      <c r="R58" s="29" t="s">
        <v>11</v>
      </c>
      <c r="S58" s="29" t="s">
        <v>11</v>
      </c>
      <c r="T58" s="29" t="s">
        <v>11</v>
      </c>
      <c r="U58" s="29" t="s">
        <v>11</v>
      </c>
      <c r="V58" s="29" t="s">
        <v>11</v>
      </c>
      <c r="W58" s="29" t="s">
        <v>11</v>
      </c>
      <c r="X58" s="29" t="s">
        <v>11</v>
      </c>
      <c r="Y58" s="29" t="s">
        <v>11</v>
      </c>
      <c r="Z58" s="29" t="s">
        <v>11</v>
      </c>
      <c r="AA58" s="29" t="s">
        <v>11</v>
      </c>
      <c r="AB58" s="29" t="s">
        <v>11</v>
      </c>
      <c r="AC58" s="29" t="s">
        <v>11</v>
      </c>
      <c r="AD58" s="29" t="s">
        <v>11</v>
      </c>
      <c r="AE58" s="29" t="s">
        <v>11</v>
      </c>
      <c r="AF58" s="110" t="s">
        <v>11</v>
      </c>
      <c r="AG58" s="24">
        <f t="shared" si="0"/>
        <v>0</v>
      </c>
      <c r="AH58" s="24">
        <f t="shared" si="1"/>
        <v>0</v>
      </c>
      <c r="AI58" s="24">
        <f t="shared" si="2"/>
        <v>15</v>
      </c>
      <c r="AJ58" s="41" t="str" cm="1">
        <f t="array" ref="AJ58">_xlfn.IFS(
$AG58=15,"Not Started",
$AI58&lt;15,"In Progress",
$AI58=15,"Completed",
SUM(AG58:AI58)&gt;15,"Error"
)</f>
        <v>Completed</v>
      </c>
    </row>
    <row r="59" spans="1:36" ht="14.5" x14ac:dyDescent="0.35">
      <c r="A59" s="248"/>
      <c r="B59" s="14">
        <v>56</v>
      </c>
      <c r="C59" s="7" t="s">
        <v>308</v>
      </c>
      <c r="D59" s="53" t="s">
        <v>4923</v>
      </c>
      <c r="E59" s="57" t="s">
        <v>8951</v>
      </c>
      <c r="F59" s="7" t="s">
        <v>43</v>
      </c>
      <c r="G59" s="7" t="s">
        <v>44</v>
      </c>
      <c r="H59" s="14" t="s">
        <v>5286</v>
      </c>
      <c r="I59" s="14" t="s">
        <v>5286</v>
      </c>
      <c r="J59" s="112">
        <v>26.415191069999999</v>
      </c>
      <c r="K59" s="113">
        <v>50.082434190000001</v>
      </c>
      <c r="L59" s="137" t="str">
        <f t="shared" si="3"/>
        <v>26.41519107,50.08243419</v>
      </c>
      <c r="M59" s="7" t="s">
        <v>5123</v>
      </c>
      <c r="N59" s="7">
        <v>10006228379</v>
      </c>
      <c r="O59" s="9"/>
      <c r="P59" s="32"/>
      <c r="Q59" s="29" t="s">
        <v>11</v>
      </c>
      <c r="R59" s="29" t="s">
        <v>11</v>
      </c>
      <c r="S59" s="29" t="s">
        <v>11</v>
      </c>
      <c r="T59" s="29" t="s">
        <v>11</v>
      </c>
      <c r="U59" s="29" t="s">
        <v>11</v>
      </c>
      <c r="V59" s="29" t="s">
        <v>11</v>
      </c>
      <c r="W59" s="29" t="s">
        <v>11</v>
      </c>
      <c r="X59" s="29" t="s">
        <v>11</v>
      </c>
      <c r="Y59" s="29" t="s">
        <v>11</v>
      </c>
      <c r="Z59" s="29" t="s">
        <v>11</v>
      </c>
      <c r="AA59" s="29" t="s">
        <v>11</v>
      </c>
      <c r="AB59" s="29" t="s">
        <v>11</v>
      </c>
      <c r="AC59" s="29" t="s">
        <v>11</v>
      </c>
      <c r="AD59" s="29" t="s">
        <v>11</v>
      </c>
      <c r="AE59" s="29" t="s">
        <v>11</v>
      </c>
      <c r="AF59" s="110" t="s">
        <v>11</v>
      </c>
      <c r="AG59" s="24">
        <f t="shared" si="0"/>
        <v>0</v>
      </c>
      <c r="AH59" s="24">
        <f t="shared" si="1"/>
        <v>0</v>
      </c>
      <c r="AI59" s="24">
        <f t="shared" si="2"/>
        <v>15</v>
      </c>
      <c r="AJ59" s="41" t="str" cm="1">
        <f t="array" ref="AJ59">_xlfn.IFS(
$AG59=15,"Not Started",
$AI59&lt;15,"In Progress",
$AI59=15,"Completed",
SUM(AG59:AI59)&gt;15,"Error"
)</f>
        <v>Completed</v>
      </c>
    </row>
    <row r="60" spans="1:36" ht="14.5" x14ac:dyDescent="0.35">
      <c r="A60" s="248"/>
      <c r="B60" s="14">
        <v>57</v>
      </c>
      <c r="C60" s="14" t="s">
        <v>309</v>
      </c>
      <c r="D60" s="53" t="s">
        <v>4924</v>
      </c>
      <c r="E60" s="57" t="s">
        <v>8952</v>
      </c>
      <c r="F60" s="7" t="s">
        <v>43</v>
      </c>
      <c r="G60" s="7" t="s">
        <v>44</v>
      </c>
      <c r="H60" s="14" t="s">
        <v>5286</v>
      </c>
      <c r="I60" s="14" t="s">
        <v>5286</v>
      </c>
      <c r="J60" s="112">
        <v>26.415150260000001</v>
      </c>
      <c r="K60" s="113">
        <v>50.082466230000001</v>
      </c>
      <c r="L60" s="137" t="str">
        <f t="shared" si="3"/>
        <v>26.41515026,50.08246623</v>
      </c>
      <c r="M60" s="7" t="s">
        <v>5124</v>
      </c>
      <c r="N60" s="7">
        <v>10006181451</v>
      </c>
      <c r="O60" s="9"/>
      <c r="P60" s="32"/>
      <c r="Q60" s="29" t="s">
        <v>11</v>
      </c>
      <c r="R60" s="29" t="s">
        <v>11</v>
      </c>
      <c r="S60" s="29" t="s">
        <v>11</v>
      </c>
      <c r="T60" s="29" t="s">
        <v>11</v>
      </c>
      <c r="U60" s="29" t="s">
        <v>11</v>
      </c>
      <c r="V60" s="29" t="s">
        <v>11</v>
      </c>
      <c r="W60" s="29" t="s">
        <v>11</v>
      </c>
      <c r="X60" s="29" t="s">
        <v>11</v>
      </c>
      <c r="Y60" s="29" t="s">
        <v>11</v>
      </c>
      <c r="Z60" s="29" t="s">
        <v>11</v>
      </c>
      <c r="AA60" s="29" t="s">
        <v>11</v>
      </c>
      <c r="AB60" s="29" t="s">
        <v>11</v>
      </c>
      <c r="AC60" s="29" t="s">
        <v>11</v>
      </c>
      <c r="AD60" s="29" t="s">
        <v>11</v>
      </c>
      <c r="AE60" s="29" t="s">
        <v>11</v>
      </c>
      <c r="AF60" s="110" t="s">
        <v>11</v>
      </c>
      <c r="AG60" s="24">
        <f t="shared" si="0"/>
        <v>0</v>
      </c>
      <c r="AH60" s="24">
        <f t="shared" si="1"/>
        <v>0</v>
      </c>
      <c r="AI60" s="24">
        <f t="shared" si="2"/>
        <v>15</v>
      </c>
      <c r="AJ60" s="41" t="str" cm="1">
        <f t="array" ref="AJ60">_xlfn.IFS(
$AG60=15,"Not Started",
$AI60&lt;15,"In Progress",
$AI60=15,"Completed",
SUM(AG60:AI60)&gt;15,"Error"
)</f>
        <v>Completed</v>
      </c>
    </row>
    <row r="61" spans="1:36" ht="14.5" x14ac:dyDescent="0.35">
      <c r="A61" s="248"/>
      <c r="B61" s="14">
        <v>58</v>
      </c>
      <c r="C61" s="7" t="s">
        <v>310</v>
      </c>
      <c r="D61" s="53" t="s">
        <v>4925</v>
      </c>
      <c r="E61" s="57" t="s">
        <v>8953</v>
      </c>
      <c r="F61" s="7" t="s">
        <v>47</v>
      </c>
      <c r="G61" s="7" t="s">
        <v>44</v>
      </c>
      <c r="H61" s="14" t="s">
        <v>5286</v>
      </c>
      <c r="I61" s="14" t="s">
        <v>5286</v>
      </c>
      <c r="J61" s="112">
        <v>26.404419699999998</v>
      </c>
      <c r="K61" s="113">
        <v>50.07995742</v>
      </c>
      <c r="L61" s="137" t="str">
        <f t="shared" si="3"/>
        <v>26.4044197,50.07995742</v>
      </c>
      <c r="M61" s="7" t="s">
        <v>5125</v>
      </c>
      <c r="N61" s="7">
        <v>10006224923</v>
      </c>
      <c r="O61" s="9"/>
      <c r="P61" s="32"/>
      <c r="Q61" s="29" t="s">
        <v>11</v>
      </c>
      <c r="R61" s="29" t="s">
        <v>11</v>
      </c>
      <c r="S61" s="29" t="s">
        <v>11</v>
      </c>
      <c r="T61" s="29" t="s">
        <v>11</v>
      </c>
      <c r="U61" s="29" t="s">
        <v>11</v>
      </c>
      <c r="V61" s="29" t="s">
        <v>11</v>
      </c>
      <c r="W61" s="29" t="s">
        <v>11</v>
      </c>
      <c r="X61" s="29" t="s">
        <v>11</v>
      </c>
      <c r="Y61" s="29" t="s">
        <v>11</v>
      </c>
      <c r="Z61" s="29" t="s">
        <v>11</v>
      </c>
      <c r="AA61" s="29" t="s">
        <v>11</v>
      </c>
      <c r="AB61" s="29" t="s">
        <v>11</v>
      </c>
      <c r="AC61" s="29" t="s">
        <v>11</v>
      </c>
      <c r="AD61" s="29" t="s">
        <v>11</v>
      </c>
      <c r="AE61" s="29" t="s">
        <v>11</v>
      </c>
      <c r="AF61" s="110" t="s">
        <v>11</v>
      </c>
      <c r="AG61" s="24">
        <f t="shared" si="0"/>
        <v>0</v>
      </c>
      <c r="AH61" s="24">
        <f t="shared" si="1"/>
        <v>0</v>
      </c>
      <c r="AI61" s="24">
        <f t="shared" si="2"/>
        <v>15</v>
      </c>
      <c r="AJ61" s="41" t="str" cm="1">
        <f t="array" ref="AJ61">_xlfn.IFS(
$AG61=15,"Not Started",
$AI61&lt;15,"In Progress",
$AI61=15,"Completed",
SUM(AG61:AI61)&gt;15,"Error"
)</f>
        <v>Completed</v>
      </c>
    </row>
    <row r="62" spans="1:36" ht="14.5" x14ac:dyDescent="0.35">
      <c r="A62" s="248"/>
      <c r="B62" s="14">
        <v>59</v>
      </c>
      <c r="C62" s="14" t="s">
        <v>311</v>
      </c>
      <c r="D62" s="53" t="s">
        <v>4926</v>
      </c>
      <c r="E62" s="57" t="s">
        <v>8954</v>
      </c>
      <c r="F62" s="7" t="s">
        <v>43</v>
      </c>
      <c r="G62" s="7" t="s">
        <v>44</v>
      </c>
      <c r="H62" s="14" t="s">
        <v>5286</v>
      </c>
      <c r="I62" s="14" t="s">
        <v>5286</v>
      </c>
      <c r="J62" s="112">
        <v>26.404442599999999</v>
      </c>
      <c r="K62" s="113">
        <v>50.0806909</v>
      </c>
      <c r="L62" s="137" t="str">
        <f t="shared" si="3"/>
        <v>26.4044426,50.0806909</v>
      </c>
      <c r="M62" s="7" t="s">
        <v>5126</v>
      </c>
      <c r="N62" s="7">
        <v>10006274012</v>
      </c>
      <c r="O62" s="9"/>
      <c r="P62" s="32"/>
      <c r="Q62" s="29" t="s">
        <v>11</v>
      </c>
      <c r="R62" s="29" t="s">
        <v>11</v>
      </c>
      <c r="S62" s="29" t="s">
        <v>11</v>
      </c>
      <c r="T62" s="29" t="s">
        <v>11</v>
      </c>
      <c r="U62" s="29" t="s">
        <v>11</v>
      </c>
      <c r="V62" s="29" t="s">
        <v>11</v>
      </c>
      <c r="W62" s="29" t="s">
        <v>11</v>
      </c>
      <c r="X62" s="29" t="s">
        <v>11</v>
      </c>
      <c r="Y62" s="29" t="s">
        <v>11</v>
      </c>
      <c r="Z62" s="29" t="s">
        <v>11</v>
      </c>
      <c r="AA62" s="29" t="s">
        <v>11</v>
      </c>
      <c r="AB62" s="29" t="s">
        <v>11</v>
      </c>
      <c r="AC62" s="29" t="s">
        <v>11</v>
      </c>
      <c r="AD62" s="29" t="s">
        <v>11</v>
      </c>
      <c r="AE62" s="29" t="s">
        <v>11</v>
      </c>
      <c r="AF62" s="110" t="s">
        <v>11</v>
      </c>
      <c r="AG62" s="24">
        <f t="shared" si="0"/>
        <v>0</v>
      </c>
      <c r="AH62" s="24">
        <f t="shared" si="1"/>
        <v>0</v>
      </c>
      <c r="AI62" s="24">
        <f t="shared" si="2"/>
        <v>15</v>
      </c>
      <c r="AJ62" s="41" t="str" cm="1">
        <f t="array" ref="AJ62">_xlfn.IFS(
$AG62=15,"Not Started",
$AI62&lt;15,"In Progress",
$AI62=15,"Completed",
SUM(AG62:AI62)&gt;15,"Error"
)</f>
        <v>Completed</v>
      </c>
    </row>
    <row r="63" spans="1:36" ht="14.5" x14ac:dyDescent="0.35">
      <c r="A63" s="248"/>
      <c r="B63" s="14">
        <v>60</v>
      </c>
      <c r="C63" s="7" t="s">
        <v>312</v>
      </c>
      <c r="D63" s="53" t="s">
        <v>4927</v>
      </c>
      <c r="E63" s="57" t="s">
        <v>8955</v>
      </c>
      <c r="F63" s="7" t="s">
        <v>47</v>
      </c>
      <c r="G63" s="7" t="s">
        <v>44</v>
      </c>
      <c r="H63" s="14" t="s">
        <v>5286</v>
      </c>
      <c r="I63" s="14" t="s">
        <v>5286</v>
      </c>
      <c r="J63" s="112">
        <v>26.409514269999999</v>
      </c>
      <c r="K63" s="113">
        <v>50.078719679999999</v>
      </c>
      <c r="L63" s="137" t="str">
        <f t="shared" si="3"/>
        <v>26.40951427,50.07871968</v>
      </c>
      <c r="M63" s="7" t="s">
        <v>5127</v>
      </c>
      <c r="N63" s="7">
        <v>10090868828</v>
      </c>
      <c r="O63" s="9"/>
      <c r="P63" s="32"/>
      <c r="Q63" s="29" t="s">
        <v>11</v>
      </c>
      <c r="R63" s="29" t="s">
        <v>11</v>
      </c>
      <c r="S63" s="29" t="s">
        <v>11</v>
      </c>
      <c r="T63" s="29" t="s">
        <v>11</v>
      </c>
      <c r="U63" s="29" t="s">
        <v>11</v>
      </c>
      <c r="V63" s="29" t="s">
        <v>11</v>
      </c>
      <c r="W63" s="29" t="s">
        <v>11</v>
      </c>
      <c r="X63" s="29" t="s">
        <v>11</v>
      </c>
      <c r="Y63" s="29" t="s">
        <v>11</v>
      </c>
      <c r="Z63" s="29" t="s">
        <v>11</v>
      </c>
      <c r="AA63" s="29" t="s">
        <v>11</v>
      </c>
      <c r="AB63" s="29" t="s">
        <v>11</v>
      </c>
      <c r="AC63" s="29" t="s">
        <v>11</v>
      </c>
      <c r="AD63" s="29" t="s">
        <v>11</v>
      </c>
      <c r="AE63" s="29" t="s">
        <v>11</v>
      </c>
      <c r="AF63" s="110" t="s">
        <v>11</v>
      </c>
      <c r="AG63" s="24">
        <f t="shared" si="0"/>
        <v>0</v>
      </c>
      <c r="AH63" s="24">
        <f t="shared" si="1"/>
        <v>0</v>
      </c>
      <c r="AI63" s="24">
        <f t="shared" si="2"/>
        <v>15</v>
      </c>
      <c r="AJ63" s="41" t="str" cm="1">
        <f t="array" ref="AJ63">_xlfn.IFS(
$AG63=15,"Not Started",
$AI63&lt;15,"In Progress",
$AI63=15,"Completed",
SUM(AG63:AI63)&gt;15,"Error"
)</f>
        <v>Completed</v>
      </c>
    </row>
    <row r="64" spans="1:36" ht="26" x14ac:dyDescent="0.35">
      <c r="A64" s="248"/>
      <c r="B64" s="14">
        <v>61</v>
      </c>
      <c r="C64" s="14" t="s">
        <v>313</v>
      </c>
      <c r="D64" s="53" t="s">
        <v>4928</v>
      </c>
      <c r="E64" s="80" t="s">
        <v>10339</v>
      </c>
      <c r="F64" s="7" t="s">
        <v>43</v>
      </c>
      <c r="G64" s="7" t="s">
        <v>44</v>
      </c>
      <c r="H64" s="14" t="s">
        <v>5286</v>
      </c>
      <c r="I64" s="14" t="s">
        <v>5286</v>
      </c>
      <c r="J64" s="112">
        <v>26.416305680000001</v>
      </c>
      <c r="K64" s="113">
        <v>50.086345739999999</v>
      </c>
      <c r="L64" s="137" t="str">
        <f t="shared" si="3"/>
        <v>26.41630568,50.08634574</v>
      </c>
      <c r="M64" s="7" t="s">
        <v>5128</v>
      </c>
      <c r="N64" s="7">
        <v>10006244944</v>
      </c>
      <c r="O64" s="9"/>
      <c r="P64" s="32"/>
      <c r="Q64" s="29" t="s">
        <v>11</v>
      </c>
      <c r="R64" s="29" t="s">
        <v>11</v>
      </c>
      <c r="S64" s="29" t="s">
        <v>11</v>
      </c>
      <c r="T64" s="29" t="s">
        <v>11</v>
      </c>
      <c r="U64" s="29" t="s">
        <v>11</v>
      </c>
      <c r="V64" s="29" t="s">
        <v>11</v>
      </c>
      <c r="W64" s="29" t="s">
        <v>11</v>
      </c>
      <c r="X64" s="29" t="s">
        <v>11</v>
      </c>
      <c r="Y64" s="29" t="s">
        <v>11</v>
      </c>
      <c r="Z64" s="29" t="s">
        <v>11</v>
      </c>
      <c r="AA64" s="29" t="s">
        <v>11</v>
      </c>
      <c r="AB64" s="29" t="s">
        <v>11</v>
      </c>
      <c r="AC64" s="29" t="s">
        <v>11</v>
      </c>
      <c r="AD64" s="29" t="s">
        <v>11</v>
      </c>
      <c r="AE64" s="29" t="s">
        <v>11</v>
      </c>
      <c r="AF64" s="110" t="s">
        <v>11</v>
      </c>
      <c r="AG64" s="24">
        <f t="shared" si="0"/>
        <v>0</v>
      </c>
      <c r="AH64" s="24">
        <f t="shared" si="1"/>
        <v>0</v>
      </c>
      <c r="AI64" s="24">
        <f t="shared" si="2"/>
        <v>15</v>
      </c>
      <c r="AJ64" s="41" t="str" cm="1">
        <f t="array" ref="AJ64">_xlfn.IFS(
$AG64=15,"Not Started",
$AI64&lt;15,"In Progress",
$AI64=15,"Completed",
SUM(AG64:AI64)&gt;15,"Error"
)</f>
        <v>Completed</v>
      </c>
    </row>
    <row r="65" spans="1:36" ht="14.5" x14ac:dyDescent="0.35">
      <c r="A65" s="248"/>
      <c r="B65" s="14">
        <v>62</v>
      </c>
      <c r="C65" s="7" t="s">
        <v>314</v>
      </c>
      <c r="D65" s="53" t="s">
        <v>4929</v>
      </c>
      <c r="E65" s="57" t="s">
        <v>8956</v>
      </c>
      <c r="F65" s="7" t="s">
        <v>43</v>
      </c>
      <c r="G65" s="7" t="s">
        <v>44</v>
      </c>
      <c r="H65" s="14" t="s">
        <v>5286</v>
      </c>
      <c r="I65" s="14" t="s">
        <v>5286</v>
      </c>
      <c r="J65" s="112">
        <v>26.40985933</v>
      </c>
      <c r="K65" s="113">
        <v>50.07749141</v>
      </c>
      <c r="L65" s="137" t="str">
        <f t="shared" si="3"/>
        <v>26.40985933,50.07749141</v>
      </c>
      <c r="M65" s="7" t="s">
        <v>5129</v>
      </c>
      <c r="N65" s="7">
        <v>10006230457</v>
      </c>
      <c r="O65" s="9"/>
      <c r="P65" s="32"/>
      <c r="Q65" s="29" t="s">
        <v>11</v>
      </c>
      <c r="R65" s="29" t="s">
        <v>11</v>
      </c>
      <c r="S65" s="29" t="s">
        <v>11</v>
      </c>
      <c r="T65" s="29" t="s">
        <v>11</v>
      </c>
      <c r="U65" s="29" t="s">
        <v>11</v>
      </c>
      <c r="V65" s="29" t="s">
        <v>11</v>
      </c>
      <c r="W65" s="29" t="s">
        <v>11</v>
      </c>
      <c r="X65" s="29" t="s">
        <v>11</v>
      </c>
      <c r="Y65" s="29" t="s">
        <v>11</v>
      </c>
      <c r="Z65" s="29" t="s">
        <v>11</v>
      </c>
      <c r="AA65" s="29" t="s">
        <v>11</v>
      </c>
      <c r="AB65" s="29" t="s">
        <v>11</v>
      </c>
      <c r="AC65" s="29" t="s">
        <v>11</v>
      </c>
      <c r="AD65" s="29" t="s">
        <v>11</v>
      </c>
      <c r="AE65" s="29" t="s">
        <v>11</v>
      </c>
      <c r="AF65" s="110" t="s">
        <v>11</v>
      </c>
      <c r="AG65" s="24">
        <f t="shared" si="0"/>
        <v>0</v>
      </c>
      <c r="AH65" s="24">
        <f t="shared" si="1"/>
        <v>0</v>
      </c>
      <c r="AI65" s="24">
        <f t="shared" si="2"/>
        <v>15</v>
      </c>
      <c r="AJ65" s="41" t="str" cm="1">
        <f t="array" ref="AJ65">_xlfn.IFS(
$AG65=15,"Not Started",
$AI65&lt;15,"In Progress",
$AI65=15,"Completed",
SUM(AG65:AI65)&gt;15,"Error"
)</f>
        <v>Completed</v>
      </c>
    </row>
    <row r="66" spans="1:36" ht="14.5" x14ac:dyDescent="0.35">
      <c r="A66" s="248"/>
      <c r="B66" s="14">
        <v>63</v>
      </c>
      <c r="C66" s="14" t="s">
        <v>315</v>
      </c>
      <c r="D66" s="53" t="s">
        <v>4930</v>
      </c>
      <c r="E66" s="57" t="s">
        <v>8957</v>
      </c>
      <c r="F66" s="7" t="s">
        <v>47</v>
      </c>
      <c r="G66" s="7" t="s">
        <v>44</v>
      </c>
      <c r="H66" s="14" t="s">
        <v>5286</v>
      </c>
      <c r="I66" s="14" t="s">
        <v>5286</v>
      </c>
      <c r="J66" s="112">
        <v>26.410762250000001</v>
      </c>
      <c r="K66" s="113">
        <v>50.077148680000001</v>
      </c>
      <c r="L66" s="137" t="str">
        <f t="shared" si="3"/>
        <v>26.41076225,50.07714868</v>
      </c>
      <c r="M66" s="7" t="s">
        <v>5130</v>
      </c>
      <c r="N66" s="7">
        <v>10006224905</v>
      </c>
      <c r="O66" s="9"/>
      <c r="P66" s="32"/>
      <c r="Q66" s="29" t="s">
        <v>11</v>
      </c>
      <c r="R66" s="29" t="s">
        <v>11</v>
      </c>
      <c r="S66" s="29" t="s">
        <v>11</v>
      </c>
      <c r="T66" s="29" t="s">
        <v>11</v>
      </c>
      <c r="U66" s="29" t="s">
        <v>11</v>
      </c>
      <c r="V66" s="29" t="s">
        <v>11</v>
      </c>
      <c r="W66" s="29" t="s">
        <v>11</v>
      </c>
      <c r="X66" s="29" t="s">
        <v>11</v>
      </c>
      <c r="Y66" s="29" t="s">
        <v>11</v>
      </c>
      <c r="Z66" s="29" t="s">
        <v>11</v>
      </c>
      <c r="AA66" s="29" t="s">
        <v>11</v>
      </c>
      <c r="AB66" s="29" t="s">
        <v>11</v>
      </c>
      <c r="AC66" s="29" t="s">
        <v>11</v>
      </c>
      <c r="AD66" s="29" t="s">
        <v>11</v>
      </c>
      <c r="AE66" s="29" t="s">
        <v>11</v>
      </c>
      <c r="AF66" s="110" t="s">
        <v>11</v>
      </c>
      <c r="AG66" s="24">
        <f t="shared" si="0"/>
        <v>0</v>
      </c>
      <c r="AH66" s="24">
        <f t="shared" si="1"/>
        <v>0</v>
      </c>
      <c r="AI66" s="24">
        <f t="shared" si="2"/>
        <v>15</v>
      </c>
      <c r="AJ66" s="41" t="str" cm="1">
        <f t="array" ref="AJ66">_xlfn.IFS(
$AG66=15,"Not Started",
$AI66&lt;15,"In Progress",
$AI66=15,"Completed",
SUM(AG66:AI66)&gt;15,"Error"
)</f>
        <v>Completed</v>
      </c>
    </row>
    <row r="67" spans="1:36" ht="14.5" x14ac:dyDescent="0.35">
      <c r="A67" s="248"/>
      <c r="B67" s="14">
        <v>64</v>
      </c>
      <c r="C67" s="7" t="s">
        <v>316</v>
      </c>
      <c r="D67" s="53" t="s">
        <v>4931</v>
      </c>
      <c r="E67" s="57" t="s">
        <v>8958</v>
      </c>
      <c r="F67" s="7" t="s">
        <v>51</v>
      </c>
      <c r="G67" s="7" t="s">
        <v>44</v>
      </c>
      <c r="H67" s="14" t="s">
        <v>5286</v>
      </c>
      <c r="I67" s="14" t="s">
        <v>5286</v>
      </c>
      <c r="J67" s="112">
        <v>26.370384000000001</v>
      </c>
      <c r="K67" s="113">
        <v>50.077719999999999</v>
      </c>
      <c r="L67" s="137" t="str">
        <f t="shared" si="3"/>
        <v>26.370384,50.07772</v>
      </c>
      <c r="M67" s="7" t="s">
        <v>5131</v>
      </c>
      <c r="N67" s="7">
        <v>10006268973</v>
      </c>
      <c r="O67" s="9"/>
      <c r="P67" s="32"/>
      <c r="Q67" s="29" t="s">
        <v>11</v>
      </c>
      <c r="R67" s="29" t="s">
        <v>11</v>
      </c>
      <c r="S67" s="29" t="s">
        <v>11</v>
      </c>
      <c r="T67" s="29" t="s">
        <v>11</v>
      </c>
      <c r="U67" s="29" t="s">
        <v>11</v>
      </c>
      <c r="V67" s="29" t="s">
        <v>11</v>
      </c>
      <c r="W67" s="29" t="s">
        <v>11</v>
      </c>
      <c r="X67" s="29" t="s">
        <v>11</v>
      </c>
      <c r="Y67" s="29" t="s">
        <v>11</v>
      </c>
      <c r="Z67" s="29" t="s">
        <v>11</v>
      </c>
      <c r="AA67" s="29" t="s">
        <v>11</v>
      </c>
      <c r="AB67" s="29" t="s">
        <v>11</v>
      </c>
      <c r="AC67" s="29" t="s">
        <v>11</v>
      </c>
      <c r="AD67" s="29" t="s">
        <v>11</v>
      </c>
      <c r="AE67" s="29" t="s">
        <v>11</v>
      </c>
      <c r="AF67" s="110" t="s">
        <v>11</v>
      </c>
      <c r="AG67" s="24">
        <f t="shared" si="0"/>
        <v>0</v>
      </c>
      <c r="AH67" s="24">
        <f t="shared" si="1"/>
        <v>0</v>
      </c>
      <c r="AI67" s="24">
        <f t="shared" si="2"/>
        <v>15</v>
      </c>
      <c r="AJ67" s="41" t="str" cm="1">
        <f t="array" ref="AJ67">_xlfn.IFS(
$AG67=15,"Not Started",
$AI67&lt;15,"In Progress",
$AI67=15,"Completed",
SUM(AG67:AI67)&gt;15,"Error"
)</f>
        <v>Completed</v>
      </c>
    </row>
    <row r="68" spans="1:36" ht="14.5" x14ac:dyDescent="0.35">
      <c r="A68" s="248"/>
      <c r="B68" s="14">
        <v>65</v>
      </c>
      <c r="C68" s="14" t="s">
        <v>317</v>
      </c>
      <c r="D68" s="53" t="s">
        <v>4932</v>
      </c>
      <c r="E68" s="57" t="s">
        <v>8959</v>
      </c>
      <c r="F68" s="7" t="s">
        <v>43</v>
      </c>
      <c r="G68" s="7" t="s">
        <v>44</v>
      </c>
      <c r="H68" s="14" t="s">
        <v>5286</v>
      </c>
      <c r="I68" s="14" t="s">
        <v>5286</v>
      </c>
      <c r="J68" s="112">
        <v>26.389216319999999</v>
      </c>
      <c r="K68" s="113">
        <v>50.099841040000001</v>
      </c>
      <c r="L68" s="137" t="str">
        <f t="shared" si="3"/>
        <v>26.38921632,50.09984104</v>
      </c>
      <c r="M68" s="7" t="s">
        <v>5132</v>
      </c>
      <c r="N68" s="7">
        <v>10006241236</v>
      </c>
      <c r="O68" s="9"/>
      <c r="P68" s="32"/>
      <c r="Q68" s="29" t="s">
        <v>11</v>
      </c>
      <c r="R68" s="29" t="s">
        <v>11</v>
      </c>
      <c r="S68" s="29" t="s">
        <v>11</v>
      </c>
      <c r="T68" s="29" t="s">
        <v>11</v>
      </c>
      <c r="U68" s="29" t="s">
        <v>11</v>
      </c>
      <c r="V68" s="29" t="s">
        <v>11</v>
      </c>
      <c r="W68" s="29" t="s">
        <v>11</v>
      </c>
      <c r="X68" s="29" t="s">
        <v>11</v>
      </c>
      <c r="Y68" s="29" t="s">
        <v>11</v>
      </c>
      <c r="Z68" s="29" t="s">
        <v>11</v>
      </c>
      <c r="AA68" s="29" t="s">
        <v>11</v>
      </c>
      <c r="AB68" s="29" t="s">
        <v>11</v>
      </c>
      <c r="AC68" s="29" t="s">
        <v>11</v>
      </c>
      <c r="AD68" s="29" t="s">
        <v>11</v>
      </c>
      <c r="AE68" s="29" t="s">
        <v>11</v>
      </c>
      <c r="AF68" s="110" t="s">
        <v>11</v>
      </c>
      <c r="AG68" s="24">
        <f t="shared" ref="AG68:AG131" si="4">COUNTIF(Q68:AE68,$AG$2)</f>
        <v>0</v>
      </c>
      <c r="AH68" s="24">
        <f t="shared" ref="AH68:AH131" si="5">COUNTIF(Q68:AE68,$AH$2)</f>
        <v>0</v>
      </c>
      <c r="AI68" s="24">
        <f t="shared" ref="AI68:AI131" si="6">COUNTIF(Q68:AE68,$AI$2)</f>
        <v>15</v>
      </c>
      <c r="AJ68" s="41" t="str" cm="1">
        <f t="array" ref="AJ68">_xlfn.IFS(
$AG68=15,"Not Started",
$AI68&lt;15,"In Progress",
$AI68=15,"Completed",
SUM(AG68:AI68)&gt;15,"Error"
)</f>
        <v>Completed</v>
      </c>
    </row>
    <row r="69" spans="1:36" ht="14.5" x14ac:dyDescent="0.35">
      <c r="A69" s="248"/>
      <c r="B69" s="14">
        <v>66</v>
      </c>
      <c r="C69" s="7" t="s">
        <v>318</v>
      </c>
      <c r="D69" s="53" t="s">
        <v>4933</v>
      </c>
      <c r="E69" s="57" t="s">
        <v>8960</v>
      </c>
      <c r="F69" s="7" t="s">
        <v>51</v>
      </c>
      <c r="G69" s="7" t="s">
        <v>44</v>
      </c>
      <c r="H69" s="14" t="s">
        <v>5286</v>
      </c>
      <c r="I69" s="14" t="s">
        <v>5286</v>
      </c>
      <c r="J69" s="112">
        <v>26.421534319999999</v>
      </c>
      <c r="K69" s="113">
        <v>50.093817950000002</v>
      </c>
      <c r="L69" s="137" t="str">
        <f t="shared" ref="L69:L132" si="7">_xlfn.CONCAT(J69,",",K69)</f>
        <v>26.42153432,50.09381795</v>
      </c>
      <c r="M69" s="7" t="s">
        <v>5133</v>
      </c>
      <c r="N69" s="7">
        <v>10006228056</v>
      </c>
      <c r="O69" s="9"/>
      <c r="P69" s="32"/>
      <c r="Q69" s="29" t="s">
        <v>11</v>
      </c>
      <c r="R69" s="29" t="s">
        <v>11</v>
      </c>
      <c r="S69" s="29" t="s">
        <v>11</v>
      </c>
      <c r="T69" s="29" t="s">
        <v>11</v>
      </c>
      <c r="U69" s="29" t="s">
        <v>11</v>
      </c>
      <c r="V69" s="29" t="s">
        <v>11</v>
      </c>
      <c r="W69" s="29" t="s">
        <v>11</v>
      </c>
      <c r="X69" s="29" t="s">
        <v>11</v>
      </c>
      <c r="Y69" s="29" t="s">
        <v>11</v>
      </c>
      <c r="Z69" s="29" t="s">
        <v>11</v>
      </c>
      <c r="AA69" s="29" t="s">
        <v>11</v>
      </c>
      <c r="AB69" s="29" t="s">
        <v>11</v>
      </c>
      <c r="AC69" s="29" t="s">
        <v>11</v>
      </c>
      <c r="AD69" s="29" t="s">
        <v>11</v>
      </c>
      <c r="AE69" s="29" t="s">
        <v>11</v>
      </c>
      <c r="AF69" s="110" t="s">
        <v>11</v>
      </c>
      <c r="AG69" s="24">
        <f t="shared" si="4"/>
        <v>0</v>
      </c>
      <c r="AH69" s="24">
        <f t="shared" si="5"/>
        <v>0</v>
      </c>
      <c r="AI69" s="24">
        <f t="shared" si="6"/>
        <v>15</v>
      </c>
      <c r="AJ69" s="41" t="str" cm="1">
        <f t="array" ref="AJ69">_xlfn.IFS(
$AG69=15,"Not Started",
$AI69&lt;15,"In Progress",
$AI69=15,"Completed",
SUM(AG69:AI69)&gt;15,"Error"
)</f>
        <v>Completed</v>
      </c>
    </row>
    <row r="70" spans="1:36" ht="14.5" x14ac:dyDescent="0.35">
      <c r="A70" s="248"/>
      <c r="B70" s="14">
        <v>67</v>
      </c>
      <c r="C70" s="14" t="s">
        <v>319</v>
      </c>
      <c r="D70" s="53" t="s">
        <v>4934</v>
      </c>
      <c r="E70" s="57" t="s">
        <v>8961</v>
      </c>
      <c r="F70" s="7" t="s">
        <v>43</v>
      </c>
      <c r="G70" s="7" t="s">
        <v>44</v>
      </c>
      <c r="H70" s="14" t="s">
        <v>5286</v>
      </c>
      <c r="I70" s="14" t="s">
        <v>5286</v>
      </c>
      <c r="J70" s="112">
        <v>26.41558745</v>
      </c>
      <c r="K70" s="113">
        <v>50.118434149999999</v>
      </c>
      <c r="L70" s="137" t="str">
        <f t="shared" si="7"/>
        <v>26.41558745,50.11843415</v>
      </c>
      <c r="M70" s="7" t="s">
        <v>5134</v>
      </c>
      <c r="N70" s="7">
        <v>10006272582</v>
      </c>
      <c r="O70" s="9"/>
      <c r="P70" s="32"/>
      <c r="Q70" s="29" t="s">
        <v>11</v>
      </c>
      <c r="R70" s="29" t="s">
        <v>11</v>
      </c>
      <c r="S70" s="29" t="s">
        <v>11</v>
      </c>
      <c r="T70" s="29" t="s">
        <v>11</v>
      </c>
      <c r="U70" s="29" t="s">
        <v>11</v>
      </c>
      <c r="V70" s="29" t="s">
        <v>11</v>
      </c>
      <c r="W70" s="29" t="s">
        <v>11</v>
      </c>
      <c r="X70" s="29" t="s">
        <v>11</v>
      </c>
      <c r="Y70" s="29" t="s">
        <v>11</v>
      </c>
      <c r="Z70" s="29" t="s">
        <v>11</v>
      </c>
      <c r="AA70" s="29" t="s">
        <v>11</v>
      </c>
      <c r="AB70" s="29" t="s">
        <v>11</v>
      </c>
      <c r="AC70" s="29" t="s">
        <v>11</v>
      </c>
      <c r="AD70" s="29" t="s">
        <v>11</v>
      </c>
      <c r="AE70" s="29" t="s">
        <v>11</v>
      </c>
      <c r="AF70" s="110" t="s">
        <v>11</v>
      </c>
      <c r="AG70" s="24">
        <f t="shared" si="4"/>
        <v>0</v>
      </c>
      <c r="AH70" s="24">
        <f t="shared" si="5"/>
        <v>0</v>
      </c>
      <c r="AI70" s="24">
        <f t="shared" si="6"/>
        <v>15</v>
      </c>
      <c r="AJ70" s="41" t="str" cm="1">
        <f t="array" ref="AJ70">_xlfn.IFS(
$AG70=15,"Not Started",
$AI70&lt;15,"In Progress",
$AI70=15,"Completed",
SUM(AG70:AI70)&gt;15,"Error"
)</f>
        <v>Completed</v>
      </c>
    </row>
    <row r="71" spans="1:36" ht="14.5" x14ac:dyDescent="0.35">
      <c r="A71" s="248"/>
      <c r="B71" s="14">
        <v>68</v>
      </c>
      <c r="C71" s="7" t="s">
        <v>320</v>
      </c>
      <c r="D71" s="53" t="s">
        <v>4935</v>
      </c>
      <c r="E71" s="57" t="s">
        <v>8962</v>
      </c>
      <c r="F71" s="7" t="s">
        <v>47</v>
      </c>
      <c r="G71" s="7" t="s">
        <v>44</v>
      </c>
      <c r="H71" s="14" t="s">
        <v>5286</v>
      </c>
      <c r="I71" s="14" t="s">
        <v>5286</v>
      </c>
      <c r="J71" s="112">
        <v>26.417717549999999</v>
      </c>
      <c r="K71" s="113">
        <v>50.098894190000003</v>
      </c>
      <c r="L71" s="137" t="str">
        <f t="shared" si="7"/>
        <v>26.41771755,50.09889419</v>
      </c>
      <c r="M71" s="7" t="s">
        <v>5135</v>
      </c>
      <c r="N71" s="7">
        <v>10006230475</v>
      </c>
      <c r="O71" s="9"/>
      <c r="P71" s="32"/>
      <c r="Q71" s="29" t="s">
        <v>11</v>
      </c>
      <c r="R71" s="29" t="s">
        <v>11</v>
      </c>
      <c r="S71" s="29" t="s">
        <v>11</v>
      </c>
      <c r="T71" s="29" t="s">
        <v>11</v>
      </c>
      <c r="U71" s="29" t="s">
        <v>11</v>
      </c>
      <c r="V71" s="29" t="s">
        <v>11</v>
      </c>
      <c r="W71" s="29" t="s">
        <v>11</v>
      </c>
      <c r="X71" s="29" t="s">
        <v>11</v>
      </c>
      <c r="Y71" s="29" t="s">
        <v>11</v>
      </c>
      <c r="Z71" s="29" t="s">
        <v>11</v>
      </c>
      <c r="AA71" s="29" t="s">
        <v>11</v>
      </c>
      <c r="AB71" s="29" t="s">
        <v>11</v>
      </c>
      <c r="AC71" s="29" t="s">
        <v>11</v>
      </c>
      <c r="AD71" s="29" t="s">
        <v>11</v>
      </c>
      <c r="AE71" s="29" t="s">
        <v>11</v>
      </c>
      <c r="AF71" s="110" t="s">
        <v>11</v>
      </c>
      <c r="AG71" s="24">
        <f t="shared" si="4"/>
        <v>0</v>
      </c>
      <c r="AH71" s="24">
        <f t="shared" si="5"/>
        <v>0</v>
      </c>
      <c r="AI71" s="24">
        <f t="shared" si="6"/>
        <v>15</v>
      </c>
      <c r="AJ71" s="41" t="str" cm="1">
        <f t="array" ref="AJ71">_xlfn.IFS(
$AG71=15,"Not Started",
$AI71&lt;15,"In Progress",
$AI71=15,"Completed",
SUM(AG71:AI71)&gt;15,"Error"
)</f>
        <v>Completed</v>
      </c>
    </row>
    <row r="72" spans="1:36" ht="14.5" x14ac:dyDescent="0.35">
      <c r="A72" s="248"/>
      <c r="B72" s="14">
        <v>69</v>
      </c>
      <c r="C72" s="14" t="s">
        <v>321</v>
      </c>
      <c r="D72" s="53" t="s">
        <v>4936</v>
      </c>
      <c r="E72" s="57" t="s">
        <v>8963</v>
      </c>
      <c r="F72" s="7" t="s">
        <v>43</v>
      </c>
      <c r="G72" s="7" t="s">
        <v>44</v>
      </c>
      <c r="H72" s="14" t="s">
        <v>5286</v>
      </c>
      <c r="I72" s="14" t="s">
        <v>5286</v>
      </c>
      <c r="J72" s="112">
        <v>26.40517298</v>
      </c>
      <c r="K72" s="113">
        <v>50.080278010000001</v>
      </c>
      <c r="L72" s="137" t="str">
        <f t="shared" si="7"/>
        <v>26.40517298,50.08027801</v>
      </c>
      <c r="M72" s="7" t="s">
        <v>5136</v>
      </c>
      <c r="N72" s="7">
        <v>10006240829</v>
      </c>
      <c r="O72" s="9"/>
      <c r="P72" s="32"/>
      <c r="Q72" s="29" t="s">
        <v>11</v>
      </c>
      <c r="R72" s="29" t="s">
        <v>11</v>
      </c>
      <c r="S72" s="29" t="s">
        <v>11</v>
      </c>
      <c r="T72" s="29" t="s">
        <v>11</v>
      </c>
      <c r="U72" s="29" t="s">
        <v>11</v>
      </c>
      <c r="V72" s="29" t="s">
        <v>11</v>
      </c>
      <c r="W72" s="29" t="s">
        <v>11</v>
      </c>
      <c r="X72" s="29" t="s">
        <v>11</v>
      </c>
      <c r="Y72" s="29" t="s">
        <v>11</v>
      </c>
      <c r="Z72" s="29" t="s">
        <v>11</v>
      </c>
      <c r="AA72" s="29" t="s">
        <v>11</v>
      </c>
      <c r="AB72" s="29" t="s">
        <v>11</v>
      </c>
      <c r="AC72" s="29" t="s">
        <v>11</v>
      </c>
      <c r="AD72" s="29" t="s">
        <v>11</v>
      </c>
      <c r="AE72" s="29" t="s">
        <v>11</v>
      </c>
      <c r="AF72" s="110" t="s">
        <v>11</v>
      </c>
      <c r="AG72" s="24">
        <f t="shared" si="4"/>
        <v>0</v>
      </c>
      <c r="AH72" s="24">
        <f t="shared" si="5"/>
        <v>0</v>
      </c>
      <c r="AI72" s="24">
        <f t="shared" si="6"/>
        <v>15</v>
      </c>
      <c r="AJ72" s="41" t="str" cm="1">
        <f t="array" ref="AJ72">_xlfn.IFS(
$AG72=15,"Not Started",
$AI72&lt;15,"In Progress",
$AI72=15,"Completed",
SUM(AG72:AI72)&gt;15,"Error"
)</f>
        <v>Completed</v>
      </c>
    </row>
    <row r="73" spans="1:36" ht="26" x14ac:dyDescent="0.35">
      <c r="A73" s="248"/>
      <c r="B73" s="14">
        <v>70</v>
      </c>
      <c r="C73" s="7" t="s">
        <v>322</v>
      </c>
      <c r="D73" s="53" t="s">
        <v>4937</v>
      </c>
      <c r="E73" s="80" t="s">
        <v>10340</v>
      </c>
      <c r="F73" s="7" t="s">
        <v>47</v>
      </c>
      <c r="G73" s="7" t="s">
        <v>44</v>
      </c>
      <c r="H73" s="14" t="s">
        <v>5286</v>
      </c>
      <c r="I73" s="14" t="s">
        <v>5286</v>
      </c>
      <c r="J73" s="112">
        <v>26.404262500000002</v>
      </c>
      <c r="K73" s="113">
        <v>50.079951149999999</v>
      </c>
      <c r="L73" s="137" t="str">
        <f t="shared" si="7"/>
        <v>26.4042625,50.07995115</v>
      </c>
      <c r="M73" s="7" t="s">
        <v>5137</v>
      </c>
      <c r="N73" s="7">
        <v>10006273098</v>
      </c>
      <c r="O73" s="9"/>
      <c r="P73" s="32"/>
      <c r="Q73" s="29" t="s">
        <v>11</v>
      </c>
      <c r="R73" s="29" t="s">
        <v>11</v>
      </c>
      <c r="S73" s="29" t="s">
        <v>11</v>
      </c>
      <c r="T73" s="29" t="s">
        <v>11</v>
      </c>
      <c r="U73" s="29" t="s">
        <v>11</v>
      </c>
      <c r="V73" s="29" t="s">
        <v>11</v>
      </c>
      <c r="W73" s="29" t="s">
        <v>11</v>
      </c>
      <c r="X73" s="29" t="s">
        <v>11</v>
      </c>
      <c r="Y73" s="29" t="s">
        <v>11</v>
      </c>
      <c r="Z73" s="29" t="s">
        <v>11</v>
      </c>
      <c r="AA73" s="29" t="s">
        <v>11</v>
      </c>
      <c r="AB73" s="29" t="s">
        <v>11</v>
      </c>
      <c r="AC73" s="29" t="s">
        <v>11</v>
      </c>
      <c r="AD73" s="29" t="s">
        <v>11</v>
      </c>
      <c r="AE73" s="29" t="s">
        <v>11</v>
      </c>
      <c r="AF73" s="110" t="s">
        <v>11</v>
      </c>
      <c r="AG73" s="24">
        <f t="shared" si="4"/>
        <v>0</v>
      </c>
      <c r="AH73" s="24">
        <f t="shared" si="5"/>
        <v>0</v>
      </c>
      <c r="AI73" s="24">
        <f t="shared" si="6"/>
        <v>15</v>
      </c>
      <c r="AJ73" s="41" t="str" cm="1">
        <f t="array" ref="AJ73">_xlfn.IFS(
$AG73=15,"Not Started",
$AI73&lt;15,"In Progress",
$AI73=15,"Completed",
SUM(AG73:AI73)&gt;15,"Error"
)</f>
        <v>Completed</v>
      </c>
    </row>
    <row r="74" spans="1:36" ht="14.5" x14ac:dyDescent="0.35">
      <c r="A74" s="248"/>
      <c r="B74" s="14">
        <v>71</v>
      </c>
      <c r="C74" s="14" t="s">
        <v>323</v>
      </c>
      <c r="D74" s="53" t="s">
        <v>4938</v>
      </c>
      <c r="E74" s="57" t="s">
        <v>8964</v>
      </c>
      <c r="F74" s="7" t="s">
        <v>43</v>
      </c>
      <c r="G74" s="7" t="s">
        <v>44</v>
      </c>
      <c r="H74" s="14" t="s">
        <v>5286</v>
      </c>
      <c r="I74" s="14" t="s">
        <v>5286</v>
      </c>
      <c r="J74" s="112">
        <v>26.387464999999999</v>
      </c>
      <c r="K74" s="113">
        <v>50.108770649999997</v>
      </c>
      <c r="L74" s="137" t="str">
        <f t="shared" si="7"/>
        <v>26.387465,50.10877065</v>
      </c>
      <c r="M74" s="7" t="s">
        <v>5138</v>
      </c>
      <c r="N74" s="7">
        <v>10006242752</v>
      </c>
      <c r="O74" s="9"/>
      <c r="P74" s="32"/>
      <c r="Q74" s="29" t="s">
        <v>11</v>
      </c>
      <c r="R74" s="29" t="s">
        <v>11</v>
      </c>
      <c r="S74" s="29" t="s">
        <v>11</v>
      </c>
      <c r="T74" s="29" t="s">
        <v>11</v>
      </c>
      <c r="U74" s="29" t="s">
        <v>11</v>
      </c>
      <c r="V74" s="29" t="s">
        <v>11</v>
      </c>
      <c r="W74" s="29" t="s">
        <v>11</v>
      </c>
      <c r="X74" s="29" t="s">
        <v>11</v>
      </c>
      <c r="Y74" s="29" t="s">
        <v>11</v>
      </c>
      <c r="Z74" s="29" t="s">
        <v>11</v>
      </c>
      <c r="AA74" s="29" t="s">
        <v>11</v>
      </c>
      <c r="AB74" s="29" t="s">
        <v>11</v>
      </c>
      <c r="AC74" s="29" t="s">
        <v>11</v>
      </c>
      <c r="AD74" s="29" t="s">
        <v>11</v>
      </c>
      <c r="AE74" s="29" t="s">
        <v>11</v>
      </c>
      <c r="AF74" s="110" t="s">
        <v>11</v>
      </c>
      <c r="AG74" s="24">
        <f t="shared" si="4"/>
        <v>0</v>
      </c>
      <c r="AH74" s="24">
        <f t="shared" si="5"/>
        <v>0</v>
      </c>
      <c r="AI74" s="24">
        <f t="shared" si="6"/>
        <v>15</v>
      </c>
      <c r="AJ74" s="41" t="str" cm="1">
        <f t="array" ref="AJ74">_xlfn.IFS(
$AG74=15,"Not Started",
$AI74&lt;15,"In Progress",
$AI74=15,"Completed",
SUM(AG74:AI74)&gt;15,"Error"
)</f>
        <v>Completed</v>
      </c>
    </row>
    <row r="75" spans="1:36" ht="14.5" x14ac:dyDescent="0.35">
      <c r="A75" s="248"/>
      <c r="B75" s="14">
        <v>72</v>
      </c>
      <c r="C75" s="7" t="s">
        <v>324</v>
      </c>
      <c r="D75" s="53" t="s">
        <v>4939</v>
      </c>
      <c r="E75" s="57" t="s">
        <v>8965</v>
      </c>
      <c r="F75" s="7" t="s">
        <v>43</v>
      </c>
      <c r="G75" s="7" t="s">
        <v>44</v>
      </c>
      <c r="H75" s="14" t="s">
        <v>5286</v>
      </c>
      <c r="I75" s="14" t="s">
        <v>5286</v>
      </c>
      <c r="J75" s="112">
        <v>26.370173009999998</v>
      </c>
      <c r="K75" s="113">
        <v>50.120542149999999</v>
      </c>
      <c r="L75" s="137" t="str">
        <f t="shared" si="7"/>
        <v>26.37017301,50.12054215</v>
      </c>
      <c r="M75" s="7" t="s">
        <v>5139</v>
      </c>
      <c r="N75" s="7">
        <v>10006241540</v>
      </c>
      <c r="O75" s="9"/>
      <c r="P75" s="32"/>
      <c r="Q75" s="29" t="s">
        <v>11</v>
      </c>
      <c r="R75" s="29" t="s">
        <v>11</v>
      </c>
      <c r="S75" s="29" t="s">
        <v>11</v>
      </c>
      <c r="T75" s="29" t="s">
        <v>11</v>
      </c>
      <c r="U75" s="29" t="s">
        <v>11</v>
      </c>
      <c r="V75" s="29" t="s">
        <v>11</v>
      </c>
      <c r="W75" s="29" t="s">
        <v>11</v>
      </c>
      <c r="X75" s="29" t="s">
        <v>11</v>
      </c>
      <c r="Y75" s="29" t="s">
        <v>11</v>
      </c>
      <c r="Z75" s="29" t="s">
        <v>11</v>
      </c>
      <c r="AA75" s="29" t="s">
        <v>11</v>
      </c>
      <c r="AB75" s="29" t="s">
        <v>11</v>
      </c>
      <c r="AC75" s="29" t="s">
        <v>11</v>
      </c>
      <c r="AD75" s="29" t="s">
        <v>11</v>
      </c>
      <c r="AE75" s="29" t="s">
        <v>11</v>
      </c>
      <c r="AF75" s="110" t="s">
        <v>11</v>
      </c>
      <c r="AG75" s="24">
        <f t="shared" si="4"/>
        <v>0</v>
      </c>
      <c r="AH75" s="24">
        <f t="shared" si="5"/>
        <v>0</v>
      </c>
      <c r="AI75" s="24">
        <f t="shared" si="6"/>
        <v>15</v>
      </c>
      <c r="AJ75" s="41" t="str" cm="1">
        <f t="array" ref="AJ75">_xlfn.IFS(
$AG75=15,"Not Started",
$AI75&lt;15,"In Progress",
$AI75=15,"Completed",
SUM(AG75:AI75)&gt;15,"Error"
)</f>
        <v>Completed</v>
      </c>
    </row>
    <row r="76" spans="1:36" ht="14.5" x14ac:dyDescent="0.35">
      <c r="A76" s="248"/>
      <c r="B76" s="14">
        <v>73</v>
      </c>
      <c r="C76" s="14" t="s">
        <v>325</v>
      </c>
      <c r="D76" s="53" t="s">
        <v>4940</v>
      </c>
      <c r="E76" s="57" t="s">
        <v>8966</v>
      </c>
      <c r="F76" s="7" t="s">
        <v>51</v>
      </c>
      <c r="G76" s="7" t="s">
        <v>48</v>
      </c>
      <c r="H76" s="14" t="s">
        <v>5286</v>
      </c>
      <c r="I76" s="14" t="s">
        <v>5286</v>
      </c>
      <c r="J76" s="112">
        <v>26.38012878</v>
      </c>
      <c r="K76" s="113">
        <v>50.11903547</v>
      </c>
      <c r="L76" s="137" t="str">
        <f t="shared" si="7"/>
        <v>26.38012878,50.11903547</v>
      </c>
      <c r="M76" s="7" t="s">
        <v>5140</v>
      </c>
      <c r="N76" s="7">
        <v>10006242734</v>
      </c>
      <c r="O76" s="9"/>
      <c r="P76" s="32"/>
      <c r="Q76" s="29" t="s">
        <v>11</v>
      </c>
      <c r="R76" s="29" t="s">
        <v>11</v>
      </c>
      <c r="S76" s="29" t="s">
        <v>11</v>
      </c>
      <c r="T76" s="29" t="s">
        <v>11</v>
      </c>
      <c r="U76" s="29" t="s">
        <v>11</v>
      </c>
      <c r="V76" s="29" t="s">
        <v>11</v>
      </c>
      <c r="W76" s="29" t="s">
        <v>11</v>
      </c>
      <c r="X76" s="29" t="s">
        <v>11</v>
      </c>
      <c r="Y76" s="29" t="s">
        <v>11</v>
      </c>
      <c r="Z76" s="29" t="s">
        <v>11</v>
      </c>
      <c r="AA76" s="29" t="s">
        <v>11</v>
      </c>
      <c r="AB76" s="29" t="s">
        <v>11</v>
      </c>
      <c r="AC76" s="29" t="s">
        <v>11</v>
      </c>
      <c r="AD76" s="29" t="s">
        <v>11</v>
      </c>
      <c r="AE76" s="29" t="s">
        <v>11</v>
      </c>
      <c r="AF76" s="110" t="s">
        <v>11</v>
      </c>
      <c r="AG76" s="24">
        <f t="shared" si="4"/>
        <v>0</v>
      </c>
      <c r="AH76" s="24">
        <f t="shared" si="5"/>
        <v>0</v>
      </c>
      <c r="AI76" s="24">
        <f t="shared" si="6"/>
        <v>15</v>
      </c>
      <c r="AJ76" s="41" t="str" cm="1">
        <f t="array" ref="AJ76">_xlfn.IFS(
$AG76=15,"Not Started",
$AI76&lt;15,"In Progress",
$AI76=15,"Completed",
SUM(AG76:AI76)&gt;15,"Error"
)</f>
        <v>Completed</v>
      </c>
    </row>
    <row r="77" spans="1:36" ht="14.5" x14ac:dyDescent="0.35">
      <c r="A77" s="248"/>
      <c r="B77" s="14">
        <v>74</v>
      </c>
      <c r="C77" s="7" t="s">
        <v>326</v>
      </c>
      <c r="D77" s="53" t="s">
        <v>4941</v>
      </c>
      <c r="E77" s="57" t="s">
        <v>8967</v>
      </c>
      <c r="F77" s="7" t="s">
        <v>51</v>
      </c>
      <c r="G77" s="7" t="s">
        <v>44</v>
      </c>
      <c r="H77" s="14" t="s">
        <v>5286</v>
      </c>
      <c r="I77" s="14" t="s">
        <v>5286</v>
      </c>
      <c r="J77" s="112">
        <v>26.415571570000001</v>
      </c>
      <c r="K77" s="113">
        <v>50.11937502</v>
      </c>
      <c r="L77" s="137" t="str">
        <f t="shared" si="7"/>
        <v>26.41557157,50.11937502</v>
      </c>
      <c r="M77" s="7" t="s">
        <v>5141</v>
      </c>
      <c r="N77" s="7">
        <v>10006266763</v>
      </c>
      <c r="O77" s="9"/>
      <c r="P77" s="32"/>
      <c r="Q77" s="29" t="s">
        <v>11</v>
      </c>
      <c r="R77" s="29" t="s">
        <v>11</v>
      </c>
      <c r="S77" s="29" t="s">
        <v>11</v>
      </c>
      <c r="T77" s="29" t="s">
        <v>11</v>
      </c>
      <c r="U77" s="29" t="s">
        <v>11</v>
      </c>
      <c r="V77" s="29" t="s">
        <v>11</v>
      </c>
      <c r="W77" s="29" t="s">
        <v>11</v>
      </c>
      <c r="X77" s="29" t="s">
        <v>11</v>
      </c>
      <c r="Y77" s="29" t="s">
        <v>11</v>
      </c>
      <c r="Z77" s="29" t="s">
        <v>11</v>
      </c>
      <c r="AA77" s="29" t="s">
        <v>11</v>
      </c>
      <c r="AB77" s="29" t="s">
        <v>11</v>
      </c>
      <c r="AC77" s="29" t="s">
        <v>11</v>
      </c>
      <c r="AD77" s="29" t="s">
        <v>11</v>
      </c>
      <c r="AE77" s="29" t="s">
        <v>11</v>
      </c>
      <c r="AF77" s="110" t="s">
        <v>11</v>
      </c>
      <c r="AG77" s="24">
        <f t="shared" si="4"/>
        <v>0</v>
      </c>
      <c r="AH77" s="24">
        <f t="shared" si="5"/>
        <v>0</v>
      </c>
      <c r="AI77" s="24">
        <f t="shared" si="6"/>
        <v>15</v>
      </c>
      <c r="AJ77" s="41" t="str" cm="1">
        <f t="array" ref="AJ77">_xlfn.IFS(
$AG77=15,"Not Started",
$AI77&lt;15,"In Progress",
$AI77=15,"Completed",
SUM(AG77:AI77)&gt;15,"Error"
)</f>
        <v>Completed</v>
      </c>
    </row>
    <row r="78" spans="1:36" ht="14.5" x14ac:dyDescent="0.35">
      <c r="A78" s="248"/>
      <c r="B78" s="14">
        <v>75</v>
      </c>
      <c r="C78" s="14" t="s">
        <v>327</v>
      </c>
      <c r="D78" s="53" t="s">
        <v>4942</v>
      </c>
      <c r="E78" s="57" t="s">
        <v>8968</v>
      </c>
      <c r="F78" s="7" t="s">
        <v>43</v>
      </c>
      <c r="G78" s="7" t="s">
        <v>44</v>
      </c>
      <c r="H78" s="14" t="s">
        <v>5286</v>
      </c>
      <c r="I78" s="14" t="s">
        <v>5286</v>
      </c>
      <c r="J78" s="112">
        <v>26.380331680000001</v>
      </c>
      <c r="K78" s="113">
        <v>50.119856370000001</v>
      </c>
      <c r="L78" s="137" t="str">
        <f t="shared" si="7"/>
        <v>26.38033168,50.11985637</v>
      </c>
      <c r="M78" s="7" t="s">
        <v>5142</v>
      </c>
      <c r="N78" s="7">
        <v>10006292208</v>
      </c>
      <c r="O78" s="9"/>
      <c r="P78" s="32"/>
      <c r="Q78" s="29" t="s">
        <v>11</v>
      </c>
      <c r="R78" s="29" t="s">
        <v>11</v>
      </c>
      <c r="S78" s="29" t="s">
        <v>11</v>
      </c>
      <c r="T78" s="29" t="s">
        <v>11</v>
      </c>
      <c r="U78" s="29" t="s">
        <v>11</v>
      </c>
      <c r="V78" s="29" t="s">
        <v>11</v>
      </c>
      <c r="W78" s="29" t="s">
        <v>11</v>
      </c>
      <c r="X78" s="29" t="s">
        <v>11</v>
      </c>
      <c r="Y78" s="29" t="s">
        <v>11</v>
      </c>
      <c r="Z78" s="29" t="s">
        <v>11</v>
      </c>
      <c r="AA78" s="29" t="s">
        <v>11</v>
      </c>
      <c r="AB78" s="29" t="s">
        <v>11</v>
      </c>
      <c r="AC78" s="29" t="s">
        <v>11</v>
      </c>
      <c r="AD78" s="29" t="s">
        <v>11</v>
      </c>
      <c r="AE78" s="29" t="s">
        <v>11</v>
      </c>
      <c r="AF78" s="110" t="s">
        <v>11</v>
      </c>
      <c r="AG78" s="24">
        <f t="shared" si="4"/>
        <v>0</v>
      </c>
      <c r="AH78" s="24">
        <f t="shared" si="5"/>
        <v>0</v>
      </c>
      <c r="AI78" s="24">
        <f t="shared" si="6"/>
        <v>15</v>
      </c>
      <c r="AJ78" s="41" t="str" cm="1">
        <f t="array" ref="AJ78">_xlfn.IFS(
$AG78=15,"Not Started",
$AI78&lt;15,"In Progress",
$AI78=15,"Completed",
SUM(AG78:AI78)&gt;15,"Error"
)</f>
        <v>Completed</v>
      </c>
    </row>
    <row r="79" spans="1:36" ht="14.5" x14ac:dyDescent="0.35">
      <c r="A79" s="248"/>
      <c r="B79" s="14">
        <v>76</v>
      </c>
      <c r="C79" s="7" t="s">
        <v>328</v>
      </c>
      <c r="D79" s="53" t="s">
        <v>4943</v>
      </c>
      <c r="E79" s="57" t="s">
        <v>8969</v>
      </c>
      <c r="F79" s="7" t="s">
        <v>47</v>
      </c>
      <c r="G79" s="7" t="s">
        <v>48</v>
      </c>
      <c r="H79" s="14" t="s">
        <v>5286</v>
      </c>
      <c r="I79" s="14" t="s">
        <v>5286</v>
      </c>
      <c r="J79" s="112">
        <v>26.424566729999999</v>
      </c>
      <c r="K79" s="113">
        <v>50.110419030000003</v>
      </c>
      <c r="L79" s="137" t="str">
        <f t="shared" si="7"/>
        <v>26.42456673,50.11041903</v>
      </c>
      <c r="M79" s="7" t="s">
        <v>5143</v>
      </c>
      <c r="N79" s="7">
        <v>10006247786</v>
      </c>
      <c r="O79" s="9"/>
      <c r="P79" s="32"/>
      <c r="Q79" s="29" t="s">
        <v>11</v>
      </c>
      <c r="R79" s="29" t="s">
        <v>11</v>
      </c>
      <c r="S79" s="29" t="s">
        <v>11</v>
      </c>
      <c r="T79" s="29" t="s">
        <v>11</v>
      </c>
      <c r="U79" s="29" t="s">
        <v>11</v>
      </c>
      <c r="V79" s="29" t="s">
        <v>11</v>
      </c>
      <c r="W79" s="29" t="s">
        <v>11</v>
      </c>
      <c r="X79" s="29" t="s">
        <v>11</v>
      </c>
      <c r="Y79" s="29" t="s">
        <v>11</v>
      </c>
      <c r="Z79" s="29" t="s">
        <v>11</v>
      </c>
      <c r="AA79" s="29" t="s">
        <v>11</v>
      </c>
      <c r="AB79" s="29" t="s">
        <v>11</v>
      </c>
      <c r="AC79" s="29" t="s">
        <v>11</v>
      </c>
      <c r="AD79" s="29" t="s">
        <v>11</v>
      </c>
      <c r="AE79" s="29" t="s">
        <v>11</v>
      </c>
      <c r="AF79" s="110" t="s">
        <v>11</v>
      </c>
      <c r="AG79" s="24">
        <f t="shared" si="4"/>
        <v>0</v>
      </c>
      <c r="AH79" s="24">
        <f t="shared" si="5"/>
        <v>0</v>
      </c>
      <c r="AI79" s="24">
        <f t="shared" si="6"/>
        <v>15</v>
      </c>
      <c r="AJ79" s="41" t="str" cm="1">
        <f t="array" ref="AJ79">_xlfn.IFS(
$AG79=15,"Not Started",
$AI79&lt;15,"In Progress",
$AI79=15,"Completed",
SUM(AG79:AI79)&gt;15,"Error"
)</f>
        <v>Completed</v>
      </c>
    </row>
    <row r="80" spans="1:36" ht="14.5" x14ac:dyDescent="0.35">
      <c r="A80" s="248"/>
      <c r="B80" s="14">
        <v>77</v>
      </c>
      <c r="C80" s="14" t="s">
        <v>329</v>
      </c>
      <c r="D80" s="53" t="s">
        <v>4944</v>
      </c>
      <c r="E80" s="57" t="s">
        <v>8970</v>
      </c>
      <c r="F80" s="7" t="s">
        <v>51</v>
      </c>
      <c r="G80" s="7" t="s">
        <v>48</v>
      </c>
      <c r="H80" s="14" t="s">
        <v>5286</v>
      </c>
      <c r="I80" s="14" t="s">
        <v>5286</v>
      </c>
      <c r="J80" s="112">
        <v>26.41645132</v>
      </c>
      <c r="K80" s="113">
        <v>50.070739609999997</v>
      </c>
      <c r="L80" s="137" t="str">
        <f t="shared" si="7"/>
        <v>26.41645132,50.07073961</v>
      </c>
      <c r="M80" s="7" t="s">
        <v>5144</v>
      </c>
      <c r="N80" s="7">
        <v>10006248461</v>
      </c>
      <c r="O80" s="9"/>
      <c r="P80" s="32"/>
      <c r="Q80" s="29" t="s">
        <v>11</v>
      </c>
      <c r="R80" s="29" t="s">
        <v>11</v>
      </c>
      <c r="S80" s="29" t="s">
        <v>11</v>
      </c>
      <c r="T80" s="29" t="s">
        <v>11</v>
      </c>
      <c r="U80" s="29" t="s">
        <v>11</v>
      </c>
      <c r="V80" s="29" t="s">
        <v>11</v>
      </c>
      <c r="W80" s="29" t="s">
        <v>11</v>
      </c>
      <c r="X80" s="29" t="s">
        <v>11</v>
      </c>
      <c r="Y80" s="29" t="s">
        <v>11</v>
      </c>
      <c r="Z80" s="29" t="s">
        <v>11</v>
      </c>
      <c r="AA80" s="29" t="s">
        <v>11</v>
      </c>
      <c r="AB80" s="29" t="s">
        <v>11</v>
      </c>
      <c r="AC80" s="29" t="s">
        <v>11</v>
      </c>
      <c r="AD80" s="29" t="s">
        <v>11</v>
      </c>
      <c r="AE80" s="29" t="s">
        <v>11</v>
      </c>
      <c r="AF80" s="110" t="s">
        <v>11</v>
      </c>
      <c r="AG80" s="24">
        <f t="shared" si="4"/>
        <v>0</v>
      </c>
      <c r="AH80" s="24">
        <f t="shared" si="5"/>
        <v>0</v>
      </c>
      <c r="AI80" s="24">
        <f t="shared" si="6"/>
        <v>15</v>
      </c>
      <c r="AJ80" s="41" t="str" cm="1">
        <f t="array" ref="AJ80">_xlfn.IFS(
$AG80=15,"Not Started",
$AI80&lt;15,"In Progress",
$AI80=15,"Completed",
SUM(AG80:AI80)&gt;15,"Error"
)</f>
        <v>Completed</v>
      </c>
    </row>
    <row r="81" spans="1:36" ht="14.5" x14ac:dyDescent="0.35">
      <c r="A81" s="248"/>
      <c r="B81" s="14">
        <v>78</v>
      </c>
      <c r="C81" s="7" t="s">
        <v>330</v>
      </c>
      <c r="D81" s="53" t="s">
        <v>4945</v>
      </c>
      <c r="E81" s="57" t="s">
        <v>8971</v>
      </c>
      <c r="F81" s="7" t="s">
        <v>43</v>
      </c>
      <c r="G81" s="7" t="s">
        <v>48</v>
      </c>
      <c r="H81" s="14" t="s">
        <v>5286</v>
      </c>
      <c r="I81" s="14" t="s">
        <v>5286</v>
      </c>
      <c r="J81" s="112">
        <v>26.416924909999999</v>
      </c>
      <c r="K81" s="113">
        <v>50.072755239999999</v>
      </c>
      <c r="L81" s="137" t="str">
        <f t="shared" si="7"/>
        <v>26.41692491,50.07275524</v>
      </c>
      <c r="M81" s="7" t="s">
        <v>5145</v>
      </c>
      <c r="N81" s="7">
        <v>10006248836</v>
      </c>
      <c r="O81" s="9"/>
      <c r="P81" s="32"/>
      <c r="Q81" s="29" t="s">
        <v>11</v>
      </c>
      <c r="R81" s="29" t="s">
        <v>11</v>
      </c>
      <c r="S81" s="29" t="s">
        <v>11</v>
      </c>
      <c r="T81" s="29" t="s">
        <v>11</v>
      </c>
      <c r="U81" s="29" t="s">
        <v>11</v>
      </c>
      <c r="V81" s="29" t="s">
        <v>11</v>
      </c>
      <c r="W81" s="29" t="s">
        <v>11</v>
      </c>
      <c r="X81" s="29" t="s">
        <v>11</v>
      </c>
      <c r="Y81" s="29" t="s">
        <v>11</v>
      </c>
      <c r="Z81" s="29" t="s">
        <v>11</v>
      </c>
      <c r="AA81" s="29" t="s">
        <v>11</v>
      </c>
      <c r="AB81" s="29" t="s">
        <v>11</v>
      </c>
      <c r="AC81" s="29" t="s">
        <v>11</v>
      </c>
      <c r="AD81" s="29" t="s">
        <v>11</v>
      </c>
      <c r="AE81" s="29" t="s">
        <v>11</v>
      </c>
      <c r="AF81" s="110" t="s">
        <v>11</v>
      </c>
      <c r="AG81" s="24">
        <f t="shared" si="4"/>
        <v>0</v>
      </c>
      <c r="AH81" s="24">
        <f t="shared" si="5"/>
        <v>0</v>
      </c>
      <c r="AI81" s="24">
        <f t="shared" si="6"/>
        <v>15</v>
      </c>
      <c r="AJ81" s="41" t="str" cm="1">
        <f t="array" ref="AJ81">_xlfn.IFS(
$AG81=15,"Not Started",
$AI81&lt;15,"In Progress",
$AI81=15,"Completed",
SUM(AG81:AI81)&gt;15,"Error"
)</f>
        <v>Completed</v>
      </c>
    </row>
    <row r="82" spans="1:36" ht="14.5" x14ac:dyDescent="0.35">
      <c r="A82" s="248"/>
      <c r="B82" s="14">
        <v>79</v>
      </c>
      <c r="C82" s="14" t="s">
        <v>331</v>
      </c>
      <c r="D82" s="53" t="s">
        <v>4946</v>
      </c>
      <c r="E82" s="57" t="s">
        <v>8972</v>
      </c>
      <c r="F82" s="7" t="s">
        <v>47</v>
      </c>
      <c r="G82" s="7" t="s">
        <v>44</v>
      </c>
      <c r="H82" s="14" t="s">
        <v>5286</v>
      </c>
      <c r="I82" s="14" t="s">
        <v>5286</v>
      </c>
      <c r="J82" s="112">
        <v>26.424053650000001</v>
      </c>
      <c r="K82" s="113">
        <v>50.068750790000003</v>
      </c>
      <c r="L82" s="137" t="str">
        <f t="shared" si="7"/>
        <v>26.42405365,50.06875079</v>
      </c>
      <c r="M82" s="7" t="s">
        <v>5146</v>
      </c>
      <c r="N82" s="7">
        <v>10006247481</v>
      </c>
      <c r="O82" s="9"/>
      <c r="P82" s="32"/>
      <c r="Q82" s="29" t="s">
        <v>11</v>
      </c>
      <c r="R82" s="29" t="s">
        <v>11</v>
      </c>
      <c r="S82" s="29" t="s">
        <v>11</v>
      </c>
      <c r="T82" s="29" t="s">
        <v>11</v>
      </c>
      <c r="U82" s="29" t="s">
        <v>11</v>
      </c>
      <c r="V82" s="29" t="s">
        <v>11</v>
      </c>
      <c r="W82" s="29" t="s">
        <v>11</v>
      </c>
      <c r="X82" s="29" t="s">
        <v>11</v>
      </c>
      <c r="Y82" s="29" t="s">
        <v>11</v>
      </c>
      <c r="Z82" s="29" t="s">
        <v>11</v>
      </c>
      <c r="AA82" s="29" t="s">
        <v>11</v>
      </c>
      <c r="AB82" s="29" t="s">
        <v>11</v>
      </c>
      <c r="AC82" s="29" t="s">
        <v>11</v>
      </c>
      <c r="AD82" s="29" t="s">
        <v>11</v>
      </c>
      <c r="AE82" s="29" t="s">
        <v>11</v>
      </c>
      <c r="AF82" s="110" t="s">
        <v>11</v>
      </c>
      <c r="AG82" s="24">
        <f t="shared" si="4"/>
        <v>0</v>
      </c>
      <c r="AH82" s="24">
        <f t="shared" si="5"/>
        <v>0</v>
      </c>
      <c r="AI82" s="24">
        <f t="shared" si="6"/>
        <v>15</v>
      </c>
      <c r="AJ82" s="41" t="str" cm="1">
        <f t="array" ref="AJ82">_xlfn.IFS(
$AG82=15,"Not Started",
$AI82&lt;15,"In Progress",
$AI82=15,"Completed",
SUM(AG82:AI82)&gt;15,"Error"
)</f>
        <v>Completed</v>
      </c>
    </row>
    <row r="83" spans="1:36" ht="14.5" x14ac:dyDescent="0.35">
      <c r="A83" s="248"/>
      <c r="B83" s="14">
        <v>80</v>
      </c>
      <c r="C83" s="7" t="s">
        <v>332</v>
      </c>
      <c r="D83" s="53" t="s">
        <v>4947</v>
      </c>
      <c r="E83" s="57" t="s">
        <v>8973</v>
      </c>
      <c r="F83" s="7" t="s">
        <v>47</v>
      </c>
      <c r="G83" s="7" t="s">
        <v>44</v>
      </c>
      <c r="H83" s="14" t="s">
        <v>5286</v>
      </c>
      <c r="I83" s="14" t="s">
        <v>5286</v>
      </c>
      <c r="J83" s="112">
        <v>26.358581699999998</v>
      </c>
      <c r="K83" s="113">
        <v>50.047427800000001</v>
      </c>
      <c r="L83" s="137" t="str">
        <f t="shared" si="7"/>
        <v>26.3585817,50.0474278</v>
      </c>
      <c r="M83" s="7" t="s">
        <v>5147</v>
      </c>
      <c r="N83" s="7">
        <v>10006274891</v>
      </c>
      <c r="O83" s="9"/>
      <c r="P83" s="32"/>
      <c r="Q83" s="29" t="s">
        <v>11</v>
      </c>
      <c r="R83" s="29" t="s">
        <v>11</v>
      </c>
      <c r="S83" s="29" t="s">
        <v>11</v>
      </c>
      <c r="T83" s="29" t="s">
        <v>11</v>
      </c>
      <c r="U83" s="29" t="s">
        <v>11</v>
      </c>
      <c r="V83" s="29" t="s">
        <v>11</v>
      </c>
      <c r="W83" s="29" t="s">
        <v>11</v>
      </c>
      <c r="X83" s="29" t="s">
        <v>11</v>
      </c>
      <c r="Y83" s="29" t="s">
        <v>11</v>
      </c>
      <c r="Z83" s="29" t="s">
        <v>11</v>
      </c>
      <c r="AA83" s="29" t="s">
        <v>11</v>
      </c>
      <c r="AB83" s="29" t="s">
        <v>11</v>
      </c>
      <c r="AC83" s="29" t="s">
        <v>11</v>
      </c>
      <c r="AD83" s="29" t="s">
        <v>11</v>
      </c>
      <c r="AE83" s="29" t="s">
        <v>11</v>
      </c>
      <c r="AF83" s="110" t="s">
        <v>11</v>
      </c>
      <c r="AG83" s="24">
        <f t="shared" si="4"/>
        <v>0</v>
      </c>
      <c r="AH83" s="24">
        <f t="shared" si="5"/>
        <v>0</v>
      </c>
      <c r="AI83" s="24">
        <f t="shared" si="6"/>
        <v>15</v>
      </c>
      <c r="AJ83" s="41" t="str" cm="1">
        <f t="array" ref="AJ83">_xlfn.IFS(
$AG83=15,"Not Started",
$AI83&lt;15,"In Progress",
$AI83=15,"Completed",
SUM(AG83:AI83)&gt;15,"Error"
)</f>
        <v>Completed</v>
      </c>
    </row>
    <row r="84" spans="1:36" ht="14.5" x14ac:dyDescent="0.35">
      <c r="A84" s="248"/>
      <c r="B84" s="14">
        <v>81</v>
      </c>
      <c r="C84" s="14" t="s">
        <v>333</v>
      </c>
      <c r="D84" s="53" t="s">
        <v>4948</v>
      </c>
      <c r="E84" s="57" t="s">
        <v>8974</v>
      </c>
      <c r="F84" s="7" t="s">
        <v>51</v>
      </c>
      <c r="G84" s="7" t="s">
        <v>44</v>
      </c>
      <c r="H84" s="14" t="s">
        <v>5286</v>
      </c>
      <c r="I84" s="14" t="s">
        <v>5286</v>
      </c>
      <c r="J84" s="112">
        <v>26.413884100000001</v>
      </c>
      <c r="K84" s="113">
        <v>50.036741999999997</v>
      </c>
      <c r="L84" s="137" t="str">
        <f t="shared" si="7"/>
        <v>26.4138841,50.036742</v>
      </c>
      <c r="M84" s="7" t="s">
        <v>5148</v>
      </c>
      <c r="N84" s="7">
        <v>10006258752</v>
      </c>
      <c r="O84" s="9"/>
      <c r="P84" s="32"/>
      <c r="Q84" s="29" t="s">
        <v>11</v>
      </c>
      <c r="R84" s="29" t="s">
        <v>11</v>
      </c>
      <c r="S84" s="29" t="s">
        <v>11</v>
      </c>
      <c r="T84" s="29" t="s">
        <v>11</v>
      </c>
      <c r="U84" s="29" t="s">
        <v>11</v>
      </c>
      <c r="V84" s="29" t="s">
        <v>11</v>
      </c>
      <c r="W84" s="29" t="s">
        <v>11</v>
      </c>
      <c r="X84" s="29" t="s">
        <v>11</v>
      </c>
      <c r="Y84" s="29" t="s">
        <v>11</v>
      </c>
      <c r="Z84" s="29" t="s">
        <v>11</v>
      </c>
      <c r="AA84" s="29" t="s">
        <v>11</v>
      </c>
      <c r="AB84" s="29" t="s">
        <v>11</v>
      </c>
      <c r="AC84" s="29" t="s">
        <v>11</v>
      </c>
      <c r="AD84" s="29" t="s">
        <v>11</v>
      </c>
      <c r="AE84" s="29" t="s">
        <v>11</v>
      </c>
      <c r="AF84" s="110" t="s">
        <v>11</v>
      </c>
      <c r="AG84" s="24">
        <f t="shared" si="4"/>
        <v>0</v>
      </c>
      <c r="AH84" s="24">
        <f t="shared" si="5"/>
        <v>0</v>
      </c>
      <c r="AI84" s="24">
        <f t="shared" si="6"/>
        <v>15</v>
      </c>
      <c r="AJ84" s="41" t="str" cm="1">
        <f t="array" ref="AJ84">_xlfn.IFS(
$AG84=15,"Not Started",
$AI84&lt;15,"In Progress",
$AI84=15,"Completed",
SUM(AG84:AI84)&gt;15,"Error"
)</f>
        <v>Completed</v>
      </c>
    </row>
    <row r="85" spans="1:36" ht="14.5" x14ac:dyDescent="0.35">
      <c r="A85" s="248"/>
      <c r="B85" s="14">
        <v>82</v>
      </c>
      <c r="C85" s="7" t="s">
        <v>334</v>
      </c>
      <c r="D85" s="53" t="s">
        <v>4949</v>
      </c>
      <c r="E85" s="57" t="s">
        <v>8975</v>
      </c>
      <c r="F85" s="7" t="s">
        <v>47</v>
      </c>
      <c r="G85" s="7" t="s">
        <v>44</v>
      </c>
      <c r="H85" s="14" t="s">
        <v>5286</v>
      </c>
      <c r="I85" s="14" t="s">
        <v>5286</v>
      </c>
      <c r="J85" s="112">
        <v>26.425638859999999</v>
      </c>
      <c r="K85" s="113">
        <v>50.091142169999998</v>
      </c>
      <c r="L85" s="137" t="str">
        <f t="shared" si="7"/>
        <v>26.42563886,50.09114217</v>
      </c>
      <c r="M85" s="7" t="s">
        <v>5149</v>
      </c>
      <c r="N85" s="7">
        <v>10006277284</v>
      </c>
      <c r="O85" s="9"/>
      <c r="P85" s="32"/>
      <c r="Q85" s="29" t="s">
        <v>11</v>
      </c>
      <c r="R85" s="29" t="s">
        <v>11</v>
      </c>
      <c r="S85" s="29" t="s">
        <v>11</v>
      </c>
      <c r="T85" s="29" t="s">
        <v>11</v>
      </c>
      <c r="U85" s="29" t="s">
        <v>11</v>
      </c>
      <c r="V85" s="29" t="s">
        <v>11</v>
      </c>
      <c r="W85" s="29" t="s">
        <v>11</v>
      </c>
      <c r="X85" s="29" t="s">
        <v>11</v>
      </c>
      <c r="Y85" s="29" t="s">
        <v>11</v>
      </c>
      <c r="Z85" s="29" t="s">
        <v>11</v>
      </c>
      <c r="AA85" s="29" t="s">
        <v>11</v>
      </c>
      <c r="AB85" s="29" t="s">
        <v>11</v>
      </c>
      <c r="AC85" s="29" t="s">
        <v>11</v>
      </c>
      <c r="AD85" s="29" t="s">
        <v>11</v>
      </c>
      <c r="AE85" s="29" t="s">
        <v>11</v>
      </c>
      <c r="AF85" s="110" t="s">
        <v>11</v>
      </c>
      <c r="AG85" s="24">
        <f t="shared" si="4"/>
        <v>0</v>
      </c>
      <c r="AH85" s="24">
        <f t="shared" si="5"/>
        <v>0</v>
      </c>
      <c r="AI85" s="24">
        <f t="shared" si="6"/>
        <v>15</v>
      </c>
      <c r="AJ85" s="41" t="str" cm="1">
        <f t="array" ref="AJ85">_xlfn.IFS(
$AG85=15,"Not Started",
$AI85&lt;15,"In Progress",
$AI85=15,"Completed",
SUM(AG85:AI85)&gt;15,"Error"
)</f>
        <v>Completed</v>
      </c>
    </row>
    <row r="86" spans="1:36" ht="14.5" x14ac:dyDescent="0.35">
      <c r="A86" s="248"/>
      <c r="B86" s="14">
        <v>83</v>
      </c>
      <c r="C86" s="14" t="s">
        <v>335</v>
      </c>
      <c r="D86" s="53" t="s">
        <v>4950</v>
      </c>
      <c r="E86" s="57" t="s">
        <v>8976</v>
      </c>
      <c r="F86" s="7" t="s">
        <v>51</v>
      </c>
      <c r="G86" s="7" t="s">
        <v>44</v>
      </c>
      <c r="H86" s="14" t="s">
        <v>5286</v>
      </c>
      <c r="I86" s="14" t="s">
        <v>5286</v>
      </c>
      <c r="J86" s="112">
        <v>26.42388867</v>
      </c>
      <c r="K86" s="113">
        <v>50.065919690000001</v>
      </c>
      <c r="L86" s="137" t="str">
        <f t="shared" si="7"/>
        <v>26.42388867,50.06591969</v>
      </c>
      <c r="M86" s="7" t="s">
        <v>5150</v>
      </c>
      <c r="N86" s="7">
        <v>10006277767</v>
      </c>
      <c r="O86" s="9"/>
      <c r="P86" s="32"/>
      <c r="Q86" s="29" t="s">
        <v>11</v>
      </c>
      <c r="R86" s="29" t="s">
        <v>11</v>
      </c>
      <c r="S86" s="29" t="s">
        <v>11</v>
      </c>
      <c r="T86" s="29" t="s">
        <v>11</v>
      </c>
      <c r="U86" s="29" t="s">
        <v>11</v>
      </c>
      <c r="V86" s="29" t="s">
        <v>11</v>
      </c>
      <c r="W86" s="29" t="s">
        <v>11</v>
      </c>
      <c r="X86" s="29" t="s">
        <v>11</v>
      </c>
      <c r="Y86" s="29" t="s">
        <v>11</v>
      </c>
      <c r="Z86" s="29" t="s">
        <v>11</v>
      </c>
      <c r="AA86" s="29" t="s">
        <v>11</v>
      </c>
      <c r="AB86" s="29" t="s">
        <v>11</v>
      </c>
      <c r="AC86" s="29" t="s">
        <v>11</v>
      </c>
      <c r="AD86" s="29" t="s">
        <v>11</v>
      </c>
      <c r="AE86" s="29" t="s">
        <v>11</v>
      </c>
      <c r="AF86" s="110" t="s">
        <v>11</v>
      </c>
      <c r="AG86" s="24">
        <f t="shared" si="4"/>
        <v>0</v>
      </c>
      <c r="AH86" s="24">
        <f t="shared" si="5"/>
        <v>0</v>
      </c>
      <c r="AI86" s="24">
        <f t="shared" si="6"/>
        <v>15</v>
      </c>
      <c r="AJ86" s="41" t="str" cm="1">
        <f t="array" ref="AJ86">_xlfn.IFS(
$AG86=15,"Not Started",
$AI86&lt;15,"In Progress",
$AI86=15,"Completed",
SUM(AG86:AI86)&gt;15,"Error"
)</f>
        <v>Completed</v>
      </c>
    </row>
    <row r="87" spans="1:36" ht="14.5" x14ac:dyDescent="0.35">
      <c r="A87" s="248"/>
      <c r="B87" s="14">
        <v>84</v>
      </c>
      <c r="C87" s="7" t="s">
        <v>336</v>
      </c>
      <c r="D87" s="53" t="s">
        <v>4951</v>
      </c>
      <c r="E87" s="57" t="s">
        <v>8977</v>
      </c>
      <c r="F87" s="7" t="s">
        <v>47</v>
      </c>
      <c r="G87" s="7" t="s">
        <v>44</v>
      </c>
      <c r="H87" s="14" t="s">
        <v>5286</v>
      </c>
      <c r="I87" s="14" t="s">
        <v>5286</v>
      </c>
      <c r="J87" s="112">
        <v>26.418613520000001</v>
      </c>
      <c r="K87" s="113">
        <v>50.070628149999997</v>
      </c>
      <c r="L87" s="137" t="str">
        <f t="shared" si="7"/>
        <v>26.41861352,50.07062815</v>
      </c>
      <c r="M87" s="7" t="s">
        <v>5151</v>
      </c>
      <c r="N87" s="7">
        <v>10006247740</v>
      </c>
      <c r="O87" s="9"/>
      <c r="P87" s="32"/>
      <c r="Q87" s="29" t="s">
        <v>11</v>
      </c>
      <c r="R87" s="29" t="s">
        <v>11</v>
      </c>
      <c r="S87" s="29" t="s">
        <v>11</v>
      </c>
      <c r="T87" s="29" t="s">
        <v>11</v>
      </c>
      <c r="U87" s="29" t="s">
        <v>11</v>
      </c>
      <c r="V87" s="29" t="s">
        <v>11</v>
      </c>
      <c r="W87" s="29" t="s">
        <v>11</v>
      </c>
      <c r="X87" s="29" t="s">
        <v>11</v>
      </c>
      <c r="Y87" s="29" t="s">
        <v>11</v>
      </c>
      <c r="Z87" s="29" t="s">
        <v>11</v>
      </c>
      <c r="AA87" s="29" t="s">
        <v>11</v>
      </c>
      <c r="AB87" s="29" t="s">
        <v>11</v>
      </c>
      <c r="AC87" s="29" t="s">
        <v>11</v>
      </c>
      <c r="AD87" s="29" t="s">
        <v>11</v>
      </c>
      <c r="AE87" s="29" t="s">
        <v>11</v>
      </c>
      <c r="AF87" s="110" t="s">
        <v>11</v>
      </c>
      <c r="AG87" s="24">
        <f t="shared" si="4"/>
        <v>0</v>
      </c>
      <c r="AH87" s="24">
        <f t="shared" si="5"/>
        <v>0</v>
      </c>
      <c r="AI87" s="24">
        <f t="shared" si="6"/>
        <v>15</v>
      </c>
      <c r="AJ87" s="41" t="str" cm="1">
        <f t="array" ref="AJ87">_xlfn.IFS(
$AG87=15,"Not Started",
$AI87&lt;15,"In Progress",
$AI87=15,"Completed",
SUM(AG87:AI87)&gt;15,"Error"
)</f>
        <v>Completed</v>
      </c>
    </row>
    <row r="88" spans="1:36" ht="14.5" x14ac:dyDescent="0.35">
      <c r="A88" s="248"/>
      <c r="B88" s="14">
        <v>85</v>
      </c>
      <c r="C88" s="14" t="s">
        <v>337</v>
      </c>
      <c r="D88" s="53" t="s">
        <v>4952</v>
      </c>
      <c r="E88" s="57" t="s">
        <v>8978</v>
      </c>
      <c r="F88" s="7" t="s">
        <v>43</v>
      </c>
      <c r="G88" s="7" t="s">
        <v>44</v>
      </c>
      <c r="H88" s="14" t="s">
        <v>5286</v>
      </c>
      <c r="I88" s="14" t="s">
        <v>5286</v>
      </c>
      <c r="J88" s="112">
        <v>26.425444259999999</v>
      </c>
      <c r="K88" s="113">
        <v>50.121849840000003</v>
      </c>
      <c r="L88" s="137" t="str">
        <f t="shared" si="7"/>
        <v>26.42544426,50.12184984</v>
      </c>
      <c r="M88" s="7" t="s">
        <v>5152</v>
      </c>
      <c r="N88" s="7">
        <v>10102374166</v>
      </c>
      <c r="O88" s="9"/>
      <c r="P88" s="32"/>
      <c r="Q88" s="29" t="s">
        <v>11</v>
      </c>
      <c r="R88" s="29" t="s">
        <v>11</v>
      </c>
      <c r="S88" s="29" t="s">
        <v>11</v>
      </c>
      <c r="T88" s="29" t="s">
        <v>11</v>
      </c>
      <c r="U88" s="29" t="s">
        <v>11</v>
      </c>
      <c r="V88" s="29" t="s">
        <v>11</v>
      </c>
      <c r="W88" s="29" t="s">
        <v>11</v>
      </c>
      <c r="X88" s="29" t="s">
        <v>11</v>
      </c>
      <c r="Y88" s="29" t="s">
        <v>11</v>
      </c>
      <c r="Z88" s="29" t="s">
        <v>11</v>
      </c>
      <c r="AA88" s="29" t="s">
        <v>11</v>
      </c>
      <c r="AB88" s="29" t="s">
        <v>11</v>
      </c>
      <c r="AC88" s="29" t="s">
        <v>11</v>
      </c>
      <c r="AD88" s="29" t="s">
        <v>11</v>
      </c>
      <c r="AE88" s="29" t="s">
        <v>11</v>
      </c>
      <c r="AF88" s="110" t="s">
        <v>11</v>
      </c>
      <c r="AG88" s="24">
        <f t="shared" si="4"/>
        <v>0</v>
      </c>
      <c r="AH88" s="24">
        <f t="shared" si="5"/>
        <v>0</v>
      </c>
      <c r="AI88" s="24">
        <f t="shared" si="6"/>
        <v>15</v>
      </c>
      <c r="AJ88" s="41" t="str" cm="1">
        <f t="array" ref="AJ88">_xlfn.IFS(
$AG88=15,"Not Started",
$AI88&lt;15,"In Progress",
$AI88=15,"Completed",
SUM(AG88:AI88)&gt;15,"Error"
)</f>
        <v>Completed</v>
      </c>
    </row>
    <row r="89" spans="1:36" ht="14.5" x14ac:dyDescent="0.35">
      <c r="A89" s="248"/>
      <c r="B89" s="14">
        <v>86</v>
      </c>
      <c r="C89" s="7" t="s">
        <v>338</v>
      </c>
      <c r="D89" s="53" t="s">
        <v>4953</v>
      </c>
      <c r="E89" s="57" t="s">
        <v>8979</v>
      </c>
      <c r="F89" s="7" t="s">
        <v>47</v>
      </c>
      <c r="G89" s="7" t="s">
        <v>48</v>
      </c>
      <c r="H89" s="14" t="s">
        <v>5286</v>
      </c>
      <c r="I89" s="14" t="s">
        <v>5286</v>
      </c>
      <c r="J89" s="112">
        <v>26.42280349</v>
      </c>
      <c r="K89" s="113">
        <v>50.122031909999997</v>
      </c>
      <c r="L89" s="137" t="str">
        <f t="shared" si="7"/>
        <v>26.42280349,50.12203191</v>
      </c>
      <c r="M89" s="7" t="s">
        <v>5153</v>
      </c>
      <c r="N89" s="7">
        <v>10006259123</v>
      </c>
      <c r="O89" s="9"/>
      <c r="P89" s="32"/>
      <c r="Q89" s="29" t="s">
        <v>11</v>
      </c>
      <c r="R89" s="29" t="s">
        <v>11</v>
      </c>
      <c r="S89" s="29" t="s">
        <v>11</v>
      </c>
      <c r="T89" s="29" t="s">
        <v>11</v>
      </c>
      <c r="U89" s="29" t="s">
        <v>11</v>
      </c>
      <c r="V89" s="29" t="s">
        <v>11</v>
      </c>
      <c r="W89" s="29" t="s">
        <v>11</v>
      </c>
      <c r="X89" s="29" t="s">
        <v>11</v>
      </c>
      <c r="Y89" s="29" t="s">
        <v>11</v>
      </c>
      <c r="Z89" s="29" t="s">
        <v>11</v>
      </c>
      <c r="AA89" s="29" t="s">
        <v>11</v>
      </c>
      <c r="AB89" s="29" t="s">
        <v>11</v>
      </c>
      <c r="AC89" s="29" t="s">
        <v>11</v>
      </c>
      <c r="AD89" s="29" t="s">
        <v>11</v>
      </c>
      <c r="AE89" s="29" t="s">
        <v>11</v>
      </c>
      <c r="AF89" s="110" t="s">
        <v>11</v>
      </c>
      <c r="AG89" s="24">
        <f t="shared" si="4"/>
        <v>0</v>
      </c>
      <c r="AH89" s="24">
        <f t="shared" si="5"/>
        <v>0</v>
      </c>
      <c r="AI89" s="24">
        <f t="shared" si="6"/>
        <v>15</v>
      </c>
      <c r="AJ89" s="41" t="str" cm="1">
        <f t="array" ref="AJ89">_xlfn.IFS(
$AG89=15,"Not Started",
$AI89&lt;15,"In Progress",
$AI89=15,"Completed",
SUM(AG89:AI89)&gt;15,"Error"
)</f>
        <v>Completed</v>
      </c>
    </row>
    <row r="90" spans="1:36" ht="14.5" x14ac:dyDescent="0.35">
      <c r="A90" s="248"/>
      <c r="B90" s="14">
        <v>87</v>
      </c>
      <c r="C90" s="14" t="s">
        <v>339</v>
      </c>
      <c r="D90" s="53" t="s">
        <v>4954</v>
      </c>
      <c r="E90" s="57" t="s">
        <v>8980</v>
      </c>
      <c r="F90" s="7" t="s">
        <v>51</v>
      </c>
      <c r="G90" s="7" t="s">
        <v>48</v>
      </c>
      <c r="H90" s="14" t="s">
        <v>5286</v>
      </c>
      <c r="I90" s="14" t="s">
        <v>5286</v>
      </c>
      <c r="J90" s="112">
        <v>26.421653200000002</v>
      </c>
      <c r="K90" s="113">
        <v>50.077250479999996</v>
      </c>
      <c r="L90" s="137" t="str">
        <f t="shared" si="7"/>
        <v>26.4216532,50.07725048</v>
      </c>
      <c r="M90" s="7" t="s">
        <v>5154</v>
      </c>
      <c r="N90" s="7">
        <v>10006248943</v>
      </c>
      <c r="O90" s="9"/>
      <c r="P90" s="32"/>
      <c r="Q90" s="29" t="s">
        <v>11</v>
      </c>
      <c r="R90" s="29" t="s">
        <v>11</v>
      </c>
      <c r="S90" s="29" t="s">
        <v>11</v>
      </c>
      <c r="T90" s="29" t="s">
        <v>11</v>
      </c>
      <c r="U90" s="29" t="s">
        <v>11</v>
      </c>
      <c r="V90" s="29" t="s">
        <v>11</v>
      </c>
      <c r="W90" s="29" t="s">
        <v>11</v>
      </c>
      <c r="X90" s="29" t="s">
        <v>11</v>
      </c>
      <c r="Y90" s="29" t="s">
        <v>11</v>
      </c>
      <c r="Z90" s="29" t="s">
        <v>11</v>
      </c>
      <c r="AA90" s="29" t="s">
        <v>11</v>
      </c>
      <c r="AB90" s="29" t="s">
        <v>11</v>
      </c>
      <c r="AC90" s="29" t="s">
        <v>11</v>
      </c>
      <c r="AD90" s="29" t="s">
        <v>11</v>
      </c>
      <c r="AE90" s="29" t="s">
        <v>11</v>
      </c>
      <c r="AF90" s="110" t="s">
        <v>11</v>
      </c>
      <c r="AG90" s="24">
        <f t="shared" si="4"/>
        <v>0</v>
      </c>
      <c r="AH90" s="24">
        <f t="shared" si="5"/>
        <v>0</v>
      </c>
      <c r="AI90" s="24">
        <f t="shared" si="6"/>
        <v>15</v>
      </c>
      <c r="AJ90" s="41" t="str" cm="1">
        <f t="array" ref="AJ90">_xlfn.IFS(
$AG90=15,"Not Started",
$AI90&lt;15,"In Progress",
$AI90=15,"Completed",
SUM(AG90:AI90)&gt;15,"Error"
)</f>
        <v>Completed</v>
      </c>
    </row>
    <row r="91" spans="1:36" ht="14.5" x14ac:dyDescent="0.35">
      <c r="A91" s="248"/>
      <c r="B91" s="14">
        <v>88</v>
      </c>
      <c r="C91" s="7" t="s">
        <v>340</v>
      </c>
      <c r="D91" s="53" t="s">
        <v>4955</v>
      </c>
      <c r="E91" s="57" t="s">
        <v>8981</v>
      </c>
      <c r="F91" s="7" t="s">
        <v>47</v>
      </c>
      <c r="G91" s="7" t="s">
        <v>48</v>
      </c>
      <c r="H91" s="14" t="s">
        <v>5286</v>
      </c>
      <c r="I91" s="14" t="s">
        <v>5286</v>
      </c>
      <c r="J91" s="112">
        <v>26.42520695</v>
      </c>
      <c r="K91" s="113">
        <v>50.092316519999997</v>
      </c>
      <c r="L91" s="137" t="str">
        <f t="shared" si="7"/>
        <v>26.42520695,50.09231652</v>
      </c>
      <c r="M91" s="7" t="s">
        <v>5155</v>
      </c>
      <c r="N91" s="7">
        <v>10006248059</v>
      </c>
      <c r="O91" s="9"/>
      <c r="P91" s="32"/>
      <c r="Q91" s="29" t="s">
        <v>11</v>
      </c>
      <c r="R91" s="29" t="s">
        <v>11</v>
      </c>
      <c r="S91" s="29" t="s">
        <v>11</v>
      </c>
      <c r="T91" s="29" t="s">
        <v>11</v>
      </c>
      <c r="U91" s="29" t="s">
        <v>11</v>
      </c>
      <c r="V91" s="29" t="s">
        <v>11</v>
      </c>
      <c r="W91" s="29" t="s">
        <v>11</v>
      </c>
      <c r="X91" s="29" t="s">
        <v>11</v>
      </c>
      <c r="Y91" s="29" t="s">
        <v>11</v>
      </c>
      <c r="Z91" s="29" t="s">
        <v>11</v>
      </c>
      <c r="AA91" s="29" t="s">
        <v>11</v>
      </c>
      <c r="AB91" s="29" t="s">
        <v>11</v>
      </c>
      <c r="AC91" s="29" t="s">
        <v>11</v>
      </c>
      <c r="AD91" s="29" t="s">
        <v>11</v>
      </c>
      <c r="AE91" s="29" t="s">
        <v>11</v>
      </c>
      <c r="AF91" s="110" t="s">
        <v>11</v>
      </c>
      <c r="AG91" s="24">
        <f t="shared" si="4"/>
        <v>0</v>
      </c>
      <c r="AH91" s="24">
        <f t="shared" si="5"/>
        <v>0</v>
      </c>
      <c r="AI91" s="24">
        <f t="shared" si="6"/>
        <v>15</v>
      </c>
      <c r="AJ91" s="41" t="str" cm="1">
        <f t="array" ref="AJ91">_xlfn.IFS(
$AG91=15,"Not Started",
$AI91&lt;15,"In Progress",
$AI91=15,"Completed",
SUM(AG91:AI91)&gt;15,"Error"
)</f>
        <v>Completed</v>
      </c>
    </row>
    <row r="92" spans="1:36" ht="14.5" x14ac:dyDescent="0.35">
      <c r="A92" s="248"/>
      <c r="B92" s="14">
        <v>89</v>
      </c>
      <c r="C92" s="14" t="s">
        <v>341</v>
      </c>
      <c r="D92" s="53" t="s">
        <v>4956</v>
      </c>
      <c r="E92" s="57" t="s">
        <v>8982</v>
      </c>
      <c r="F92" s="7" t="s">
        <v>43</v>
      </c>
      <c r="G92" s="7" t="s">
        <v>48</v>
      </c>
      <c r="H92" s="14" t="s">
        <v>5286</v>
      </c>
      <c r="I92" s="14" t="s">
        <v>5286</v>
      </c>
      <c r="J92" s="112">
        <v>26.434035510000001</v>
      </c>
      <c r="K92" s="113">
        <v>50.10283269</v>
      </c>
      <c r="L92" s="137" t="str">
        <f t="shared" si="7"/>
        <v>26.43403551,50.10283269</v>
      </c>
      <c r="M92" s="7" t="s">
        <v>5156</v>
      </c>
      <c r="N92" s="7">
        <v>10006259141</v>
      </c>
      <c r="O92" s="9"/>
      <c r="P92" s="32"/>
      <c r="Q92" s="29" t="s">
        <v>11</v>
      </c>
      <c r="R92" s="29" t="s">
        <v>11</v>
      </c>
      <c r="S92" s="29" t="s">
        <v>11</v>
      </c>
      <c r="T92" s="29" t="s">
        <v>11</v>
      </c>
      <c r="U92" s="29" t="s">
        <v>11</v>
      </c>
      <c r="V92" s="29" t="s">
        <v>11</v>
      </c>
      <c r="W92" s="29" t="s">
        <v>11</v>
      </c>
      <c r="X92" s="29" t="s">
        <v>11</v>
      </c>
      <c r="Y92" s="29" t="s">
        <v>11</v>
      </c>
      <c r="Z92" s="29" t="s">
        <v>11</v>
      </c>
      <c r="AA92" s="29" t="s">
        <v>11</v>
      </c>
      <c r="AB92" s="29" t="s">
        <v>11</v>
      </c>
      <c r="AC92" s="29" t="s">
        <v>11</v>
      </c>
      <c r="AD92" s="29" t="s">
        <v>11</v>
      </c>
      <c r="AE92" s="29" t="s">
        <v>11</v>
      </c>
      <c r="AF92" s="110" t="s">
        <v>11</v>
      </c>
      <c r="AG92" s="24">
        <f t="shared" si="4"/>
        <v>0</v>
      </c>
      <c r="AH92" s="24">
        <f t="shared" si="5"/>
        <v>0</v>
      </c>
      <c r="AI92" s="24">
        <f t="shared" si="6"/>
        <v>15</v>
      </c>
      <c r="AJ92" s="41" t="str" cm="1">
        <f t="array" ref="AJ92">_xlfn.IFS(
$AG92=15,"Not Started",
$AI92&lt;15,"In Progress",
$AI92=15,"Completed",
SUM(AG92:AI92)&gt;15,"Error"
)</f>
        <v>Completed</v>
      </c>
    </row>
    <row r="93" spans="1:36" ht="14.5" x14ac:dyDescent="0.35">
      <c r="A93" s="248"/>
      <c r="B93" s="14">
        <v>90</v>
      </c>
      <c r="C93" s="7" t="s">
        <v>342</v>
      </c>
      <c r="D93" s="53" t="s">
        <v>4957</v>
      </c>
      <c r="E93" s="57" t="s">
        <v>8983</v>
      </c>
      <c r="F93" s="7" t="s">
        <v>51</v>
      </c>
      <c r="G93" s="7" t="s">
        <v>48</v>
      </c>
      <c r="H93" s="14" t="s">
        <v>5286</v>
      </c>
      <c r="I93" s="14" t="s">
        <v>5286</v>
      </c>
      <c r="J93" s="112">
        <v>26.433990130000002</v>
      </c>
      <c r="K93" s="113">
        <v>50.089360599999999</v>
      </c>
      <c r="L93" s="137" t="str">
        <f t="shared" si="7"/>
        <v>26.43399013,50.0893606</v>
      </c>
      <c r="M93" s="7" t="s">
        <v>5157</v>
      </c>
      <c r="N93" s="7">
        <v>10006259464</v>
      </c>
      <c r="O93" s="9"/>
      <c r="P93" s="32"/>
      <c r="Q93" s="29" t="s">
        <v>11</v>
      </c>
      <c r="R93" s="29" t="s">
        <v>11</v>
      </c>
      <c r="S93" s="29" t="s">
        <v>11</v>
      </c>
      <c r="T93" s="29" t="s">
        <v>11</v>
      </c>
      <c r="U93" s="29" t="s">
        <v>11</v>
      </c>
      <c r="V93" s="29" t="s">
        <v>11</v>
      </c>
      <c r="W93" s="29" t="s">
        <v>11</v>
      </c>
      <c r="X93" s="29" t="s">
        <v>11</v>
      </c>
      <c r="Y93" s="29" t="s">
        <v>11</v>
      </c>
      <c r="Z93" s="29" t="s">
        <v>11</v>
      </c>
      <c r="AA93" s="29" t="s">
        <v>11</v>
      </c>
      <c r="AB93" s="29" t="s">
        <v>11</v>
      </c>
      <c r="AC93" s="29" t="s">
        <v>11</v>
      </c>
      <c r="AD93" s="29" t="s">
        <v>11</v>
      </c>
      <c r="AE93" s="29" t="s">
        <v>11</v>
      </c>
      <c r="AF93" s="110" t="s">
        <v>11</v>
      </c>
      <c r="AG93" s="24">
        <f t="shared" si="4"/>
        <v>0</v>
      </c>
      <c r="AH93" s="24">
        <f t="shared" si="5"/>
        <v>0</v>
      </c>
      <c r="AI93" s="24">
        <f t="shared" si="6"/>
        <v>15</v>
      </c>
      <c r="AJ93" s="41" t="str" cm="1">
        <f t="array" ref="AJ93">_xlfn.IFS(
$AG93=15,"Not Started",
$AI93&lt;15,"In Progress",
$AI93=15,"Completed",
SUM(AG93:AI93)&gt;15,"Error"
)</f>
        <v>Completed</v>
      </c>
    </row>
    <row r="94" spans="1:36" ht="14.5" x14ac:dyDescent="0.35">
      <c r="A94" s="248"/>
      <c r="B94" s="14">
        <v>91</v>
      </c>
      <c r="C94" s="14" t="s">
        <v>343</v>
      </c>
      <c r="D94" s="53" t="s">
        <v>4958</v>
      </c>
      <c r="E94" s="57" t="s">
        <v>8984</v>
      </c>
      <c r="F94" s="7" t="s">
        <v>47</v>
      </c>
      <c r="G94" s="7" t="s">
        <v>48</v>
      </c>
      <c r="H94" s="14" t="s">
        <v>5286</v>
      </c>
      <c r="I94" s="14" t="s">
        <v>5286</v>
      </c>
      <c r="J94" s="112">
        <v>26.433690689999999</v>
      </c>
      <c r="K94" s="113">
        <v>50.090349580000002</v>
      </c>
      <c r="L94" s="137" t="str">
        <f t="shared" si="7"/>
        <v>26.43369069,50.09034958</v>
      </c>
      <c r="M94" s="7" t="s">
        <v>5158</v>
      </c>
      <c r="N94" s="7">
        <v>10006248219</v>
      </c>
      <c r="O94" s="9"/>
      <c r="P94" s="32"/>
      <c r="Q94" s="29" t="s">
        <v>11</v>
      </c>
      <c r="R94" s="29" t="s">
        <v>11</v>
      </c>
      <c r="S94" s="29" t="s">
        <v>11</v>
      </c>
      <c r="T94" s="29" t="s">
        <v>11</v>
      </c>
      <c r="U94" s="29" t="s">
        <v>11</v>
      </c>
      <c r="V94" s="29" t="s">
        <v>11</v>
      </c>
      <c r="W94" s="29" t="s">
        <v>11</v>
      </c>
      <c r="X94" s="29" t="s">
        <v>11</v>
      </c>
      <c r="Y94" s="29" t="s">
        <v>11</v>
      </c>
      <c r="Z94" s="29" t="s">
        <v>11</v>
      </c>
      <c r="AA94" s="29" t="s">
        <v>11</v>
      </c>
      <c r="AB94" s="29" t="s">
        <v>11</v>
      </c>
      <c r="AC94" s="29" t="s">
        <v>11</v>
      </c>
      <c r="AD94" s="29" t="s">
        <v>11</v>
      </c>
      <c r="AE94" s="29" t="s">
        <v>11</v>
      </c>
      <c r="AF94" s="110" t="s">
        <v>11</v>
      </c>
      <c r="AG94" s="24">
        <f t="shared" si="4"/>
        <v>0</v>
      </c>
      <c r="AH94" s="24">
        <f t="shared" si="5"/>
        <v>0</v>
      </c>
      <c r="AI94" s="24">
        <f t="shared" si="6"/>
        <v>15</v>
      </c>
      <c r="AJ94" s="41" t="str" cm="1">
        <f t="array" ref="AJ94">_xlfn.IFS(
$AG94=15,"Not Started",
$AI94&lt;15,"In Progress",
$AI94=15,"Completed",
SUM(AG94:AI94)&gt;15,"Error"
)</f>
        <v>Completed</v>
      </c>
    </row>
    <row r="95" spans="1:36" ht="14.5" x14ac:dyDescent="0.35">
      <c r="A95" s="248"/>
      <c r="B95" s="14">
        <v>92</v>
      </c>
      <c r="C95" s="7" t="s">
        <v>344</v>
      </c>
      <c r="D95" s="53" t="s">
        <v>4959</v>
      </c>
      <c r="E95" s="57" t="s">
        <v>8985</v>
      </c>
      <c r="F95" s="7" t="s">
        <v>43</v>
      </c>
      <c r="G95" s="7" t="s">
        <v>48</v>
      </c>
      <c r="H95" s="14" t="s">
        <v>5286</v>
      </c>
      <c r="I95" s="14" t="s">
        <v>5286</v>
      </c>
      <c r="J95" s="112">
        <v>26.425804639999999</v>
      </c>
      <c r="K95" s="113">
        <v>50.078619009999997</v>
      </c>
      <c r="L95" s="137" t="str">
        <f t="shared" si="7"/>
        <v>26.42580464,50.07861901</v>
      </c>
      <c r="M95" s="7" t="s">
        <v>5159</v>
      </c>
      <c r="N95" s="7">
        <v>10006248961</v>
      </c>
      <c r="O95" s="9"/>
      <c r="P95" s="32"/>
      <c r="Q95" s="29" t="s">
        <v>11</v>
      </c>
      <c r="R95" s="29" t="s">
        <v>11</v>
      </c>
      <c r="S95" s="29" t="s">
        <v>11</v>
      </c>
      <c r="T95" s="29" t="s">
        <v>11</v>
      </c>
      <c r="U95" s="29" t="s">
        <v>11</v>
      </c>
      <c r="V95" s="29" t="s">
        <v>11</v>
      </c>
      <c r="W95" s="29" t="s">
        <v>11</v>
      </c>
      <c r="X95" s="29" t="s">
        <v>11</v>
      </c>
      <c r="Y95" s="29" t="s">
        <v>11</v>
      </c>
      <c r="Z95" s="29" t="s">
        <v>11</v>
      </c>
      <c r="AA95" s="29" t="s">
        <v>11</v>
      </c>
      <c r="AB95" s="29" t="s">
        <v>11</v>
      </c>
      <c r="AC95" s="29" t="s">
        <v>11</v>
      </c>
      <c r="AD95" s="29" t="s">
        <v>11</v>
      </c>
      <c r="AE95" s="29" t="s">
        <v>11</v>
      </c>
      <c r="AF95" s="110" t="s">
        <v>11</v>
      </c>
      <c r="AG95" s="24">
        <f t="shared" si="4"/>
        <v>0</v>
      </c>
      <c r="AH95" s="24">
        <f t="shared" si="5"/>
        <v>0</v>
      </c>
      <c r="AI95" s="24">
        <f t="shared" si="6"/>
        <v>15</v>
      </c>
      <c r="AJ95" s="41" t="str" cm="1">
        <f t="array" ref="AJ95">_xlfn.IFS(
$AG95=15,"Not Started",
$AI95&lt;15,"In Progress",
$AI95=15,"Completed",
SUM(AG95:AI95)&gt;15,"Error"
)</f>
        <v>Completed</v>
      </c>
    </row>
    <row r="96" spans="1:36" ht="14.5" x14ac:dyDescent="0.35">
      <c r="A96" s="248"/>
      <c r="B96" s="14">
        <v>93</v>
      </c>
      <c r="C96" s="14" t="s">
        <v>345</v>
      </c>
      <c r="D96" s="53" t="s">
        <v>4960</v>
      </c>
      <c r="E96" s="57" t="s">
        <v>8986</v>
      </c>
      <c r="F96" s="7" t="s">
        <v>47</v>
      </c>
      <c r="G96" s="7" t="s">
        <v>48</v>
      </c>
      <c r="H96" s="14" t="s">
        <v>5286</v>
      </c>
      <c r="I96" s="14" t="s">
        <v>5286</v>
      </c>
      <c r="J96" s="112">
        <v>26.427574270000001</v>
      </c>
      <c r="K96" s="113">
        <v>50.099914800000001</v>
      </c>
      <c r="L96" s="137" t="str">
        <f t="shared" si="7"/>
        <v>26.42757427,50.0999148</v>
      </c>
      <c r="M96" s="7" t="s">
        <v>5160</v>
      </c>
      <c r="N96" s="7">
        <v>10006248925</v>
      </c>
      <c r="O96" s="9"/>
      <c r="P96" s="32"/>
      <c r="Q96" s="29" t="s">
        <v>11</v>
      </c>
      <c r="R96" s="29" t="s">
        <v>11</v>
      </c>
      <c r="S96" s="29" t="s">
        <v>11</v>
      </c>
      <c r="T96" s="29" t="s">
        <v>11</v>
      </c>
      <c r="U96" s="29" t="s">
        <v>11</v>
      </c>
      <c r="V96" s="29" t="s">
        <v>11</v>
      </c>
      <c r="W96" s="29" t="s">
        <v>11</v>
      </c>
      <c r="X96" s="29" t="s">
        <v>11</v>
      </c>
      <c r="Y96" s="29" t="s">
        <v>11</v>
      </c>
      <c r="Z96" s="29" t="s">
        <v>11</v>
      </c>
      <c r="AA96" s="29" t="s">
        <v>11</v>
      </c>
      <c r="AB96" s="29" t="s">
        <v>11</v>
      </c>
      <c r="AC96" s="29" t="s">
        <v>11</v>
      </c>
      <c r="AD96" s="29" t="s">
        <v>11</v>
      </c>
      <c r="AE96" s="29" t="s">
        <v>11</v>
      </c>
      <c r="AF96" s="110" t="s">
        <v>11</v>
      </c>
      <c r="AG96" s="24">
        <f t="shared" si="4"/>
        <v>0</v>
      </c>
      <c r="AH96" s="24">
        <f t="shared" si="5"/>
        <v>0</v>
      </c>
      <c r="AI96" s="24">
        <f t="shared" si="6"/>
        <v>15</v>
      </c>
      <c r="AJ96" s="41" t="str" cm="1">
        <f t="array" ref="AJ96">_xlfn.IFS(
$AG96=15,"Not Started",
$AI96&lt;15,"In Progress",
$AI96=15,"Completed",
SUM(AG96:AI96)&gt;15,"Error"
)</f>
        <v>Completed</v>
      </c>
    </row>
    <row r="97" spans="1:36" ht="14.5" x14ac:dyDescent="0.35">
      <c r="A97" s="248"/>
      <c r="B97" s="14">
        <v>94</v>
      </c>
      <c r="C97" s="7" t="s">
        <v>346</v>
      </c>
      <c r="D97" s="53" t="s">
        <v>4961</v>
      </c>
      <c r="E97" s="57" t="s">
        <v>8987</v>
      </c>
      <c r="F97" s="7" t="s">
        <v>43</v>
      </c>
      <c r="G97" s="7" t="s">
        <v>48</v>
      </c>
      <c r="H97" s="14" t="s">
        <v>5286</v>
      </c>
      <c r="I97" s="14" t="s">
        <v>5286</v>
      </c>
      <c r="J97" s="112">
        <v>26.4335871</v>
      </c>
      <c r="K97" s="113">
        <v>50.09147497</v>
      </c>
      <c r="L97" s="137" t="str">
        <f t="shared" si="7"/>
        <v>26.4335871,50.09147497</v>
      </c>
      <c r="M97" s="7" t="s">
        <v>5161</v>
      </c>
      <c r="N97" s="7">
        <v>10006277328</v>
      </c>
      <c r="O97" s="9"/>
      <c r="P97" s="32"/>
      <c r="Q97" s="29" t="s">
        <v>11</v>
      </c>
      <c r="R97" s="29" t="s">
        <v>11</v>
      </c>
      <c r="S97" s="29" t="s">
        <v>11</v>
      </c>
      <c r="T97" s="29" t="s">
        <v>11</v>
      </c>
      <c r="U97" s="29" t="s">
        <v>11</v>
      </c>
      <c r="V97" s="29" t="s">
        <v>11</v>
      </c>
      <c r="W97" s="29" t="s">
        <v>11</v>
      </c>
      <c r="X97" s="29" t="s">
        <v>11</v>
      </c>
      <c r="Y97" s="29" t="s">
        <v>11</v>
      </c>
      <c r="Z97" s="29" t="s">
        <v>11</v>
      </c>
      <c r="AA97" s="29" t="s">
        <v>11</v>
      </c>
      <c r="AB97" s="29" t="s">
        <v>11</v>
      </c>
      <c r="AC97" s="29" t="s">
        <v>11</v>
      </c>
      <c r="AD97" s="29" t="s">
        <v>11</v>
      </c>
      <c r="AE97" s="29" t="s">
        <v>11</v>
      </c>
      <c r="AF97" s="110" t="s">
        <v>11</v>
      </c>
      <c r="AG97" s="24">
        <f t="shared" si="4"/>
        <v>0</v>
      </c>
      <c r="AH97" s="24">
        <f t="shared" si="5"/>
        <v>0</v>
      </c>
      <c r="AI97" s="24">
        <f t="shared" si="6"/>
        <v>15</v>
      </c>
      <c r="AJ97" s="41" t="str" cm="1">
        <f t="array" ref="AJ97">_xlfn.IFS(
$AG97=15,"Not Started",
$AI97&lt;15,"In Progress",
$AI97=15,"Completed",
SUM(AG97:AI97)&gt;15,"Error"
)</f>
        <v>Completed</v>
      </c>
    </row>
    <row r="98" spans="1:36" ht="14.5" x14ac:dyDescent="0.35">
      <c r="A98" s="248"/>
      <c r="B98" s="14">
        <v>95</v>
      </c>
      <c r="C98" s="14" t="s">
        <v>347</v>
      </c>
      <c r="D98" s="53" t="s">
        <v>4962</v>
      </c>
      <c r="E98" s="57" t="s">
        <v>8988</v>
      </c>
      <c r="F98" s="7" t="s">
        <v>51</v>
      </c>
      <c r="G98" s="7" t="s">
        <v>48</v>
      </c>
      <c r="H98" s="14" t="s">
        <v>5286</v>
      </c>
      <c r="I98" s="14" t="s">
        <v>5286</v>
      </c>
      <c r="J98" s="112">
        <v>26.431498609999998</v>
      </c>
      <c r="K98" s="113">
        <v>50.092781870000003</v>
      </c>
      <c r="L98" s="137" t="str">
        <f t="shared" si="7"/>
        <v>26.43149861,50.09278187</v>
      </c>
      <c r="M98" s="7" t="s">
        <v>5162</v>
      </c>
      <c r="N98" s="7">
        <v>10006267027</v>
      </c>
      <c r="O98" s="9"/>
      <c r="P98" s="32"/>
      <c r="Q98" s="29" t="s">
        <v>11</v>
      </c>
      <c r="R98" s="29" t="s">
        <v>11</v>
      </c>
      <c r="S98" s="29" t="s">
        <v>11</v>
      </c>
      <c r="T98" s="29" t="s">
        <v>11</v>
      </c>
      <c r="U98" s="29" t="s">
        <v>11</v>
      </c>
      <c r="V98" s="29" t="s">
        <v>11</v>
      </c>
      <c r="W98" s="29" t="s">
        <v>11</v>
      </c>
      <c r="X98" s="29" t="s">
        <v>11</v>
      </c>
      <c r="Y98" s="29" t="s">
        <v>11</v>
      </c>
      <c r="Z98" s="29" t="s">
        <v>11</v>
      </c>
      <c r="AA98" s="29" t="s">
        <v>11</v>
      </c>
      <c r="AB98" s="29" t="s">
        <v>11</v>
      </c>
      <c r="AC98" s="29" t="s">
        <v>11</v>
      </c>
      <c r="AD98" s="29" t="s">
        <v>11</v>
      </c>
      <c r="AE98" s="29" t="s">
        <v>11</v>
      </c>
      <c r="AF98" s="110" t="s">
        <v>11</v>
      </c>
      <c r="AG98" s="24">
        <f t="shared" si="4"/>
        <v>0</v>
      </c>
      <c r="AH98" s="24">
        <f t="shared" si="5"/>
        <v>0</v>
      </c>
      <c r="AI98" s="24">
        <f t="shared" si="6"/>
        <v>15</v>
      </c>
      <c r="AJ98" s="41" t="str" cm="1">
        <f t="array" ref="AJ98">_xlfn.IFS(
$AG98=15,"Not Started",
$AI98&lt;15,"In Progress",
$AI98=15,"Completed",
SUM(AG98:AI98)&gt;15,"Error"
)</f>
        <v>Completed</v>
      </c>
    </row>
    <row r="99" spans="1:36" ht="14.5" x14ac:dyDescent="0.35">
      <c r="A99" s="248"/>
      <c r="B99" s="14">
        <v>96</v>
      </c>
      <c r="C99" s="7" t="s">
        <v>348</v>
      </c>
      <c r="D99" s="53" t="s">
        <v>4963</v>
      </c>
      <c r="E99" s="57" t="s">
        <v>8989</v>
      </c>
      <c r="F99" s="7" t="s">
        <v>43</v>
      </c>
      <c r="G99" s="7" t="s">
        <v>44</v>
      </c>
      <c r="H99" s="14" t="s">
        <v>5286</v>
      </c>
      <c r="I99" s="14" t="s">
        <v>5286</v>
      </c>
      <c r="J99" s="112">
        <v>26.43034694</v>
      </c>
      <c r="K99" s="113">
        <v>50.098484229999997</v>
      </c>
      <c r="L99" s="137" t="str">
        <f t="shared" si="7"/>
        <v>26.43034694,50.09848423</v>
      </c>
      <c r="M99" s="7" t="s">
        <v>5163</v>
      </c>
      <c r="N99" s="7">
        <v>10006287905</v>
      </c>
      <c r="O99" s="9"/>
      <c r="P99" s="32"/>
      <c r="Q99" s="29" t="s">
        <v>11</v>
      </c>
      <c r="R99" s="29" t="s">
        <v>11</v>
      </c>
      <c r="S99" s="29" t="s">
        <v>11</v>
      </c>
      <c r="T99" s="29" t="s">
        <v>11</v>
      </c>
      <c r="U99" s="29" t="s">
        <v>11</v>
      </c>
      <c r="V99" s="29" t="s">
        <v>11</v>
      </c>
      <c r="W99" s="29" t="s">
        <v>11</v>
      </c>
      <c r="X99" s="29" t="s">
        <v>11</v>
      </c>
      <c r="Y99" s="29" t="s">
        <v>11</v>
      </c>
      <c r="Z99" s="29" t="s">
        <v>11</v>
      </c>
      <c r="AA99" s="29" t="s">
        <v>11</v>
      </c>
      <c r="AB99" s="29" t="s">
        <v>11</v>
      </c>
      <c r="AC99" s="29" t="s">
        <v>11</v>
      </c>
      <c r="AD99" s="29" t="s">
        <v>11</v>
      </c>
      <c r="AE99" s="29" t="s">
        <v>11</v>
      </c>
      <c r="AF99" s="110" t="s">
        <v>11</v>
      </c>
      <c r="AG99" s="24">
        <f t="shared" si="4"/>
        <v>0</v>
      </c>
      <c r="AH99" s="24">
        <f t="shared" si="5"/>
        <v>0</v>
      </c>
      <c r="AI99" s="24">
        <f t="shared" si="6"/>
        <v>15</v>
      </c>
      <c r="AJ99" s="41" t="str" cm="1">
        <f t="array" ref="AJ99">_xlfn.IFS(
$AG99=15,"Not Started",
$AI99&lt;15,"In Progress",
$AI99=15,"Completed",
SUM(AG99:AI99)&gt;15,"Error"
)</f>
        <v>Completed</v>
      </c>
    </row>
    <row r="100" spans="1:36" ht="14.5" x14ac:dyDescent="0.35">
      <c r="A100" s="248"/>
      <c r="B100" s="14">
        <v>97</v>
      </c>
      <c r="C100" s="14" t="s">
        <v>349</v>
      </c>
      <c r="D100" s="53" t="s">
        <v>4964</v>
      </c>
      <c r="E100" s="57" t="s">
        <v>8990</v>
      </c>
      <c r="F100" s="7" t="s">
        <v>43</v>
      </c>
      <c r="G100" s="7" t="s">
        <v>48</v>
      </c>
      <c r="H100" s="14" t="s">
        <v>5286</v>
      </c>
      <c r="I100" s="14" t="s">
        <v>5286</v>
      </c>
      <c r="J100" s="112">
        <v>26.429783069999999</v>
      </c>
      <c r="K100" s="113">
        <v>50.113001820000001</v>
      </c>
      <c r="L100" s="137" t="str">
        <f t="shared" si="7"/>
        <v>26.42978307,50.11300182</v>
      </c>
      <c r="M100" s="7" t="s">
        <v>5164</v>
      </c>
      <c r="N100" s="7">
        <v>10006241254</v>
      </c>
      <c r="O100" s="9"/>
      <c r="P100" s="32"/>
      <c r="Q100" s="29" t="s">
        <v>11</v>
      </c>
      <c r="R100" s="29" t="s">
        <v>11</v>
      </c>
      <c r="S100" s="29" t="s">
        <v>11</v>
      </c>
      <c r="T100" s="29" t="s">
        <v>11</v>
      </c>
      <c r="U100" s="29" t="s">
        <v>11</v>
      </c>
      <c r="V100" s="29" t="s">
        <v>11</v>
      </c>
      <c r="W100" s="29" t="s">
        <v>11</v>
      </c>
      <c r="X100" s="29" t="s">
        <v>11</v>
      </c>
      <c r="Y100" s="29" t="s">
        <v>11</v>
      </c>
      <c r="Z100" s="29" t="s">
        <v>11</v>
      </c>
      <c r="AA100" s="29" t="s">
        <v>11</v>
      </c>
      <c r="AB100" s="29" t="s">
        <v>11</v>
      </c>
      <c r="AC100" s="29" t="s">
        <v>11</v>
      </c>
      <c r="AD100" s="29" t="s">
        <v>11</v>
      </c>
      <c r="AE100" s="29" t="s">
        <v>11</v>
      </c>
      <c r="AF100" s="110" t="s">
        <v>11</v>
      </c>
      <c r="AG100" s="24">
        <f t="shared" si="4"/>
        <v>0</v>
      </c>
      <c r="AH100" s="24">
        <f t="shared" si="5"/>
        <v>0</v>
      </c>
      <c r="AI100" s="24">
        <f t="shared" si="6"/>
        <v>15</v>
      </c>
      <c r="AJ100" s="41" t="str" cm="1">
        <f t="array" ref="AJ100">_xlfn.IFS(
$AG100=15,"Not Started",
$AI100&lt;15,"In Progress",
$AI100=15,"Completed",
SUM(AG100:AI100)&gt;15,"Error"
)</f>
        <v>Completed</v>
      </c>
    </row>
    <row r="101" spans="1:36" ht="14.5" x14ac:dyDescent="0.35">
      <c r="A101" s="248"/>
      <c r="B101" s="14">
        <v>98</v>
      </c>
      <c r="C101" s="7" t="s">
        <v>350</v>
      </c>
      <c r="D101" s="53" t="s">
        <v>4965</v>
      </c>
      <c r="E101" s="57" t="s">
        <v>8991</v>
      </c>
      <c r="F101" s="7" t="s">
        <v>43</v>
      </c>
      <c r="G101" s="7" t="s">
        <v>48</v>
      </c>
      <c r="H101" s="14" t="s">
        <v>5286</v>
      </c>
      <c r="I101" s="14" t="s">
        <v>5286</v>
      </c>
      <c r="J101" s="112">
        <v>26.422247219999999</v>
      </c>
      <c r="K101" s="113">
        <v>50.076343250000001</v>
      </c>
      <c r="L101" s="137" t="str">
        <f t="shared" si="7"/>
        <v>26.42224722,50.07634325</v>
      </c>
      <c r="M101" s="7" t="s">
        <v>5165</v>
      </c>
      <c r="N101" s="7">
        <v>10006249600</v>
      </c>
      <c r="O101" s="9"/>
      <c r="P101" s="32"/>
      <c r="Q101" s="29" t="s">
        <v>11</v>
      </c>
      <c r="R101" s="29" t="s">
        <v>11</v>
      </c>
      <c r="S101" s="29" t="s">
        <v>11</v>
      </c>
      <c r="T101" s="29" t="s">
        <v>11</v>
      </c>
      <c r="U101" s="29" t="s">
        <v>11</v>
      </c>
      <c r="V101" s="29" t="s">
        <v>11</v>
      </c>
      <c r="W101" s="29" t="s">
        <v>11</v>
      </c>
      <c r="X101" s="29" t="s">
        <v>11</v>
      </c>
      <c r="Y101" s="29" t="s">
        <v>11</v>
      </c>
      <c r="Z101" s="29" t="s">
        <v>11</v>
      </c>
      <c r="AA101" s="29" t="s">
        <v>11</v>
      </c>
      <c r="AB101" s="29" t="s">
        <v>11</v>
      </c>
      <c r="AC101" s="29" t="s">
        <v>11</v>
      </c>
      <c r="AD101" s="29" t="s">
        <v>11</v>
      </c>
      <c r="AE101" s="29" t="s">
        <v>11</v>
      </c>
      <c r="AF101" s="110" t="s">
        <v>11</v>
      </c>
      <c r="AG101" s="24">
        <f t="shared" si="4"/>
        <v>0</v>
      </c>
      <c r="AH101" s="24">
        <f t="shared" si="5"/>
        <v>0</v>
      </c>
      <c r="AI101" s="24">
        <f t="shared" si="6"/>
        <v>15</v>
      </c>
      <c r="AJ101" s="41" t="str" cm="1">
        <f t="array" ref="AJ101">_xlfn.IFS(
$AG101=15,"Not Started",
$AI101&lt;15,"In Progress",
$AI101=15,"Completed",
SUM(AG101:AI101)&gt;15,"Error"
)</f>
        <v>Completed</v>
      </c>
    </row>
    <row r="102" spans="1:36" ht="14.5" x14ac:dyDescent="0.35">
      <c r="A102" s="248"/>
      <c r="B102" s="14">
        <v>99</v>
      </c>
      <c r="C102" s="14" t="s">
        <v>351</v>
      </c>
      <c r="D102" s="53" t="s">
        <v>4966</v>
      </c>
      <c r="E102" s="57" t="s">
        <v>8992</v>
      </c>
      <c r="F102" s="7" t="s">
        <v>43</v>
      </c>
      <c r="G102" s="7" t="s">
        <v>44</v>
      </c>
      <c r="H102" s="14" t="s">
        <v>5286</v>
      </c>
      <c r="I102" s="14" t="s">
        <v>5286</v>
      </c>
      <c r="J102" s="112">
        <v>26.421744029999999</v>
      </c>
      <c r="K102" s="113">
        <v>50.07750927</v>
      </c>
      <c r="L102" s="137" t="str">
        <f t="shared" si="7"/>
        <v>26.42174403,50.07750927</v>
      </c>
      <c r="M102" s="7" t="s">
        <v>5166</v>
      </c>
      <c r="N102" s="7">
        <v>10006228950</v>
      </c>
      <c r="O102" s="9"/>
      <c r="P102" s="32"/>
      <c r="Q102" s="29" t="s">
        <v>11</v>
      </c>
      <c r="R102" s="29" t="s">
        <v>11</v>
      </c>
      <c r="S102" s="29" t="s">
        <v>11</v>
      </c>
      <c r="T102" s="29" t="s">
        <v>11</v>
      </c>
      <c r="U102" s="29" t="s">
        <v>11</v>
      </c>
      <c r="V102" s="29" t="s">
        <v>11</v>
      </c>
      <c r="W102" s="29" t="s">
        <v>11</v>
      </c>
      <c r="X102" s="29" t="s">
        <v>11</v>
      </c>
      <c r="Y102" s="29" t="s">
        <v>11</v>
      </c>
      <c r="Z102" s="29" t="s">
        <v>11</v>
      </c>
      <c r="AA102" s="29" t="s">
        <v>11</v>
      </c>
      <c r="AB102" s="29" t="s">
        <v>11</v>
      </c>
      <c r="AC102" s="29" t="s">
        <v>11</v>
      </c>
      <c r="AD102" s="29" t="s">
        <v>11</v>
      </c>
      <c r="AE102" s="29" t="s">
        <v>11</v>
      </c>
      <c r="AF102" s="110" t="s">
        <v>11</v>
      </c>
      <c r="AG102" s="24">
        <f t="shared" si="4"/>
        <v>0</v>
      </c>
      <c r="AH102" s="24">
        <f t="shared" si="5"/>
        <v>0</v>
      </c>
      <c r="AI102" s="24">
        <f t="shared" si="6"/>
        <v>15</v>
      </c>
      <c r="AJ102" s="41" t="str" cm="1">
        <f t="array" ref="AJ102">_xlfn.IFS(
$AG102=15,"Not Started",
$AI102&lt;15,"In Progress",
$AI102=15,"Completed",
SUM(AG102:AI102)&gt;15,"Error"
)</f>
        <v>Completed</v>
      </c>
    </row>
    <row r="103" spans="1:36" ht="14.5" x14ac:dyDescent="0.35">
      <c r="A103" s="248"/>
      <c r="B103" s="14">
        <v>100</v>
      </c>
      <c r="C103" s="7" t="s">
        <v>352</v>
      </c>
      <c r="D103" s="53" t="s">
        <v>4967</v>
      </c>
      <c r="E103" s="57" t="s">
        <v>8993</v>
      </c>
      <c r="F103" s="7" t="s">
        <v>43</v>
      </c>
      <c r="G103" s="7" t="s">
        <v>48</v>
      </c>
      <c r="H103" s="14" t="s">
        <v>5286</v>
      </c>
      <c r="I103" s="14" t="s">
        <v>5286</v>
      </c>
      <c r="J103" s="112">
        <v>26.434835320000001</v>
      </c>
      <c r="K103" s="113">
        <v>50.12308367</v>
      </c>
      <c r="L103" s="137" t="str">
        <f t="shared" si="7"/>
        <v>26.43483532,50.12308367</v>
      </c>
      <c r="M103" s="7" t="s">
        <v>5167</v>
      </c>
      <c r="N103" s="7">
        <v>10006245422</v>
      </c>
      <c r="O103" s="9"/>
      <c r="P103" s="32"/>
      <c r="Q103" s="29" t="s">
        <v>11</v>
      </c>
      <c r="R103" s="29" t="s">
        <v>11</v>
      </c>
      <c r="S103" s="29" t="s">
        <v>11</v>
      </c>
      <c r="T103" s="29" t="s">
        <v>11</v>
      </c>
      <c r="U103" s="29" t="s">
        <v>11</v>
      </c>
      <c r="V103" s="29" t="s">
        <v>11</v>
      </c>
      <c r="W103" s="29" t="s">
        <v>11</v>
      </c>
      <c r="X103" s="29" t="s">
        <v>11</v>
      </c>
      <c r="Y103" s="29" t="s">
        <v>11</v>
      </c>
      <c r="Z103" s="29" t="s">
        <v>11</v>
      </c>
      <c r="AA103" s="29" t="s">
        <v>11</v>
      </c>
      <c r="AB103" s="29" t="s">
        <v>11</v>
      </c>
      <c r="AC103" s="29" t="s">
        <v>11</v>
      </c>
      <c r="AD103" s="29" t="s">
        <v>11</v>
      </c>
      <c r="AE103" s="29" t="s">
        <v>11</v>
      </c>
      <c r="AF103" s="110" t="s">
        <v>11</v>
      </c>
      <c r="AG103" s="24">
        <f t="shared" si="4"/>
        <v>0</v>
      </c>
      <c r="AH103" s="24">
        <f t="shared" si="5"/>
        <v>0</v>
      </c>
      <c r="AI103" s="24">
        <f t="shared" si="6"/>
        <v>15</v>
      </c>
      <c r="AJ103" s="41" t="str" cm="1">
        <f t="array" ref="AJ103">_xlfn.IFS(
$AG103=15,"Not Started",
$AI103&lt;15,"In Progress",
$AI103=15,"Completed",
SUM(AG103:AI103)&gt;15,"Error"
)</f>
        <v>Completed</v>
      </c>
    </row>
    <row r="104" spans="1:36" ht="14.5" x14ac:dyDescent="0.35">
      <c r="A104" s="248"/>
      <c r="B104" s="14">
        <v>101</v>
      </c>
      <c r="C104" s="14" t="s">
        <v>353</v>
      </c>
      <c r="D104" s="53" t="s">
        <v>4968</v>
      </c>
      <c r="E104" s="57" t="s">
        <v>8994</v>
      </c>
      <c r="F104" s="7" t="s">
        <v>43</v>
      </c>
      <c r="G104" s="7" t="s">
        <v>48</v>
      </c>
      <c r="H104" s="14" t="s">
        <v>5286</v>
      </c>
      <c r="I104" s="14" t="s">
        <v>5286</v>
      </c>
      <c r="J104" s="112">
        <v>26.43540278</v>
      </c>
      <c r="K104" s="113">
        <v>50.090564430000001</v>
      </c>
      <c r="L104" s="137" t="str">
        <f t="shared" si="7"/>
        <v>26.43540278,50.09056443</v>
      </c>
      <c r="M104" s="7" t="s">
        <v>5168</v>
      </c>
      <c r="N104" s="7">
        <v>10006180041</v>
      </c>
      <c r="O104" s="9"/>
      <c r="P104" s="32"/>
      <c r="Q104" s="29" t="s">
        <v>11</v>
      </c>
      <c r="R104" s="29" t="s">
        <v>11</v>
      </c>
      <c r="S104" s="29" t="s">
        <v>11</v>
      </c>
      <c r="T104" s="29" t="s">
        <v>11</v>
      </c>
      <c r="U104" s="29" t="s">
        <v>11</v>
      </c>
      <c r="V104" s="29" t="s">
        <v>11</v>
      </c>
      <c r="W104" s="29" t="s">
        <v>11</v>
      </c>
      <c r="X104" s="29" t="s">
        <v>11</v>
      </c>
      <c r="Y104" s="29" t="s">
        <v>11</v>
      </c>
      <c r="Z104" s="29" t="s">
        <v>11</v>
      </c>
      <c r="AA104" s="29" t="s">
        <v>11</v>
      </c>
      <c r="AB104" s="29" t="s">
        <v>11</v>
      </c>
      <c r="AC104" s="29" t="s">
        <v>11</v>
      </c>
      <c r="AD104" s="29" t="s">
        <v>11</v>
      </c>
      <c r="AE104" s="29" t="s">
        <v>11</v>
      </c>
      <c r="AF104" s="110" t="s">
        <v>11</v>
      </c>
      <c r="AG104" s="24">
        <f t="shared" si="4"/>
        <v>0</v>
      </c>
      <c r="AH104" s="24">
        <f t="shared" si="5"/>
        <v>0</v>
      </c>
      <c r="AI104" s="24">
        <f t="shared" si="6"/>
        <v>15</v>
      </c>
      <c r="AJ104" s="41" t="str" cm="1">
        <f t="array" ref="AJ104">_xlfn.IFS(
$AG104=15,"Not Started",
$AI104&lt;15,"In Progress",
$AI104=15,"Completed",
SUM(AG104:AI104)&gt;15,"Error"
)</f>
        <v>Completed</v>
      </c>
    </row>
    <row r="105" spans="1:36" ht="14.5" x14ac:dyDescent="0.35">
      <c r="A105" s="248"/>
      <c r="B105" s="14">
        <v>102</v>
      </c>
      <c r="C105" s="7" t="s">
        <v>354</v>
      </c>
      <c r="D105" s="53" t="s">
        <v>4969</v>
      </c>
      <c r="E105" s="57" t="s">
        <v>8995</v>
      </c>
      <c r="F105" s="7" t="s">
        <v>43</v>
      </c>
      <c r="G105" s="7" t="s">
        <v>48</v>
      </c>
      <c r="H105" s="14" t="s">
        <v>5286</v>
      </c>
      <c r="I105" s="14" t="s">
        <v>5286</v>
      </c>
      <c r="J105" s="112">
        <v>26.434802059999999</v>
      </c>
      <c r="K105" s="113">
        <v>50.064626269999998</v>
      </c>
      <c r="L105" s="137" t="str">
        <f t="shared" si="7"/>
        <v>26.43480206,50.06462627</v>
      </c>
      <c r="M105" s="7" t="s">
        <v>5169</v>
      </c>
      <c r="N105" s="7">
        <v>10006251009</v>
      </c>
      <c r="O105" s="9"/>
      <c r="P105" s="32"/>
      <c r="Q105" s="29" t="s">
        <v>11</v>
      </c>
      <c r="R105" s="29" t="s">
        <v>11</v>
      </c>
      <c r="S105" s="29" t="s">
        <v>11</v>
      </c>
      <c r="T105" s="29" t="s">
        <v>11</v>
      </c>
      <c r="U105" s="29" t="s">
        <v>11</v>
      </c>
      <c r="V105" s="29" t="s">
        <v>11</v>
      </c>
      <c r="W105" s="29" t="s">
        <v>11</v>
      </c>
      <c r="X105" s="29" t="s">
        <v>11</v>
      </c>
      <c r="Y105" s="29" t="s">
        <v>11</v>
      </c>
      <c r="Z105" s="29" t="s">
        <v>11</v>
      </c>
      <c r="AA105" s="29" t="s">
        <v>11</v>
      </c>
      <c r="AB105" s="29" t="s">
        <v>11</v>
      </c>
      <c r="AC105" s="29" t="s">
        <v>11</v>
      </c>
      <c r="AD105" s="29" t="s">
        <v>11</v>
      </c>
      <c r="AE105" s="29" t="s">
        <v>11</v>
      </c>
      <c r="AF105" s="110" t="s">
        <v>11</v>
      </c>
      <c r="AG105" s="24">
        <f t="shared" si="4"/>
        <v>0</v>
      </c>
      <c r="AH105" s="24">
        <f t="shared" si="5"/>
        <v>0</v>
      </c>
      <c r="AI105" s="24">
        <f t="shared" si="6"/>
        <v>15</v>
      </c>
      <c r="AJ105" s="41" t="str" cm="1">
        <f t="array" ref="AJ105">_xlfn.IFS(
$AG105=15,"Not Started",
$AI105&lt;15,"In Progress",
$AI105=15,"Completed",
SUM(AG105:AI105)&gt;15,"Error"
)</f>
        <v>Completed</v>
      </c>
    </row>
    <row r="106" spans="1:36" ht="14.5" x14ac:dyDescent="0.35">
      <c r="A106" s="248"/>
      <c r="B106" s="14">
        <v>103</v>
      </c>
      <c r="C106" s="14" t="s">
        <v>355</v>
      </c>
      <c r="D106" s="53" t="s">
        <v>4970</v>
      </c>
      <c r="E106" s="57" t="s">
        <v>8996</v>
      </c>
      <c r="F106" s="7" t="s">
        <v>43</v>
      </c>
      <c r="G106" s="7" t="s">
        <v>48</v>
      </c>
      <c r="H106" s="14" t="s">
        <v>5286</v>
      </c>
      <c r="I106" s="14" t="s">
        <v>5286</v>
      </c>
      <c r="J106" s="112">
        <v>26.440144530000001</v>
      </c>
      <c r="K106" s="113">
        <v>50.075236070000003</v>
      </c>
      <c r="L106" s="137" t="str">
        <f t="shared" si="7"/>
        <v>26.44014453,50.07523607</v>
      </c>
      <c r="M106" s="7" t="s">
        <v>5170</v>
      </c>
      <c r="N106" s="7">
        <v>10006248916</v>
      </c>
      <c r="O106" s="9"/>
      <c r="P106" s="32"/>
      <c r="Q106" s="29" t="s">
        <v>11</v>
      </c>
      <c r="R106" s="29" t="s">
        <v>11</v>
      </c>
      <c r="S106" s="29" t="s">
        <v>11</v>
      </c>
      <c r="T106" s="29" t="s">
        <v>11</v>
      </c>
      <c r="U106" s="29" t="s">
        <v>11</v>
      </c>
      <c r="V106" s="29" t="s">
        <v>11</v>
      </c>
      <c r="W106" s="29" t="s">
        <v>11</v>
      </c>
      <c r="X106" s="29" t="s">
        <v>11</v>
      </c>
      <c r="Y106" s="29" t="s">
        <v>11</v>
      </c>
      <c r="Z106" s="29" t="s">
        <v>11</v>
      </c>
      <c r="AA106" s="29" t="s">
        <v>11</v>
      </c>
      <c r="AB106" s="29" t="s">
        <v>11</v>
      </c>
      <c r="AC106" s="29" t="s">
        <v>11</v>
      </c>
      <c r="AD106" s="29" t="s">
        <v>11</v>
      </c>
      <c r="AE106" s="29" t="s">
        <v>11</v>
      </c>
      <c r="AF106" s="110" t="s">
        <v>11</v>
      </c>
      <c r="AG106" s="24">
        <f t="shared" si="4"/>
        <v>0</v>
      </c>
      <c r="AH106" s="24">
        <f t="shared" si="5"/>
        <v>0</v>
      </c>
      <c r="AI106" s="24">
        <f t="shared" si="6"/>
        <v>15</v>
      </c>
      <c r="AJ106" s="41" t="str" cm="1">
        <f t="array" ref="AJ106">_xlfn.IFS(
$AG106=15,"Not Started",
$AI106&lt;15,"In Progress",
$AI106=15,"Completed",
SUM(AG106:AI106)&gt;15,"Error"
)</f>
        <v>Completed</v>
      </c>
    </row>
    <row r="107" spans="1:36" ht="14.5" x14ac:dyDescent="0.35">
      <c r="A107" s="248"/>
      <c r="B107" s="14">
        <v>104</v>
      </c>
      <c r="C107" s="7" t="s">
        <v>356</v>
      </c>
      <c r="D107" s="53" t="s">
        <v>4971</v>
      </c>
      <c r="E107" s="57" t="s">
        <v>8997</v>
      </c>
      <c r="F107" s="7" t="s">
        <v>43</v>
      </c>
      <c r="G107" s="7" t="s">
        <v>48</v>
      </c>
      <c r="H107" s="14" t="s">
        <v>5286</v>
      </c>
      <c r="I107" s="14" t="s">
        <v>5286</v>
      </c>
      <c r="J107" s="112">
        <v>26.457121000000001</v>
      </c>
      <c r="K107" s="113">
        <v>50.090449300000003</v>
      </c>
      <c r="L107" s="137" t="str">
        <f t="shared" si="7"/>
        <v>26.457121,50.0904493</v>
      </c>
      <c r="M107" s="7" t="s">
        <v>5171</v>
      </c>
      <c r="N107" s="7">
        <v>10006216153</v>
      </c>
      <c r="O107" s="9"/>
      <c r="P107" s="32"/>
      <c r="Q107" s="29" t="s">
        <v>11</v>
      </c>
      <c r="R107" s="29" t="s">
        <v>11</v>
      </c>
      <c r="S107" s="29" t="s">
        <v>11</v>
      </c>
      <c r="T107" s="29" t="s">
        <v>11</v>
      </c>
      <c r="U107" s="29" t="s">
        <v>11</v>
      </c>
      <c r="V107" s="29" t="s">
        <v>11</v>
      </c>
      <c r="W107" s="29" t="s">
        <v>11</v>
      </c>
      <c r="X107" s="29" t="s">
        <v>11</v>
      </c>
      <c r="Y107" s="29" t="s">
        <v>11</v>
      </c>
      <c r="Z107" s="29" t="s">
        <v>11</v>
      </c>
      <c r="AA107" s="29" t="s">
        <v>11</v>
      </c>
      <c r="AB107" s="29" t="s">
        <v>11</v>
      </c>
      <c r="AC107" s="29" t="s">
        <v>11</v>
      </c>
      <c r="AD107" s="29" t="s">
        <v>11</v>
      </c>
      <c r="AE107" s="29" t="s">
        <v>11</v>
      </c>
      <c r="AF107" s="110" t="s">
        <v>11</v>
      </c>
      <c r="AG107" s="24">
        <f t="shared" si="4"/>
        <v>0</v>
      </c>
      <c r="AH107" s="24">
        <f t="shared" si="5"/>
        <v>0</v>
      </c>
      <c r="AI107" s="24">
        <f t="shared" si="6"/>
        <v>15</v>
      </c>
      <c r="AJ107" s="41" t="str" cm="1">
        <f t="array" ref="AJ107">_xlfn.IFS(
$AG107=15,"Not Started",
$AI107&lt;15,"In Progress",
$AI107=15,"Completed",
SUM(AG107:AI107)&gt;15,"Error"
)</f>
        <v>Completed</v>
      </c>
    </row>
    <row r="108" spans="1:36" ht="14.5" x14ac:dyDescent="0.35">
      <c r="A108" s="248"/>
      <c r="B108" s="14">
        <v>105</v>
      </c>
      <c r="C108" s="14" t="s">
        <v>357</v>
      </c>
      <c r="D108" s="53" t="s">
        <v>4972</v>
      </c>
      <c r="E108" s="57" t="s">
        <v>8998</v>
      </c>
      <c r="F108" s="7" t="s">
        <v>43</v>
      </c>
      <c r="G108" s="7" t="s">
        <v>48</v>
      </c>
      <c r="H108" s="14" t="s">
        <v>5286</v>
      </c>
      <c r="I108" s="14" t="s">
        <v>5286</v>
      </c>
      <c r="J108" s="112">
        <v>26.446669440000001</v>
      </c>
      <c r="K108" s="113">
        <v>50.078728529999999</v>
      </c>
      <c r="L108" s="137" t="str">
        <f t="shared" si="7"/>
        <v>26.44666944,50.07872853</v>
      </c>
      <c r="M108" s="7" t="s">
        <v>5172</v>
      </c>
      <c r="N108" s="7">
        <v>10006236281</v>
      </c>
      <c r="O108" s="9"/>
      <c r="P108" s="32"/>
      <c r="Q108" s="29" t="s">
        <v>11</v>
      </c>
      <c r="R108" s="29" t="s">
        <v>11</v>
      </c>
      <c r="S108" s="29" t="s">
        <v>11</v>
      </c>
      <c r="T108" s="29" t="s">
        <v>11</v>
      </c>
      <c r="U108" s="29" t="s">
        <v>11</v>
      </c>
      <c r="V108" s="29" t="s">
        <v>11</v>
      </c>
      <c r="W108" s="29" t="s">
        <v>11</v>
      </c>
      <c r="X108" s="29" t="s">
        <v>11</v>
      </c>
      <c r="Y108" s="29" t="s">
        <v>11</v>
      </c>
      <c r="Z108" s="29" t="s">
        <v>11</v>
      </c>
      <c r="AA108" s="29" t="s">
        <v>11</v>
      </c>
      <c r="AB108" s="29" t="s">
        <v>11</v>
      </c>
      <c r="AC108" s="29" t="s">
        <v>11</v>
      </c>
      <c r="AD108" s="29" t="s">
        <v>11</v>
      </c>
      <c r="AE108" s="29" t="s">
        <v>11</v>
      </c>
      <c r="AF108" s="110" t="s">
        <v>11</v>
      </c>
      <c r="AG108" s="24">
        <f t="shared" si="4"/>
        <v>0</v>
      </c>
      <c r="AH108" s="24">
        <f t="shared" si="5"/>
        <v>0</v>
      </c>
      <c r="AI108" s="24">
        <f t="shared" si="6"/>
        <v>15</v>
      </c>
      <c r="AJ108" s="41" t="str" cm="1">
        <f t="array" ref="AJ108">_xlfn.IFS(
$AG108=15,"Not Started",
$AI108&lt;15,"In Progress",
$AI108=15,"Completed",
SUM(AG108:AI108)&gt;15,"Error"
)</f>
        <v>Completed</v>
      </c>
    </row>
    <row r="109" spans="1:36" ht="14.5" x14ac:dyDescent="0.35">
      <c r="A109" s="248"/>
      <c r="B109" s="14">
        <v>106</v>
      </c>
      <c r="C109" s="7" t="s">
        <v>358</v>
      </c>
      <c r="D109" s="53" t="s">
        <v>4973</v>
      </c>
      <c r="E109" s="57" t="s">
        <v>8999</v>
      </c>
      <c r="F109" s="7" t="s">
        <v>43</v>
      </c>
      <c r="G109" s="7" t="s">
        <v>48</v>
      </c>
      <c r="H109" s="14" t="s">
        <v>5286</v>
      </c>
      <c r="I109" s="14" t="s">
        <v>5286</v>
      </c>
      <c r="J109" s="112">
        <v>26.444599419999999</v>
      </c>
      <c r="K109" s="113">
        <v>50.125902459999999</v>
      </c>
      <c r="L109" s="137" t="str">
        <f t="shared" si="7"/>
        <v>26.44459942,50.12590246</v>
      </c>
      <c r="M109" s="7" t="s">
        <v>5173</v>
      </c>
      <c r="N109" s="7">
        <v>10006248630</v>
      </c>
      <c r="O109" s="9"/>
      <c r="P109" s="32"/>
      <c r="Q109" s="29" t="s">
        <v>11</v>
      </c>
      <c r="R109" s="29" t="s">
        <v>11</v>
      </c>
      <c r="S109" s="29" t="s">
        <v>11</v>
      </c>
      <c r="T109" s="29" t="s">
        <v>11</v>
      </c>
      <c r="U109" s="29" t="s">
        <v>11</v>
      </c>
      <c r="V109" s="29" t="s">
        <v>11</v>
      </c>
      <c r="W109" s="29" t="s">
        <v>11</v>
      </c>
      <c r="X109" s="29" t="s">
        <v>11</v>
      </c>
      <c r="Y109" s="29" t="s">
        <v>11</v>
      </c>
      <c r="Z109" s="29" t="s">
        <v>11</v>
      </c>
      <c r="AA109" s="29" t="s">
        <v>11</v>
      </c>
      <c r="AB109" s="29" t="s">
        <v>11</v>
      </c>
      <c r="AC109" s="29" t="s">
        <v>11</v>
      </c>
      <c r="AD109" s="29" t="s">
        <v>11</v>
      </c>
      <c r="AE109" s="29" t="s">
        <v>11</v>
      </c>
      <c r="AF109" s="110" t="s">
        <v>11</v>
      </c>
      <c r="AG109" s="24">
        <f t="shared" si="4"/>
        <v>0</v>
      </c>
      <c r="AH109" s="24">
        <f t="shared" si="5"/>
        <v>0</v>
      </c>
      <c r="AI109" s="24">
        <f t="shared" si="6"/>
        <v>15</v>
      </c>
      <c r="AJ109" s="41" t="str" cm="1">
        <f t="array" ref="AJ109">_xlfn.IFS(
$AG109=15,"Not Started",
$AI109&lt;15,"In Progress",
$AI109=15,"Completed",
SUM(AG109:AI109)&gt;15,"Error"
)</f>
        <v>Completed</v>
      </c>
    </row>
    <row r="110" spans="1:36" ht="14.5" x14ac:dyDescent="0.35">
      <c r="A110" s="248"/>
      <c r="B110" s="14">
        <v>107</v>
      </c>
      <c r="C110" s="14" t="s">
        <v>359</v>
      </c>
      <c r="D110" s="53" t="s">
        <v>4974</v>
      </c>
      <c r="E110" s="57" t="s">
        <v>9000</v>
      </c>
      <c r="F110" s="7" t="s">
        <v>43</v>
      </c>
      <c r="G110" s="7" t="s">
        <v>48</v>
      </c>
      <c r="H110" s="14" t="s">
        <v>5286</v>
      </c>
      <c r="I110" s="14" t="s">
        <v>5286</v>
      </c>
      <c r="J110" s="112">
        <v>26.408344700000001</v>
      </c>
      <c r="K110" s="113">
        <v>50.185104600000003</v>
      </c>
      <c r="L110" s="137" t="str">
        <f t="shared" si="7"/>
        <v>26.4083447,50.1851046</v>
      </c>
      <c r="M110" s="7" t="s">
        <v>5174</v>
      </c>
      <c r="N110" s="7">
        <v>10006272180</v>
      </c>
      <c r="O110" s="9"/>
      <c r="P110" s="32"/>
      <c r="Q110" s="29" t="s">
        <v>11</v>
      </c>
      <c r="R110" s="29" t="s">
        <v>11</v>
      </c>
      <c r="S110" s="29" t="s">
        <v>11</v>
      </c>
      <c r="T110" s="29" t="s">
        <v>11</v>
      </c>
      <c r="U110" s="29" t="s">
        <v>11</v>
      </c>
      <c r="V110" s="29" t="s">
        <v>11</v>
      </c>
      <c r="W110" s="29" t="s">
        <v>11</v>
      </c>
      <c r="X110" s="29" t="s">
        <v>11</v>
      </c>
      <c r="Y110" s="29" t="s">
        <v>11</v>
      </c>
      <c r="Z110" s="29" t="s">
        <v>11</v>
      </c>
      <c r="AA110" s="29" t="s">
        <v>11</v>
      </c>
      <c r="AB110" s="29" t="s">
        <v>11</v>
      </c>
      <c r="AC110" s="29" t="s">
        <v>11</v>
      </c>
      <c r="AD110" s="29" t="s">
        <v>11</v>
      </c>
      <c r="AE110" s="29" t="s">
        <v>11</v>
      </c>
      <c r="AF110" s="110" t="s">
        <v>11</v>
      </c>
      <c r="AG110" s="24">
        <f t="shared" si="4"/>
        <v>0</v>
      </c>
      <c r="AH110" s="24">
        <f t="shared" si="5"/>
        <v>0</v>
      </c>
      <c r="AI110" s="24">
        <f t="shared" si="6"/>
        <v>15</v>
      </c>
      <c r="AJ110" s="41" t="str" cm="1">
        <f t="array" ref="AJ110">_xlfn.IFS(
$AG110=15,"Not Started",
$AI110&lt;15,"In Progress",
$AI110=15,"Completed",
SUM(AG110:AI110)&gt;15,"Error"
)</f>
        <v>Completed</v>
      </c>
    </row>
    <row r="111" spans="1:36" ht="14.5" x14ac:dyDescent="0.35">
      <c r="A111" s="248"/>
      <c r="B111" s="14">
        <v>108</v>
      </c>
      <c r="C111" s="7" t="s">
        <v>360</v>
      </c>
      <c r="D111" s="53" t="s">
        <v>4975</v>
      </c>
      <c r="E111" s="57" t="s">
        <v>9001</v>
      </c>
      <c r="F111" s="7" t="s">
        <v>51</v>
      </c>
      <c r="G111" s="7" t="s">
        <v>48</v>
      </c>
      <c r="H111" s="14" t="s">
        <v>5286</v>
      </c>
      <c r="I111" s="14" t="s">
        <v>5286</v>
      </c>
      <c r="J111" s="112">
        <v>26.445515400000001</v>
      </c>
      <c r="K111" s="113">
        <v>50.072615679999998</v>
      </c>
      <c r="L111" s="137" t="str">
        <f t="shared" si="7"/>
        <v>26.4455154,50.07261568</v>
      </c>
      <c r="M111" s="7" t="s">
        <v>5175</v>
      </c>
      <c r="N111" s="7">
        <v>10006226811</v>
      </c>
      <c r="O111" s="9"/>
      <c r="P111" s="32"/>
      <c r="Q111" s="29" t="s">
        <v>11</v>
      </c>
      <c r="R111" s="29" t="s">
        <v>11</v>
      </c>
      <c r="S111" s="29" t="s">
        <v>11</v>
      </c>
      <c r="T111" s="29" t="s">
        <v>11</v>
      </c>
      <c r="U111" s="29" t="s">
        <v>11</v>
      </c>
      <c r="V111" s="29" t="s">
        <v>11</v>
      </c>
      <c r="W111" s="29" t="s">
        <v>11</v>
      </c>
      <c r="X111" s="29" t="s">
        <v>11</v>
      </c>
      <c r="Y111" s="29" t="s">
        <v>11</v>
      </c>
      <c r="Z111" s="29" t="s">
        <v>11</v>
      </c>
      <c r="AA111" s="29" t="s">
        <v>11</v>
      </c>
      <c r="AB111" s="29" t="s">
        <v>11</v>
      </c>
      <c r="AC111" s="29" t="s">
        <v>11</v>
      </c>
      <c r="AD111" s="29" t="s">
        <v>11</v>
      </c>
      <c r="AE111" s="29" t="s">
        <v>11</v>
      </c>
      <c r="AF111" s="110" t="s">
        <v>11</v>
      </c>
      <c r="AG111" s="24">
        <f t="shared" si="4"/>
        <v>0</v>
      </c>
      <c r="AH111" s="24">
        <f t="shared" si="5"/>
        <v>0</v>
      </c>
      <c r="AI111" s="24">
        <f t="shared" si="6"/>
        <v>15</v>
      </c>
      <c r="AJ111" s="41" t="str" cm="1">
        <f t="array" ref="AJ111">_xlfn.IFS(
$AG111=15,"Not Started",
$AI111&lt;15,"In Progress",
$AI111=15,"Completed",
SUM(AG111:AI111)&gt;15,"Error"
)</f>
        <v>Completed</v>
      </c>
    </row>
    <row r="112" spans="1:36" ht="14.5" x14ac:dyDescent="0.35">
      <c r="A112" s="248"/>
      <c r="B112" s="14">
        <v>109</v>
      </c>
      <c r="C112" s="14" t="s">
        <v>361</v>
      </c>
      <c r="D112" s="53" t="s">
        <v>4976</v>
      </c>
      <c r="E112" s="57" t="s">
        <v>9002</v>
      </c>
      <c r="F112" s="7" t="s">
        <v>51</v>
      </c>
      <c r="G112" s="7" t="s">
        <v>48</v>
      </c>
      <c r="H112" s="14" t="s">
        <v>5286</v>
      </c>
      <c r="I112" s="14" t="s">
        <v>5286</v>
      </c>
      <c r="J112" s="112">
        <v>26.42953717</v>
      </c>
      <c r="K112" s="113">
        <v>50.070775050000002</v>
      </c>
      <c r="L112" s="137" t="str">
        <f t="shared" si="7"/>
        <v>26.42953717,50.07077505</v>
      </c>
      <c r="M112" s="7" t="s">
        <v>5176</v>
      </c>
      <c r="N112" s="7">
        <v>10006248891</v>
      </c>
      <c r="O112" s="9"/>
      <c r="P112" s="32"/>
      <c r="Q112" s="29" t="s">
        <v>11</v>
      </c>
      <c r="R112" s="29" t="s">
        <v>11</v>
      </c>
      <c r="S112" s="29" t="s">
        <v>11</v>
      </c>
      <c r="T112" s="29" t="s">
        <v>11</v>
      </c>
      <c r="U112" s="29" t="s">
        <v>11</v>
      </c>
      <c r="V112" s="29" t="s">
        <v>11</v>
      </c>
      <c r="W112" s="29" t="s">
        <v>11</v>
      </c>
      <c r="X112" s="29" t="s">
        <v>11</v>
      </c>
      <c r="Y112" s="29" t="s">
        <v>11</v>
      </c>
      <c r="Z112" s="29" t="s">
        <v>11</v>
      </c>
      <c r="AA112" s="29" t="s">
        <v>11</v>
      </c>
      <c r="AB112" s="29" t="s">
        <v>11</v>
      </c>
      <c r="AC112" s="29" t="s">
        <v>11</v>
      </c>
      <c r="AD112" s="29" t="s">
        <v>11</v>
      </c>
      <c r="AE112" s="29" t="s">
        <v>11</v>
      </c>
      <c r="AF112" s="110" t="s">
        <v>11</v>
      </c>
      <c r="AG112" s="24">
        <f t="shared" si="4"/>
        <v>0</v>
      </c>
      <c r="AH112" s="24">
        <f t="shared" si="5"/>
        <v>0</v>
      </c>
      <c r="AI112" s="24">
        <f t="shared" si="6"/>
        <v>15</v>
      </c>
      <c r="AJ112" s="41" t="str" cm="1">
        <f t="array" ref="AJ112">_xlfn.IFS(
$AG112=15,"Not Started",
$AI112&lt;15,"In Progress",
$AI112=15,"Completed",
SUM(AG112:AI112)&gt;15,"Error"
)</f>
        <v>Completed</v>
      </c>
    </row>
    <row r="113" spans="1:36" ht="14.5" x14ac:dyDescent="0.35">
      <c r="A113" s="248"/>
      <c r="B113" s="14">
        <v>110</v>
      </c>
      <c r="C113" s="7" t="s">
        <v>362</v>
      </c>
      <c r="D113" s="53" t="s">
        <v>4977</v>
      </c>
      <c r="E113" s="57" t="s">
        <v>9003</v>
      </c>
      <c r="F113" s="7" t="s">
        <v>51</v>
      </c>
      <c r="G113" s="7" t="s">
        <v>48</v>
      </c>
      <c r="H113" s="14" t="s">
        <v>5286</v>
      </c>
      <c r="I113" s="14" t="s">
        <v>5286</v>
      </c>
      <c r="J113" s="112">
        <v>26.446621740000001</v>
      </c>
      <c r="K113" s="113">
        <v>50.078024339999999</v>
      </c>
      <c r="L113" s="137" t="str">
        <f t="shared" si="7"/>
        <v>26.44662174,50.07802434</v>
      </c>
      <c r="M113" s="7" t="s">
        <v>5177</v>
      </c>
      <c r="N113" s="7">
        <v>10006230822</v>
      </c>
      <c r="O113" s="9"/>
      <c r="P113" s="32"/>
      <c r="Q113" s="29" t="s">
        <v>11</v>
      </c>
      <c r="R113" s="29" t="s">
        <v>11</v>
      </c>
      <c r="S113" s="29" t="s">
        <v>11</v>
      </c>
      <c r="T113" s="29" t="s">
        <v>11</v>
      </c>
      <c r="U113" s="29" t="s">
        <v>11</v>
      </c>
      <c r="V113" s="29" t="s">
        <v>11</v>
      </c>
      <c r="W113" s="29" t="s">
        <v>11</v>
      </c>
      <c r="X113" s="29" t="s">
        <v>11</v>
      </c>
      <c r="Y113" s="29" t="s">
        <v>11</v>
      </c>
      <c r="Z113" s="29" t="s">
        <v>11</v>
      </c>
      <c r="AA113" s="29" t="s">
        <v>11</v>
      </c>
      <c r="AB113" s="29" t="s">
        <v>11</v>
      </c>
      <c r="AC113" s="29" t="s">
        <v>11</v>
      </c>
      <c r="AD113" s="29" t="s">
        <v>11</v>
      </c>
      <c r="AE113" s="29" t="s">
        <v>11</v>
      </c>
      <c r="AF113" s="110" t="s">
        <v>11</v>
      </c>
      <c r="AG113" s="24">
        <f t="shared" si="4"/>
        <v>0</v>
      </c>
      <c r="AH113" s="24">
        <f t="shared" si="5"/>
        <v>0</v>
      </c>
      <c r="AI113" s="24">
        <f t="shared" si="6"/>
        <v>15</v>
      </c>
      <c r="AJ113" s="41" t="str" cm="1">
        <f t="array" ref="AJ113">_xlfn.IFS(
$AG113=15,"Not Started",
$AI113&lt;15,"In Progress",
$AI113=15,"Completed",
SUM(AG113:AI113)&gt;15,"Error"
)</f>
        <v>Completed</v>
      </c>
    </row>
    <row r="114" spans="1:36" ht="14.5" x14ac:dyDescent="0.35">
      <c r="A114" s="248"/>
      <c r="B114" s="14">
        <v>111</v>
      </c>
      <c r="C114" s="14" t="s">
        <v>363</v>
      </c>
      <c r="D114" s="53" t="s">
        <v>4978</v>
      </c>
      <c r="E114" s="57" t="s">
        <v>9004</v>
      </c>
      <c r="F114" s="7" t="s">
        <v>51</v>
      </c>
      <c r="G114" s="7" t="s">
        <v>48</v>
      </c>
      <c r="H114" s="14" t="s">
        <v>5286</v>
      </c>
      <c r="I114" s="14" t="s">
        <v>5286</v>
      </c>
      <c r="J114" s="112">
        <v>26.439155270000001</v>
      </c>
      <c r="K114" s="113">
        <v>50.080224610000002</v>
      </c>
      <c r="L114" s="137" t="str">
        <f t="shared" si="7"/>
        <v>26.43915527,50.08022461</v>
      </c>
      <c r="M114" s="7" t="s">
        <v>5178</v>
      </c>
      <c r="N114" s="7">
        <v>10006264375</v>
      </c>
      <c r="O114" s="9"/>
      <c r="P114" s="32"/>
      <c r="Q114" s="29" t="s">
        <v>11</v>
      </c>
      <c r="R114" s="29" t="s">
        <v>11</v>
      </c>
      <c r="S114" s="29" t="s">
        <v>11</v>
      </c>
      <c r="T114" s="29" t="s">
        <v>11</v>
      </c>
      <c r="U114" s="29" t="s">
        <v>11</v>
      </c>
      <c r="V114" s="29" t="s">
        <v>11</v>
      </c>
      <c r="W114" s="29" t="s">
        <v>11</v>
      </c>
      <c r="X114" s="29" t="s">
        <v>11</v>
      </c>
      <c r="Y114" s="29" t="s">
        <v>11</v>
      </c>
      <c r="Z114" s="29" t="s">
        <v>11</v>
      </c>
      <c r="AA114" s="29" t="s">
        <v>11</v>
      </c>
      <c r="AB114" s="29" t="s">
        <v>11</v>
      </c>
      <c r="AC114" s="29" t="s">
        <v>11</v>
      </c>
      <c r="AD114" s="29" t="s">
        <v>11</v>
      </c>
      <c r="AE114" s="29" t="s">
        <v>11</v>
      </c>
      <c r="AF114" s="110" t="s">
        <v>11</v>
      </c>
      <c r="AG114" s="24">
        <f t="shared" si="4"/>
        <v>0</v>
      </c>
      <c r="AH114" s="24">
        <f t="shared" si="5"/>
        <v>0</v>
      </c>
      <c r="AI114" s="24">
        <f t="shared" si="6"/>
        <v>15</v>
      </c>
      <c r="AJ114" s="41" t="str" cm="1">
        <f t="array" ref="AJ114">_xlfn.IFS(
$AG114=15,"Not Started",
$AI114&lt;15,"In Progress",
$AI114=15,"Completed",
SUM(AG114:AI114)&gt;15,"Error"
)</f>
        <v>Completed</v>
      </c>
    </row>
    <row r="115" spans="1:36" ht="14.5" x14ac:dyDescent="0.35">
      <c r="A115" s="248"/>
      <c r="B115" s="14">
        <v>112</v>
      </c>
      <c r="C115" s="7" t="s">
        <v>364</v>
      </c>
      <c r="D115" s="53" t="s">
        <v>4979</v>
      </c>
      <c r="E115" s="57" t="s">
        <v>9005</v>
      </c>
      <c r="F115" s="7" t="s">
        <v>9670</v>
      </c>
      <c r="G115" s="7" t="s">
        <v>48</v>
      </c>
      <c r="H115" s="14" t="s">
        <v>5286</v>
      </c>
      <c r="I115" s="14" t="s">
        <v>5286</v>
      </c>
      <c r="J115" s="112">
        <v>26.44076076</v>
      </c>
      <c r="K115" s="113">
        <v>50.112075449999999</v>
      </c>
      <c r="L115" s="137" t="str">
        <f t="shared" si="7"/>
        <v>26.44076076,50.11207545</v>
      </c>
      <c r="M115" s="7" t="s">
        <v>5179</v>
      </c>
      <c r="N115" s="7">
        <v>10006253390</v>
      </c>
      <c r="O115" s="9"/>
      <c r="P115" s="32"/>
      <c r="Q115" s="29" t="s">
        <v>11</v>
      </c>
      <c r="R115" s="29" t="s">
        <v>11</v>
      </c>
      <c r="S115" s="29" t="s">
        <v>11</v>
      </c>
      <c r="T115" s="29" t="s">
        <v>11</v>
      </c>
      <c r="U115" s="29" t="s">
        <v>11</v>
      </c>
      <c r="V115" s="29" t="s">
        <v>11</v>
      </c>
      <c r="W115" s="29" t="s">
        <v>11</v>
      </c>
      <c r="X115" s="29" t="s">
        <v>11</v>
      </c>
      <c r="Y115" s="29" t="s">
        <v>11</v>
      </c>
      <c r="Z115" s="29" t="s">
        <v>11</v>
      </c>
      <c r="AA115" s="29" t="s">
        <v>11</v>
      </c>
      <c r="AB115" s="29" t="s">
        <v>11</v>
      </c>
      <c r="AC115" s="29" t="s">
        <v>11</v>
      </c>
      <c r="AD115" s="29" t="s">
        <v>11</v>
      </c>
      <c r="AE115" s="29" t="s">
        <v>11</v>
      </c>
      <c r="AF115" s="110" t="s">
        <v>11</v>
      </c>
      <c r="AG115" s="24">
        <f t="shared" si="4"/>
        <v>0</v>
      </c>
      <c r="AH115" s="24">
        <f t="shared" si="5"/>
        <v>0</v>
      </c>
      <c r="AI115" s="24">
        <f t="shared" si="6"/>
        <v>15</v>
      </c>
      <c r="AJ115" s="41" t="str" cm="1">
        <f t="array" ref="AJ115">_xlfn.IFS(
$AG115=15,"Not Started",
$AI115&lt;15,"In Progress",
$AI115=15,"Completed",
SUM(AG115:AI115)&gt;15,"Error"
)</f>
        <v>Completed</v>
      </c>
    </row>
    <row r="116" spans="1:36" ht="14.5" x14ac:dyDescent="0.35">
      <c r="A116" s="248"/>
      <c r="B116" s="14">
        <v>113</v>
      </c>
      <c r="C116" s="14" t="s">
        <v>365</v>
      </c>
      <c r="D116" s="53" t="s">
        <v>4980</v>
      </c>
      <c r="E116" s="57" t="s">
        <v>9006</v>
      </c>
      <c r="F116" s="7" t="s">
        <v>47</v>
      </c>
      <c r="G116" s="7" t="s">
        <v>48</v>
      </c>
      <c r="H116" s="14" t="s">
        <v>5286</v>
      </c>
      <c r="I116" s="14" t="s">
        <v>5286</v>
      </c>
      <c r="J116" s="112">
        <v>26.449701529999999</v>
      </c>
      <c r="K116" s="113">
        <v>50.072537279999999</v>
      </c>
      <c r="L116" s="137" t="str">
        <f t="shared" si="7"/>
        <v>26.44970153,50.07253728</v>
      </c>
      <c r="M116" s="7" t="s">
        <v>5180</v>
      </c>
      <c r="N116" s="7">
        <v>10006253658</v>
      </c>
      <c r="O116" s="9"/>
      <c r="P116" s="32"/>
      <c r="Q116" s="29" t="s">
        <v>11</v>
      </c>
      <c r="R116" s="29" t="s">
        <v>11</v>
      </c>
      <c r="S116" s="29" t="s">
        <v>11</v>
      </c>
      <c r="T116" s="29" t="s">
        <v>11</v>
      </c>
      <c r="U116" s="29" t="s">
        <v>11</v>
      </c>
      <c r="V116" s="29" t="s">
        <v>11</v>
      </c>
      <c r="W116" s="29" t="s">
        <v>11</v>
      </c>
      <c r="X116" s="29" t="s">
        <v>11</v>
      </c>
      <c r="Y116" s="29" t="s">
        <v>11</v>
      </c>
      <c r="Z116" s="29" t="s">
        <v>11</v>
      </c>
      <c r="AA116" s="29" t="s">
        <v>11</v>
      </c>
      <c r="AB116" s="29" t="s">
        <v>11</v>
      </c>
      <c r="AC116" s="29" t="s">
        <v>11</v>
      </c>
      <c r="AD116" s="29" t="s">
        <v>11</v>
      </c>
      <c r="AE116" s="29" t="s">
        <v>11</v>
      </c>
      <c r="AF116" s="110" t="s">
        <v>11</v>
      </c>
      <c r="AG116" s="24">
        <f t="shared" si="4"/>
        <v>0</v>
      </c>
      <c r="AH116" s="24">
        <f t="shared" si="5"/>
        <v>0</v>
      </c>
      <c r="AI116" s="24">
        <f t="shared" si="6"/>
        <v>15</v>
      </c>
      <c r="AJ116" s="41" t="str" cm="1">
        <f t="array" ref="AJ116">_xlfn.IFS(
$AG116=15,"Not Started",
$AI116&lt;15,"In Progress",
$AI116=15,"Completed",
SUM(AG116:AI116)&gt;15,"Error"
)</f>
        <v>Completed</v>
      </c>
    </row>
    <row r="117" spans="1:36" ht="14.5" x14ac:dyDescent="0.35">
      <c r="A117" s="248"/>
      <c r="B117" s="14">
        <v>114</v>
      </c>
      <c r="C117" s="7" t="s">
        <v>366</v>
      </c>
      <c r="D117" s="53" t="s">
        <v>4981</v>
      </c>
      <c r="E117" s="57" t="s">
        <v>9007</v>
      </c>
      <c r="F117" s="7" t="s">
        <v>47</v>
      </c>
      <c r="G117" s="7" t="s">
        <v>48</v>
      </c>
      <c r="H117" s="14" t="s">
        <v>5286</v>
      </c>
      <c r="I117" s="14" t="s">
        <v>5286</v>
      </c>
      <c r="J117" s="112">
        <v>26.432324380000001</v>
      </c>
      <c r="K117" s="113">
        <v>50.076809939999997</v>
      </c>
      <c r="L117" s="137" t="str">
        <f t="shared" si="7"/>
        <v>26.43232438,50.07680994</v>
      </c>
      <c r="M117" s="7" t="s">
        <v>5181</v>
      </c>
      <c r="N117" s="7">
        <v>10006251027</v>
      </c>
      <c r="O117" s="9"/>
      <c r="P117" s="32"/>
      <c r="Q117" s="29" t="s">
        <v>11</v>
      </c>
      <c r="R117" s="29" t="s">
        <v>11</v>
      </c>
      <c r="S117" s="29" t="s">
        <v>11</v>
      </c>
      <c r="T117" s="29" t="s">
        <v>11</v>
      </c>
      <c r="U117" s="29" t="s">
        <v>11</v>
      </c>
      <c r="V117" s="29" t="s">
        <v>11</v>
      </c>
      <c r="W117" s="29" t="s">
        <v>11</v>
      </c>
      <c r="X117" s="29" t="s">
        <v>11</v>
      </c>
      <c r="Y117" s="29" t="s">
        <v>11</v>
      </c>
      <c r="Z117" s="29" t="s">
        <v>11</v>
      </c>
      <c r="AA117" s="29" t="s">
        <v>11</v>
      </c>
      <c r="AB117" s="29" t="s">
        <v>11</v>
      </c>
      <c r="AC117" s="29" t="s">
        <v>11</v>
      </c>
      <c r="AD117" s="29" t="s">
        <v>11</v>
      </c>
      <c r="AE117" s="29" t="s">
        <v>11</v>
      </c>
      <c r="AF117" s="110" t="s">
        <v>11</v>
      </c>
      <c r="AG117" s="24">
        <f t="shared" si="4"/>
        <v>0</v>
      </c>
      <c r="AH117" s="24">
        <f t="shared" si="5"/>
        <v>0</v>
      </c>
      <c r="AI117" s="24">
        <f t="shared" si="6"/>
        <v>15</v>
      </c>
      <c r="AJ117" s="41" t="str" cm="1">
        <f t="array" ref="AJ117">_xlfn.IFS(
$AG117=15,"Not Started",
$AI117&lt;15,"In Progress",
$AI117=15,"Completed",
SUM(AG117:AI117)&gt;15,"Error"
)</f>
        <v>Completed</v>
      </c>
    </row>
    <row r="118" spans="1:36" ht="14.5" x14ac:dyDescent="0.35">
      <c r="A118" s="248"/>
      <c r="B118" s="14">
        <v>115</v>
      </c>
      <c r="C118" s="14" t="s">
        <v>367</v>
      </c>
      <c r="D118" s="53" t="s">
        <v>4982</v>
      </c>
      <c r="E118" s="57" t="s">
        <v>9008</v>
      </c>
      <c r="F118" s="7" t="s">
        <v>47</v>
      </c>
      <c r="G118" s="7" t="s">
        <v>48</v>
      </c>
      <c r="H118" s="14" t="s">
        <v>5286</v>
      </c>
      <c r="I118" s="14" t="s">
        <v>5286</v>
      </c>
      <c r="J118" s="112">
        <v>26.446944550000001</v>
      </c>
      <c r="K118" s="113">
        <v>50.086885889999998</v>
      </c>
      <c r="L118" s="137" t="str">
        <f t="shared" si="7"/>
        <v>26.44694455,50.08688589</v>
      </c>
      <c r="M118" s="7" t="s">
        <v>5182</v>
      </c>
      <c r="N118" s="7">
        <v>10006248818</v>
      </c>
      <c r="O118" s="9"/>
      <c r="P118" s="32"/>
      <c r="Q118" s="29" t="s">
        <v>11</v>
      </c>
      <c r="R118" s="29" t="s">
        <v>11</v>
      </c>
      <c r="S118" s="29" t="s">
        <v>11</v>
      </c>
      <c r="T118" s="29" t="s">
        <v>11</v>
      </c>
      <c r="U118" s="29" t="s">
        <v>11</v>
      </c>
      <c r="V118" s="29" t="s">
        <v>11</v>
      </c>
      <c r="W118" s="29" t="s">
        <v>11</v>
      </c>
      <c r="X118" s="29" t="s">
        <v>11</v>
      </c>
      <c r="Y118" s="29" t="s">
        <v>11</v>
      </c>
      <c r="Z118" s="29" t="s">
        <v>11</v>
      </c>
      <c r="AA118" s="29" t="s">
        <v>11</v>
      </c>
      <c r="AB118" s="29" t="s">
        <v>11</v>
      </c>
      <c r="AC118" s="29" t="s">
        <v>11</v>
      </c>
      <c r="AD118" s="29" t="s">
        <v>11</v>
      </c>
      <c r="AE118" s="29" t="s">
        <v>11</v>
      </c>
      <c r="AF118" s="110" t="s">
        <v>11</v>
      </c>
      <c r="AG118" s="24">
        <f t="shared" si="4"/>
        <v>0</v>
      </c>
      <c r="AH118" s="24">
        <f t="shared" si="5"/>
        <v>0</v>
      </c>
      <c r="AI118" s="24">
        <f t="shared" si="6"/>
        <v>15</v>
      </c>
      <c r="AJ118" s="41" t="str" cm="1">
        <f t="array" ref="AJ118">_xlfn.IFS(
$AG118=15,"Not Started",
$AI118&lt;15,"In Progress",
$AI118=15,"Completed",
SUM(AG118:AI118)&gt;15,"Error"
)</f>
        <v>Completed</v>
      </c>
    </row>
    <row r="119" spans="1:36" ht="14.5" x14ac:dyDescent="0.35">
      <c r="A119" s="248"/>
      <c r="B119" s="14">
        <v>116</v>
      </c>
      <c r="C119" s="7" t="s">
        <v>368</v>
      </c>
      <c r="D119" s="53" t="s">
        <v>4983</v>
      </c>
      <c r="E119" s="57" t="s">
        <v>9009</v>
      </c>
      <c r="F119" s="7" t="s">
        <v>43</v>
      </c>
      <c r="G119" s="7" t="s">
        <v>48</v>
      </c>
      <c r="H119" s="14" t="s">
        <v>5286</v>
      </c>
      <c r="I119" s="14" t="s">
        <v>5286</v>
      </c>
      <c r="J119" s="112">
        <v>26.446646990000001</v>
      </c>
      <c r="K119" s="113">
        <v>50.128797409999997</v>
      </c>
      <c r="L119" s="137" t="str">
        <f t="shared" si="7"/>
        <v>26.44664699,50.12879741</v>
      </c>
      <c r="M119" s="7" t="s">
        <v>5183</v>
      </c>
      <c r="N119" s="7">
        <v>10006253685</v>
      </c>
      <c r="O119" s="9"/>
      <c r="P119" s="32"/>
      <c r="Q119" s="29" t="s">
        <v>11</v>
      </c>
      <c r="R119" s="29" t="s">
        <v>11</v>
      </c>
      <c r="S119" s="29" t="s">
        <v>11</v>
      </c>
      <c r="T119" s="29" t="s">
        <v>11</v>
      </c>
      <c r="U119" s="29" t="s">
        <v>11</v>
      </c>
      <c r="V119" s="29" t="s">
        <v>11</v>
      </c>
      <c r="W119" s="29" t="s">
        <v>11</v>
      </c>
      <c r="X119" s="29" t="s">
        <v>11</v>
      </c>
      <c r="Y119" s="29" t="s">
        <v>11</v>
      </c>
      <c r="Z119" s="29" t="s">
        <v>11</v>
      </c>
      <c r="AA119" s="29" t="s">
        <v>11</v>
      </c>
      <c r="AB119" s="29" t="s">
        <v>11</v>
      </c>
      <c r="AC119" s="29" t="s">
        <v>11</v>
      </c>
      <c r="AD119" s="29" t="s">
        <v>11</v>
      </c>
      <c r="AE119" s="29" t="s">
        <v>11</v>
      </c>
      <c r="AF119" s="110" t="s">
        <v>11</v>
      </c>
      <c r="AG119" s="24">
        <f t="shared" si="4"/>
        <v>0</v>
      </c>
      <c r="AH119" s="24">
        <f t="shared" si="5"/>
        <v>0</v>
      </c>
      <c r="AI119" s="24">
        <f t="shared" si="6"/>
        <v>15</v>
      </c>
      <c r="AJ119" s="41" t="str" cm="1">
        <f t="array" ref="AJ119">_xlfn.IFS(
$AG119=15,"Not Started",
$AI119&lt;15,"In Progress",
$AI119=15,"Completed",
SUM(AG119:AI119)&gt;15,"Error"
)</f>
        <v>Completed</v>
      </c>
    </row>
    <row r="120" spans="1:36" ht="14.5" x14ac:dyDescent="0.35">
      <c r="A120" s="248"/>
      <c r="B120" s="14">
        <v>117</v>
      </c>
      <c r="C120" s="14" t="s">
        <v>369</v>
      </c>
      <c r="D120" s="53" t="s">
        <v>4984</v>
      </c>
      <c r="E120" s="57" t="s">
        <v>9010</v>
      </c>
      <c r="F120" s="7" t="s">
        <v>47</v>
      </c>
      <c r="G120" s="7" t="s">
        <v>44</v>
      </c>
      <c r="H120" s="14" t="s">
        <v>5286</v>
      </c>
      <c r="I120" s="14" t="s">
        <v>5286</v>
      </c>
      <c r="J120" s="112">
        <v>26.439937579999999</v>
      </c>
      <c r="K120" s="113">
        <v>50.093805529999997</v>
      </c>
      <c r="L120" s="137" t="str">
        <f t="shared" si="7"/>
        <v>26.43993758,50.09380553</v>
      </c>
      <c r="M120" s="7" t="s">
        <v>5184</v>
      </c>
      <c r="N120" s="7">
        <v>10006229886</v>
      </c>
      <c r="O120" s="9"/>
      <c r="P120" s="32"/>
      <c r="Q120" s="29" t="s">
        <v>11</v>
      </c>
      <c r="R120" s="29" t="s">
        <v>11</v>
      </c>
      <c r="S120" s="29" t="s">
        <v>11</v>
      </c>
      <c r="T120" s="29" t="s">
        <v>11</v>
      </c>
      <c r="U120" s="29" t="s">
        <v>11</v>
      </c>
      <c r="V120" s="29" t="s">
        <v>11</v>
      </c>
      <c r="W120" s="29" t="s">
        <v>11</v>
      </c>
      <c r="X120" s="29" t="s">
        <v>11</v>
      </c>
      <c r="Y120" s="29" t="s">
        <v>11</v>
      </c>
      <c r="Z120" s="29" t="s">
        <v>11</v>
      </c>
      <c r="AA120" s="29" t="s">
        <v>11</v>
      </c>
      <c r="AB120" s="29" t="s">
        <v>11</v>
      </c>
      <c r="AC120" s="29" t="s">
        <v>11</v>
      </c>
      <c r="AD120" s="29" t="s">
        <v>11</v>
      </c>
      <c r="AE120" s="29" t="s">
        <v>11</v>
      </c>
      <c r="AF120" s="110" t="s">
        <v>11</v>
      </c>
      <c r="AG120" s="24">
        <f t="shared" si="4"/>
        <v>0</v>
      </c>
      <c r="AH120" s="24">
        <f t="shared" si="5"/>
        <v>0</v>
      </c>
      <c r="AI120" s="24">
        <f t="shared" si="6"/>
        <v>15</v>
      </c>
      <c r="AJ120" s="41" t="str" cm="1">
        <f t="array" ref="AJ120">_xlfn.IFS(
$AG120=15,"Not Started",
$AI120&lt;15,"In Progress",
$AI120=15,"Completed",
SUM(AG120:AI120)&gt;15,"Error"
)</f>
        <v>Completed</v>
      </c>
    </row>
    <row r="121" spans="1:36" ht="14.5" x14ac:dyDescent="0.35">
      <c r="A121" s="248"/>
      <c r="B121" s="14">
        <v>118</v>
      </c>
      <c r="C121" s="7" t="s">
        <v>370</v>
      </c>
      <c r="D121" s="53" t="s">
        <v>4985</v>
      </c>
      <c r="E121" s="57" t="s">
        <v>9011</v>
      </c>
      <c r="F121" s="7" t="s">
        <v>47</v>
      </c>
      <c r="G121" s="7" t="s">
        <v>44</v>
      </c>
      <c r="H121" s="14" t="s">
        <v>5286</v>
      </c>
      <c r="I121" s="14" t="s">
        <v>5286</v>
      </c>
      <c r="J121" s="112">
        <v>26.445948340000001</v>
      </c>
      <c r="K121" s="113">
        <v>50.086832090000001</v>
      </c>
      <c r="L121" s="137" t="str">
        <f t="shared" si="7"/>
        <v>26.44594834,50.08683209</v>
      </c>
      <c r="M121" s="7" t="s">
        <v>5185</v>
      </c>
      <c r="N121" s="7">
        <v>10006268946</v>
      </c>
      <c r="O121" s="9"/>
      <c r="P121" s="32"/>
      <c r="Q121" s="29" t="s">
        <v>11</v>
      </c>
      <c r="R121" s="29" t="s">
        <v>11</v>
      </c>
      <c r="S121" s="29" t="s">
        <v>11</v>
      </c>
      <c r="T121" s="29" t="s">
        <v>11</v>
      </c>
      <c r="U121" s="29" t="s">
        <v>11</v>
      </c>
      <c r="V121" s="29" t="s">
        <v>11</v>
      </c>
      <c r="W121" s="29" t="s">
        <v>11</v>
      </c>
      <c r="X121" s="29" t="s">
        <v>11</v>
      </c>
      <c r="Y121" s="29" t="s">
        <v>11</v>
      </c>
      <c r="Z121" s="29" t="s">
        <v>11</v>
      </c>
      <c r="AA121" s="29" t="s">
        <v>11</v>
      </c>
      <c r="AB121" s="29" t="s">
        <v>11</v>
      </c>
      <c r="AC121" s="29" t="s">
        <v>11</v>
      </c>
      <c r="AD121" s="29" t="s">
        <v>11</v>
      </c>
      <c r="AE121" s="29" t="s">
        <v>11</v>
      </c>
      <c r="AF121" s="110" t="s">
        <v>11</v>
      </c>
      <c r="AG121" s="24">
        <f t="shared" si="4"/>
        <v>0</v>
      </c>
      <c r="AH121" s="24">
        <f t="shared" si="5"/>
        <v>0</v>
      </c>
      <c r="AI121" s="24">
        <f t="shared" si="6"/>
        <v>15</v>
      </c>
      <c r="AJ121" s="41" t="str" cm="1">
        <f t="array" ref="AJ121">_xlfn.IFS(
$AG121=15,"Not Started",
$AI121&lt;15,"In Progress",
$AI121=15,"Completed",
SUM(AG121:AI121)&gt;15,"Error"
)</f>
        <v>Completed</v>
      </c>
    </row>
    <row r="122" spans="1:36" ht="26" x14ac:dyDescent="0.35">
      <c r="A122" s="248"/>
      <c r="B122" s="14">
        <v>119</v>
      </c>
      <c r="C122" s="14" t="s">
        <v>371</v>
      </c>
      <c r="D122" s="53" t="s">
        <v>4986</v>
      </c>
      <c r="E122" s="80" t="s">
        <v>10341</v>
      </c>
      <c r="F122" s="7" t="s">
        <v>43</v>
      </c>
      <c r="G122" s="7" t="s">
        <v>44</v>
      </c>
      <c r="H122" s="14" t="s">
        <v>5286</v>
      </c>
      <c r="I122" s="14" t="s">
        <v>5286</v>
      </c>
      <c r="J122" s="112">
        <v>26.43918047</v>
      </c>
      <c r="K122" s="113">
        <v>50.110467890000002</v>
      </c>
      <c r="L122" s="137" t="str">
        <f t="shared" si="7"/>
        <v>26.43918047,50.11046789</v>
      </c>
      <c r="M122" s="7" t="s">
        <v>5186</v>
      </c>
      <c r="N122" s="7">
        <v>10102844306</v>
      </c>
      <c r="O122" s="9"/>
      <c r="P122" s="32"/>
      <c r="Q122" s="29" t="s">
        <v>11</v>
      </c>
      <c r="R122" s="29" t="s">
        <v>11</v>
      </c>
      <c r="S122" s="29" t="s">
        <v>11</v>
      </c>
      <c r="T122" s="29" t="s">
        <v>11</v>
      </c>
      <c r="U122" s="29" t="s">
        <v>11</v>
      </c>
      <c r="V122" s="29" t="s">
        <v>11</v>
      </c>
      <c r="W122" s="29" t="s">
        <v>11</v>
      </c>
      <c r="X122" s="29" t="s">
        <v>11</v>
      </c>
      <c r="Y122" s="29" t="s">
        <v>11</v>
      </c>
      <c r="Z122" s="29" t="s">
        <v>11</v>
      </c>
      <c r="AA122" s="29" t="s">
        <v>11</v>
      </c>
      <c r="AB122" s="29" t="s">
        <v>11</v>
      </c>
      <c r="AC122" s="29" t="s">
        <v>11</v>
      </c>
      <c r="AD122" s="29" t="s">
        <v>11</v>
      </c>
      <c r="AE122" s="29" t="s">
        <v>11</v>
      </c>
      <c r="AF122" s="110" t="s">
        <v>11</v>
      </c>
      <c r="AG122" s="24">
        <f t="shared" si="4"/>
        <v>0</v>
      </c>
      <c r="AH122" s="24">
        <f t="shared" si="5"/>
        <v>0</v>
      </c>
      <c r="AI122" s="24">
        <f t="shared" si="6"/>
        <v>15</v>
      </c>
      <c r="AJ122" s="41" t="str" cm="1">
        <f t="array" ref="AJ122">_xlfn.IFS(
$AG122=15,"Not Started",
$AI122&lt;15,"In Progress",
$AI122=15,"Completed",
SUM(AG122:AI122)&gt;15,"Error"
)</f>
        <v>Completed</v>
      </c>
    </row>
    <row r="123" spans="1:36" ht="14.5" x14ac:dyDescent="0.35">
      <c r="A123" s="248"/>
      <c r="B123" s="14">
        <v>120</v>
      </c>
      <c r="C123" s="7" t="s">
        <v>372</v>
      </c>
      <c r="D123" s="53" t="s">
        <v>4987</v>
      </c>
      <c r="E123" s="57" t="s">
        <v>9012</v>
      </c>
      <c r="F123" s="7" t="s">
        <v>43</v>
      </c>
      <c r="G123" s="7" t="s">
        <v>44</v>
      </c>
      <c r="H123" s="14" t="s">
        <v>5286</v>
      </c>
      <c r="I123" s="14" t="s">
        <v>5286</v>
      </c>
      <c r="J123" s="112">
        <v>26.439763410000001</v>
      </c>
      <c r="K123" s="113">
        <v>50.093084470000001</v>
      </c>
      <c r="L123" s="137" t="str">
        <f t="shared" si="7"/>
        <v>26.43976341,50.09308447</v>
      </c>
      <c r="M123" s="7" t="s">
        <v>5187</v>
      </c>
      <c r="N123" s="7">
        <v>10006254056</v>
      </c>
      <c r="O123" s="9"/>
      <c r="P123" s="32"/>
      <c r="Q123" s="29" t="s">
        <v>11</v>
      </c>
      <c r="R123" s="29" t="s">
        <v>11</v>
      </c>
      <c r="S123" s="29" t="s">
        <v>11</v>
      </c>
      <c r="T123" s="29" t="s">
        <v>11</v>
      </c>
      <c r="U123" s="29" t="s">
        <v>11</v>
      </c>
      <c r="V123" s="29" t="s">
        <v>11</v>
      </c>
      <c r="W123" s="29" t="s">
        <v>11</v>
      </c>
      <c r="X123" s="29" t="s">
        <v>11</v>
      </c>
      <c r="Y123" s="29" t="s">
        <v>11</v>
      </c>
      <c r="Z123" s="29" t="s">
        <v>11</v>
      </c>
      <c r="AA123" s="29" t="s">
        <v>11</v>
      </c>
      <c r="AB123" s="29" t="s">
        <v>11</v>
      </c>
      <c r="AC123" s="29" t="s">
        <v>11</v>
      </c>
      <c r="AD123" s="29" t="s">
        <v>11</v>
      </c>
      <c r="AE123" s="29" t="s">
        <v>11</v>
      </c>
      <c r="AF123" s="110" t="s">
        <v>11</v>
      </c>
      <c r="AG123" s="24">
        <f t="shared" si="4"/>
        <v>0</v>
      </c>
      <c r="AH123" s="24">
        <f t="shared" si="5"/>
        <v>0</v>
      </c>
      <c r="AI123" s="24">
        <f t="shared" si="6"/>
        <v>15</v>
      </c>
      <c r="AJ123" s="41" t="str" cm="1">
        <f t="array" ref="AJ123">_xlfn.IFS(
$AG123=15,"Not Started",
$AI123&lt;15,"In Progress",
$AI123=15,"Completed",
SUM(AG123:AI123)&gt;15,"Error"
)</f>
        <v>Completed</v>
      </c>
    </row>
    <row r="124" spans="1:36" ht="14.5" x14ac:dyDescent="0.35">
      <c r="A124" s="248"/>
      <c r="B124" s="14">
        <v>121</v>
      </c>
      <c r="C124" s="14" t="s">
        <v>373</v>
      </c>
      <c r="D124" s="53" t="s">
        <v>4988</v>
      </c>
      <c r="E124" s="57" t="s">
        <v>9013</v>
      </c>
      <c r="F124" s="7" t="s">
        <v>51</v>
      </c>
      <c r="G124" s="7" t="s">
        <v>44</v>
      </c>
      <c r="H124" s="14" t="s">
        <v>5286</v>
      </c>
      <c r="I124" s="14" t="s">
        <v>5286</v>
      </c>
      <c r="J124" s="112">
        <v>26.436668149999999</v>
      </c>
      <c r="K124" s="113">
        <v>50.069100300000002</v>
      </c>
      <c r="L124" s="137" t="str">
        <f t="shared" si="7"/>
        <v>26.43666815,50.0691003</v>
      </c>
      <c r="M124" s="7" t="s">
        <v>5188</v>
      </c>
      <c r="N124" s="7">
        <v>10006263592</v>
      </c>
      <c r="O124" s="9"/>
      <c r="P124" s="32"/>
      <c r="Q124" s="29" t="s">
        <v>11</v>
      </c>
      <c r="R124" s="29" t="s">
        <v>11</v>
      </c>
      <c r="S124" s="29" t="s">
        <v>11</v>
      </c>
      <c r="T124" s="29" t="s">
        <v>11</v>
      </c>
      <c r="U124" s="29" t="s">
        <v>11</v>
      </c>
      <c r="V124" s="29" t="s">
        <v>11</v>
      </c>
      <c r="W124" s="29" t="s">
        <v>11</v>
      </c>
      <c r="X124" s="29" t="s">
        <v>11</v>
      </c>
      <c r="Y124" s="29" t="s">
        <v>11</v>
      </c>
      <c r="Z124" s="29" t="s">
        <v>11</v>
      </c>
      <c r="AA124" s="29" t="s">
        <v>11</v>
      </c>
      <c r="AB124" s="29" t="s">
        <v>11</v>
      </c>
      <c r="AC124" s="29" t="s">
        <v>11</v>
      </c>
      <c r="AD124" s="29" t="s">
        <v>11</v>
      </c>
      <c r="AE124" s="29" t="s">
        <v>11</v>
      </c>
      <c r="AF124" s="110" t="s">
        <v>11</v>
      </c>
      <c r="AG124" s="24">
        <f t="shared" si="4"/>
        <v>0</v>
      </c>
      <c r="AH124" s="24">
        <f t="shared" si="5"/>
        <v>0</v>
      </c>
      <c r="AI124" s="24">
        <f t="shared" si="6"/>
        <v>15</v>
      </c>
      <c r="AJ124" s="41" t="str" cm="1">
        <f t="array" ref="AJ124">_xlfn.IFS(
$AG124=15,"Not Started",
$AI124&lt;15,"In Progress",
$AI124=15,"Completed",
SUM(AG124:AI124)&gt;15,"Error"
)</f>
        <v>Completed</v>
      </c>
    </row>
    <row r="125" spans="1:36" ht="14.5" x14ac:dyDescent="0.35">
      <c r="A125" s="248"/>
      <c r="B125" s="14">
        <v>122</v>
      </c>
      <c r="C125" s="7" t="s">
        <v>374</v>
      </c>
      <c r="D125" s="53" t="s">
        <v>4989</v>
      </c>
      <c r="E125" s="57" t="s">
        <v>9014</v>
      </c>
      <c r="F125" s="7" t="s">
        <v>51</v>
      </c>
      <c r="G125" s="7" t="s">
        <v>44</v>
      </c>
      <c r="H125" s="14" t="s">
        <v>5286</v>
      </c>
      <c r="I125" s="14" t="s">
        <v>5286</v>
      </c>
      <c r="J125" s="112">
        <v>26.448435929999999</v>
      </c>
      <c r="K125" s="113">
        <v>50.094425540000003</v>
      </c>
      <c r="L125" s="137" t="str">
        <f t="shared" si="7"/>
        <v>26.44843593,50.09442554</v>
      </c>
      <c r="M125" s="7" t="s">
        <v>5189</v>
      </c>
      <c r="N125" s="7">
        <v>10006229545</v>
      </c>
      <c r="O125" s="9"/>
      <c r="P125" s="32"/>
      <c r="Q125" s="29" t="s">
        <v>11</v>
      </c>
      <c r="R125" s="29" t="s">
        <v>11</v>
      </c>
      <c r="S125" s="29" t="s">
        <v>11</v>
      </c>
      <c r="T125" s="29" t="s">
        <v>11</v>
      </c>
      <c r="U125" s="29" t="s">
        <v>11</v>
      </c>
      <c r="V125" s="29" t="s">
        <v>11</v>
      </c>
      <c r="W125" s="29" t="s">
        <v>11</v>
      </c>
      <c r="X125" s="29" t="s">
        <v>11</v>
      </c>
      <c r="Y125" s="29" t="s">
        <v>11</v>
      </c>
      <c r="Z125" s="29" t="s">
        <v>11</v>
      </c>
      <c r="AA125" s="29" t="s">
        <v>11</v>
      </c>
      <c r="AB125" s="29" t="s">
        <v>11</v>
      </c>
      <c r="AC125" s="29" t="s">
        <v>11</v>
      </c>
      <c r="AD125" s="29" t="s">
        <v>11</v>
      </c>
      <c r="AE125" s="29" t="s">
        <v>11</v>
      </c>
      <c r="AF125" s="110" t="s">
        <v>11</v>
      </c>
      <c r="AG125" s="24">
        <f t="shared" si="4"/>
        <v>0</v>
      </c>
      <c r="AH125" s="24">
        <f t="shared" si="5"/>
        <v>0</v>
      </c>
      <c r="AI125" s="24">
        <f t="shared" si="6"/>
        <v>15</v>
      </c>
      <c r="AJ125" s="41" t="str" cm="1">
        <f t="array" ref="AJ125">_xlfn.IFS(
$AG125=15,"Not Started",
$AI125&lt;15,"In Progress",
$AI125=15,"Completed",
SUM(AG125:AI125)&gt;15,"Error"
)</f>
        <v>Completed</v>
      </c>
    </row>
    <row r="126" spans="1:36" ht="14.5" x14ac:dyDescent="0.35">
      <c r="A126" s="248"/>
      <c r="B126" s="14">
        <v>123</v>
      </c>
      <c r="C126" s="14" t="s">
        <v>375</v>
      </c>
      <c r="D126" s="53" t="s">
        <v>4990</v>
      </c>
      <c r="E126" s="57" t="s">
        <v>9015</v>
      </c>
      <c r="F126" s="7" t="s">
        <v>43</v>
      </c>
      <c r="G126" s="7" t="s">
        <v>44</v>
      </c>
      <c r="H126" s="14" t="s">
        <v>5286</v>
      </c>
      <c r="I126" s="14" t="s">
        <v>5286</v>
      </c>
      <c r="J126" s="112">
        <v>26.43027008</v>
      </c>
      <c r="K126" s="113">
        <v>50.073941689999998</v>
      </c>
      <c r="L126" s="137" t="str">
        <f t="shared" si="7"/>
        <v>26.43027008,50.07394169</v>
      </c>
      <c r="M126" s="7" t="s">
        <v>5190</v>
      </c>
      <c r="N126" s="7">
        <v>10006266905</v>
      </c>
      <c r="O126" s="9"/>
      <c r="P126" s="32"/>
      <c r="Q126" s="29" t="s">
        <v>11</v>
      </c>
      <c r="R126" s="29" t="s">
        <v>11</v>
      </c>
      <c r="S126" s="29" t="s">
        <v>11</v>
      </c>
      <c r="T126" s="29" t="s">
        <v>11</v>
      </c>
      <c r="U126" s="29" t="s">
        <v>11</v>
      </c>
      <c r="V126" s="29" t="s">
        <v>11</v>
      </c>
      <c r="W126" s="29" t="s">
        <v>11</v>
      </c>
      <c r="X126" s="29" t="s">
        <v>11</v>
      </c>
      <c r="Y126" s="29" t="s">
        <v>11</v>
      </c>
      <c r="Z126" s="29" t="s">
        <v>11</v>
      </c>
      <c r="AA126" s="29" t="s">
        <v>11</v>
      </c>
      <c r="AB126" s="29" t="s">
        <v>11</v>
      </c>
      <c r="AC126" s="29" t="s">
        <v>11</v>
      </c>
      <c r="AD126" s="29" t="s">
        <v>11</v>
      </c>
      <c r="AE126" s="29" t="s">
        <v>11</v>
      </c>
      <c r="AF126" s="110" t="s">
        <v>11</v>
      </c>
      <c r="AG126" s="24">
        <f t="shared" si="4"/>
        <v>0</v>
      </c>
      <c r="AH126" s="24">
        <f t="shared" si="5"/>
        <v>0</v>
      </c>
      <c r="AI126" s="24">
        <f t="shared" si="6"/>
        <v>15</v>
      </c>
      <c r="AJ126" s="41" t="str" cm="1">
        <f t="array" ref="AJ126">_xlfn.IFS(
$AG126=15,"Not Started",
$AI126&lt;15,"In Progress",
$AI126=15,"Completed",
SUM(AG126:AI126)&gt;15,"Error"
)</f>
        <v>Completed</v>
      </c>
    </row>
    <row r="127" spans="1:36" ht="14.5" x14ac:dyDescent="0.35">
      <c r="A127" s="248"/>
      <c r="B127" s="14">
        <v>124</v>
      </c>
      <c r="C127" s="7" t="s">
        <v>376</v>
      </c>
      <c r="D127" s="53" t="s">
        <v>4991</v>
      </c>
      <c r="E127" s="57" t="s">
        <v>9016</v>
      </c>
      <c r="F127" s="7" t="s">
        <v>43</v>
      </c>
      <c r="G127" s="7" t="s">
        <v>44</v>
      </c>
      <c r="H127" s="14" t="s">
        <v>5286</v>
      </c>
      <c r="I127" s="14" t="s">
        <v>5286</v>
      </c>
      <c r="J127" s="112">
        <v>26.460715499999999</v>
      </c>
      <c r="K127" s="113">
        <v>50.053299180000003</v>
      </c>
      <c r="L127" s="137" t="str">
        <f t="shared" si="7"/>
        <v>26.4607155,50.05329918</v>
      </c>
      <c r="M127" s="7" t="s">
        <v>5191</v>
      </c>
      <c r="N127" s="7">
        <v>10006239953</v>
      </c>
      <c r="O127" s="9"/>
      <c r="P127" s="32"/>
      <c r="Q127" s="29" t="s">
        <v>11</v>
      </c>
      <c r="R127" s="29" t="s">
        <v>11</v>
      </c>
      <c r="S127" s="29" t="s">
        <v>11</v>
      </c>
      <c r="T127" s="29" t="s">
        <v>11</v>
      </c>
      <c r="U127" s="29" t="s">
        <v>11</v>
      </c>
      <c r="V127" s="29" t="s">
        <v>11</v>
      </c>
      <c r="W127" s="29" t="s">
        <v>11</v>
      </c>
      <c r="X127" s="29" t="s">
        <v>11</v>
      </c>
      <c r="Y127" s="29" t="s">
        <v>11</v>
      </c>
      <c r="Z127" s="29" t="s">
        <v>11</v>
      </c>
      <c r="AA127" s="29" t="s">
        <v>11</v>
      </c>
      <c r="AB127" s="29" t="s">
        <v>11</v>
      </c>
      <c r="AC127" s="29" t="s">
        <v>11</v>
      </c>
      <c r="AD127" s="29" t="s">
        <v>11</v>
      </c>
      <c r="AE127" s="29" t="s">
        <v>11</v>
      </c>
      <c r="AF127" s="110" t="s">
        <v>11</v>
      </c>
      <c r="AG127" s="24">
        <f t="shared" si="4"/>
        <v>0</v>
      </c>
      <c r="AH127" s="24">
        <f t="shared" si="5"/>
        <v>0</v>
      </c>
      <c r="AI127" s="24">
        <f t="shared" si="6"/>
        <v>15</v>
      </c>
      <c r="AJ127" s="41" t="str" cm="1">
        <f t="array" ref="AJ127">_xlfn.IFS(
$AG127=15,"Not Started",
$AI127&lt;15,"In Progress",
$AI127=15,"Completed",
SUM(AG127:AI127)&gt;15,"Error"
)</f>
        <v>Completed</v>
      </c>
    </row>
    <row r="128" spans="1:36" ht="14.5" x14ac:dyDescent="0.35">
      <c r="A128" s="248"/>
      <c r="B128" s="14">
        <v>125</v>
      </c>
      <c r="C128" s="14" t="s">
        <v>377</v>
      </c>
      <c r="D128" s="53" t="s">
        <v>4992</v>
      </c>
      <c r="E128" s="57" t="s">
        <v>9017</v>
      </c>
      <c r="F128" s="7" t="s">
        <v>43</v>
      </c>
      <c r="G128" s="7" t="s">
        <v>44</v>
      </c>
      <c r="H128" s="14" t="s">
        <v>5286</v>
      </c>
      <c r="I128" s="14" t="s">
        <v>5286</v>
      </c>
      <c r="J128" s="112">
        <v>26.46589195</v>
      </c>
      <c r="K128" s="113">
        <v>50.056068580000002</v>
      </c>
      <c r="L128" s="137" t="str">
        <f t="shared" si="7"/>
        <v>26.46589195,50.05606858</v>
      </c>
      <c r="M128" s="7" t="s">
        <v>5192</v>
      </c>
      <c r="N128" s="7">
        <v>10006227854</v>
      </c>
      <c r="O128" s="9"/>
      <c r="P128" s="32"/>
      <c r="Q128" s="29" t="s">
        <v>11</v>
      </c>
      <c r="R128" s="29" t="s">
        <v>11</v>
      </c>
      <c r="S128" s="29" t="s">
        <v>11</v>
      </c>
      <c r="T128" s="29" t="s">
        <v>11</v>
      </c>
      <c r="U128" s="29" t="s">
        <v>11</v>
      </c>
      <c r="V128" s="29" t="s">
        <v>11</v>
      </c>
      <c r="W128" s="29" t="s">
        <v>11</v>
      </c>
      <c r="X128" s="29" t="s">
        <v>11</v>
      </c>
      <c r="Y128" s="29" t="s">
        <v>11</v>
      </c>
      <c r="Z128" s="29" t="s">
        <v>11</v>
      </c>
      <c r="AA128" s="29" t="s">
        <v>11</v>
      </c>
      <c r="AB128" s="29" t="s">
        <v>11</v>
      </c>
      <c r="AC128" s="29" t="s">
        <v>11</v>
      </c>
      <c r="AD128" s="29" t="s">
        <v>11</v>
      </c>
      <c r="AE128" s="29" t="s">
        <v>11</v>
      </c>
      <c r="AF128" s="110" t="s">
        <v>11</v>
      </c>
      <c r="AG128" s="24">
        <f t="shared" si="4"/>
        <v>0</v>
      </c>
      <c r="AH128" s="24">
        <f t="shared" si="5"/>
        <v>0</v>
      </c>
      <c r="AI128" s="24">
        <f t="shared" si="6"/>
        <v>15</v>
      </c>
      <c r="AJ128" s="41" t="str" cm="1">
        <f t="array" ref="AJ128">_xlfn.IFS(
$AG128=15,"Not Started",
$AI128&lt;15,"In Progress",
$AI128=15,"Completed",
SUM(AG128:AI128)&gt;15,"Error"
)</f>
        <v>Completed</v>
      </c>
    </row>
    <row r="129" spans="1:36" ht="14.5" x14ac:dyDescent="0.35">
      <c r="A129" s="248"/>
      <c r="B129" s="14">
        <v>126</v>
      </c>
      <c r="C129" s="7" t="s">
        <v>378</v>
      </c>
      <c r="D129" s="53" t="s">
        <v>4993</v>
      </c>
      <c r="E129" s="57" t="s">
        <v>9018</v>
      </c>
      <c r="F129" s="7" t="s">
        <v>43</v>
      </c>
      <c r="G129" s="7" t="s">
        <v>44</v>
      </c>
      <c r="H129" s="14" t="s">
        <v>5286</v>
      </c>
      <c r="I129" s="14" t="s">
        <v>5286</v>
      </c>
      <c r="J129" s="112">
        <v>26.466009499999998</v>
      </c>
      <c r="K129" s="113">
        <v>50.056412260000002</v>
      </c>
      <c r="L129" s="137" t="str">
        <f t="shared" si="7"/>
        <v>26.4660095,50.05641226</v>
      </c>
      <c r="M129" s="7" t="s">
        <v>5193</v>
      </c>
      <c r="N129" s="7">
        <v>10006255581</v>
      </c>
      <c r="O129" s="9"/>
      <c r="P129" s="32"/>
      <c r="Q129" s="29" t="s">
        <v>11</v>
      </c>
      <c r="R129" s="29" t="s">
        <v>11</v>
      </c>
      <c r="S129" s="29" t="s">
        <v>11</v>
      </c>
      <c r="T129" s="29" t="s">
        <v>11</v>
      </c>
      <c r="U129" s="29" t="s">
        <v>11</v>
      </c>
      <c r="V129" s="29" t="s">
        <v>11</v>
      </c>
      <c r="W129" s="29" t="s">
        <v>11</v>
      </c>
      <c r="X129" s="29" t="s">
        <v>11</v>
      </c>
      <c r="Y129" s="29" t="s">
        <v>11</v>
      </c>
      <c r="Z129" s="29" t="s">
        <v>11</v>
      </c>
      <c r="AA129" s="29" t="s">
        <v>11</v>
      </c>
      <c r="AB129" s="29" t="s">
        <v>11</v>
      </c>
      <c r="AC129" s="29" t="s">
        <v>11</v>
      </c>
      <c r="AD129" s="29" t="s">
        <v>11</v>
      </c>
      <c r="AE129" s="29" t="s">
        <v>11</v>
      </c>
      <c r="AF129" s="110" t="s">
        <v>11</v>
      </c>
      <c r="AG129" s="24">
        <f t="shared" si="4"/>
        <v>0</v>
      </c>
      <c r="AH129" s="24">
        <f t="shared" si="5"/>
        <v>0</v>
      </c>
      <c r="AI129" s="24">
        <f t="shared" si="6"/>
        <v>15</v>
      </c>
      <c r="AJ129" s="41" t="str" cm="1">
        <f t="array" ref="AJ129">_xlfn.IFS(
$AG129=15,"Not Started",
$AI129&lt;15,"In Progress",
$AI129=15,"Completed",
SUM(AG129:AI129)&gt;15,"Error"
)</f>
        <v>Completed</v>
      </c>
    </row>
    <row r="130" spans="1:36" ht="14.5" x14ac:dyDescent="0.35">
      <c r="A130" s="248"/>
      <c r="B130" s="14">
        <v>127</v>
      </c>
      <c r="C130" s="14" t="s">
        <v>379</v>
      </c>
      <c r="D130" s="53" t="s">
        <v>4994</v>
      </c>
      <c r="E130" s="57" t="s">
        <v>9019</v>
      </c>
      <c r="F130" s="7" t="s">
        <v>47</v>
      </c>
      <c r="G130" s="7" t="s">
        <v>44</v>
      </c>
      <c r="H130" s="14" t="s">
        <v>5286</v>
      </c>
      <c r="I130" s="14" t="s">
        <v>5286</v>
      </c>
      <c r="J130" s="112">
        <v>26.417504040000001</v>
      </c>
      <c r="K130" s="113">
        <v>50.120176559999997</v>
      </c>
      <c r="L130" s="137" t="str">
        <f t="shared" si="7"/>
        <v>26.41750404,50.12017656</v>
      </c>
      <c r="M130" s="7" t="s">
        <v>5194</v>
      </c>
      <c r="N130" s="7">
        <v>10006255643</v>
      </c>
      <c r="O130" s="9"/>
      <c r="P130" s="32"/>
      <c r="Q130" s="29" t="s">
        <v>11</v>
      </c>
      <c r="R130" s="29" t="s">
        <v>11</v>
      </c>
      <c r="S130" s="29" t="s">
        <v>11</v>
      </c>
      <c r="T130" s="29" t="s">
        <v>11</v>
      </c>
      <c r="U130" s="29" t="s">
        <v>11</v>
      </c>
      <c r="V130" s="29" t="s">
        <v>11</v>
      </c>
      <c r="W130" s="29" t="s">
        <v>11</v>
      </c>
      <c r="X130" s="29" t="s">
        <v>11</v>
      </c>
      <c r="Y130" s="29" t="s">
        <v>11</v>
      </c>
      <c r="Z130" s="29" t="s">
        <v>11</v>
      </c>
      <c r="AA130" s="29" t="s">
        <v>11</v>
      </c>
      <c r="AB130" s="29" t="s">
        <v>11</v>
      </c>
      <c r="AC130" s="29" t="s">
        <v>11</v>
      </c>
      <c r="AD130" s="29" t="s">
        <v>11</v>
      </c>
      <c r="AE130" s="29" t="s">
        <v>11</v>
      </c>
      <c r="AF130" s="110" t="s">
        <v>11</v>
      </c>
      <c r="AG130" s="24">
        <f t="shared" si="4"/>
        <v>0</v>
      </c>
      <c r="AH130" s="24">
        <f t="shared" si="5"/>
        <v>0</v>
      </c>
      <c r="AI130" s="24">
        <f t="shared" si="6"/>
        <v>15</v>
      </c>
      <c r="AJ130" s="41" t="str" cm="1">
        <f t="array" ref="AJ130">_xlfn.IFS(
$AG130=15,"Not Started",
$AI130&lt;15,"In Progress",
$AI130=15,"Completed",
SUM(AG130:AI130)&gt;15,"Error"
)</f>
        <v>Completed</v>
      </c>
    </row>
    <row r="131" spans="1:36" ht="14.5" x14ac:dyDescent="0.35">
      <c r="A131" s="248"/>
      <c r="B131" s="14">
        <v>128</v>
      </c>
      <c r="C131" s="7" t="s">
        <v>380</v>
      </c>
      <c r="D131" s="53" t="s">
        <v>4995</v>
      </c>
      <c r="E131" s="57" t="s">
        <v>9020</v>
      </c>
      <c r="F131" s="7" t="s">
        <v>47</v>
      </c>
      <c r="G131" s="7" t="s">
        <v>44</v>
      </c>
      <c r="H131" s="14" t="s">
        <v>5286</v>
      </c>
      <c r="I131" s="14" t="s">
        <v>5286</v>
      </c>
      <c r="J131" s="112">
        <v>26.46090165</v>
      </c>
      <c r="K131" s="113">
        <v>50.052352800000001</v>
      </c>
      <c r="L131" s="137" t="str">
        <f t="shared" si="7"/>
        <v>26.46090165,50.0523528</v>
      </c>
      <c r="M131" s="7" t="s">
        <v>5195</v>
      </c>
      <c r="N131" s="7">
        <v>10006228511</v>
      </c>
      <c r="O131" s="9"/>
      <c r="P131" s="32"/>
      <c r="Q131" s="29" t="s">
        <v>11</v>
      </c>
      <c r="R131" s="29" t="s">
        <v>11</v>
      </c>
      <c r="S131" s="29" t="s">
        <v>11</v>
      </c>
      <c r="T131" s="29" t="s">
        <v>11</v>
      </c>
      <c r="U131" s="29" t="s">
        <v>11</v>
      </c>
      <c r="V131" s="29" t="s">
        <v>11</v>
      </c>
      <c r="W131" s="29" t="s">
        <v>11</v>
      </c>
      <c r="X131" s="29" t="s">
        <v>11</v>
      </c>
      <c r="Y131" s="29" t="s">
        <v>11</v>
      </c>
      <c r="Z131" s="29" t="s">
        <v>11</v>
      </c>
      <c r="AA131" s="29" t="s">
        <v>11</v>
      </c>
      <c r="AB131" s="29" t="s">
        <v>11</v>
      </c>
      <c r="AC131" s="29" t="s">
        <v>11</v>
      </c>
      <c r="AD131" s="29" t="s">
        <v>11</v>
      </c>
      <c r="AE131" s="29" t="s">
        <v>11</v>
      </c>
      <c r="AF131" s="110" t="s">
        <v>11</v>
      </c>
      <c r="AG131" s="24">
        <f t="shared" si="4"/>
        <v>0</v>
      </c>
      <c r="AH131" s="24">
        <f t="shared" si="5"/>
        <v>0</v>
      </c>
      <c r="AI131" s="24">
        <f t="shared" si="6"/>
        <v>15</v>
      </c>
      <c r="AJ131" s="41" t="str" cm="1">
        <f t="array" ref="AJ131">_xlfn.IFS(
$AG131=15,"Not Started",
$AI131&lt;15,"In Progress",
$AI131=15,"Completed",
SUM(AG131:AI131)&gt;15,"Error"
)</f>
        <v>Completed</v>
      </c>
    </row>
    <row r="132" spans="1:36" ht="14.5" x14ac:dyDescent="0.35">
      <c r="A132" s="248"/>
      <c r="B132" s="14">
        <v>129</v>
      </c>
      <c r="C132" s="14" t="s">
        <v>381</v>
      </c>
      <c r="D132" s="53" t="s">
        <v>4996</v>
      </c>
      <c r="E132" s="57" t="s">
        <v>9021</v>
      </c>
      <c r="F132" s="7" t="s">
        <v>51</v>
      </c>
      <c r="G132" s="7" t="s">
        <v>44</v>
      </c>
      <c r="H132" s="14" t="s">
        <v>5286</v>
      </c>
      <c r="I132" s="14" t="s">
        <v>5286</v>
      </c>
      <c r="J132" s="112">
        <v>26.466066229999999</v>
      </c>
      <c r="K132" s="113">
        <v>50.055709520000001</v>
      </c>
      <c r="L132" s="137" t="str">
        <f t="shared" si="7"/>
        <v>26.46606623,50.05570952</v>
      </c>
      <c r="M132" s="7" t="s">
        <v>5196</v>
      </c>
      <c r="N132" s="7">
        <v>10006253999</v>
      </c>
      <c r="O132" s="9"/>
      <c r="P132" s="32"/>
      <c r="Q132" s="29" t="s">
        <v>11</v>
      </c>
      <c r="R132" s="29" t="s">
        <v>11</v>
      </c>
      <c r="S132" s="29" t="s">
        <v>11</v>
      </c>
      <c r="T132" s="29" t="s">
        <v>11</v>
      </c>
      <c r="U132" s="29" t="s">
        <v>11</v>
      </c>
      <c r="V132" s="29" t="s">
        <v>11</v>
      </c>
      <c r="W132" s="29" t="s">
        <v>11</v>
      </c>
      <c r="X132" s="29" t="s">
        <v>11</v>
      </c>
      <c r="Y132" s="29" t="s">
        <v>11</v>
      </c>
      <c r="Z132" s="29" t="s">
        <v>11</v>
      </c>
      <c r="AA132" s="29" t="s">
        <v>11</v>
      </c>
      <c r="AB132" s="29" t="s">
        <v>11</v>
      </c>
      <c r="AC132" s="29" t="s">
        <v>11</v>
      </c>
      <c r="AD132" s="29" t="s">
        <v>11</v>
      </c>
      <c r="AE132" s="29" t="s">
        <v>11</v>
      </c>
      <c r="AF132" s="110" t="s">
        <v>11</v>
      </c>
      <c r="AG132" s="24">
        <f t="shared" ref="AG132:AG195" si="8">COUNTIF(Q132:AE132,$AG$2)</f>
        <v>0</v>
      </c>
      <c r="AH132" s="24">
        <f t="shared" ref="AH132:AH195" si="9">COUNTIF(Q132:AE132,$AH$2)</f>
        <v>0</v>
      </c>
      <c r="AI132" s="24">
        <f t="shared" ref="AI132:AI195" si="10">COUNTIF(Q132:AE132,$AI$2)</f>
        <v>15</v>
      </c>
      <c r="AJ132" s="41" t="str" cm="1">
        <f t="array" ref="AJ132">_xlfn.IFS(
$AG132=15,"Not Started",
$AI132&lt;15,"In Progress",
$AI132=15,"Completed",
SUM(AG132:AI132)&gt;15,"Error"
)</f>
        <v>Completed</v>
      </c>
    </row>
    <row r="133" spans="1:36" ht="14.5" x14ac:dyDescent="0.35">
      <c r="A133" s="248"/>
      <c r="B133" s="14">
        <v>130</v>
      </c>
      <c r="C133" s="7" t="s">
        <v>382</v>
      </c>
      <c r="D133" s="53" t="s">
        <v>4997</v>
      </c>
      <c r="E133" s="57" t="s">
        <v>9022</v>
      </c>
      <c r="F133" s="7" t="s">
        <v>51</v>
      </c>
      <c r="G133" s="7" t="s">
        <v>44</v>
      </c>
      <c r="H133" s="14" t="s">
        <v>5286</v>
      </c>
      <c r="I133" s="14" t="s">
        <v>5286</v>
      </c>
      <c r="J133" s="112">
        <v>26.458102090000001</v>
      </c>
      <c r="K133" s="113">
        <v>50.059277539999997</v>
      </c>
      <c r="L133" s="137" t="str">
        <f t="shared" ref="L133:L196" si="11">_xlfn.CONCAT(J133,",",K133)</f>
        <v>26.45810209,50.05927754</v>
      </c>
      <c r="M133" s="7" t="s">
        <v>5197</v>
      </c>
      <c r="N133" s="7">
        <v>10006230143</v>
      </c>
      <c r="O133" s="9"/>
      <c r="P133" s="32"/>
      <c r="Q133" s="29" t="s">
        <v>11</v>
      </c>
      <c r="R133" s="29" t="s">
        <v>11</v>
      </c>
      <c r="S133" s="29" t="s">
        <v>11</v>
      </c>
      <c r="T133" s="29" t="s">
        <v>11</v>
      </c>
      <c r="U133" s="29" t="s">
        <v>11</v>
      </c>
      <c r="V133" s="29" t="s">
        <v>11</v>
      </c>
      <c r="W133" s="29" t="s">
        <v>11</v>
      </c>
      <c r="X133" s="29" t="s">
        <v>11</v>
      </c>
      <c r="Y133" s="29" t="s">
        <v>11</v>
      </c>
      <c r="Z133" s="29" t="s">
        <v>11</v>
      </c>
      <c r="AA133" s="29" t="s">
        <v>11</v>
      </c>
      <c r="AB133" s="29" t="s">
        <v>11</v>
      </c>
      <c r="AC133" s="29" t="s">
        <v>11</v>
      </c>
      <c r="AD133" s="29" t="s">
        <v>11</v>
      </c>
      <c r="AE133" s="29" t="s">
        <v>11</v>
      </c>
      <c r="AF133" s="110" t="s">
        <v>11</v>
      </c>
      <c r="AG133" s="24">
        <f t="shared" si="8"/>
        <v>0</v>
      </c>
      <c r="AH133" s="24">
        <f t="shared" si="9"/>
        <v>0</v>
      </c>
      <c r="AI133" s="24">
        <f t="shared" si="10"/>
        <v>15</v>
      </c>
      <c r="AJ133" s="41" t="str" cm="1">
        <f t="array" ref="AJ133">_xlfn.IFS(
$AG133=15,"Not Started",
$AI133&lt;15,"In Progress",
$AI133=15,"Completed",
SUM(AG133:AI133)&gt;15,"Error"
)</f>
        <v>Completed</v>
      </c>
    </row>
    <row r="134" spans="1:36" ht="14.5" x14ac:dyDescent="0.35">
      <c r="A134" s="248"/>
      <c r="B134" s="14">
        <v>131</v>
      </c>
      <c r="C134" s="14" t="s">
        <v>383</v>
      </c>
      <c r="D134" s="53" t="s">
        <v>4998</v>
      </c>
      <c r="E134" s="57" t="s">
        <v>9023</v>
      </c>
      <c r="F134" s="7" t="s">
        <v>47</v>
      </c>
      <c r="G134" s="7" t="s">
        <v>44</v>
      </c>
      <c r="H134" s="14" t="s">
        <v>5286</v>
      </c>
      <c r="I134" s="14" t="s">
        <v>5286</v>
      </c>
      <c r="J134" s="112">
        <v>26.471439929999999</v>
      </c>
      <c r="K134" s="113">
        <v>50.089981539999997</v>
      </c>
      <c r="L134" s="137" t="str">
        <f t="shared" si="11"/>
        <v>26.47143993,50.08998154</v>
      </c>
      <c r="M134" s="7" t="s">
        <v>5198</v>
      </c>
      <c r="N134" s="7">
        <v>10006240337</v>
      </c>
      <c r="O134" s="9"/>
      <c r="P134" s="32"/>
      <c r="Q134" s="29" t="s">
        <v>11</v>
      </c>
      <c r="R134" s="29" t="s">
        <v>11</v>
      </c>
      <c r="S134" s="29" t="s">
        <v>11</v>
      </c>
      <c r="T134" s="29" t="s">
        <v>11</v>
      </c>
      <c r="U134" s="29" t="s">
        <v>11</v>
      </c>
      <c r="V134" s="29" t="s">
        <v>11</v>
      </c>
      <c r="W134" s="29" t="s">
        <v>11</v>
      </c>
      <c r="X134" s="29" t="s">
        <v>11</v>
      </c>
      <c r="Y134" s="29" t="s">
        <v>11</v>
      </c>
      <c r="Z134" s="29" t="s">
        <v>11</v>
      </c>
      <c r="AA134" s="29" t="s">
        <v>11</v>
      </c>
      <c r="AB134" s="29" t="s">
        <v>11</v>
      </c>
      <c r="AC134" s="29" t="s">
        <v>11</v>
      </c>
      <c r="AD134" s="29" t="s">
        <v>11</v>
      </c>
      <c r="AE134" s="29" t="s">
        <v>11</v>
      </c>
      <c r="AF134" s="110" t="s">
        <v>11</v>
      </c>
      <c r="AG134" s="24">
        <f t="shared" si="8"/>
        <v>0</v>
      </c>
      <c r="AH134" s="24">
        <f t="shared" si="9"/>
        <v>0</v>
      </c>
      <c r="AI134" s="24">
        <f t="shared" si="10"/>
        <v>15</v>
      </c>
      <c r="AJ134" s="41" t="str" cm="1">
        <f t="array" ref="AJ134">_xlfn.IFS(
$AG134=15,"Not Started",
$AI134&lt;15,"In Progress",
$AI134=15,"Completed",
SUM(AG134:AI134)&gt;15,"Error"
)</f>
        <v>Completed</v>
      </c>
    </row>
    <row r="135" spans="1:36" ht="14.5" x14ac:dyDescent="0.35">
      <c r="A135" s="248"/>
      <c r="B135" s="14">
        <v>132</v>
      </c>
      <c r="C135" s="7" t="s">
        <v>384</v>
      </c>
      <c r="D135" s="53" t="s">
        <v>4999</v>
      </c>
      <c r="E135" s="57" t="s">
        <v>9024</v>
      </c>
      <c r="F135" s="7" t="s">
        <v>43</v>
      </c>
      <c r="G135" s="7" t="s">
        <v>48</v>
      </c>
      <c r="H135" s="14" t="s">
        <v>5286</v>
      </c>
      <c r="I135" s="14" t="s">
        <v>5286</v>
      </c>
      <c r="J135" s="112">
        <v>26.465895</v>
      </c>
      <c r="K135" s="113">
        <v>50.056070069999997</v>
      </c>
      <c r="L135" s="137" t="str">
        <f t="shared" si="11"/>
        <v>26.465895,50.05607007</v>
      </c>
      <c r="M135" s="7" t="s">
        <v>5199</v>
      </c>
      <c r="N135" s="7">
        <v>10006263663</v>
      </c>
      <c r="O135" s="9"/>
      <c r="P135" s="32"/>
      <c r="Q135" s="29" t="s">
        <v>11</v>
      </c>
      <c r="R135" s="29" t="s">
        <v>11</v>
      </c>
      <c r="S135" s="29" t="s">
        <v>11</v>
      </c>
      <c r="T135" s="29" t="s">
        <v>11</v>
      </c>
      <c r="U135" s="29" t="s">
        <v>11</v>
      </c>
      <c r="V135" s="29" t="s">
        <v>11</v>
      </c>
      <c r="W135" s="29" t="s">
        <v>11</v>
      </c>
      <c r="X135" s="29" t="s">
        <v>11</v>
      </c>
      <c r="Y135" s="29" t="s">
        <v>11</v>
      </c>
      <c r="Z135" s="29" t="s">
        <v>11</v>
      </c>
      <c r="AA135" s="29" t="s">
        <v>11</v>
      </c>
      <c r="AB135" s="29" t="s">
        <v>11</v>
      </c>
      <c r="AC135" s="29" t="s">
        <v>11</v>
      </c>
      <c r="AD135" s="29" t="s">
        <v>11</v>
      </c>
      <c r="AE135" s="29" t="s">
        <v>11</v>
      </c>
      <c r="AF135" s="110" t="s">
        <v>11</v>
      </c>
      <c r="AG135" s="24">
        <f t="shared" si="8"/>
        <v>0</v>
      </c>
      <c r="AH135" s="24">
        <f t="shared" si="9"/>
        <v>0</v>
      </c>
      <c r="AI135" s="24">
        <f t="shared" si="10"/>
        <v>15</v>
      </c>
      <c r="AJ135" s="41" t="str" cm="1">
        <f t="array" ref="AJ135">_xlfn.IFS(
$AG135=15,"Not Started",
$AI135&lt;15,"In Progress",
$AI135=15,"Completed",
SUM(AG135:AI135)&gt;15,"Error"
)</f>
        <v>Completed</v>
      </c>
    </row>
    <row r="136" spans="1:36" ht="14.5" x14ac:dyDescent="0.35">
      <c r="A136" s="248"/>
      <c r="B136" s="14">
        <v>133</v>
      </c>
      <c r="C136" s="14" t="s">
        <v>385</v>
      </c>
      <c r="D136" s="53" t="s">
        <v>5000</v>
      </c>
      <c r="E136" s="57" t="s">
        <v>9025</v>
      </c>
      <c r="F136" s="7" t="s">
        <v>47</v>
      </c>
      <c r="G136" s="7" t="s">
        <v>48</v>
      </c>
      <c r="H136" s="14" t="s">
        <v>5286</v>
      </c>
      <c r="I136" s="14" t="s">
        <v>5286</v>
      </c>
      <c r="J136" s="112">
        <v>26.450448869999999</v>
      </c>
      <c r="K136" s="113">
        <v>50.11260729</v>
      </c>
      <c r="L136" s="137" t="str">
        <f t="shared" si="11"/>
        <v>26.45044887,50.11260729</v>
      </c>
      <c r="M136" s="7" t="s">
        <v>5200</v>
      </c>
      <c r="N136" s="7">
        <v>10006239944</v>
      </c>
      <c r="O136" s="9"/>
      <c r="P136" s="32"/>
      <c r="Q136" s="29" t="s">
        <v>11</v>
      </c>
      <c r="R136" s="29" t="s">
        <v>11</v>
      </c>
      <c r="S136" s="29" t="s">
        <v>11</v>
      </c>
      <c r="T136" s="29" t="s">
        <v>11</v>
      </c>
      <c r="U136" s="29" t="s">
        <v>11</v>
      </c>
      <c r="V136" s="29" t="s">
        <v>11</v>
      </c>
      <c r="W136" s="29" t="s">
        <v>11</v>
      </c>
      <c r="X136" s="29" t="s">
        <v>11</v>
      </c>
      <c r="Y136" s="29" t="s">
        <v>11</v>
      </c>
      <c r="Z136" s="29" t="s">
        <v>11</v>
      </c>
      <c r="AA136" s="29" t="s">
        <v>11</v>
      </c>
      <c r="AB136" s="29" t="s">
        <v>11</v>
      </c>
      <c r="AC136" s="29" t="s">
        <v>11</v>
      </c>
      <c r="AD136" s="29" t="s">
        <v>11</v>
      </c>
      <c r="AE136" s="29" t="s">
        <v>11</v>
      </c>
      <c r="AF136" s="110" t="s">
        <v>11</v>
      </c>
      <c r="AG136" s="24">
        <f t="shared" si="8"/>
        <v>0</v>
      </c>
      <c r="AH136" s="24">
        <f t="shared" si="9"/>
        <v>0</v>
      </c>
      <c r="AI136" s="24">
        <f t="shared" si="10"/>
        <v>15</v>
      </c>
      <c r="AJ136" s="41" t="str" cm="1">
        <f t="array" ref="AJ136">_xlfn.IFS(
$AG136=15,"Not Started",
$AI136&lt;15,"In Progress",
$AI136=15,"Completed",
SUM(AG136:AI136)&gt;15,"Error"
)</f>
        <v>Completed</v>
      </c>
    </row>
    <row r="137" spans="1:36" ht="14.5" x14ac:dyDescent="0.35">
      <c r="A137" s="248"/>
      <c r="B137" s="14">
        <v>134</v>
      </c>
      <c r="C137" s="7" t="s">
        <v>386</v>
      </c>
      <c r="D137" s="53" t="s">
        <v>5001</v>
      </c>
      <c r="E137" s="57" t="s">
        <v>9026</v>
      </c>
      <c r="F137" s="7" t="s">
        <v>43</v>
      </c>
      <c r="G137" s="7" t="s">
        <v>44</v>
      </c>
      <c r="H137" s="14" t="s">
        <v>5286</v>
      </c>
      <c r="I137" s="14" t="s">
        <v>5286</v>
      </c>
      <c r="J137" s="112">
        <v>26.415786900000001</v>
      </c>
      <c r="K137" s="113">
        <v>50.118618099999999</v>
      </c>
      <c r="L137" s="137" t="str">
        <f t="shared" si="11"/>
        <v>26.4157869,50.1186181</v>
      </c>
      <c r="M137" s="7" t="s">
        <v>5201</v>
      </c>
      <c r="N137" s="7">
        <v>10005857388</v>
      </c>
      <c r="O137" s="9"/>
      <c r="P137" s="32"/>
      <c r="Q137" s="29" t="s">
        <v>11</v>
      </c>
      <c r="R137" s="29" t="s">
        <v>11</v>
      </c>
      <c r="S137" s="29" t="s">
        <v>11</v>
      </c>
      <c r="T137" s="29" t="s">
        <v>11</v>
      </c>
      <c r="U137" s="29" t="s">
        <v>11</v>
      </c>
      <c r="V137" s="29" t="s">
        <v>11</v>
      </c>
      <c r="W137" s="29" t="s">
        <v>11</v>
      </c>
      <c r="X137" s="29" t="s">
        <v>11</v>
      </c>
      <c r="Y137" s="29" t="s">
        <v>11</v>
      </c>
      <c r="Z137" s="29" t="s">
        <v>11</v>
      </c>
      <c r="AA137" s="29" t="s">
        <v>11</v>
      </c>
      <c r="AB137" s="29" t="s">
        <v>11</v>
      </c>
      <c r="AC137" s="29" t="s">
        <v>11</v>
      </c>
      <c r="AD137" s="29" t="s">
        <v>11</v>
      </c>
      <c r="AE137" s="29" t="s">
        <v>11</v>
      </c>
      <c r="AF137" s="110" t="s">
        <v>11</v>
      </c>
      <c r="AG137" s="24">
        <f t="shared" si="8"/>
        <v>0</v>
      </c>
      <c r="AH137" s="24">
        <f t="shared" si="9"/>
        <v>0</v>
      </c>
      <c r="AI137" s="24">
        <f t="shared" si="10"/>
        <v>15</v>
      </c>
      <c r="AJ137" s="41" t="str" cm="1">
        <f t="array" ref="AJ137">_xlfn.IFS(
$AG137=15,"Not Started",
$AI137&lt;15,"In Progress",
$AI137=15,"Completed",
SUM(AG137:AI137)&gt;15,"Error"
)</f>
        <v>Completed</v>
      </c>
    </row>
    <row r="138" spans="1:36" ht="14.5" x14ac:dyDescent="0.35">
      <c r="A138" s="248"/>
      <c r="B138" s="14">
        <v>135</v>
      </c>
      <c r="C138" s="14" t="s">
        <v>387</v>
      </c>
      <c r="D138" s="53" t="s">
        <v>5002</v>
      </c>
      <c r="E138" s="57" t="s">
        <v>9027</v>
      </c>
      <c r="F138" s="7" t="s">
        <v>51</v>
      </c>
      <c r="G138" s="7" t="s">
        <v>44</v>
      </c>
      <c r="H138" s="14" t="s">
        <v>5286</v>
      </c>
      <c r="I138" s="14" t="s">
        <v>5286</v>
      </c>
      <c r="J138" s="112">
        <v>26.472023499999999</v>
      </c>
      <c r="K138" s="113">
        <v>50.090281570000002</v>
      </c>
      <c r="L138" s="137" t="str">
        <f t="shared" si="11"/>
        <v>26.4720235,50.09028157</v>
      </c>
      <c r="M138" s="7" t="s">
        <v>5202</v>
      </c>
      <c r="N138" s="7">
        <v>10006241245</v>
      </c>
      <c r="O138" s="9"/>
      <c r="P138" s="32"/>
      <c r="Q138" s="29" t="s">
        <v>11</v>
      </c>
      <c r="R138" s="29" t="s">
        <v>11</v>
      </c>
      <c r="S138" s="29" t="s">
        <v>11</v>
      </c>
      <c r="T138" s="29" t="s">
        <v>11</v>
      </c>
      <c r="U138" s="29" t="s">
        <v>11</v>
      </c>
      <c r="V138" s="29" t="s">
        <v>11</v>
      </c>
      <c r="W138" s="29" t="s">
        <v>11</v>
      </c>
      <c r="X138" s="29" t="s">
        <v>11</v>
      </c>
      <c r="Y138" s="29" t="s">
        <v>11</v>
      </c>
      <c r="Z138" s="29" t="s">
        <v>11</v>
      </c>
      <c r="AA138" s="29" t="s">
        <v>11</v>
      </c>
      <c r="AB138" s="29" t="s">
        <v>11</v>
      </c>
      <c r="AC138" s="29" t="s">
        <v>11</v>
      </c>
      <c r="AD138" s="29" t="s">
        <v>11</v>
      </c>
      <c r="AE138" s="29" t="s">
        <v>11</v>
      </c>
      <c r="AF138" s="110" t="s">
        <v>11</v>
      </c>
      <c r="AG138" s="24">
        <f t="shared" si="8"/>
        <v>0</v>
      </c>
      <c r="AH138" s="24">
        <f t="shared" si="9"/>
        <v>0</v>
      </c>
      <c r="AI138" s="24">
        <f t="shared" si="10"/>
        <v>15</v>
      </c>
      <c r="AJ138" s="41" t="str" cm="1">
        <f t="array" ref="AJ138">_xlfn.IFS(
$AG138=15,"Not Started",
$AI138&lt;15,"In Progress",
$AI138=15,"Completed",
SUM(AG138:AI138)&gt;15,"Error"
)</f>
        <v>Completed</v>
      </c>
    </row>
    <row r="139" spans="1:36" ht="14.5" x14ac:dyDescent="0.35">
      <c r="A139" s="248"/>
      <c r="B139" s="14">
        <v>136</v>
      </c>
      <c r="C139" s="7" t="s">
        <v>388</v>
      </c>
      <c r="D139" s="53" t="s">
        <v>5003</v>
      </c>
      <c r="E139" s="57" t="s">
        <v>9028</v>
      </c>
      <c r="F139" s="7" t="s">
        <v>43</v>
      </c>
      <c r="G139" s="7" t="s">
        <v>44</v>
      </c>
      <c r="H139" s="14" t="s">
        <v>5286</v>
      </c>
      <c r="I139" s="14" t="s">
        <v>5286</v>
      </c>
      <c r="J139" s="112">
        <v>26.453453110000002</v>
      </c>
      <c r="K139" s="113">
        <v>50.090953630000001</v>
      </c>
      <c r="L139" s="137" t="str">
        <f t="shared" si="11"/>
        <v>26.45345311,50.09095363</v>
      </c>
      <c r="M139" s="7" t="s">
        <v>5203</v>
      </c>
      <c r="N139" s="7">
        <v>10006224960</v>
      </c>
      <c r="O139" s="9"/>
      <c r="P139" s="32"/>
      <c r="Q139" s="29" t="s">
        <v>11</v>
      </c>
      <c r="R139" s="29" t="s">
        <v>11</v>
      </c>
      <c r="S139" s="29" t="s">
        <v>11</v>
      </c>
      <c r="T139" s="29" t="s">
        <v>11</v>
      </c>
      <c r="U139" s="29" t="s">
        <v>11</v>
      </c>
      <c r="V139" s="29" t="s">
        <v>11</v>
      </c>
      <c r="W139" s="29" t="s">
        <v>11</v>
      </c>
      <c r="X139" s="29" t="s">
        <v>11</v>
      </c>
      <c r="Y139" s="29" t="s">
        <v>11</v>
      </c>
      <c r="Z139" s="29" t="s">
        <v>11</v>
      </c>
      <c r="AA139" s="29" t="s">
        <v>11</v>
      </c>
      <c r="AB139" s="29" t="s">
        <v>11</v>
      </c>
      <c r="AC139" s="29" t="s">
        <v>11</v>
      </c>
      <c r="AD139" s="29" t="s">
        <v>11</v>
      </c>
      <c r="AE139" s="29" t="s">
        <v>11</v>
      </c>
      <c r="AF139" s="110" t="s">
        <v>11</v>
      </c>
      <c r="AG139" s="24">
        <f t="shared" si="8"/>
        <v>0</v>
      </c>
      <c r="AH139" s="24">
        <f t="shared" si="9"/>
        <v>0</v>
      </c>
      <c r="AI139" s="24">
        <f t="shared" si="10"/>
        <v>15</v>
      </c>
      <c r="AJ139" s="41" t="str" cm="1">
        <f t="array" ref="AJ139">_xlfn.IFS(
$AG139=15,"Not Started",
$AI139&lt;15,"In Progress",
$AI139=15,"Completed",
SUM(AG139:AI139)&gt;15,"Error"
)</f>
        <v>Completed</v>
      </c>
    </row>
    <row r="140" spans="1:36" ht="14.5" x14ac:dyDescent="0.35">
      <c r="A140" s="248"/>
      <c r="B140" s="14">
        <v>137</v>
      </c>
      <c r="C140" s="14" t="s">
        <v>389</v>
      </c>
      <c r="D140" s="53" t="s">
        <v>5004</v>
      </c>
      <c r="E140" s="57" t="s">
        <v>9029</v>
      </c>
      <c r="F140" s="7" t="s">
        <v>43</v>
      </c>
      <c r="G140" s="7" t="s">
        <v>44</v>
      </c>
      <c r="H140" s="14" t="s">
        <v>5286</v>
      </c>
      <c r="I140" s="14" t="s">
        <v>5286</v>
      </c>
      <c r="J140" s="112">
        <v>26.45098788</v>
      </c>
      <c r="K140" s="113">
        <v>50.112964929999997</v>
      </c>
      <c r="L140" s="137" t="str">
        <f t="shared" si="11"/>
        <v>26.45098788,50.11296493</v>
      </c>
      <c r="M140" s="7" t="s">
        <v>5204</v>
      </c>
      <c r="N140" s="7">
        <v>10006242636</v>
      </c>
      <c r="O140" s="9"/>
      <c r="P140" s="32"/>
      <c r="Q140" s="29" t="s">
        <v>11</v>
      </c>
      <c r="R140" s="29" t="s">
        <v>11</v>
      </c>
      <c r="S140" s="29" t="s">
        <v>11</v>
      </c>
      <c r="T140" s="29" t="s">
        <v>11</v>
      </c>
      <c r="U140" s="29" t="s">
        <v>11</v>
      </c>
      <c r="V140" s="29" t="s">
        <v>11</v>
      </c>
      <c r="W140" s="29" t="s">
        <v>11</v>
      </c>
      <c r="X140" s="29" t="s">
        <v>11</v>
      </c>
      <c r="Y140" s="29" t="s">
        <v>11</v>
      </c>
      <c r="Z140" s="29" t="s">
        <v>11</v>
      </c>
      <c r="AA140" s="29" t="s">
        <v>11</v>
      </c>
      <c r="AB140" s="29" t="s">
        <v>11</v>
      </c>
      <c r="AC140" s="29" t="s">
        <v>11</v>
      </c>
      <c r="AD140" s="29" t="s">
        <v>11</v>
      </c>
      <c r="AE140" s="29" t="s">
        <v>11</v>
      </c>
      <c r="AF140" s="110" t="s">
        <v>11</v>
      </c>
      <c r="AG140" s="24">
        <f t="shared" si="8"/>
        <v>0</v>
      </c>
      <c r="AH140" s="24">
        <f t="shared" si="9"/>
        <v>0</v>
      </c>
      <c r="AI140" s="24">
        <f t="shared" si="10"/>
        <v>15</v>
      </c>
      <c r="AJ140" s="41" t="str" cm="1">
        <f t="array" ref="AJ140">_xlfn.IFS(
$AG140=15,"Not Started",
$AI140&lt;15,"In Progress",
$AI140=15,"Completed",
SUM(AG140:AI140)&gt;15,"Error"
)</f>
        <v>Completed</v>
      </c>
    </row>
    <row r="141" spans="1:36" ht="26" x14ac:dyDescent="0.35">
      <c r="A141" s="248"/>
      <c r="B141" s="14">
        <v>138</v>
      </c>
      <c r="C141" s="7" t="s">
        <v>390</v>
      </c>
      <c r="D141" s="53" t="s">
        <v>5005</v>
      </c>
      <c r="E141" s="80" t="s">
        <v>10342</v>
      </c>
      <c r="F141" s="7" t="s">
        <v>43</v>
      </c>
      <c r="G141" s="7" t="s">
        <v>44</v>
      </c>
      <c r="H141" s="14" t="s">
        <v>5286</v>
      </c>
      <c r="I141" s="14" t="s">
        <v>5286</v>
      </c>
      <c r="J141" s="112">
        <v>26.456881670000001</v>
      </c>
      <c r="K141" s="113">
        <v>50.09001756</v>
      </c>
      <c r="L141" s="137" t="str">
        <f t="shared" si="11"/>
        <v>26.45688167,50.09001756</v>
      </c>
      <c r="M141" s="7" t="s">
        <v>5205</v>
      </c>
      <c r="N141" s="7">
        <v>10006240220</v>
      </c>
      <c r="O141" s="9"/>
      <c r="P141" s="32"/>
      <c r="Q141" s="29" t="s">
        <v>11</v>
      </c>
      <c r="R141" s="29" t="s">
        <v>11</v>
      </c>
      <c r="S141" s="29" t="s">
        <v>11</v>
      </c>
      <c r="T141" s="29" t="s">
        <v>11</v>
      </c>
      <c r="U141" s="29" t="s">
        <v>11</v>
      </c>
      <c r="V141" s="29" t="s">
        <v>11</v>
      </c>
      <c r="W141" s="29" t="s">
        <v>11</v>
      </c>
      <c r="X141" s="29" t="s">
        <v>11</v>
      </c>
      <c r="Y141" s="29" t="s">
        <v>11</v>
      </c>
      <c r="Z141" s="29" t="s">
        <v>11</v>
      </c>
      <c r="AA141" s="29" t="s">
        <v>11</v>
      </c>
      <c r="AB141" s="29" t="s">
        <v>11</v>
      </c>
      <c r="AC141" s="29" t="s">
        <v>11</v>
      </c>
      <c r="AD141" s="29" t="s">
        <v>11</v>
      </c>
      <c r="AE141" s="29" t="s">
        <v>11</v>
      </c>
      <c r="AF141" s="110" t="s">
        <v>11</v>
      </c>
      <c r="AG141" s="24">
        <f t="shared" si="8"/>
        <v>0</v>
      </c>
      <c r="AH141" s="24">
        <f t="shared" si="9"/>
        <v>0</v>
      </c>
      <c r="AI141" s="24">
        <f t="shared" si="10"/>
        <v>15</v>
      </c>
      <c r="AJ141" s="41" t="str" cm="1">
        <f t="array" ref="AJ141">_xlfn.IFS(
$AG141=15,"Not Started",
$AI141&lt;15,"In Progress",
$AI141=15,"Completed",
SUM(AG141:AI141)&gt;15,"Error"
)</f>
        <v>Completed</v>
      </c>
    </row>
    <row r="142" spans="1:36" ht="14.5" x14ac:dyDescent="0.35">
      <c r="A142" s="248"/>
      <c r="B142" s="14">
        <v>139</v>
      </c>
      <c r="C142" s="14" t="s">
        <v>391</v>
      </c>
      <c r="D142" s="53" t="s">
        <v>5006</v>
      </c>
      <c r="E142" s="57" t="s">
        <v>9030</v>
      </c>
      <c r="F142" s="7" t="s">
        <v>47</v>
      </c>
      <c r="G142" s="7" t="s">
        <v>48</v>
      </c>
      <c r="H142" s="14" t="s">
        <v>5286</v>
      </c>
      <c r="I142" s="14" t="s">
        <v>5286</v>
      </c>
      <c r="J142" s="112">
        <v>26.45454728</v>
      </c>
      <c r="K142" s="113">
        <v>50.073623499999997</v>
      </c>
      <c r="L142" s="137" t="str">
        <f t="shared" si="11"/>
        <v>26.45454728,50.0736235</v>
      </c>
      <c r="M142" s="7" t="s">
        <v>5206</v>
      </c>
      <c r="N142" s="7">
        <v>10006229732</v>
      </c>
      <c r="O142" s="9"/>
      <c r="P142" s="32"/>
      <c r="Q142" s="29" t="s">
        <v>11</v>
      </c>
      <c r="R142" s="29" t="s">
        <v>11</v>
      </c>
      <c r="S142" s="29" t="s">
        <v>11</v>
      </c>
      <c r="T142" s="29" t="s">
        <v>11</v>
      </c>
      <c r="U142" s="29" t="s">
        <v>11</v>
      </c>
      <c r="V142" s="29" t="s">
        <v>11</v>
      </c>
      <c r="W142" s="29" t="s">
        <v>11</v>
      </c>
      <c r="X142" s="29" t="s">
        <v>11</v>
      </c>
      <c r="Y142" s="29" t="s">
        <v>11</v>
      </c>
      <c r="Z142" s="29" t="s">
        <v>11</v>
      </c>
      <c r="AA142" s="29" t="s">
        <v>11</v>
      </c>
      <c r="AB142" s="29" t="s">
        <v>11</v>
      </c>
      <c r="AC142" s="29" t="s">
        <v>11</v>
      </c>
      <c r="AD142" s="29" t="s">
        <v>11</v>
      </c>
      <c r="AE142" s="29" t="s">
        <v>11</v>
      </c>
      <c r="AF142" s="110" t="s">
        <v>11</v>
      </c>
      <c r="AG142" s="24">
        <f t="shared" si="8"/>
        <v>0</v>
      </c>
      <c r="AH142" s="24">
        <f t="shared" si="9"/>
        <v>0</v>
      </c>
      <c r="AI142" s="24">
        <f t="shared" si="10"/>
        <v>15</v>
      </c>
      <c r="AJ142" s="41" t="str" cm="1">
        <f t="array" ref="AJ142">_xlfn.IFS(
$AG142=15,"Not Started",
$AI142&lt;15,"In Progress",
$AI142=15,"Completed",
SUM(AG142:AI142)&gt;15,"Error"
)</f>
        <v>Completed</v>
      </c>
    </row>
    <row r="143" spans="1:36" ht="14.5" x14ac:dyDescent="0.35">
      <c r="A143" s="248"/>
      <c r="B143" s="14">
        <v>140</v>
      </c>
      <c r="C143" s="7" t="s">
        <v>392</v>
      </c>
      <c r="D143" s="53" t="s">
        <v>5007</v>
      </c>
      <c r="E143" s="57" t="s">
        <v>9031</v>
      </c>
      <c r="F143" s="7" t="s">
        <v>43</v>
      </c>
      <c r="G143" s="7" t="s">
        <v>48</v>
      </c>
      <c r="H143" s="14" t="s">
        <v>5286</v>
      </c>
      <c r="I143" s="14" t="s">
        <v>5286</v>
      </c>
      <c r="J143" s="112">
        <v>26.46962718</v>
      </c>
      <c r="K143" s="113">
        <v>50.095028259999999</v>
      </c>
      <c r="L143" s="137" t="str">
        <f t="shared" si="11"/>
        <v>26.46962718,50.09502826</v>
      </c>
      <c r="M143" s="7" t="s">
        <v>5207</v>
      </c>
      <c r="N143" s="7">
        <v>10006263743</v>
      </c>
      <c r="O143" s="9"/>
      <c r="P143" s="32"/>
      <c r="Q143" s="29" t="s">
        <v>11</v>
      </c>
      <c r="R143" s="29" t="s">
        <v>11</v>
      </c>
      <c r="S143" s="29" t="s">
        <v>11</v>
      </c>
      <c r="T143" s="29" t="s">
        <v>11</v>
      </c>
      <c r="U143" s="29" t="s">
        <v>11</v>
      </c>
      <c r="V143" s="29" t="s">
        <v>11</v>
      </c>
      <c r="W143" s="29" t="s">
        <v>11</v>
      </c>
      <c r="X143" s="29" t="s">
        <v>11</v>
      </c>
      <c r="Y143" s="29" t="s">
        <v>11</v>
      </c>
      <c r="Z143" s="29" t="s">
        <v>11</v>
      </c>
      <c r="AA143" s="29" t="s">
        <v>11</v>
      </c>
      <c r="AB143" s="29" t="s">
        <v>11</v>
      </c>
      <c r="AC143" s="29" t="s">
        <v>11</v>
      </c>
      <c r="AD143" s="29" t="s">
        <v>11</v>
      </c>
      <c r="AE143" s="29" t="s">
        <v>11</v>
      </c>
      <c r="AF143" s="110" t="s">
        <v>11</v>
      </c>
      <c r="AG143" s="24">
        <f t="shared" si="8"/>
        <v>0</v>
      </c>
      <c r="AH143" s="24">
        <f t="shared" si="9"/>
        <v>0</v>
      </c>
      <c r="AI143" s="24">
        <f t="shared" si="10"/>
        <v>15</v>
      </c>
      <c r="AJ143" s="41" t="str" cm="1">
        <f t="array" ref="AJ143">_xlfn.IFS(
$AG143=15,"Not Started",
$AI143&lt;15,"In Progress",
$AI143=15,"Completed",
SUM(AG143:AI143)&gt;15,"Error"
)</f>
        <v>Completed</v>
      </c>
    </row>
    <row r="144" spans="1:36" ht="14.5" x14ac:dyDescent="0.35">
      <c r="A144" s="248"/>
      <c r="B144" s="14">
        <v>141</v>
      </c>
      <c r="C144" s="14" t="s">
        <v>393</v>
      </c>
      <c r="D144" s="53" t="s">
        <v>5008</v>
      </c>
      <c r="E144" s="57" t="s">
        <v>9032</v>
      </c>
      <c r="F144" s="7" t="s">
        <v>47</v>
      </c>
      <c r="G144" s="7" t="s">
        <v>48</v>
      </c>
      <c r="H144" s="14" t="s">
        <v>5286</v>
      </c>
      <c r="I144" s="14" t="s">
        <v>5286</v>
      </c>
      <c r="J144" s="112">
        <v>26.41791044</v>
      </c>
      <c r="K144" s="113">
        <v>50.119128760000002</v>
      </c>
      <c r="L144" s="137" t="str">
        <f t="shared" si="11"/>
        <v>26.41791044,50.11912876</v>
      </c>
      <c r="M144" s="7" t="s">
        <v>5208</v>
      </c>
      <c r="N144" s="7">
        <v>10006244701</v>
      </c>
      <c r="O144" s="9"/>
      <c r="P144" s="32"/>
      <c r="Q144" s="29" t="s">
        <v>11</v>
      </c>
      <c r="R144" s="29" t="s">
        <v>11</v>
      </c>
      <c r="S144" s="29" t="s">
        <v>11</v>
      </c>
      <c r="T144" s="29" t="s">
        <v>11</v>
      </c>
      <c r="U144" s="29" t="s">
        <v>11</v>
      </c>
      <c r="V144" s="29" t="s">
        <v>11</v>
      </c>
      <c r="W144" s="29" t="s">
        <v>11</v>
      </c>
      <c r="X144" s="29" t="s">
        <v>11</v>
      </c>
      <c r="Y144" s="29" t="s">
        <v>11</v>
      </c>
      <c r="Z144" s="29" t="s">
        <v>11</v>
      </c>
      <c r="AA144" s="29" t="s">
        <v>11</v>
      </c>
      <c r="AB144" s="29" t="s">
        <v>11</v>
      </c>
      <c r="AC144" s="29" t="s">
        <v>11</v>
      </c>
      <c r="AD144" s="29" t="s">
        <v>11</v>
      </c>
      <c r="AE144" s="29" t="s">
        <v>11</v>
      </c>
      <c r="AF144" s="110" t="s">
        <v>11</v>
      </c>
      <c r="AG144" s="24">
        <f t="shared" si="8"/>
        <v>0</v>
      </c>
      <c r="AH144" s="24">
        <f t="shared" si="9"/>
        <v>0</v>
      </c>
      <c r="AI144" s="24">
        <f t="shared" si="10"/>
        <v>15</v>
      </c>
      <c r="AJ144" s="41" t="str" cm="1">
        <f t="array" ref="AJ144">_xlfn.IFS(
$AG144=15,"Not Started",
$AI144&lt;15,"In Progress",
$AI144=15,"Completed",
SUM(AG144:AI144)&gt;15,"Error"
)</f>
        <v>Completed</v>
      </c>
    </row>
    <row r="145" spans="1:36" ht="14.5" x14ac:dyDescent="0.35">
      <c r="A145" s="248"/>
      <c r="B145" s="14">
        <v>142</v>
      </c>
      <c r="C145" s="7" t="s">
        <v>394</v>
      </c>
      <c r="D145" s="53" t="s">
        <v>5009</v>
      </c>
      <c r="E145" s="57" t="s">
        <v>9033</v>
      </c>
      <c r="F145" s="7" t="s">
        <v>47</v>
      </c>
      <c r="G145" s="7" t="s">
        <v>44</v>
      </c>
      <c r="H145" s="14" t="s">
        <v>5286</v>
      </c>
      <c r="I145" s="14" t="s">
        <v>5286</v>
      </c>
      <c r="J145" s="112">
        <v>26.459337609999999</v>
      </c>
      <c r="K145" s="113">
        <v>50.07621108</v>
      </c>
      <c r="L145" s="137" t="str">
        <f t="shared" si="11"/>
        <v>26.45933761,50.07621108</v>
      </c>
      <c r="M145" s="7" t="s">
        <v>5209</v>
      </c>
      <c r="N145" s="7">
        <v>10006181352</v>
      </c>
      <c r="O145" s="9"/>
      <c r="P145" s="32"/>
      <c r="Q145" s="29" t="s">
        <v>11</v>
      </c>
      <c r="R145" s="29" t="s">
        <v>11</v>
      </c>
      <c r="S145" s="29" t="s">
        <v>11</v>
      </c>
      <c r="T145" s="29" t="s">
        <v>11</v>
      </c>
      <c r="U145" s="29" t="s">
        <v>11</v>
      </c>
      <c r="V145" s="29" t="s">
        <v>11</v>
      </c>
      <c r="W145" s="29" t="s">
        <v>11</v>
      </c>
      <c r="X145" s="29" t="s">
        <v>11</v>
      </c>
      <c r="Y145" s="29" t="s">
        <v>11</v>
      </c>
      <c r="Z145" s="29" t="s">
        <v>11</v>
      </c>
      <c r="AA145" s="29" t="s">
        <v>11</v>
      </c>
      <c r="AB145" s="29" t="s">
        <v>11</v>
      </c>
      <c r="AC145" s="29" t="s">
        <v>11</v>
      </c>
      <c r="AD145" s="29" t="s">
        <v>11</v>
      </c>
      <c r="AE145" s="29" t="s">
        <v>11</v>
      </c>
      <c r="AF145" s="110" t="s">
        <v>11</v>
      </c>
      <c r="AG145" s="24">
        <f t="shared" si="8"/>
        <v>0</v>
      </c>
      <c r="AH145" s="24">
        <f t="shared" si="9"/>
        <v>0</v>
      </c>
      <c r="AI145" s="24">
        <f t="shared" si="10"/>
        <v>15</v>
      </c>
      <c r="AJ145" s="41" t="str" cm="1">
        <f t="array" ref="AJ145">_xlfn.IFS(
$AG145=15,"Not Started",
$AI145&lt;15,"In Progress",
$AI145=15,"Completed",
SUM(AG145:AI145)&gt;15,"Error"
)</f>
        <v>Completed</v>
      </c>
    </row>
    <row r="146" spans="1:36" ht="14.5" x14ac:dyDescent="0.35">
      <c r="A146" s="248"/>
      <c r="B146" s="14">
        <v>143</v>
      </c>
      <c r="C146" s="14" t="s">
        <v>395</v>
      </c>
      <c r="D146" s="53" t="s">
        <v>5010</v>
      </c>
      <c r="E146" s="57" t="s">
        <v>9034</v>
      </c>
      <c r="F146" s="7" t="s">
        <v>47</v>
      </c>
      <c r="G146" s="7" t="s">
        <v>48</v>
      </c>
      <c r="H146" s="14" t="s">
        <v>5286</v>
      </c>
      <c r="I146" s="14" t="s">
        <v>5286</v>
      </c>
      <c r="J146" s="112">
        <v>26.471998039999999</v>
      </c>
      <c r="K146" s="113">
        <v>50.090648350000002</v>
      </c>
      <c r="L146" s="137" t="str">
        <f t="shared" si="11"/>
        <v>26.47199804,50.09064835</v>
      </c>
      <c r="M146" s="7" t="s">
        <v>5210</v>
      </c>
      <c r="N146" s="7">
        <v>10006248854</v>
      </c>
      <c r="O146" s="9"/>
      <c r="P146" s="32"/>
      <c r="Q146" s="29" t="s">
        <v>11</v>
      </c>
      <c r="R146" s="29" t="s">
        <v>11</v>
      </c>
      <c r="S146" s="29" t="s">
        <v>11</v>
      </c>
      <c r="T146" s="29" t="s">
        <v>11</v>
      </c>
      <c r="U146" s="29" t="s">
        <v>11</v>
      </c>
      <c r="V146" s="29" t="s">
        <v>11</v>
      </c>
      <c r="W146" s="29" t="s">
        <v>11</v>
      </c>
      <c r="X146" s="29" t="s">
        <v>11</v>
      </c>
      <c r="Y146" s="29" t="s">
        <v>11</v>
      </c>
      <c r="Z146" s="29" t="s">
        <v>11</v>
      </c>
      <c r="AA146" s="29" t="s">
        <v>11</v>
      </c>
      <c r="AB146" s="29" t="s">
        <v>11</v>
      </c>
      <c r="AC146" s="29" t="s">
        <v>11</v>
      </c>
      <c r="AD146" s="29" t="s">
        <v>11</v>
      </c>
      <c r="AE146" s="29" t="s">
        <v>11</v>
      </c>
      <c r="AF146" s="110" t="s">
        <v>11</v>
      </c>
      <c r="AG146" s="24">
        <f t="shared" si="8"/>
        <v>0</v>
      </c>
      <c r="AH146" s="24">
        <f t="shared" si="9"/>
        <v>0</v>
      </c>
      <c r="AI146" s="24">
        <f t="shared" si="10"/>
        <v>15</v>
      </c>
      <c r="AJ146" s="41" t="str" cm="1">
        <f t="array" ref="AJ146">_xlfn.IFS(
$AG146=15,"Not Started",
$AI146&lt;15,"In Progress",
$AI146=15,"Completed",
SUM(AG146:AI146)&gt;15,"Error"
)</f>
        <v>Completed</v>
      </c>
    </row>
    <row r="147" spans="1:36" ht="14.5" x14ac:dyDescent="0.35">
      <c r="A147" s="248"/>
      <c r="B147" s="14">
        <v>144</v>
      </c>
      <c r="C147" s="7" t="s">
        <v>396</v>
      </c>
      <c r="D147" s="53" t="s">
        <v>5011</v>
      </c>
      <c r="E147" s="57" t="s">
        <v>9035</v>
      </c>
      <c r="F147" s="7" t="s">
        <v>47</v>
      </c>
      <c r="G147" s="7" t="s">
        <v>48</v>
      </c>
      <c r="H147" s="14" t="s">
        <v>5286</v>
      </c>
      <c r="I147" s="14" t="s">
        <v>5286</v>
      </c>
      <c r="J147" s="112">
        <v>26.45021109</v>
      </c>
      <c r="K147" s="113">
        <v>50.113026759999997</v>
      </c>
      <c r="L147" s="137" t="str">
        <f t="shared" si="11"/>
        <v>26.45021109,50.11302676</v>
      </c>
      <c r="M147" s="7" t="s">
        <v>5211</v>
      </c>
      <c r="N147" s="7">
        <v>10006241307</v>
      </c>
      <c r="O147" s="9"/>
      <c r="P147" s="32"/>
      <c r="Q147" s="29" t="s">
        <v>11</v>
      </c>
      <c r="R147" s="29" t="s">
        <v>11</v>
      </c>
      <c r="S147" s="29" t="s">
        <v>11</v>
      </c>
      <c r="T147" s="29" t="s">
        <v>11</v>
      </c>
      <c r="U147" s="29" t="s">
        <v>11</v>
      </c>
      <c r="V147" s="29" t="s">
        <v>11</v>
      </c>
      <c r="W147" s="29" t="s">
        <v>11</v>
      </c>
      <c r="X147" s="29" t="s">
        <v>11</v>
      </c>
      <c r="Y147" s="29" t="s">
        <v>11</v>
      </c>
      <c r="Z147" s="29" t="s">
        <v>11</v>
      </c>
      <c r="AA147" s="29" t="s">
        <v>11</v>
      </c>
      <c r="AB147" s="29" t="s">
        <v>11</v>
      </c>
      <c r="AC147" s="29" t="s">
        <v>11</v>
      </c>
      <c r="AD147" s="29" t="s">
        <v>11</v>
      </c>
      <c r="AE147" s="29" t="s">
        <v>11</v>
      </c>
      <c r="AF147" s="110" t="s">
        <v>11</v>
      </c>
      <c r="AG147" s="24">
        <f t="shared" si="8"/>
        <v>0</v>
      </c>
      <c r="AH147" s="24">
        <f t="shared" si="9"/>
        <v>0</v>
      </c>
      <c r="AI147" s="24">
        <f t="shared" si="10"/>
        <v>15</v>
      </c>
      <c r="AJ147" s="41" t="str" cm="1">
        <f t="array" ref="AJ147">_xlfn.IFS(
$AG147=15,"Not Started",
$AI147&lt;15,"In Progress",
$AI147=15,"Completed",
SUM(AG147:AI147)&gt;15,"Error"
)</f>
        <v>Completed</v>
      </c>
    </row>
    <row r="148" spans="1:36" ht="14.5" x14ac:dyDescent="0.35">
      <c r="A148" s="248"/>
      <c r="B148" s="14">
        <v>145</v>
      </c>
      <c r="C148" s="14" t="s">
        <v>397</v>
      </c>
      <c r="D148" s="53" t="s">
        <v>5012</v>
      </c>
      <c r="E148" s="57" t="s">
        <v>9036</v>
      </c>
      <c r="F148" s="7" t="s">
        <v>47</v>
      </c>
      <c r="G148" s="7" t="s">
        <v>48</v>
      </c>
      <c r="H148" s="14" t="s">
        <v>5286</v>
      </c>
      <c r="I148" s="14" t="s">
        <v>5286</v>
      </c>
      <c r="J148" s="112">
        <v>26.449953520000001</v>
      </c>
      <c r="K148" s="113">
        <v>50.090492750000003</v>
      </c>
      <c r="L148" s="137" t="str">
        <f t="shared" si="11"/>
        <v>26.44995352,50.09049275</v>
      </c>
      <c r="M148" s="7" t="s">
        <v>5212</v>
      </c>
      <c r="N148" s="7">
        <v>10006239793</v>
      </c>
      <c r="O148" s="9"/>
      <c r="P148" s="32"/>
      <c r="Q148" s="29" t="s">
        <v>11</v>
      </c>
      <c r="R148" s="29" t="s">
        <v>11</v>
      </c>
      <c r="S148" s="29" t="s">
        <v>11</v>
      </c>
      <c r="T148" s="29" t="s">
        <v>11</v>
      </c>
      <c r="U148" s="29" t="s">
        <v>11</v>
      </c>
      <c r="V148" s="29" t="s">
        <v>11</v>
      </c>
      <c r="W148" s="29" t="s">
        <v>11</v>
      </c>
      <c r="X148" s="29" t="s">
        <v>11</v>
      </c>
      <c r="Y148" s="29" t="s">
        <v>11</v>
      </c>
      <c r="Z148" s="29" t="s">
        <v>11</v>
      </c>
      <c r="AA148" s="29" t="s">
        <v>11</v>
      </c>
      <c r="AB148" s="29" t="s">
        <v>11</v>
      </c>
      <c r="AC148" s="29" t="s">
        <v>11</v>
      </c>
      <c r="AD148" s="29" t="s">
        <v>11</v>
      </c>
      <c r="AE148" s="29" t="s">
        <v>11</v>
      </c>
      <c r="AF148" s="110" t="s">
        <v>11</v>
      </c>
      <c r="AG148" s="24">
        <f t="shared" si="8"/>
        <v>0</v>
      </c>
      <c r="AH148" s="24">
        <f t="shared" si="9"/>
        <v>0</v>
      </c>
      <c r="AI148" s="24">
        <f t="shared" si="10"/>
        <v>15</v>
      </c>
      <c r="AJ148" s="41" t="str" cm="1">
        <f t="array" ref="AJ148">_xlfn.IFS(
$AG148=15,"Not Started",
$AI148&lt;15,"In Progress",
$AI148=15,"Completed",
SUM(AG148:AI148)&gt;15,"Error"
)</f>
        <v>Completed</v>
      </c>
    </row>
    <row r="149" spans="1:36" ht="14.5" x14ac:dyDescent="0.35">
      <c r="A149" s="248"/>
      <c r="B149" s="14">
        <v>146</v>
      </c>
      <c r="C149" s="7" t="s">
        <v>398</v>
      </c>
      <c r="D149" s="53" t="s">
        <v>5013</v>
      </c>
      <c r="E149" s="57" t="s">
        <v>9037</v>
      </c>
      <c r="F149" s="7" t="s">
        <v>51</v>
      </c>
      <c r="G149" s="7" t="s">
        <v>48</v>
      </c>
      <c r="H149" s="14" t="s">
        <v>5286</v>
      </c>
      <c r="I149" s="14" t="s">
        <v>5286</v>
      </c>
      <c r="J149" s="112">
        <v>26.45602375</v>
      </c>
      <c r="K149" s="113">
        <v>50.098620169999997</v>
      </c>
      <c r="L149" s="137" t="str">
        <f t="shared" si="11"/>
        <v>26.45602375,50.09862017</v>
      </c>
      <c r="M149" s="7" t="s">
        <v>5213</v>
      </c>
      <c r="N149" s="7">
        <v>10006244784</v>
      </c>
      <c r="O149" s="9"/>
      <c r="P149" s="32"/>
      <c r="Q149" s="29" t="s">
        <v>11</v>
      </c>
      <c r="R149" s="29" t="s">
        <v>11</v>
      </c>
      <c r="S149" s="29" t="s">
        <v>11</v>
      </c>
      <c r="T149" s="29" t="s">
        <v>11</v>
      </c>
      <c r="U149" s="29" t="s">
        <v>11</v>
      </c>
      <c r="V149" s="29" t="s">
        <v>11</v>
      </c>
      <c r="W149" s="29" t="s">
        <v>11</v>
      </c>
      <c r="X149" s="29" t="s">
        <v>11</v>
      </c>
      <c r="Y149" s="29" t="s">
        <v>11</v>
      </c>
      <c r="Z149" s="29" t="s">
        <v>11</v>
      </c>
      <c r="AA149" s="29" t="s">
        <v>11</v>
      </c>
      <c r="AB149" s="29" t="s">
        <v>11</v>
      </c>
      <c r="AC149" s="29" t="s">
        <v>11</v>
      </c>
      <c r="AD149" s="29" t="s">
        <v>11</v>
      </c>
      <c r="AE149" s="29" t="s">
        <v>11</v>
      </c>
      <c r="AF149" s="110" t="s">
        <v>11</v>
      </c>
      <c r="AG149" s="24">
        <f t="shared" si="8"/>
        <v>0</v>
      </c>
      <c r="AH149" s="24">
        <f t="shared" si="9"/>
        <v>0</v>
      </c>
      <c r="AI149" s="24">
        <f t="shared" si="10"/>
        <v>15</v>
      </c>
      <c r="AJ149" s="41" t="str" cm="1">
        <f t="array" ref="AJ149">_xlfn.IFS(
$AG149=15,"Not Started",
$AI149&lt;15,"In Progress",
$AI149=15,"Completed",
SUM(AG149:AI149)&gt;15,"Error"
)</f>
        <v>Completed</v>
      </c>
    </row>
    <row r="150" spans="1:36" ht="14.5" x14ac:dyDescent="0.35">
      <c r="A150" s="248"/>
      <c r="B150" s="14">
        <v>147</v>
      </c>
      <c r="C150" s="14" t="s">
        <v>399</v>
      </c>
      <c r="D150" s="53" t="s">
        <v>5014</v>
      </c>
      <c r="E150" s="57" t="s">
        <v>9038</v>
      </c>
      <c r="F150" s="7" t="s">
        <v>43</v>
      </c>
      <c r="G150" s="7" t="s">
        <v>48</v>
      </c>
      <c r="H150" s="14" t="s">
        <v>5286</v>
      </c>
      <c r="I150" s="14" t="s">
        <v>5286</v>
      </c>
      <c r="J150" s="112">
        <v>26.470369770000001</v>
      </c>
      <c r="K150" s="113">
        <v>50.007762649999997</v>
      </c>
      <c r="L150" s="137" t="str">
        <f t="shared" si="11"/>
        <v>26.47036977,50.00776265</v>
      </c>
      <c r="M150" s="7" t="s">
        <v>5214</v>
      </c>
      <c r="N150" s="7">
        <v>10006248335</v>
      </c>
      <c r="O150" s="9"/>
      <c r="P150" s="32"/>
      <c r="Q150" s="29" t="s">
        <v>11</v>
      </c>
      <c r="R150" s="29" t="s">
        <v>11</v>
      </c>
      <c r="S150" s="29" t="s">
        <v>11</v>
      </c>
      <c r="T150" s="29" t="s">
        <v>11</v>
      </c>
      <c r="U150" s="29" t="s">
        <v>11</v>
      </c>
      <c r="V150" s="29" t="s">
        <v>11</v>
      </c>
      <c r="W150" s="29" t="s">
        <v>11</v>
      </c>
      <c r="X150" s="29" t="s">
        <v>11</v>
      </c>
      <c r="Y150" s="29" t="s">
        <v>11</v>
      </c>
      <c r="Z150" s="29" t="s">
        <v>11</v>
      </c>
      <c r="AA150" s="29" t="s">
        <v>11</v>
      </c>
      <c r="AB150" s="29" t="s">
        <v>11</v>
      </c>
      <c r="AC150" s="29" t="s">
        <v>11</v>
      </c>
      <c r="AD150" s="29" t="s">
        <v>11</v>
      </c>
      <c r="AE150" s="29" t="s">
        <v>11</v>
      </c>
      <c r="AF150" s="110" t="s">
        <v>11</v>
      </c>
      <c r="AG150" s="24">
        <f t="shared" si="8"/>
        <v>0</v>
      </c>
      <c r="AH150" s="24">
        <f t="shared" si="9"/>
        <v>0</v>
      </c>
      <c r="AI150" s="24">
        <f t="shared" si="10"/>
        <v>15</v>
      </c>
      <c r="AJ150" s="41" t="str" cm="1">
        <f t="array" ref="AJ150">_xlfn.IFS(
$AG150=15,"Not Started",
$AI150&lt;15,"In Progress",
$AI150=15,"Completed",
SUM(AG150:AI150)&gt;15,"Error"
)</f>
        <v>Completed</v>
      </c>
    </row>
    <row r="151" spans="1:36" ht="14.5" x14ac:dyDescent="0.35">
      <c r="A151" s="248"/>
      <c r="B151" s="14">
        <v>148</v>
      </c>
      <c r="C151" s="7" t="s">
        <v>400</v>
      </c>
      <c r="D151" s="53" t="s">
        <v>5015</v>
      </c>
      <c r="E151" s="57" t="s">
        <v>9039</v>
      </c>
      <c r="F151" s="7" t="s">
        <v>43</v>
      </c>
      <c r="G151" s="7" t="s">
        <v>48</v>
      </c>
      <c r="H151" s="14" t="s">
        <v>5286</v>
      </c>
      <c r="I151" s="14" t="s">
        <v>5286</v>
      </c>
      <c r="J151" s="112">
        <v>26.472177370000001</v>
      </c>
      <c r="K151" s="113">
        <v>50.006784740000001</v>
      </c>
      <c r="L151" s="137" t="str">
        <f t="shared" si="11"/>
        <v>26.47217737,50.00678474</v>
      </c>
      <c r="M151" s="7" t="s">
        <v>5215</v>
      </c>
      <c r="N151" s="7">
        <v>10006246690</v>
      </c>
      <c r="O151" s="9"/>
      <c r="P151" s="32"/>
      <c r="Q151" s="29" t="s">
        <v>11</v>
      </c>
      <c r="R151" s="29" t="s">
        <v>11</v>
      </c>
      <c r="S151" s="29" t="s">
        <v>11</v>
      </c>
      <c r="T151" s="29" t="s">
        <v>11</v>
      </c>
      <c r="U151" s="29" t="s">
        <v>11</v>
      </c>
      <c r="V151" s="29" t="s">
        <v>11</v>
      </c>
      <c r="W151" s="29" t="s">
        <v>11</v>
      </c>
      <c r="X151" s="29" t="s">
        <v>11</v>
      </c>
      <c r="Y151" s="29" t="s">
        <v>11</v>
      </c>
      <c r="Z151" s="29" t="s">
        <v>11</v>
      </c>
      <c r="AA151" s="29" t="s">
        <v>11</v>
      </c>
      <c r="AB151" s="29" t="s">
        <v>11</v>
      </c>
      <c r="AC151" s="29" t="s">
        <v>11</v>
      </c>
      <c r="AD151" s="29" t="s">
        <v>11</v>
      </c>
      <c r="AE151" s="29" t="s">
        <v>11</v>
      </c>
      <c r="AF151" s="110" t="s">
        <v>11</v>
      </c>
      <c r="AG151" s="24">
        <f t="shared" si="8"/>
        <v>0</v>
      </c>
      <c r="AH151" s="24">
        <f t="shared" si="9"/>
        <v>0</v>
      </c>
      <c r="AI151" s="24">
        <f t="shared" si="10"/>
        <v>15</v>
      </c>
      <c r="AJ151" s="41" t="str" cm="1">
        <f t="array" ref="AJ151">_xlfn.IFS(
$AG151=15,"Not Started",
$AI151&lt;15,"In Progress",
$AI151=15,"Completed",
SUM(AG151:AI151)&gt;15,"Error"
)</f>
        <v>Completed</v>
      </c>
    </row>
    <row r="152" spans="1:36" ht="14.5" x14ac:dyDescent="0.35">
      <c r="A152" s="248"/>
      <c r="B152" s="14">
        <v>149</v>
      </c>
      <c r="C152" s="14" t="s">
        <v>401</v>
      </c>
      <c r="D152" s="53" t="s">
        <v>5016</v>
      </c>
      <c r="E152" s="57" t="s">
        <v>9040</v>
      </c>
      <c r="F152" s="7" t="s">
        <v>51</v>
      </c>
      <c r="G152" s="7" t="s">
        <v>44</v>
      </c>
      <c r="H152" s="14" t="s">
        <v>5286</v>
      </c>
      <c r="I152" s="14" t="s">
        <v>5286</v>
      </c>
      <c r="J152" s="112">
        <v>26.471640879999999</v>
      </c>
      <c r="K152" s="113">
        <v>50.007348899999997</v>
      </c>
      <c r="L152" s="137" t="str">
        <f t="shared" si="11"/>
        <v>26.47164088,50.0073489</v>
      </c>
      <c r="M152" s="7" t="s">
        <v>5216</v>
      </c>
      <c r="N152" s="7">
        <v>10006272448</v>
      </c>
      <c r="O152" s="9"/>
      <c r="P152" s="32"/>
      <c r="Q152" s="29" t="s">
        <v>11</v>
      </c>
      <c r="R152" s="29" t="s">
        <v>11</v>
      </c>
      <c r="S152" s="29" t="s">
        <v>11</v>
      </c>
      <c r="T152" s="29" t="s">
        <v>11</v>
      </c>
      <c r="U152" s="29" t="s">
        <v>11</v>
      </c>
      <c r="V152" s="29" t="s">
        <v>11</v>
      </c>
      <c r="W152" s="29" t="s">
        <v>11</v>
      </c>
      <c r="X152" s="29" t="s">
        <v>11</v>
      </c>
      <c r="Y152" s="29" t="s">
        <v>11</v>
      </c>
      <c r="Z152" s="29" t="s">
        <v>11</v>
      </c>
      <c r="AA152" s="29" t="s">
        <v>11</v>
      </c>
      <c r="AB152" s="29" t="s">
        <v>11</v>
      </c>
      <c r="AC152" s="29" t="s">
        <v>11</v>
      </c>
      <c r="AD152" s="29" t="s">
        <v>11</v>
      </c>
      <c r="AE152" s="29" t="s">
        <v>11</v>
      </c>
      <c r="AF152" s="110" t="s">
        <v>11</v>
      </c>
      <c r="AG152" s="24">
        <f t="shared" si="8"/>
        <v>0</v>
      </c>
      <c r="AH152" s="24">
        <f t="shared" si="9"/>
        <v>0</v>
      </c>
      <c r="AI152" s="24">
        <f t="shared" si="10"/>
        <v>15</v>
      </c>
      <c r="AJ152" s="41" t="str" cm="1">
        <f t="array" ref="AJ152">_xlfn.IFS(
$AG152=15,"Not Started",
$AI152&lt;15,"In Progress",
$AI152=15,"Completed",
SUM(AG152:AI152)&gt;15,"Error"
)</f>
        <v>Completed</v>
      </c>
    </row>
    <row r="153" spans="1:36" ht="14.5" x14ac:dyDescent="0.35">
      <c r="A153" s="248"/>
      <c r="B153" s="14">
        <v>150</v>
      </c>
      <c r="C153" s="7" t="s">
        <v>402</v>
      </c>
      <c r="D153" s="53" t="s">
        <v>5017</v>
      </c>
      <c r="E153" s="57" t="s">
        <v>9041</v>
      </c>
      <c r="F153" s="7" t="s">
        <v>51</v>
      </c>
      <c r="G153" s="7" t="s">
        <v>48</v>
      </c>
      <c r="H153" s="14" t="s">
        <v>5286</v>
      </c>
      <c r="I153" s="14" t="s">
        <v>5286</v>
      </c>
      <c r="J153" s="112">
        <v>26.477492259999998</v>
      </c>
      <c r="K153" s="113">
        <v>50.054218540000001</v>
      </c>
      <c r="L153" s="137" t="str">
        <f t="shared" si="11"/>
        <v>26.47749226,50.05421854</v>
      </c>
      <c r="M153" s="7" t="s">
        <v>5217</v>
      </c>
      <c r="N153" s="7">
        <v>10006228314</v>
      </c>
      <c r="O153" s="9"/>
      <c r="P153" s="32"/>
      <c r="Q153" s="29" t="s">
        <v>11</v>
      </c>
      <c r="R153" s="29" t="s">
        <v>11</v>
      </c>
      <c r="S153" s="29" t="s">
        <v>11</v>
      </c>
      <c r="T153" s="29" t="s">
        <v>11</v>
      </c>
      <c r="U153" s="29" t="s">
        <v>11</v>
      </c>
      <c r="V153" s="29" t="s">
        <v>11</v>
      </c>
      <c r="W153" s="29" t="s">
        <v>11</v>
      </c>
      <c r="X153" s="29" t="s">
        <v>11</v>
      </c>
      <c r="Y153" s="29" t="s">
        <v>11</v>
      </c>
      <c r="Z153" s="29" t="s">
        <v>11</v>
      </c>
      <c r="AA153" s="29" t="s">
        <v>11</v>
      </c>
      <c r="AB153" s="29" t="s">
        <v>11</v>
      </c>
      <c r="AC153" s="29" t="s">
        <v>11</v>
      </c>
      <c r="AD153" s="29" t="s">
        <v>11</v>
      </c>
      <c r="AE153" s="29" t="s">
        <v>11</v>
      </c>
      <c r="AF153" s="110" t="s">
        <v>11</v>
      </c>
      <c r="AG153" s="24">
        <f t="shared" si="8"/>
        <v>0</v>
      </c>
      <c r="AH153" s="24">
        <f t="shared" si="9"/>
        <v>0</v>
      </c>
      <c r="AI153" s="24">
        <f t="shared" si="10"/>
        <v>15</v>
      </c>
      <c r="AJ153" s="41" t="str" cm="1">
        <f t="array" ref="AJ153">_xlfn.IFS(
$AG153=15,"Not Started",
$AI153&lt;15,"In Progress",
$AI153=15,"Completed",
SUM(AG153:AI153)&gt;15,"Error"
)</f>
        <v>Completed</v>
      </c>
    </row>
    <row r="154" spans="1:36" ht="26" x14ac:dyDescent="0.35">
      <c r="A154" s="248"/>
      <c r="B154" s="14">
        <v>151</v>
      </c>
      <c r="C154" s="14" t="s">
        <v>403</v>
      </c>
      <c r="D154" s="53" t="s">
        <v>5018</v>
      </c>
      <c r="E154" s="80" t="s">
        <v>10343</v>
      </c>
      <c r="F154" s="7" t="s">
        <v>47</v>
      </c>
      <c r="G154" s="7" t="s">
        <v>44</v>
      </c>
      <c r="H154" s="14" t="s">
        <v>5286</v>
      </c>
      <c r="I154" s="14" t="s">
        <v>5286</v>
      </c>
      <c r="J154" s="112">
        <v>26.493537419999999</v>
      </c>
      <c r="K154" s="113">
        <v>50.032556739999997</v>
      </c>
      <c r="L154" s="137" t="str">
        <f t="shared" si="11"/>
        <v>26.49353742,50.03255674</v>
      </c>
      <c r="M154" s="7" t="s">
        <v>5218</v>
      </c>
      <c r="N154" s="7">
        <v>10006241531</v>
      </c>
      <c r="O154" s="9"/>
      <c r="P154" s="32"/>
      <c r="Q154" s="29" t="s">
        <v>11</v>
      </c>
      <c r="R154" s="29" t="s">
        <v>11</v>
      </c>
      <c r="S154" s="29" t="s">
        <v>11</v>
      </c>
      <c r="T154" s="29" t="s">
        <v>11</v>
      </c>
      <c r="U154" s="29" t="s">
        <v>11</v>
      </c>
      <c r="V154" s="29" t="s">
        <v>11</v>
      </c>
      <c r="W154" s="29" t="s">
        <v>11</v>
      </c>
      <c r="X154" s="29" t="s">
        <v>11</v>
      </c>
      <c r="Y154" s="29" t="s">
        <v>11</v>
      </c>
      <c r="Z154" s="29" t="s">
        <v>11</v>
      </c>
      <c r="AA154" s="29" t="s">
        <v>11</v>
      </c>
      <c r="AB154" s="29" t="s">
        <v>11</v>
      </c>
      <c r="AC154" s="29" t="s">
        <v>11</v>
      </c>
      <c r="AD154" s="29" t="s">
        <v>11</v>
      </c>
      <c r="AE154" s="29" t="s">
        <v>11</v>
      </c>
      <c r="AF154" s="110" t="s">
        <v>11</v>
      </c>
      <c r="AG154" s="24">
        <f t="shared" si="8"/>
        <v>0</v>
      </c>
      <c r="AH154" s="24">
        <f t="shared" si="9"/>
        <v>0</v>
      </c>
      <c r="AI154" s="24">
        <f t="shared" si="10"/>
        <v>15</v>
      </c>
      <c r="AJ154" s="41" t="str" cm="1">
        <f t="array" ref="AJ154">_xlfn.IFS(
$AG154=15,"Not Started",
$AI154&lt;15,"In Progress",
$AI154=15,"Completed",
SUM(AG154:AI154)&gt;15,"Error"
)</f>
        <v>Completed</v>
      </c>
    </row>
    <row r="155" spans="1:36" ht="14.5" x14ac:dyDescent="0.35">
      <c r="A155" s="248"/>
      <c r="B155" s="14">
        <v>152</v>
      </c>
      <c r="C155" s="7" t="s">
        <v>404</v>
      </c>
      <c r="D155" s="53" t="s">
        <v>5019</v>
      </c>
      <c r="E155" s="57" t="s">
        <v>9042</v>
      </c>
      <c r="F155" s="7" t="s">
        <v>43</v>
      </c>
      <c r="G155" s="7" t="s">
        <v>48</v>
      </c>
      <c r="H155" s="14" t="s">
        <v>5286</v>
      </c>
      <c r="I155" s="14" t="s">
        <v>5286</v>
      </c>
      <c r="J155" s="112">
        <v>26.539290250000001</v>
      </c>
      <c r="K155" s="113">
        <v>50.025917929999999</v>
      </c>
      <c r="L155" s="137" t="str">
        <f t="shared" si="11"/>
        <v>26.53929025,50.02591793</v>
      </c>
      <c r="M155" s="7" t="s">
        <v>5219</v>
      </c>
      <c r="N155" s="7">
        <v>10006253424</v>
      </c>
      <c r="O155" s="9"/>
      <c r="P155" s="32"/>
      <c r="Q155" s="29" t="s">
        <v>11</v>
      </c>
      <c r="R155" s="29" t="s">
        <v>11</v>
      </c>
      <c r="S155" s="29" t="s">
        <v>11</v>
      </c>
      <c r="T155" s="29" t="s">
        <v>11</v>
      </c>
      <c r="U155" s="29" t="s">
        <v>11</v>
      </c>
      <c r="V155" s="29" t="s">
        <v>11</v>
      </c>
      <c r="W155" s="29" t="s">
        <v>11</v>
      </c>
      <c r="X155" s="29" t="s">
        <v>11</v>
      </c>
      <c r="Y155" s="29" t="s">
        <v>11</v>
      </c>
      <c r="Z155" s="29" t="s">
        <v>11</v>
      </c>
      <c r="AA155" s="29" t="s">
        <v>11</v>
      </c>
      <c r="AB155" s="29" t="s">
        <v>11</v>
      </c>
      <c r="AC155" s="29" t="s">
        <v>11</v>
      </c>
      <c r="AD155" s="29" t="s">
        <v>11</v>
      </c>
      <c r="AE155" s="29" t="s">
        <v>11</v>
      </c>
      <c r="AF155" s="110" t="s">
        <v>11</v>
      </c>
      <c r="AG155" s="24">
        <f t="shared" si="8"/>
        <v>0</v>
      </c>
      <c r="AH155" s="24">
        <f t="shared" si="9"/>
        <v>0</v>
      </c>
      <c r="AI155" s="24">
        <f t="shared" si="10"/>
        <v>15</v>
      </c>
      <c r="AJ155" s="41" t="str" cm="1">
        <f t="array" ref="AJ155">_xlfn.IFS(
$AG155=15,"Not Started",
$AI155&lt;15,"In Progress",
$AI155=15,"Completed",
SUM(AG155:AI155)&gt;15,"Error"
)</f>
        <v>Completed</v>
      </c>
    </row>
    <row r="156" spans="1:36" ht="26" x14ac:dyDescent="0.35">
      <c r="A156" s="248"/>
      <c r="B156" s="14">
        <v>153</v>
      </c>
      <c r="C156" s="14" t="s">
        <v>405</v>
      </c>
      <c r="D156" s="53" t="s">
        <v>5020</v>
      </c>
      <c r="E156" s="80" t="s">
        <v>10345</v>
      </c>
      <c r="F156" s="7" t="s">
        <v>43</v>
      </c>
      <c r="G156" s="7" t="s">
        <v>48</v>
      </c>
      <c r="H156" s="14" t="s">
        <v>5286</v>
      </c>
      <c r="I156" s="14" t="s">
        <v>5286</v>
      </c>
      <c r="J156" s="112">
        <v>26.4938641</v>
      </c>
      <c r="K156" s="113">
        <v>50.033942070000002</v>
      </c>
      <c r="L156" s="137" t="str">
        <f t="shared" si="11"/>
        <v>26.4938641,50.03394207</v>
      </c>
      <c r="M156" s="7" t="s">
        <v>5220</v>
      </c>
      <c r="N156" s="7">
        <v>10006231276</v>
      </c>
      <c r="O156" s="9"/>
      <c r="P156" s="32"/>
      <c r="Q156" s="29" t="s">
        <v>11</v>
      </c>
      <c r="R156" s="29" t="s">
        <v>11</v>
      </c>
      <c r="S156" s="29" t="s">
        <v>11</v>
      </c>
      <c r="T156" s="29" t="s">
        <v>11</v>
      </c>
      <c r="U156" s="29" t="s">
        <v>11</v>
      </c>
      <c r="V156" s="29" t="s">
        <v>11</v>
      </c>
      <c r="W156" s="29" t="s">
        <v>11</v>
      </c>
      <c r="X156" s="29" t="s">
        <v>11</v>
      </c>
      <c r="Y156" s="29" t="s">
        <v>11</v>
      </c>
      <c r="Z156" s="29" t="s">
        <v>11</v>
      </c>
      <c r="AA156" s="29" t="s">
        <v>11</v>
      </c>
      <c r="AB156" s="29" t="s">
        <v>11</v>
      </c>
      <c r="AC156" s="29" t="s">
        <v>11</v>
      </c>
      <c r="AD156" s="29" t="s">
        <v>11</v>
      </c>
      <c r="AE156" s="29" t="s">
        <v>11</v>
      </c>
      <c r="AF156" s="110" t="s">
        <v>11</v>
      </c>
      <c r="AG156" s="24">
        <f t="shared" si="8"/>
        <v>0</v>
      </c>
      <c r="AH156" s="24">
        <f t="shared" si="9"/>
        <v>0</v>
      </c>
      <c r="AI156" s="24">
        <f t="shared" si="10"/>
        <v>15</v>
      </c>
      <c r="AJ156" s="41" t="str" cm="1">
        <f t="array" ref="AJ156">_xlfn.IFS(
$AG156=15,"Not Started",
$AI156&lt;15,"In Progress",
$AI156=15,"Completed",
SUM(AG156:AI156)&gt;15,"Error"
)</f>
        <v>Completed</v>
      </c>
    </row>
    <row r="157" spans="1:36" ht="26" x14ac:dyDescent="0.35">
      <c r="A157" s="248"/>
      <c r="B157" s="14">
        <v>154</v>
      </c>
      <c r="C157" s="7" t="s">
        <v>406</v>
      </c>
      <c r="D157" s="53" t="s">
        <v>5021</v>
      </c>
      <c r="E157" s="80" t="s">
        <v>10344</v>
      </c>
      <c r="F157" s="7" t="s">
        <v>43</v>
      </c>
      <c r="G157" s="7" t="s">
        <v>44</v>
      </c>
      <c r="H157" s="14" t="s">
        <v>5286</v>
      </c>
      <c r="I157" s="14" t="s">
        <v>5286</v>
      </c>
      <c r="J157" s="112">
        <v>26.48202375</v>
      </c>
      <c r="K157" s="113">
        <v>50.03931249</v>
      </c>
      <c r="L157" s="137" t="str">
        <f t="shared" si="11"/>
        <v>26.48202375,50.03931249</v>
      </c>
      <c r="M157" s="7" t="s">
        <v>5221</v>
      </c>
      <c r="N157" s="7">
        <v>10006272072</v>
      </c>
      <c r="O157" s="9"/>
      <c r="P157" s="32"/>
      <c r="Q157" s="29" t="s">
        <v>11</v>
      </c>
      <c r="R157" s="29" t="s">
        <v>11</v>
      </c>
      <c r="S157" s="29" t="s">
        <v>11</v>
      </c>
      <c r="T157" s="29" t="s">
        <v>11</v>
      </c>
      <c r="U157" s="29" t="s">
        <v>11</v>
      </c>
      <c r="V157" s="29" t="s">
        <v>11</v>
      </c>
      <c r="W157" s="29" t="s">
        <v>11</v>
      </c>
      <c r="X157" s="29" t="s">
        <v>11</v>
      </c>
      <c r="Y157" s="29" t="s">
        <v>11</v>
      </c>
      <c r="Z157" s="29" t="s">
        <v>11</v>
      </c>
      <c r="AA157" s="29" t="s">
        <v>11</v>
      </c>
      <c r="AB157" s="29" t="s">
        <v>11</v>
      </c>
      <c r="AC157" s="29" t="s">
        <v>11</v>
      </c>
      <c r="AD157" s="29" t="s">
        <v>11</v>
      </c>
      <c r="AE157" s="29" t="s">
        <v>11</v>
      </c>
      <c r="AF157" s="110" t="s">
        <v>11</v>
      </c>
      <c r="AG157" s="24">
        <f t="shared" si="8"/>
        <v>0</v>
      </c>
      <c r="AH157" s="24">
        <f t="shared" si="9"/>
        <v>0</v>
      </c>
      <c r="AI157" s="24">
        <f t="shared" si="10"/>
        <v>15</v>
      </c>
      <c r="AJ157" s="41" t="str" cm="1">
        <f t="array" ref="AJ157">_xlfn.IFS(
$AG157=15,"Not Started",
$AI157&lt;15,"In Progress",
$AI157=15,"Completed",
SUM(AG157:AI157)&gt;15,"Error"
)</f>
        <v>Completed</v>
      </c>
    </row>
    <row r="158" spans="1:36" ht="26" x14ac:dyDescent="0.35">
      <c r="A158" s="248"/>
      <c r="B158" s="14">
        <v>155</v>
      </c>
      <c r="C158" s="14" t="s">
        <v>407</v>
      </c>
      <c r="D158" s="53" t="s">
        <v>5022</v>
      </c>
      <c r="E158" s="80" t="s">
        <v>10346</v>
      </c>
      <c r="F158" s="7" t="s">
        <v>47</v>
      </c>
      <c r="G158" s="7" t="s">
        <v>48</v>
      </c>
      <c r="H158" s="14" t="s">
        <v>5286</v>
      </c>
      <c r="I158" s="14" t="s">
        <v>5286</v>
      </c>
      <c r="J158" s="112">
        <v>26.46607474</v>
      </c>
      <c r="K158" s="113">
        <v>50.031557909999997</v>
      </c>
      <c r="L158" s="137" t="str">
        <f t="shared" si="11"/>
        <v>26.46607474,50.03155791</v>
      </c>
      <c r="M158" s="7" t="s">
        <v>5222</v>
      </c>
      <c r="N158" s="7">
        <v>10006263000</v>
      </c>
      <c r="O158" s="9"/>
      <c r="P158" s="32"/>
      <c r="Q158" s="29" t="s">
        <v>11</v>
      </c>
      <c r="R158" s="29" t="s">
        <v>11</v>
      </c>
      <c r="S158" s="29" t="s">
        <v>11</v>
      </c>
      <c r="T158" s="29" t="s">
        <v>11</v>
      </c>
      <c r="U158" s="29" t="s">
        <v>11</v>
      </c>
      <c r="V158" s="29" t="s">
        <v>11</v>
      </c>
      <c r="W158" s="29" t="s">
        <v>11</v>
      </c>
      <c r="X158" s="29" t="s">
        <v>11</v>
      </c>
      <c r="Y158" s="29" t="s">
        <v>11</v>
      </c>
      <c r="Z158" s="29" t="s">
        <v>11</v>
      </c>
      <c r="AA158" s="29" t="s">
        <v>11</v>
      </c>
      <c r="AB158" s="29" t="s">
        <v>11</v>
      </c>
      <c r="AC158" s="29" t="s">
        <v>11</v>
      </c>
      <c r="AD158" s="29" t="s">
        <v>11</v>
      </c>
      <c r="AE158" s="29" t="s">
        <v>11</v>
      </c>
      <c r="AF158" s="110" t="s">
        <v>11</v>
      </c>
      <c r="AG158" s="24">
        <f t="shared" si="8"/>
        <v>0</v>
      </c>
      <c r="AH158" s="24">
        <f t="shared" si="9"/>
        <v>0</v>
      </c>
      <c r="AI158" s="24">
        <f t="shared" si="10"/>
        <v>15</v>
      </c>
      <c r="AJ158" s="41" t="str" cm="1">
        <f t="array" ref="AJ158">_xlfn.IFS(
$AG158=15,"Not Started",
$AI158&lt;15,"In Progress",
$AI158=15,"Completed",
SUM(AG158:AI158)&gt;15,"Error"
)</f>
        <v>Completed</v>
      </c>
    </row>
    <row r="159" spans="1:36" ht="14.5" x14ac:dyDescent="0.35">
      <c r="A159" s="248"/>
      <c r="B159" s="14">
        <v>156</v>
      </c>
      <c r="C159" s="7" t="s">
        <v>408</v>
      </c>
      <c r="D159" s="53" t="s">
        <v>5023</v>
      </c>
      <c r="E159" s="57" t="s">
        <v>9043</v>
      </c>
      <c r="F159" s="7" t="s">
        <v>43</v>
      </c>
      <c r="G159" s="7" t="s">
        <v>48</v>
      </c>
      <c r="H159" s="14" t="s">
        <v>5286</v>
      </c>
      <c r="I159" s="14" t="s">
        <v>5286</v>
      </c>
      <c r="J159" s="112">
        <v>26.47375787</v>
      </c>
      <c r="K159" s="113">
        <v>50.061508740000001</v>
      </c>
      <c r="L159" s="137" t="str">
        <f t="shared" si="11"/>
        <v>26.47375787,50.06150874</v>
      </c>
      <c r="M159" s="7" t="s">
        <v>5223</v>
      </c>
      <c r="N159" s="7">
        <v>10006246054</v>
      </c>
      <c r="O159" s="9"/>
      <c r="P159" s="32"/>
      <c r="Q159" s="29" t="s">
        <v>11</v>
      </c>
      <c r="R159" s="29" t="s">
        <v>11</v>
      </c>
      <c r="S159" s="29" t="s">
        <v>11</v>
      </c>
      <c r="T159" s="29" t="s">
        <v>11</v>
      </c>
      <c r="U159" s="29" t="s">
        <v>11</v>
      </c>
      <c r="V159" s="29" t="s">
        <v>11</v>
      </c>
      <c r="W159" s="29" t="s">
        <v>11</v>
      </c>
      <c r="X159" s="29" t="s">
        <v>11</v>
      </c>
      <c r="Y159" s="29" t="s">
        <v>11</v>
      </c>
      <c r="Z159" s="29" t="s">
        <v>11</v>
      </c>
      <c r="AA159" s="29" t="s">
        <v>11</v>
      </c>
      <c r="AB159" s="29" t="s">
        <v>11</v>
      </c>
      <c r="AC159" s="29" t="s">
        <v>11</v>
      </c>
      <c r="AD159" s="29" t="s">
        <v>11</v>
      </c>
      <c r="AE159" s="29" t="s">
        <v>11</v>
      </c>
      <c r="AF159" s="110" t="s">
        <v>11</v>
      </c>
      <c r="AG159" s="24">
        <f t="shared" si="8"/>
        <v>0</v>
      </c>
      <c r="AH159" s="24">
        <f t="shared" si="9"/>
        <v>0</v>
      </c>
      <c r="AI159" s="24">
        <f t="shared" si="10"/>
        <v>15</v>
      </c>
      <c r="AJ159" s="41" t="str" cm="1">
        <f t="array" ref="AJ159">_xlfn.IFS(
$AG159=15,"Not Started",
$AI159&lt;15,"In Progress",
$AI159=15,"Completed",
SUM(AG159:AI159)&gt;15,"Error"
)</f>
        <v>Completed</v>
      </c>
    </row>
    <row r="160" spans="1:36" ht="14.5" x14ac:dyDescent="0.35">
      <c r="A160" s="248"/>
      <c r="B160" s="14">
        <v>157</v>
      </c>
      <c r="C160" s="14" t="s">
        <v>409</v>
      </c>
      <c r="D160" s="53" t="s">
        <v>5024</v>
      </c>
      <c r="E160" s="57" t="s">
        <v>9044</v>
      </c>
      <c r="F160" s="7" t="s">
        <v>47</v>
      </c>
      <c r="G160" s="7" t="s">
        <v>48</v>
      </c>
      <c r="H160" s="14" t="s">
        <v>5286</v>
      </c>
      <c r="I160" s="14" t="s">
        <v>5286</v>
      </c>
      <c r="J160" s="112">
        <v>26.470963449999999</v>
      </c>
      <c r="K160" s="113">
        <v>50.042716009999999</v>
      </c>
      <c r="L160" s="137" t="str">
        <f t="shared" si="11"/>
        <v>26.47096345,50.04271601</v>
      </c>
      <c r="M160" s="7" t="s">
        <v>5224</v>
      </c>
      <c r="N160" s="7">
        <v>10006262405</v>
      </c>
      <c r="O160" s="9"/>
      <c r="P160" s="32"/>
      <c r="Q160" s="29" t="s">
        <v>11</v>
      </c>
      <c r="R160" s="29" t="s">
        <v>11</v>
      </c>
      <c r="S160" s="29" t="s">
        <v>11</v>
      </c>
      <c r="T160" s="29" t="s">
        <v>11</v>
      </c>
      <c r="U160" s="29" t="s">
        <v>11</v>
      </c>
      <c r="V160" s="29" t="s">
        <v>11</v>
      </c>
      <c r="W160" s="29" t="s">
        <v>11</v>
      </c>
      <c r="X160" s="29" t="s">
        <v>11</v>
      </c>
      <c r="Y160" s="29" t="s">
        <v>11</v>
      </c>
      <c r="Z160" s="29" t="s">
        <v>11</v>
      </c>
      <c r="AA160" s="29" t="s">
        <v>11</v>
      </c>
      <c r="AB160" s="29" t="s">
        <v>11</v>
      </c>
      <c r="AC160" s="29" t="s">
        <v>11</v>
      </c>
      <c r="AD160" s="29" t="s">
        <v>11</v>
      </c>
      <c r="AE160" s="29" t="s">
        <v>11</v>
      </c>
      <c r="AF160" s="110" t="s">
        <v>11</v>
      </c>
      <c r="AG160" s="24">
        <f t="shared" si="8"/>
        <v>0</v>
      </c>
      <c r="AH160" s="24">
        <f t="shared" si="9"/>
        <v>0</v>
      </c>
      <c r="AI160" s="24">
        <f t="shared" si="10"/>
        <v>15</v>
      </c>
      <c r="AJ160" s="41" t="str" cm="1">
        <f t="array" ref="AJ160">_xlfn.IFS(
$AG160=15,"Not Started",
$AI160&lt;15,"In Progress",
$AI160=15,"Completed",
SUM(AG160:AI160)&gt;15,"Error"
)</f>
        <v>Completed</v>
      </c>
    </row>
    <row r="161" spans="1:36" ht="14.5" x14ac:dyDescent="0.35">
      <c r="A161" s="248"/>
      <c r="B161" s="14">
        <v>158</v>
      </c>
      <c r="C161" s="7" t="s">
        <v>410</v>
      </c>
      <c r="D161" s="53" t="s">
        <v>5025</v>
      </c>
      <c r="E161" s="57" t="s">
        <v>9045</v>
      </c>
      <c r="F161" s="7" t="s">
        <v>47</v>
      </c>
      <c r="G161" s="7" t="s">
        <v>48</v>
      </c>
      <c r="H161" s="14" t="s">
        <v>5286</v>
      </c>
      <c r="I161" s="14" t="s">
        <v>5286</v>
      </c>
      <c r="J161" s="112">
        <v>26.471021069999999</v>
      </c>
      <c r="K161" s="113">
        <v>50.042758919999997</v>
      </c>
      <c r="L161" s="137" t="str">
        <f t="shared" si="11"/>
        <v>26.47102107,50.04275892</v>
      </c>
      <c r="M161" s="7" t="s">
        <v>5225</v>
      </c>
      <c r="N161" s="7">
        <v>10006229053</v>
      </c>
      <c r="O161" s="9"/>
      <c r="P161" s="32"/>
      <c r="Q161" s="29" t="s">
        <v>11</v>
      </c>
      <c r="R161" s="29" t="s">
        <v>11</v>
      </c>
      <c r="S161" s="29" t="s">
        <v>11</v>
      </c>
      <c r="T161" s="29" t="s">
        <v>11</v>
      </c>
      <c r="U161" s="29" t="s">
        <v>11</v>
      </c>
      <c r="V161" s="29" t="s">
        <v>11</v>
      </c>
      <c r="W161" s="29" t="s">
        <v>11</v>
      </c>
      <c r="X161" s="29" t="s">
        <v>11</v>
      </c>
      <c r="Y161" s="29" t="s">
        <v>11</v>
      </c>
      <c r="Z161" s="29" t="s">
        <v>11</v>
      </c>
      <c r="AA161" s="29" t="s">
        <v>11</v>
      </c>
      <c r="AB161" s="29" t="s">
        <v>11</v>
      </c>
      <c r="AC161" s="29" t="s">
        <v>11</v>
      </c>
      <c r="AD161" s="29" t="s">
        <v>11</v>
      </c>
      <c r="AE161" s="29" t="s">
        <v>11</v>
      </c>
      <c r="AF161" s="110" t="s">
        <v>11</v>
      </c>
      <c r="AG161" s="24">
        <f t="shared" si="8"/>
        <v>0</v>
      </c>
      <c r="AH161" s="24">
        <f t="shared" si="9"/>
        <v>0</v>
      </c>
      <c r="AI161" s="24">
        <f t="shared" si="10"/>
        <v>15</v>
      </c>
      <c r="AJ161" s="41" t="str" cm="1">
        <f t="array" ref="AJ161">_xlfn.IFS(
$AG161=15,"Not Started",
$AI161&lt;15,"In Progress",
$AI161=15,"Completed",
SUM(AG161:AI161)&gt;15,"Error"
)</f>
        <v>Completed</v>
      </c>
    </row>
    <row r="162" spans="1:36" ht="14.5" x14ac:dyDescent="0.35">
      <c r="A162" s="248"/>
      <c r="B162" s="14">
        <v>159</v>
      </c>
      <c r="C162" s="14" t="s">
        <v>411</v>
      </c>
      <c r="D162" s="53" t="s">
        <v>5026</v>
      </c>
      <c r="E162" s="57" t="s">
        <v>9046</v>
      </c>
      <c r="F162" s="7" t="s">
        <v>47</v>
      </c>
      <c r="G162" s="7" t="s">
        <v>48</v>
      </c>
      <c r="H162" s="14" t="s">
        <v>5286</v>
      </c>
      <c r="I162" s="14" t="s">
        <v>5286</v>
      </c>
      <c r="J162" s="112">
        <v>26.481514229999998</v>
      </c>
      <c r="K162" s="113">
        <v>50.04199122</v>
      </c>
      <c r="L162" s="137" t="str">
        <f t="shared" si="11"/>
        <v>26.48151423,50.04199122</v>
      </c>
      <c r="M162" s="7" t="s">
        <v>5226</v>
      </c>
      <c r="N162" s="7">
        <v>10006262380</v>
      </c>
      <c r="O162" s="9"/>
      <c r="P162" s="32"/>
      <c r="Q162" s="29" t="s">
        <v>11</v>
      </c>
      <c r="R162" s="29" t="s">
        <v>11</v>
      </c>
      <c r="S162" s="29" t="s">
        <v>11</v>
      </c>
      <c r="T162" s="29" t="s">
        <v>11</v>
      </c>
      <c r="U162" s="29" t="s">
        <v>11</v>
      </c>
      <c r="V162" s="29" t="s">
        <v>11</v>
      </c>
      <c r="W162" s="29" t="s">
        <v>11</v>
      </c>
      <c r="X162" s="29" t="s">
        <v>11</v>
      </c>
      <c r="Y162" s="29" t="s">
        <v>11</v>
      </c>
      <c r="Z162" s="29" t="s">
        <v>11</v>
      </c>
      <c r="AA162" s="29" t="s">
        <v>11</v>
      </c>
      <c r="AB162" s="29" t="s">
        <v>11</v>
      </c>
      <c r="AC162" s="29" t="s">
        <v>11</v>
      </c>
      <c r="AD162" s="29" t="s">
        <v>11</v>
      </c>
      <c r="AE162" s="29" t="s">
        <v>11</v>
      </c>
      <c r="AF162" s="110" t="s">
        <v>11</v>
      </c>
      <c r="AG162" s="24">
        <f t="shared" si="8"/>
        <v>0</v>
      </c>
      <c r="AH162" s="24">
        <f t="shared" si="9"/>
        <v>0</v>
      </c>
      <c r="AI162" s="24">
        <f t="shared" si="10"/>
        <v>15</v>
      </c>
      <c r="AJ162" s="41" t="str" cm="1">
        <f t="array" ref="AJ162">_xlfn.IFS(
$AG162=15,"Not Started",
$AI162&lt;15,"In Progress",
$AI162=15,"Completed",
SUM(AG162:AI162)&gt;15,"Error"
)</f>
        <v>Completed</v>
      </c>
    </row>
    <row r="163" spans="1:36" ht="14.5" x14ac:dyDescent="0.35">
      <c r="A163" s="248"/>
      <c r="B163" s="14">
        <v>160</v>
      </c>
      <c r="C163" s="7" t="s">
        <v>412</v>
      </c>
      <c r="D163" s="53" t="s">
        <v>5027</v>
      </c>
      <c r="E163" s="57" t="s">
        <v>9047</v>
      </c>
      <c r="F163" s="7" t="s">
        <v>43</v>
      </c>
      <c r="G163" s="7" t="s">
        <v>44</v>
      </c>
      <c r="H163" s="14" t="s">
        <v>5286</v>
      </c>
      <c r="I163" s="14" t="s">
        <v>5286</v>
      </c>
      <c r="J163" s="112">
        <v>26.470847160000002</v>
      </c>
      <c r="K163" s="113">
        <v>50.042296239999999</v>
      </c>
      <c r="L163" s="137" t="str">
        <f t="shared" si="11"/>
        <v>26.47084716,50.04229624</v>
      </c>
      <c r="M163" s="7" t="s">
        <v>5227</v>
      </c>
      <c r="N163" s="7">
        <v>10006206569</v>
      </c>
      <c r="O163" s="9"/>
      <c r="P163" s="32"/>
      <c r="Q163" s="29" t="s">
        <v>11</v>
      </c>
      <c r="R163" s="29" t="s">
        <v>11</v>
      </c>
      <c r="S163" s="29" t="s">
        <v>11</v>
      </c>
      <c r="T163" s="29" t="s">
        <v>11</v>
      </c>
      <c r="U163" s="29" t="s">
        <v>11</v>
      </c>
      <c r="V163" s="29" t="s">
        <v>11</v>
      </c>
      <c r="W163" s="29" t="s">
        <v>11</v>
      </c>
      <c r="X163" s="29" t="s">
        <v>11</v>
      </c>
      <c r="Y163" s="29" t="s">
        <v>11</v>
      </c>
      <c r="Z163" s="29" t="s">
        <v>11</v>
      </c>
      <c r="AA163" s="29" t="s">
        <v>11</v>
      </c>
      <c r="AB163" s="29" t="s">
        <v>11</v>
      </c>
      <c r="AC163" s="29" t="s">
        <v>11</v>
      </c>
      <c r="AD163" s="29" t="s">
        <v>11</v>
      </c>
      <c r="AE163" s="29" t="s">
        <v>11</v>
      </c>
      <c r="AF163" s="110" t="s">
        <v>11</v>
      </c>
      <c r="AG163" s="24">
        <f t="shared" si="8"/>
        <v>0</v>
      </c>
      <c r="AH163" s="24">
        <f t="shared" si="9"/>
        <v>0</v>
      </c>
      <c r="AI163" s="24">
        <f t="shared" si="10"/>
        <v>15</v>
      </c>
      <c r="AJ163" s="41" t="str" cm="1">
        <f t="array" ref="AJ163">_xlfn.IFS(
$AG163=15,"Not Started",
$AI163&lt;15,"In Progress",
$AI163=15,"Completed",
SUM(AG163:AI163)&gt;15,"Error"
)</f>
        <v>Completed</v>
      </c>
    </row>
    <row r="164" spans="1:36" ht="14.5" x14ac:dyDescent="0.35">
      <c r="A164" s="248"/>
      <c r="B164" s="14">
        <v>161</v>
      </c>
      <c r="C164" s="14" t="s">
        <v>413</v>
      </c>
      <c r="D164" s="53" t="s">
        <v>5028</v>
      </c>
      <c r="E164" s="57" t="s">
        <v>9048</v>
      </c>
      <c r="F164" s="7" t="s">
        <v>43</v>
      </c>
      <c r="G164" s="7" t="s">
        <v>48</v>
      </c>
      <c r="H164" s="14" t="s">
        <v>5286</v>
      </c>
      <c r="I164" s="14" t="s">
        <v>5286</v>
      </c>
      <c r="J164" s="112">
        <v>26.4709872</v>
      </c>
      <c r="K164" s="113">
        <v>50.042724569999997</v>
      </c>
      <c r="L164" s="137" t="str">
        <f t="shared" si="11"/>
        <v>26.4709872,50.04272457</v>
      </c>
      <c r="M164" s="7" t="s">
        <v>5228</v>
      </c>
      <c r="N164" s="7">
        <v>10006254431</v>
      </c>
      <c r="O164" s="9"/>
      <c r="P164" s="32"/>
      <c r="Q164" s="29" t="s">
        <v>11</v>
      </c>
      <c r="R164" s="29" t="s">
        <v>11</v>
      </c>
      <c r="S164" s="29" t="s">
        <v>11</v>
      </c>
      <c r="T164" s="29" t="s">
        <v>11</v>
      </c>
      <c r="U164" s="29" t="s">
        <v>11</v>
      </c>
      <c r="V164" s="29" t="s">
        <v>11</v>
      </c>
      <c r="W164" s="29" t="s">
        <v>11</v>
      </c>
      <c r="X164" s="29" t="s">
        <v>11</v>
      </c>
      <c r="Y164" s="29" t="s">
        <v>11</v>
      </c>
      <c r="Z164" s="29" t="s">
        <v>11</v>
      </c>
      <c r="AA164" s="29" t="s">
        <v>11</v>
      </c>
      <c r="AB164" s="29" t="s">
        <v>11</v>
      </c>
      <c r="AC164" s="29" t="s">
        <v>11</v>
      </c>
      <c r="AD164" s="29" t="s">
        <v>11</v>
      </c>
      <c r="AE164" s="29" t="s">
        <v>11</v>
      </c>
      <c r="AF164" s="110" t="s">
        <v>11</v>
      </c>
      <c r="AG164" s="24">
        <f t="shared" si="8"/>
        <v>0</v>
      </c>
      <c r="AH164" s="24">
        <f t="shared" si="9"/>
        <v>0</v>
      </c>
      <c r="AI164" s="24">
        <f t="shared" si="10"/>
        <v>15</v>
      </c>
      <c r="AJ164" s="41" t="str" cm="1">
        <f t="array" ref="AJ164">_xlfn.IFS(
$AG164=15,"Not Started",
$AI164&lt;15,"In Progress",
$AI164=15,"Completed",
SUM(AG164:AI164)&gt;15,"Error"
)</f>
        <v>Completed</v>
      </c>
    </row>
    <row r="165" spans="1:36" ht="14.5" x14ac:dyDescent="0.35">
      <c r="A165" s="248"/>
      <c r="B165" s="14">
        <v>162</v>
      </c>
      <c r="C165" s="7" t="s">
        <v>414</v>
      </c>
      <c r="D165" s="53" t="s">
        <v>5029</v>
      </c>
      <c r="E165" s="57" t="s">
        <v>9049</v>
      </c>
      <c r="F165" s="7" t="s">
        <v>47</v>
      </c>
      <c r="G165" s="7" t="s">
        <v>48</v>
      </c>
      <c r="H165" s="14" t="s">
        <v>5286</v>
      </c>
      <c r="I165" s="14" t="s">
        <v>5286</v>
      </c>
      <c r="J165" s="112">
        <v>26.489737519999998</v>
      </c>
      <c r="K165" s="113">
        <v>50.02986404</v>
      </c>
      <c r="L165" s="137" t="str">
        <f t="shared" si="11"/>
        <v>26.48973752,50.02986404</v>
      </c>
      <c r="M165" s="7" t="s">
        <v>5229</v>
      </c>
      <c r="N165" s="7">
        <v>10006213106</v>
      </c>
      <c r="O165" s="9"/>
      <c r="P165" s="32"/>
      <c r="Q165" s="29" t="s">
        <v>11</v>
      </c>
      <c r="R165" s="29" t="s">
        <v>11</v>
      </c>
      <c r="S165" s="29" t="s">
        <v>11</v>
      </c>
      <c r="T165" s="29" t="s">
        <v>11</v>
      </c>
      <c r="U165" s="29" t="s">
        <v>11</v>
      </c>
      <c r="V165" s="29" t="s">
        <v>11</v>
      </c>
      <c r="W165" s="29" t="s">
        <v>11</v>
      </c>
      <c r="X165" s="29" t="s">
        <v>11</v>
      </c>
      <c r="Y165" s="29" t="s">
        <v>11</v>
      </c>
      <c r="Z165" s="29" t="s">
        <v>11</v>
      </c>
      <c r="AA165" s="29" t="s">
        <v>11</v>
      </c>
      <c r="AB165" s="29" t="s">
        <v>11</v>
      </c>
      <c r="AC165" s="29" t="s">
        <v>11</v>
      </c>
      <c r="AD165" s="29" t="s">
        <v>11</v>
      </c>
      <c r="AE165" s="29" t="s">
        <v>11</v>
      </c>
      <c r="AF165" s="110" t="s">
        <v>11</v>
      </c>
      <c r="AG165" s="24">
        <f t="shared" si="8"/>
        <v>0</v>
      </c>
      <c r="AH165" s="24">
        <f t="shared" si="9"/>
        <v>0</v>
      </c>
      <c r="AI165" s="24">
        <f t="shared" si="10"/>
        <v>15</v>
      </c>
      <c r="AJ165" s="41" t="str" cm="1">
        <f t="array" ref="AJ165">_xlfn.IFS(
$AG165=15,"Not Started",
$AI165&lt;15,"In Progress",
$AI165=15,"Completed",
SUM(AG165:AI165)&gt;15,"Error"
)</f>
        <v>Completed</v>
      </c>
    </row>
    <row r="166" spans="1:36" ht="14.5" x14ac:dyDescent="0.35">
      <c r="A166" s="248"/>
      <c r="B166" s="14">
        <v>163</v>
      </c>
      <c r="C166" s="14" t="s">
        <v>415</v>
      </c>
      <c r="D166" s="53" t="s">
        <v>5030</v>
      </c>
      <c r="E166" s="57" t="s">
        <v>9050</v>
      </c>
      <c r="F166" s="7" t="s">
        <v>43</v>
      </c>
      <c r="G166" s="7" t="s">
        <v>48</v>
      </c>
      <c r="H166" s="14" t="s">
        <v>5286</v>
      </c>
      <c r="I166" s="14" t="s">
        <v>5286</v>
      </c>
      <c r="J166" s="112">
        <v>26.480270529999999</v>
      </c>
      <c r="K166" s="113">
        <v>50.057503150000002</v>
      </c>
      <c r="L166" s="137" t="str">
        <f t="shared" si="11"/>
        <v>26.48027053,50.05750315</v>
      </c>
      <c r="M166" s="7" t="s">
        <v>5230</v>
      </c>
      <c r="N166" s="7">
        <v>10006236307</v>
      </c>
      <c r="O166" s="9"/>
      <c r="P166" s="32"/>
      <c r="Q166" s="29" t="s">
        <v>11</v>
      </c>
      <c r="R166" s="29" t="s">
        <v>11</v>
      </c>
      <c r="S166" s="29" t="s">
        <v>11</v>
      </c>
      <c r="T166" s="29" t="s">
        <v>11</v>
      </c>
      <c r="U166" s="29" t="s">
        <v>11</v>
      </c>
      <c r="V166" s="29" t="s">
        <v>11</v>
      </c>
      <c r="W166" s="29" t="s">
        <v>11</v>
      </c>
      <c r="X166" s="29" t="s">
        <v>11</v>
      </c>
      <c r="Y166" s="29" t="s">
        <v>11</v>
      </c>
      <c r="Z166" s="29" t="s">
        <v>11</v>
      </c>
      <c r="AA166" s="29" t="s">
        <v>11</v>
      </c>
      <c r="AB166" s="29" t="s">
        <v>11</v>
      </c>
      <c r="AC166" s="29" t="s">
        <v>11</v>
      </c>
      <c r="AD166" s="29" t="s">
        <v>11</v>
      </c>
      <c r="AE166" s="29" t="s">
        <v>11</v>
      </c>
      <c r="AF166" s="110" t="s">
        <v>11</v>
      </c>
      <c r="AG166" s="24">
        <f t="shared" si="8"/>
        <v>0</v>
      </c>
      <c r="AH166" s="24">
        <f t="shared" si="9"/>
        <v>0</v>
      </c>
      <c r="AI166" s="24">
        <f t="shared" si="10"/>
        <v>15</v>
      </c>
      <c r="AJ166" s="41" t="str" cm="1">
        <f t="array" ref="AJ166">_xlfn.IFS(
$AG166=15,"Not Started",
$AI166&lt;15,"In Progress",
$AI166=15,"Completed",
SUM(AG166:AI166)&gt;15,"Error"
)</f>
        <v>Completed</v>
      </c>
    </row>
    <row r="167" spans="1:36" ht="14.5" x14ac:dyDescent="0.35">
      <c r="A167" s="248"/>
      <c r="B167" s="14">
        <v>164</v>
      </c>
      <c r="C167" s="7" t="s">
        <v>416</v>
      </c>
      <c r="D167" s="53" t="s">
        <v>5031</v>
      </c>
      <c r="E167" s="57" t="s">
        <v>9051</v>
      </c>
      <c r="F167" s="7" t="s">
        <v>43</v>
      </c>
      <c r="G167" s="7" t="s">
        <v>48</v>
      </c>
      <c r="H167" s="14" t="s">
        <v>5286</v>
      </c>
      <c r="I167" s="14" t="s">
        <v>5286</v>
      </c>
      <c r="J167" s="112">
        <v>26.479837490000001</v>
      </c>
      <c r="K167" s="113">
        <v>50.056309579999997</v>
      </c>
      <c r="L167" s="137" t="str">
        <f t="shared" si="11"/>
        <v>26.47983749,50.05630958</v>
      </c>
      <c r="M167" s="7" t="s">
        <v>5231</v>
      </c>
      <c r="N167" s="7">
        <v>10006239784</v>
      </c>
      <c r="O167" s="9"/>
      <c r="P167" s="32"/>
      <c r="Q167" s="29" t="s">
        <v>11</v>
      </c>
      <c r="R167" s="29" t="s">
        <v>11</v>
      </c>
      <c r="S167" s="29" t="s">
        <v>11</v>
      </c>
      <c r="T167" s="29" t="s">
        <v>11</v>
      </c>
      <c r="U167" s="29" t="s">
        <v>11</v>
      </c>
      <c r="V167" s="29" t="s">
        <v>11</v>
      </c>
      <c r="W167" s="29" t="s">
        <v>11</v>
      </c>
      <c r="X167" s="29" t="s">
        <v>11</v>
      </c>
      <c r="Y167" s="29" t="s">
        <v>11</v>
      </c>
      <c r="Z167" s="29" t="s">
        <v>11</v>
      </c>
      <c r="AA167" s="29" t="s">
        <v>11</v>
      </c>
      <c r="AB167" s="29" t="s">
        <v>11</v>
      </c>
      <c r="AC167" s="29" t="s">
        <v>11</v>
      </c>
      <c r="AD167" s="29" t="s">
        <v>11</v>
      </c>
      <c r="AE167" s="29" t="s">
        <v>11</v>
      </c>
      <c r="AF167" s="110" t="s">
        <v>11</v>
      </c>
      <c r="AG167" s="24">
        <f t="shared" si="8"/>
        <v>0</v>
      </c>
      <c r="AH167" s="24">
        <f t="shared" si="9"/>
        <v>0</v>
      </c>
      <c r="AI167" s="24">
        <f t="shared" si="10"/>
        <v>15</v>
      </c>
      <c r="AJ167" s="41" t="str" cm="1">
        <f t="array" ref="AJ167">_xlfn.IFS(
$AG167=15,"Not Started",
$AI167&lt;15,"In Progress",
$AI167=15,"Completed",
SUM(AG167:AI167)&gt;15,"Error"
)</f>
        <v>Completed</v>
      </c>
    </row>
    <row r="168" spans="1:36" ht="14.5" x14ac:dyDescent="0.35">
      <c r="A168" s="248"/>
      <c r="B168" s="14">
        <v>165</v>
      </c>
      <c r="C168" s="14" t="s">
        <v>417</v>
      </c>
      <c r="D168" s="53" t="s">
        <v>5032</v>
      </c>
      <c r="E168" s="57" t="s">
        <v>9052</v>
      </c>
      <c r="F168" s="7" t="s">
        <v>51</v>
      </c>
      <c r="G168" s="7" t="s">
        <v>48</v>
      </c>
      <c r="H168" s="14" t="s">
        <v>5286</v>
      </c>
      <c r="I168" s="14" t="s">
        <v>5286</v>
      </c>
      <c r="J168" s="112">
        <v>26.472977010000001</v>
      </c>
      <c r="K168" s="113">
        <v>50.05500636</v>
      </c>
      <c r="L168" s="137" t="str">
        <f t="shared" si="11"/>
        <v>26.47297701,50.05500636</v>
      </c>
      <c r="M168" s="7" t="s">
        <v>5232</v>
      </c>
      <c r="N168" s="7">
        <v>10006262700</v>
      </c>
      <c r="O168" s="9"/>
      <c r="P168" s="32"/>
      <c r="Q168" s="29" t="s">
        <v>11</v>
      </c>
      <c r="R168" s="29" t="s">
        <v>11</v>
      </c>
      <c r="S168" s="29" t="s">
        <v>11</v>
      </c>
      <c r="T168" s="29" t="s">
        <v>11</v>
      </c>
      <c r="U168" s="29" t="s">
        <v>11</v>
      </c>
      <c r="V168" s="29" t="s">
        <v>11</v>
      </c>
      <c r="W168" s="29" t="s">
        <v>11</v>
      </c>
      <c r="X168" s="29" t="s">
        <v>11</v>
      </c>
      <c r="Y168" s="29" t="s">
        <v>11</v>
      </c>
      <c r="Z168" s="29" t="s">
        <v>11</v>
      </c>
      <c r="AA168" s="29" t="s">
        <v>11</v>
      </c>
      <c r="AB168" s="29" t="s">
        <v>11</v>
      </c>
      <c r="AC168" s="29" t="s">
        <v>11</v>
      </c>
      <c r="AD168" s="29" t="s">
        <v>11</v>
      </c>
      <c r="AE168" s="29" t="s">
        <v>11</v>
      </c>
      <c r="AF168" s="110" t="s">
        <v>11</v>
      </c>
      <c r="AG168" s="24">
        <f t="shared" si="8"/>
        <v>0</v>
      </c>
      <c r="AH168" s="24">
        <f t="shared" si="9"/>
        <v>0</v>
      </c>
      <c r="AI168" s="24">
        <f t="shared" si="10"/>
        <v>15</v>
      </c>
      <c r="AJ168" s="41" t="str" cm="1">
        <f t="array" ref="AJ168">_xlfn.IFS(
$AG168=15,"Not Started",
$AI168&lt;15,"In Progress",
$AI168=15,"Completed",
SUM(AG168:AI168)&gt;15,"Error"
)</f>
        <v>Completed</v>
      </c>
    </row>
    <row r="169" spans="1:36" ht="14.5" x14ac:dyDescent="0.35">
      <c r="A169" s="248"/>
      <c r="B169" s="14">
        <v>166</v>
      </c>
      <c r="C169" s="7" t="s">
        <v>418</v>
      </c>
      <c r="D169" s="53" t="s">
        <v>5033</v>
      </c>
      <c r="E169" s="57" t="s">
        <v>9053</v>
      </c>
      <c r="F169" s="7" t="s">
        <v>51</v>
      </c>
      <c r="G169" s="7" t="s">
        <v>48</v>
      </c>
      <c r="H169" s="14" t="s">
        <v>5286</v>
      </c>
      <c r="I169" s="14" t="s">
        <v>5286</v>
      </c>
      <c r="J169" s="112">
        <v>26.513687050000001</v>
      </c>
      <c r="K169" s="113">
        <v>50.002634190000002</v>
      </c>
      <c r="L169" s="137" t="str">
        <f t="shared" si="11"/>
        <v>26.51368705,50.00263419</v>
      </c>
      <c r="M169" s="7" t="s">
        <v>5233</v>
      </c>
      <c r="N169" s="7">
        <v>10006248792</v>
      </c>
      <c r="O169" s="9"/>
      <c r="P169" s="32"/>
      <c r="Q169" s="29" t="s">
        <v>11</v>
      </c>
      <c r="R169" s="29" t="s">
        <v>11</v>
      </c>
      <c r="S169" s="29" t="s">
        <v>11</v>
      </c>
      <c r="T169" s="29" t="s">
        <v>11</v>
      </c>
      <c r="U169" s="29" t="s">
        <v>11</v>
      </c>
      <c r="V169" s="29" t="s">
        <v>11</v>
      </c>
      <c r="W169" s="29" t="s">
        <v>11</v>
      </c>
      <c r="X169" s="29" t="s">
        <v>11</v>
      </c>
      <c r="Y169" s="29" t="s">
        <v>11</v>
      </c>
      <c r="Z169" s="29" t="s">
        <v>11</v>
      </c>
      <c r="AA169" s="29" t="s">
        <v>11</v>
      </c>
      <c r="AB169" s="29" t="s">
        <v>11</v>
      </c>
      <c r="AC169" s="29" t="s">
        <v>11</v>
      </c>
      <c r="AD169" s="29" t="s">
        <v>11</v>
      </c>
      <c r="AE169" s="29" t="s">
        <v>11</v>
      </c>
      <c r="AF169" s="110" t="s">
        <v>11</v>
      </c>
      <c r="AG169" s="24">
        <f t="shared" si="8"/>
        <v>0</v>
      </c>
      <c r="AH169" s="24">
        <f t="shared" si="9"/>
        <v>0</v>
      </c>
      <c r="AI169" s="24">
        <f t="shared" si="10"/>
        <v>15</v>
      </c>
      <c r="AJ169" s="41" t="str" cm="1">
        <f t="array" ref="AJ169">_xlfn.IFS(
$AG169=15,"Not Started",
$AI169&lt;15,"In Progress",
$AI169=15,"Completed",
SUM(AG169:AI169)&gt;15,"Error"
)</f>
        <v>Completed</v>
      </c>
    </row>
    <row r="170" spans="1:36" ht="14.5" x14ac:dyDescent="0.35">
      <c r="A170" s="248"/>
      <c r="B170" s="14">
        <v>167</v>
      </c>
      <c r="C170" s="14" t="s">
        <v>419</v>
      </c>
      <c r="D170" s="53" t="s">
        <v>5034</v>
      </c>
      <c r="E170" s="57" t="s">
        <v>9054</v>
      </c>
      <c r="F170" s="7" t="s">
        <v>51</v>
      </c>
      <c r="G170" s="7" t="s">
        <v>48</v>
      </c>
      <c r="H170" s="14" t="s">
        <v>5286</v>
      </c>
      <c r="I170" s="14" t="s">
        <v>5286</v>
      </c>
      <c r="J170" s="112">
        <v>26.567687419999999</v>
      </c>
      <c r="K170" s="113">
        <v>50.079250510000001</v>
      </c>
      <c r="L170" s="137" t="str">
        <f t="shared" si="11"/>
        <v>26.56768742,50.07925051</v>
      </c>
      <c r="M170" s="7" t="s">
        <v>5234</v>
      </c>
      <c r="N170" s="7">
        <v>10006252221</v>
      </c>
      <c r="O170" s="9"/>
      <c r="P170" s="32"/>
      <c r="Q170" s="29" t="s">
        <v>11</v>
      </c>
      <c r="R170" s="29" t="s">
        <v>11</v>
      </c>
      <c r="S170" s="29" t="s">
        <v>11</v>
      </c>
      <c r="T170" s="29" t="s">
        <v>11</v>
      </c>
      <c r="U170" s="29" t="s">
        <v>11</v>
      </c>
      <c r="V170" s="29" t="s">
        <v>11</v>
      </c>
      <c r="W170" s="29" t="s">
        <v>11</v>
      </c>
      <c r="X170" s="29" t="s">
        <v>11</v>
      </c>
      <c r="Y170" s="29" t="s">
        <v>11</v>
      </c>
      <c r="Z170" s="29" t="s">
        <v>11</v>
      </c>
      <c r="AA170" s="29" t="s">
        <v>11</v>
      </c>
      <c r="AB170" s="29" t="s">
        <v>11</v>
      </c>
      <c r="AC170" s="29" t="s">
        <v>11</v>
      </c>
      <c r="AD170" s="29" t="s">
        <v>11</v>
      </c>
      <c r="AE170" s="29" t="s">
        <v>11</v>
      </c>
      <c r="AF170" s="110" t="s">
        <v>11</v>
      </c>
      <c r="AG170" s="24">
        <f t="shared" si="8"/>
        <v>0</v>
      </c>
      <c r="AH170" s="24">
        <f t="shared" si="9"/>
        <v>0</v>
      </c>
      <c r="AI170" s="24">
        <f t="shared" si="10"/>
        <v>15</v>
      </c>
      <c r="AJ170" s="41" t="str" cm="1">
        <f t="array" ref="AJ170">_xlfn.IFS(
$AG170=15,"Not Started",
$AI170&lt;15,"In Progress",
$AI170=15,"Completed",
SUM(AG170:AI170)&gt;15,"Error"
)</f>
        <v>Completed</v>
      </c>
    </row>
    <row r="171" spans="1:36" ht="14.5" x14ac:dyDescent="0.35">
      <c r="A171" s="248"/>
      <c r="B171" s="14">
        <v>168</v>
      </c>
      <c r="C171" s="7" t="s">
        <v>420</v>
      </c>
      <c r="D171" s="53" t="s">
        <v>5035</v>
      </c>
      <c r="E171" s="57" t="s">
        <v>9055</v>
      </c>
      <c r="F171" s="7" t="s">
        <v>51</v>
      </c>
      <c r="G171" s="7" t="s">
        <v>44</v>
      </c>
      <c r="H171" s="14" t="s">
        <v>5286</v>
      </c>
      <c r="I171" s="14" t="s">
        <v>5286</v>
      </c>
      <c r="J171" s="112">
        <v>26.310092170000001</v>
      </c>
      <c r="K171" s="113">
        <v>50.187823569999999</v>
      </c>
      <c r="L171" s="137" t="str">
        <f t="shared" si="11"/>
        <v>26.31009217,50.18782357</v>
      </c>
      <c r="M171" s="7" t="s">
        <v>5235</v>
      </c>
      <c r="N171" s="7">
        <v>10006213017</v>
      </c>
      <c r="O171" s="9"/>
      <c r="P171" s="32"/>
      <c r="Q171" s="29" t="s">
        <v>11</v>
      </c>
      <c r="R171" s="29" t="s">
        <v>11</v>
      </c>
      <c r="S171" s="29" t="s">
        <v>11</v>
      </c>
      <c r="T171" s="29" t="s">
        <v>11</v>
      </c>
      <c r="U171" s="29" t="s">
        <v>11</v>
      </c>
      <c r="V171" s="29" t="s">
        <v>11</v>
      </c>
      <c r="W171" s="29" t="s">
        <v>11</v>
      </c>
      <c r="X171" s="29" t="s">
        <v>11</v>
      </c>
      <c r="Y171" s="29" t="s">
        <v>11</v>
      </c>
      <c r="Z171" s="29" t="s">
        <v>11</v>
      </c>
      <c r="AA171" s="29" t="s">
        <v>11</v>
      </c>
      <c r="AB171" s="29" t="s">
        <v>11</v>
      </c>
      <c r="AC171" s="29" t="s">
        <v>11</v>
      </c>
      <c r="AD171" s="29" t="s">
        <v>11</v>
      </c>
      <c r="AE171" s="29" t="s">
        <v>11</v>
      </c>
      <c r="AF171" s="110" t="s">
        <v>11</v>
      </c>
      <c r="AG171" s="24">
        <f t="shared" si="8"/>
        <v>0</v>
      </c>
      <c r="AH171" s="24">
        <f t="shared" si="9"/>
        <v>0</v>
      </c>
      <c r="AI171" s="24">
        <f t="shared" si="10"/>
        <v>15</v>
      </c>
      <c r="AJ171" s="41" t="str" cm="1">
        <f t="array" ref="AJ171">_xlfn.IFS(
$AG171=15,"Not Started",
$AI171&lt;15,"In Progress",
$AI171=15,"Completed",
SUM(AG171:AI171)&gt;15,"Error"
)</f>
        <v>Completed</v>
      </c>
    </row>
    <row r="172" spans="1:36" ht="14.5" x14ac:dyDescent="0.35">
      <c r="A172" s="248"/>
      <c r="B172" s="14">
        <v>169</v>
      </c>
      <c r="C172" s="14" t="s">
        <v>421</v>
      </c>
      <c r="D172" s="53" t="s">
        <v>5036</v>
      </c>
      <c r="E172" s="57" t="s">
        <v>9056</v>
      </c>
      <c r="F172" s="7" t="s">
        <v>51</v>
      </c>
      <c r="G172" s="7" t="s">
        <v>48</v>
      </c>
      <c r="H172" s="14" t="s">
        <v>5286</v>
      </c>
      <c r="I172" s="14" t="s">
        <v>5286</v>
      </c>
      <c r="J172" s="112">
        <v>26.342440679999999</v>
      </c>
      <c r="K172" s="113">
        <v>50.136342839999998</v>
      </c>
      <c r="L172" s="137" t="str">
        <f t="shared" si="11"/>
        <v>26.34244068,50.13634284</v>
      </c>
      <c r="M172" s="7" t="s">
        <v>5236</v>
      </c>
      <c r="N172" s="7">
        <v>10090650537</v>
      </c>
      <c r="O172" s="9"/>
      <c r="P172" s="32"/>
      <c r="Q172" s="29" t="s">
        <v>11</v>
      </c>
      <c r="R172" s="29" t="s">
        <v>11</v>
      </c>
      <c r="S172" s="29" t="s">
        <v>11</v>
      </c>
      <c r="T172" s="29" t="s">
        <v>11</v>
      </c>
      <c r="U172" s="29" t="s">
        <v>11</v>
      </c>
      <c r="V172" s="29" t="s">
        <v>11</v>
      </c>
      <c r="W172" s="29" t="s">
        <v>11</v>
      </c>
      <c r="X172" s="29" t="s">
        <v>11</v>
      </c>
      <c r="Y172" s="29" t="s">
        <v>11</v>
      </c>
      <c r="Z172" s="29" t="s">
        <v>11</v>
      </c>
      <c r="AA172" s="29" t="s">
        <v>11</v>
      </c>
      <c r="AB172" s="29" t="s">
        <v>11</v>
      </c>
      <c r="AC172" s="29" t="s">
        <v>11</v>
      </c>
      <c r="AD172" s="29" t="s">
        <v>11</v>
      </c>
      <c r="AE172" s="29" t="s">
        <v>11</v>
      </c>
      <c r="AF172" s="110" t="s">
        <v>11</v>
      </c>
      <c r="AG172" s="24">
        <f t="shared" si="8"/>
        <v>0</v>
      </c>
      <c r="AH172" s="24">
        <f t="shared" si="9"/>
        <v>0</v>
      </c>
      <c r="AI172" s="24">
        <f t="shared" si="10"/>
        <v>15</v>
      </c>
      <c r="AJ172" s="41" t="str" cm="1">
        <f t="array" ref="AJ172">_xlfn.IFS(
$AG172=15,"Not Started",
$AI172&lt;15,"In Progress",
$AI172=15,"Completed",
SUM(AG172:AI172)&gt;15,"Error"
)</f>
        <v>Completed</v>
      </c>
    </row>
    <row r="173" spans="1:36" ht="14.5" x14ac:dyDescent="0.35">
      <c r="A173" s="248"/>
      <c r="B173" s="14">
        <v>170</v>
      </c>
      <c r="C173" s="7" t="s">
        <v>422</v>
      </c>
      <c r="D173" s="53" t="s">
        <v>5037</v>
      </c>
      <c r="E173" s="57" t="s">
        <v>9057</v>
      </c>
      <c r="F173" s="7" t="s">
        <v>47</v>
      </c>
      <c r="G173" s="7" t="s">
        <v>48</v>
      </c>
      <c r="H173" s="14" t="s">
        <v>5286</v>
      </c>
      <c r="I173" s="14" t="s">
        <v>5286</v>
      </c>
      <c r="J173" s="112">
        <v>26.430292900000001</v>
      </c>
      <c r="K173" s="113">
        <v>50.0940273</v>
      </c>
      <c r="L173" s="137" t="str">
        <f t="shared" si="11"/>
        <v>26.4302929,50.0940273</v>
      </c>
      <c r="M173" s="7" t="s">
        <v>5237</v>
      </c>
      <c r="N173" s="7">
        <v>10006241263</v>
      </c>
      <c r="O173" s="9"/>
      <c r="P173" s="32"/>
      <c r="Q173" s="29" t="s">
        <v>11</v>
      </c>
      <c r="R173" s="29" t="s">
        <v>11</v>
      </c>
      <c r="S173" s="29" t="s">
        <v>11</v>
      </c>
      <c r="T173" s="29" t="s">
        <v>11</v>
      </c>
      <c r="U173" s="29" t="s">
        <v>11</v>
      </c>
      <c r="V173" s="29" t="s">
        <v>11</v>
      </c>
      <c r="W173" s="29" t="s">
        <v>11</v>
      </c>
      <c r="X173" s="29" t="s">
        <v>11</v>
      </c>
      <c r="Y173" s="29" t="s">
        <v>11</v>
      </c>
      <c r="Z173" s="29" t="s">
        <v>11</v>
      </c>
      <c r="AA173" s="29" t="s">
        <v>11</v>
      </c>
      <c r="AB173" s="29" t="s">
        <v>11</v>
      </c>
      <c r="AC173" s="29" t="s">
        <v>11</v>
      </c>
      <c r="AD173" s="29" t="s">
        <v>11</v>
      </c>
      <c r="AE173" s="29" t="s">
        <v>11</v>
      </c>
      <c r="AF173" s="110" t="s">
        <v>11</v>
      </c>
      <c r="AG173" s="24">
        <f t="shared" si="8"/>
        <v>0</v>
      </c>
      <c r="AH173" s="24">
        <f t="shared" si="9"/>
        <v>0</v>
      </c>
      <c r="AI173" s="24">
        <f t="shared" si="10"/>
        <v>15</v>
      </c>
      <c r="AJ173" s="41" t="str" cm="1">
        <f t="array" ref="AJ173">_xlfn.IFS(
$AG173=15,"Not Started",
$AI173&lt;15,"In Progress",
$AI173=15,"Completed",
SUM(AG173:AI173)&gt;15,"Error"
)</f>
        <v>Completed</v>
      </c>
    </row>
    <row r="174" spans="1:36" ht="14.5" x14ac:dyDescent="0.35">
      <c r="A174" s="248"/>
      <c r="B174" s="14">
        <v>171</v>
      </c>
      <c r="C174" s="14" t="s">
        <v>423</v>
      </c>
      <c r="D174" s="53" t="s">
        <v>5038</v>
      </c>
      <c r="E174" s="57" t="s">
        <v>9058</v>
      </c>
      <c r="F174" s="7" t="s">
        <v>43</v>
      </c>
      <c r="G174" s="7" t="s">
        <v>48</v>
      </c>
      <c r="H174" s="14" t="s">
        <v>5286</v>
      </c>
      <c r="I174" s="14" t="s">
        <v>5286</v>
      </c>
      <c r="J174" s="112">
        <v>26.40562362</v>
      </c>
      <c r="K174" s="113">
        <v>50.181998980000003</v>
      </c>
      <c r="L174" s="137" t="str">
        <f t="shared" si="11"/>
        <v>26.40562362,50.18199898</v>
      </c>
      <c r="M174" s="7" t="s">
        <v>5238</v>
      </c>
      <c r="N174" s="7">
        <v>10006248291</v>
      </c>
      <c r="O174" s="9"/>
      <c r="P174" s="32"/>
      <c r="Q174" s="29" t="s">
        <v>11</v>
      </c>
      <c r="R174" s="29" t="s">
        <v>11</v>
      </c>
      <c r="S174" s="29" t="s">
        <v>11</v>
      </c>
      <c r="T174" s="29" t="s">
        <v>11</v>
      </c>
      <c r="U174" s="29" t="s">
        <v>11</v>
      </c>
      <c r="V174" s="29" t="s">
        <v>11</v>
      </c>
      <c r="W174" s="29" t="s">
        <v>11</v>
      </c>
      <c r="X174" s="29" t="s">
        <v>11</v>
      </c>
      <c r="Y174" s="29" t="s">
        <v>11</v>
      </c>
      <c r="Z174" s="29" t="s">
        <v>11</v>
      </c>
      <c r="AA174" s="29" t="s">
        <v>11</v>
      </c>
      <c r="AB174" s="29" t="s">
        <v>11</v>
      </c>
      <c r="AC174" s="29" t="s">
        <v>11</v>
      </c>
      <c r="AD174" s="29" t="s">
        <v>11</v>
      </c>
      <c r="AE174" s="29" t="s">
        <v>11</v>
      </c>
      <c r="AF174" s="110" t="s">
        <v>11</v>
      </c>
      <c r="AG174" s="24">
        <f t="shared" si="8"/>
        <v>0</v>
      </c>
      <c r="AH174" s="24">
        <f t="shared" si="9"/>
        <v>0</v>
      </c>
      <c r="AI174" s="24">
        <f t="shared" si="10"/>
        <v>15</v>
      </c>
      <c r="AJ174" s="41" t="str" cm="1">
        <f t="array" ref="AJ174">_xlfn.IFS(
$AG174=15,"Not Started",
$AI174&lt;15,"In Progress",
$AI174=15,"Completed",
SUM(AG174:AI174)&gt;15,"Error"
)</f>
        <v>Completed</v>
      </c>
    </row>
    <row r="175" spans="1:36" ht="14.5" x14ac:dyDescent="0.35">
      <c r="A175" s="248"/>
      <c r="B175" s="14">
        <v>172</v>
      </c>
      <c r="C175" s="7" t="s">
        <v>424</v>
      </c>
      <c r="D175" s="53" t="s">
        <v>5039</v>
      </c>
      <c r="E175" s="57" t="s">
        <v>9059</v>
      </c>
      <c r="F175" s="7" t="s">
        <v>47</v>
      </c>
      <c r="G175" s="7" t="s">
        <v>48</v>
      </c>
      <c r="H175" s="14" t="s">
        <v>5286</v>
      </c>
      <c r="I175" s="14" t="s">
        <v>5286</v>
      </c>
      <c r="J175" s="112">
        <v>26.319822819999999</v>
      </c>
      <c r="K175" s="113">
        <v>50.203817450000003</v>
      </c>
      <c r="L175" s="137" t="str">
        <f t="shared" si="11"/>
        <v>26.31982282,50.20381745</v>
      </c>
      <c r="M175" s="7" t="s">
        <v>5239</v>
      </c>
      <c r="N175" s="7">
        <v>10006272223</v>
      </c>
      <c r="O175" s="9"/>
      <c r="P175" s="32"/>
      <c r="Q175" s="29" t="s">
        <v>11</v>
      </c>
      <c r="R175" s="29" t="s">
        <v>11</v>
      </c>
      <c r="S175" s="29" t="s">
        <v>11</v>
      </c>
      <c r="T175" s="29" t="s">
        <v>11</v>
      </c>
      <c r="U175" s="29" t="s">
        <v>11</v>
      </c>
      <c r="V175" s="29" t="s">
        <v>11</v>
      </c>
      <c r="W175" s="29" t="s">
        <v>11</v>
      </c>
      <c r="X175" s="29" t="s">
        <v>11</v>
      </c>
      <c r="Y175" s="29" t="s">
        <v>11</v>
      </c>
      <c r="Z175" s="29" t="s">
        <v>11</v>
      </c>
      <c r="AA175" s="29" t="s">
        <v>11</v>
      </c>
      <c r="AB175" s="29" t="s">
        <v>11</v>
      </c>
      <c r="AC175" s="29" t="s">
        <v>11</v>
      </c>
      <c r="AD175" s="29" t="s">
        <v>11</v>
      </c>
      <c r="AE175" s="29" t="s">
        <v>11</v>
      </c>
      <c r="AF175" s="110" t="s">
        <v>11</v>
      </c>
      <c r="AG175" s="24">
        <f t="shared" si="8"/>
        <v>0</v>
      </c>
      <c r="AH175" s="24">
        <f t="shared" si="9"/>
        <v>0</v>
      </c>
      <c r="AI175" s="24">
        <f t="shared" si="10"/>
        <v>15</v>
      </c>
      <c r="AJ175" s="41" t="str" cm="1">
        <f t="array" ref="AJ175">_xlfn.IFS(
$AG175=15,"Not Started",
$AI175&lt;15,"In Progress",
$AI175=15,"Completed",
SUM(AG175:AI175)&gt;15,"Error"
)</f>
        <v>Completed</v>
      </c>
    </row>
    <row r="176" spans="1:36" ht="14.5" x14ac:dyDescent="0.35">
      <c r="A176" s="248"/>
      <c r="B176" s="14">
        <v>173</v>
      </c>
      <c r="C176" s="14" t="s">
        <v>425</v>
      </c>
      <c r="D176" s="53" t="s">
        <v>5040</v>
      </c>
      <c r="E176" s="57" t="s">
        <v>9059</v>
      </c>
      <c r="F176" s="7" t="s">
        <v>47</v>
      </c>
      <c r="G176" s="7" t="s">
        <v>44</v>
      </c>
      <c r="H176" s="14" t="s">
        <v>5286</v>
      </c>
      <c r="I176" s="14" t="s">
        <v>5286</v>
      </c>
      <c r="J176" s="112">
        <v>26.586190800000001</v>
      </c>
      <c r="K176" s="113">
        <v>50.080217599999997</v>
      </c>
      <c r="L176" s="137" t="str">
        <f t="shared" si="11"/>
        <v>26.5861908,50.0802176</v>
      </c>
      <c r="M176" s="7" t="s">
        <v>5240</v>
      </c>
      <c r="N176" s="7" t="s">
        <v>5241</v>
      </c>
      <c r="O176" s="9"/>
      <c r="P176" s="32"/>
      <c r="Q176" s="29" t="s">
        <v>11</v>
      </c>
      <c r="R176" s="29" t="s">
        <v>11</v>
      </c>
      <c r="S176" s="29" t="s">
        <v>11</v>
      </c>
      <c r="T176" s="29" t="s">
        <v>11</v>
      </c>
      <c r="U176" s="29" t="s">
        <v>11</v>
      </c>
      <c r="V176" s="29" t="s">
        <v>11</v>
      </c>
      <c r="W176" s="29" t="s">
        <v>11</v>
      </c>
      <c r="X176" s="29" t="s">
        <v>11</v>
      </c>
      <c r="Y176" s="29" t="s">
        <v>11</v>
      </c>
      <c r="Z176" s="29" t="s">
        <v>11</v>
      </c>
      <c r="AA176" s="29" t="s">
        <v>11</v>
      </c>
      <c r="AB176" s="29" t="s">
        <v>11</v>
      </c>
      <c r="AC176" s="29" t="s">
        <v>11</v>
      </c>
      <c r="AD176" s="29" t="s">
        <v>11</v>
      </c>
      <c r="AE176" s="29" t="s">
        <v>11</v>
      </c>
      <c r="AF176" s="110" t="s">
        <v>11</v>
      </c>
      <c r="AG176" s="24">
        <f t="shared" si="8"/>
        <v>0</v>
      </c>
      <c r="AH176" s="24">
        <f t="shared" si="9"/>
        <v>0</v>
      </c>
      <c r="AI176" s="24">
        <f t="shared" si="10"/>
        <v>15</v>
      </c>
      <c r="AJ176" s="41" t="str" cm="1">
        <f t="array" ref="AJ176">_xlfn.IFS(
$AG176=15,"Not Started",
$AI176&lt;15,"In Progress",
$AI176=15,"Completed",
SUM(AG176:AI176)&gt;15,"Error"
)</f>
        <v>Completed</v>
      </c>
    </row>
    <row r="177" spans="1:36" ht="14.5" x14ac:dyDescent="0.35">
      <c r="A177" s="248"/>
      <c r="B177" s="14">
        <v>174</v>
      </c>
      <c r="C177" s="7" t="s">
        <v>426</v>
      </c>
      <c r="D177" s="53" t="s">
        <v>5041</v>
      </c>
      <c r="E177" s="57" t="s">
        <v>9060</v>
      </c>
      <c r="F177" s="7" t="s">
        <v>51</v>
      </c>
      <c r="G177" s="7" t="s">
        <v>44</v>
      </c>
      <c r="H177" s="14" t="s">
        <v>5286</v>
      </c>
      <c r="I177" s="14" t="s">
        <v>5286</v>
      </c>
      <c r="J177" s="112">
        <v>26.572992899999999</v>
      </c>
      <c r="K177" s="113">
        <v>50.047459600000003</v>
      </c>
      <c r="L177" s="137" t="str">
        <f t="shared" si="11"/>
        <v>26.5729929,50.0474596</v>
      </c>
      <c r="M177" s="7" t="s">
        <v>5242</v>
      </c>
      <c r="N177" s="7" t="s">
        <v>5243</v>
      </c>
      <c r="O177" s="9"/>
      <c r="P177" s="32"/>
      <c r="Q177" s="29" t="s">
        <v>11</v>
      </c>
      <c r="R177" s="29" t="s">
        <v>11</v>
      </c>
      <c r="S177" s="29" t="s">
        <v>11</v>
      </c>
      <c r="T177" s="29" t="s">
        <v>11</v>
      </c>
      <c r="U177" s="29" t="s">
        <v>11</v>
      </c>
      <c r="V177" s="29" t="s">
        <v>11</v>
      </c>
      <c r="W177" s="29" t="s">
        <v>11</v>
      </c>
      <c r="X177" s="29" t="s">
        <v>11</v>
      </c>
      <c r="Y177" s="29" t="s">
        <v>11</v>
      </c>
      <c r="Z177" s="29" t="s">
        <v>11</v>
      </c>
      <c r="AA177" s="29" t="s">
        <v>11</v>
      </c>
      <c r="AB177" s="29" t="s">
        <v>11</v>
      </c>
      <c r="AC177" s="29" t="s">
        <v>11</v>
      </c>
      <c r="AD177" s="29" t="s">
        <v>11</v>
      </c>
      <c r="AE177" s="29" t="s">
        <v>11</v>
      </c>
      <c r="AF177" s="110" t="s">
        <v>11</v>
      </c>
      <c r="AG177" s="24">
        <f t="shared" si="8"/>
        <v>0</v>
      </c>
      <c r="AH177" s="24">
        <f t="shared" si="9"/>
        <v>0</v>
      </c>
      <c r="AI177" s="24">
        <f t="shared" si="10"/>
        <v>15</v>
      </c>
      <c r="AJ177" s="41" t="str" cm="1">
        <f t="array" ref="AJ177">_xlfn.IFS(
$AG177=15,"Not Started",
$AI177&lt;15,"In Progress",
$AI177=15,"Completed",
SUM(AG177:AI177)&gt;15,"Error"
)</f>
        <v>Completed</v>
      </c>
    </row>
    <row r="178" spans="1:36" ht="14.5" x14ac:dyDescent="0.35">
      <c r="A178" s="248"/>
      <c r="B178" s="14">
        <v>175</v>
      </c>
      <c r="C178" s="14" t="s">
        <v>427</v>
      </c>
      <c r="D178" s="53" t="s">
        <v>5042</v>
      </c>
      <c r="E178" s="57" t="s">
        <v>9061</v>
      </c>
      <c r="F178" s="7" t="s">
        <v>43</v>
      </c>
      <c r="G178" s="7" t="s">
        <v>44</v>
      </c>
      <c r="H178" s="14" t="s">
        <v>5286</v>
      </c>
      <c r="I178" s="14" t="s">
        <v>5286</v>
      </c>
      <c r="J178" s="112">
        <v>26.577280200000001</v>
      </c>
      <c r="K178" s="113">
        <v>50.023565900000001</v>
      </c>
      <c r="L178" s="137" t="str">
        <f t="shared" si="11"/>
        <v>26.5772802,50.0235659</v>
      </c>
      <c r="M178" s="7" t="s">
        <v>5244</v>
      </c>
      <c r="N178" s="7" t="s">
        <v>5245</v>
      </c>
      <c r="O178" s="9"/>
      <c r="P178" s="32"/>
      <c r="Q178" s="29" t="s">
        <v>11</v>
      </c>
      <c r="R178" s="29" t="s">
        <v>11</v>
      </c>
      <c r="S178" s="29" t="s">
        <v>11</v>
      </c>
      <c r="T178" s="29" t="s">
        <v>11</v>
      </c>
      <c r="U178" s="29" t="s">
        <v>11</v>
      </c>
      <c r="V178" s="29" t="s">
        <v>11</v>
      </c>
      <c r="W178" s="29" t="s">
        <v>11</v>
      </c>
      <c r="X178" s="29" t="s">
        <v>11</v>
      </c>
      <c r="Y178" s="29" t="s">
        <v>11</v>
      </c>
      <c r="Z178" s="29" t="s">
        <v>11</v>
      </c>
      <c r="AA178" s="29" t="s">
        <v>11</v>
      </c>
      <c r="AB178" s="29" t="s">
        <v>11</v>
      </c>
      <c r="AC178" s="29" t="s">
        <v>11</v>
      </c>
      <c r="AD178" s="29" t="s">
        <v>11</v>
      </c>
      <c r="AE178" s="29" t="s">
        <v>11</v>
      </c>
      <c r="AF178" s="110" t="s">
        <v>11</v>
      </c>
      <c r="AG178" s="24">
        <f t="shared" si="8"/>
        <v>0</v>
      </c>
      <c r="AH178" s="24">
        <f t="shared" si="9"/>
        <v>0</v>
      </c>
      <c r="AI178" s="24">
        <f t="shared" si="10"/>
        <v>15</v>
      </c>
      <c r="AJ178" s="41" t="str" cm="1">
        <f t="array" ref="AJ178">_xlfn.IFS(
$AG178=15,"Not Started",
$AI178&lt;15,"In Progress",
$AI178=15,"Completed",
SUM(AG178:AI178)&gt;15,"Error"
)</f>
        <v>Completed</v>
      </c>
    </row>
    <row r="179" spans="1:36" ht="14.5" x14ac:dyDescent="0.35">
      <c r="A179" s="248"/>
      <c r="B179" s="14">
        <v>176</v>
      </c>
      <c r="C179" s="7" t="s">
        <v>428</v>
      </c>
      <c r="D179" s="53" t="s">
        <v>5043</v>
      </c>
      <c r="E179" s="57" t="s">
        <v>9062</v>
      </c>
      <c r="F179" s="7" t="s">
        <v>47</v>
      </c>
      <c r="G179" s="7" t="s">
        <v>44</v>
      </c>
      <c r="H179" s="14" t="s">
        <v>5286</v>
      </c>
      <c r="I179" s="14" t="s">
        <v>5286</v>
      </c>
      <c r="J179" s="112">
        <v>26.565231300000001</v>
      </c>
      <c r="K179" s="113">
        <v>49.989747000000001</v>
      </c>
      <c r="L179" s="137" t="str">
        <f t="shared" si="11"/>
        <v>26.5652313,49.989747</v>
      </c>
      <c r="M179" s="7" t="s">
        <v>5246</v>
      </c>
      <c r="N179" s="7">
        <v>10006296243</v>
      </c>
      <c r="O179" s="9"/>
      <c r="P179" s="32"/>
      <c r="Q179" s="29" t="s">
        <v>11</v>
      </c>
      <c r="R179" s="29" t="s">
        <v>11</v>
      </c>
      <c r="S179" s="29" t="s">
        <v>11</v>
      </c>
      <c r="T179" s="29" t="s">
        <v>11</v>
      </c>
      <c r="U179" s="29" t="s">
        <v>11</v>
      </c>
      <c r="V179" s="29" t="s">
        <v>11</v>
      </c>
      <c r="W179" s="29" t="s">
        <v>11</v>
      </c>
      <c r="X179" s="29" t="s">
        <v>11</v>
      </c>
      <c r="Y179" s="29" t="s">
        <v>11</v>
      </c>
      <c r="Z179" s="29" t="s">
        <v>11</v>
      </c>
      <c r="AA179" s="29" t="s">
        <v>11</v>
      </c>
      <c r="AB179" s="29" t="s">
        <v>11</v>
      </c>
      <c r="AC179" s="29" t="s">
        <v>11</v>
      </c>
      <c r="AD179" s="29" t="s">
        <v>11</v>
      </c>
      <c r="AE179" s="29" t="s">
        <v>11</v>
      </c>
      <c r="AF179" s="110" t="s">
        <v>11</v>
      </c>
      <c r="AG179" s="24">
        <f t="shared" si="8"/>
        <v>0</v>
      </c>
      <c r="AH179" s="24">
        <f t="shared" si="9"/>
        <v>0</v>
      </c>
      <c r="AI179" s="24">
        <f t="shared" si="10"/>
        <v>15</v>
      </c>
      <c r="AJ179" s="41" t="str" cm="1">
        <f t="array" ref="AJ179">_xlfn.IFS(
$AG179=15,"Not Started",
$AI179&lt;15,"In Progress",
$AI179=15,"Completed",
SUM(AG179:AI179)&gt;15,"Error"
)</f>
        <v>Completed</v>
      </c>
    </row>
    <row r="180" spans="1:36" ht="14.5" x14ac:dyDescent="0.35">
      <c r="A180" s="248"/>
      <c r="B180" s="14">
        <v>177</v>
      </c>
      <c r="C180" s="14" t="s">
        <v>429</v>
      </c>
      <c r="D180" s="53" t="s">
        <v>5044</v>
      </c>
      <c r="E180" s="57" t="s">
        <v>9063</v>
      </c>
      <c r="F180" s="7" t="s">
        <v>43</v>
      </c>
      <c r="G180" s="7" t="s">
        <v>44</v>
      </c>
      <c r="H180" s="14" t="s">
        <v>5286</v>
      </c>
      <c r="I180" s="14" t="s">
        <v>5286</v>
      </c>
      <c r="J180" s="112">
        <v>26.576941300000001</v>
      </c>
      <c r="K180" s="113">
        <v>50.047856799999998</v>
      </c>
      <c r="L180" s="137" t="str">
        <f t="shared" si="11"/>
        <v>26.5769413,50.0478568</v>
      </c>
      <c r="M180" s="7" t="s">
        <v>5247</v>
      </c>
      <c r="N180" s="7" t="s">
        <v>5248</v>
      </c>
      <c r="O180" s="9"/>
      <c r="P180" s="32"/>
      <c r="Q180" s="29" t="s">
        <v>11</v>
      </c>
      <c r="R180" s="29" t="s">
        <v>11</v>
      </c>
      <c r="S180" s="29" t="s">
        <v>11</v>
      </c>
      <c r="T180" s="29" t="s">
        <v>11</v>
      </c>
      <c r="U180" s="29" t="s">
        <v>11</v>
      </c>
      <c r="V180" s="29" t="s">
        <v>11</v>
      </c>
      <c r="W180" s="29" t="s">
        <v>11</v>
      </c>
      <c r="X180" s="29" t="s">
        <v>11</v>
      </c>
      <c r="Y180" s="29" t="s">
        <v>11</v>
      </c>
      <c r="Z180" s="29" t="s">
        <v>11</v>
      </c>
      <c r="AA180" s="29" t="s">
        <v>11</v>
      </c>
      <c r="AB180" s="29" t="s">
        <v>11</v>
      </c>
      <c r="AC180" s="29" t="s">
        <v>11</v>
      </c>
      <c r="AD180" s="29" t="s">
        <v>11</v>
      </c>
      <c r="AE180" s="29" t="s">
        <v>11</v>
      </c>
      <c r="AF180" s="110" t="s">
        <v>11</v>
      </c>
      <c r="AG180" s="24">
        <f t="shared" si="8"/>
        <v>0</v>
      </c>
      <c r="AH180" s="24">
        <f t="shared" si="9"/>
        <v>0</v>
      </c>
      <c r="AI180" s="24">
        <f t="shared" si="10"/>
        <v>15</v>
      </c>
      <c r="AJ180" s="41" t="str" cm="1">
        <f t="array" ref="AJ180">_xlfn.IFS(
$AG180=15,"Not Started",
$AI180&lt;15,"In Progress",
$AI180=15,"Completed",
SUM(AG180:AI180)&gt;15,"Error"
)</f>
        <v>Completed</v>
      </c>
    </row>
    <row r="181" spans="1:36" ht="14.5" x14ac:dyDescent="0.35">
      <c r="A181" s="248"/>
      <c r="B181" s="14">
        <v>178</v>
      </c>
      <c r="C181" s="7" t="s">
        <v>430</v>
      </c>
      <c r="D181" s="53" t="s">
        <v>5045</v>
      </c>
      <c r="E181" s="57" t="s">
        <v>9064</v>
      </c>
      <c r="F181" s="7" t="s">
        <v>47</v>
      </c>
      <c r="G181" s="7" t="s">
        <v>44</v>
      </c>
      <c r="H181" s="14" t="s">
        <v>5286</v>
      </c>
      <c r="I181" s="14" t="s">
        <v>5286</v>
      </c>
      <c r="J181" s="112">
        <v>26.576636700000002</v>
      </c>
      <c r="K181" s="113">
        <v>50.047733000000001</v>
      </c>
      <c r="L181" s="137" t="str">
        <f t="shared" si="11"/>
        <v>26.5766367,50.047733</v>
      </c>
      <c r="M181" s="7" t="s">
        <v>5249</v>
      </c>
      <c r="N181" s="7">
        <v>10006258242</v>
      </c>
      <c r="O181" s="9"/>
      <c r="P181" s="32"/>
      <c r="Q181" s="29" t="s">
        <v>11</v>
      </c>
      <c r="R181" s="29" t="s">
        <v>11</v>
      </c>
      <c r="S181" s="29" t="s">
        <v>11</v>
      </c>
      <c r="T181" s="29" t="s">
        <v>11</v>
      </c>
      <c r="U181" s="29" t="s">
        <v>11</v>
      </c>
      <c r="V181" s="29" t="s">
        <v>11</v>
      </c>
      <c r="W181" s="29" t="s">
        <v>11</v>
      </c>
      <c r="X181" s="29" t="s">
        <v>11</v>
      </c>
      <c r="Y181" s="29" t="s">
        <v>11</v>
      </c>
      <c r="Z181" s="29" t="s">
        <v>11</v>
      </c>
      <c r="AA181" s="29" t="s">
        <v>11</v>
      </c>
      <c r="AB181" s="29" t="s">
        <v>11</v>
      </c>
      <c r="AC181" s="29" t="s">
        <v>11</v>
      </c>
      <c r="AD181" s="29" t="s">
        <v>11</v>
      </c>
      <c r="AE181" s="29" t="s">
        <v>11</v>
      </c>
      <c r="AF181" s="110" t="s">
        <v>11</v>
      </c>
      <c r="AG181" s="24">
        <f t="shared" si="8"/>
        <v>0</v>
      </c>
      <c r="AH181" s="24">
        <f t="shared" si="9"/>
        <v>0</v>
      </c>
      <c r="AI181" s="24">
        <f t="shared" si="10"/>
        <v>15</v>
      </c>
      <c r="AJ181" s="41" t="str" cm="1">
        <f t="array" ref="AJ181">_xlfn.IFS(
$AG181=15,"Not Started",
$AI181&lt;15,"In Progress",
$AI181=15,"Completed",
SUM(AG181:AI181)&gt;15,"Error"
)</f>
        <v>Completed</v>
      </c>
    </row>
    <row r="182" spans="1:36" ht="14.5" x14ac:dyDescent="0.35">
      <c r="A182" s="248"/>
      <c r="B182" s="14">
        <v>179</v>
      </c>
      <c r="C182" s="14" t="s">
        <v>431</v>
      </c>
      <c r="D182" s="53" t="s">
        <v>5046</v>
      </c>
      <c r="E182" s="57" t="s">
        <v>9065</v>
      </c>
      <c r="F182" s="7" t="s">
        <v>51</v>
      </c>
      <c r="G182" s="7" t="s">
        <v>44</v>
      </c>
      <c r="H182" s="14" t="s">
        <v>5286</v>
      </c>
      <c r="I182" s="14" t="s">
        <v>5286</v>
      </c>
      <c r="J182" s="112">
        <v>26.5723409</v>
      </c>
      <c r="K182" s="113">
        <v>49.9879137</v>
      </c>
      <c r="L182" s="137" t="str">
        <f t="shared" si="11"/>
        <v>26.5723409,49.9879137</v>
      </c>
      <c r="M182" s="7" t="s">
        <v>5250</v>
      </c>
      <c r="N182" s="7">
        <v>10006296074</v>
      </c>
      <c r="O182" s="9"/>
      <c r="P182" s="32"/>
      <c r="Q182" s="29" t="s">
        <v>11</v>
      </c>
      <c r="R182" s="29" t="s">
        <v>11</v>
      </c>
      <c r="S182" s="29" t="s">
        <v>11</v>
      </c>
      <c r="T182" s="29" t="s">
        <v>11</v>
      </c>
      <c r="U182" s="29" t="s">
        <v>11</v>
      </c>
      <c r="V182" s="29" t="s">
        <v>11</v>
      </c>
      <c r="W182" s="29" t="s">
        <v>11</v>
      </c>
      <c r="X182" s="29" t="s">
        <v>11</v>
      </c>
      <c r="Y182" s="29" t="s">
        <v>11</v>
      </c>
      <c r="Z182" s="29" t="s">
        <v>11</v>
      </c>
      <c r="AA182" s="29" t="s">
        <v>11</v>
      </c>
      <c r="AB182" s="29" t="s">
        <v>11</v>
      </c>
      <c r="AC182" s="29" t="s">
        <v>11</v>
      </c>
      <c r="AD182" s="29" t="s">
        <v>11</v>
      </c>
      <c r="AE182" s="29" t="s">
        <v>11</v>
      </c>
      <c r="AF182" s="110" t="s">
        <v>11</v>
      </c>
      <c r="AG182" s="24">
        <f t="shared" si="8"/>
        <v>0</v>
      </c>
      <c r="AH182" s="24">
        <f t="shared" si="9"/>
        <v>0</v>
      </c>
      <c r="AI182" s="24">
        <f t="shared" si="10"/>
        <v>15</v>
      </c>
      <c r="AJ182" s="41" t="str" cm="1">
        <f t="array" ref="AJ182">_xlfn.IFS(
$AG182=15,"Not Started",
$AI182&lt;15,"In Progress",
$AI182=15,"Completed",
SUM(AG182:AI182)&gt;15,"Error"
)</f>
        <v>Completed</v>
      </c>
    </row>
    <row r="183" spans="1:36" ht="14.5" x14ac:dyDescent="0.35">
      <c r="A183" s="248"/>
      <c r="B183" s="14">
        <v>180</v>
      </c>
      <c r="C183" s="7" t="s">
        <v>432</v>
      </c>
      <c r="D183" s="53" t="s">
        <v>5047</v>
      </c>
      <c r="E183" s="57" t="s">
        <v>9066</v>
      </c>
      <c r="F183" s="7" t="s">
        <v>43</v>
      </c>
      <c r="G183" s="7" t="s">
        <v>44</v>
      </c>
      <c r="H183" s="14" t="s">
        <v>5286</v>
      </c>
      <c r="I183" s="14" t="s">
        <v>5286</v>
      </c>
      <c r="J183" s="112">
        <v>26.572272699999999</v>
      </c>
      <c r="K183" s="113">
        <v>49.987810699999997</v>
      </c>
      <c r="L183" s="137" t="str">
        <f t="shared" si="11"/>
        <v>26.5722727,49.9878107</v>
      </c>
      <c r="M183" s="7" t="s">
        <v>5251</v>
      </c>
      <c r="N183" s="7">
        <v>10006296092</v>
      </c>
      <c r="O183" s="9"/>
      <c r="P183" s="32"/>
      <c r="Q183" s="29" t="s">
        <v>11</v>
      </c>
      <c r="R183" s="29" t="s">
        <v>11</v>
      </c>
      <c r="S183" s="29" t="s">
        <v>11</v>
      </c>
      <c r="T183" s="29" t="s">
        <v>11</v>
      </c>
      <c r="U183" s="29" t="s">
        <v>11</v>
      </c>
      <c r="V183" s="29" t="s">
        <v>11</v>
      </c>
      <c r="W183" s="29" t="s">
        <v>11</v>
      </c>
      <c r="X183" s="29" t="s">
        <v>11</v>
      </c>
      <c r="Y183" s="29" t="s">
        <v>11</v>
      </c>
      <c r="Z183" s="29" t="s">
        <v>11</v>
      </c>
      <c r="AA183" s="29" t="s">
        <v>11</v>
      </c>
      <c r="AB183" s="29" t="s">
        <v>11</v>
      </c>
      <c r="AC183" s="29" t="s">
        <v>11</v>
      </c>
      <c r="AD183" s="29" t="s">
        <v>11</v>
      </c>
      <c r="AE183" s="29" t="s">
        <v>11</v>
      </c>
      <c r="AF183" s="110" t="s">
        <v>11</v>
      </c>
      <c r="AG183" s="24">
        <f t="shared" si="8"/>
        <v>0</v>
      </c>
      <c r="AH183" s="24">
        <f t="shared" si="9"/>
        <v>0</v>
      </c>
      <c r="AI183" s="24">
        <f t="shared" si="10"/>
        <v>15</v>
      </c>
      <c r="AJ183" s="41" t="str" cm="1">
        <f t="array" ref="AJ183">_xlfn.IFS(
$AG183=15,"Not Started",
$AI183&lt;15,"In Progress",
$AI183=15,"Completed",
SUM(AG183:AI183)&gt;15,"Error"
)</f>
        <v>Completed</v>
      </c>
    </row>
    <row r="184" spans="1:36" ht="14.5" x14ac:dyDescent="0.35">
      <c r="A184" s="248"/>
      <c r="B184" s="14">
        <v>181</v>
      </c>
      <c r="C184" s="14" t="s">
        <v>433</v>
      </c>
      <c r="D184" s="53" t="s">
        <v>5048</v>
      </c>
      <c r="E184" s="57" t="s">
        <v>9067</v>
      </c>
      <c r="F184" s="7" t="s">
        <v>47</v>
      </c>
      <c r="G184" s="7" t="s">
        <v>44</v>
      </c>
      <c r="H184" s="14" t="s">
        <v>5286</v>
      </c>
      <c r="I184" s="14" t="s">
        <v>5286</v>
      </c>
      <c r="J184" s="112">
        <v>26.581329199999999</v>
      </c>
      <c r="K184" s="113">
        <v>50.009613899999998</v>
      </c>
      <c r="L184" s="137" t="str">
        <f t="shared" si="11"/>
        <v>26.5813292,50.0096139</v>
      </c>
      <c r="M184" s="7" t="s">
        <v>5252</v>
      </c>
      <c r="N184" s="7" t="s">
        <v>5253</v>
      </c>
      <c r="O184" s="9"/>
      <c r="P184" s="32"/>
      <c r="Q184" s="29" t="s">
        <v>11</v>
      </c>
      <c r="R184" s="29" t="s">
        <v>11</v>
      </c>
      <c r="S184" s="29" t="s">
        <v>11</v>
      </c>
      <c r="T184" s="29" t="s">
        <v>11</v>
      </c>
      <c r="U184" s="29" t="s">
        <v>11</v>
      </c>
      <c r="V184" s="29" t="s">
        <v>11</v>
      </c>
      <c r="W184" s="29" t="s">
        <v>11</v>
      </c>
      <c r="X184" s="29" t="s">
        <v>11</v>
      </c>
      <c r="Y184" s="29" t="s">
        <v>11</v>
      </c>
      <c r="Z184" s="29" t="s">
        <v>11</v>
      </c>
      <c r="AA184" s="29" t="s">
        <v>11</v>
      </c>
      <c r="AB184" s="29" t="s">
        <v>11</v>
      </c>
      <c r="AC184" s="29" t="s">
        <v>11</v>
      </c>
      <c r="AD184" s="29" t="s">
        <v>11</v>
      </c>
      <c r="AE184" s="29" t="s">
        <v>11</v>
      </c>
      <c r="AF184" s="110" t="s">
        <v>11</v>
      </c>
      <c r="AG184" s="24">
        <f t="shared" si="8"/>
        <v>0</v>
      </c>
      <c r="AH184" s="24">
        <f t="shared" si="9"/>
        <v>0</v>
      </c>
      <c r="AI184" s="24">
        <f t="shared" si="10"/>
        <v>15</v>
      </c>
      <c r="AJ184" s="41" t="str" cm="1">
        <f t="array" ref="AJ184">_xlfn.IFS(
$AG184=15,"Not Started",
$AI184&lt;15,"In Progress",
$AI184=15,"Completed",
SUM(AG184:AI184)&gt;15,"Error"
)</f>
        <v>Completed</v>
      </c>
    </row>
    <row r="185" spans="1:36" ht="14.5" x14ac:dyDescent="0.35">
      <c r="A185" s="248"/>
      <c r="B185" s="14">
        <v>182</v>
      </c>
      <c r="C185" s="7" t="s">
        <v>434</v>
      </c>
      <c r="D185" s="53" t="s">
        <v>5049</v>
      </c>
      <c r="E185" s="57" t="s">
        <v>9068</v>
      </c>
      <c r="F185" s="7" t="s">
        <v>43</v>
      </c>
      <c r="G185" s="7" t="s">
        <v>44</v>
      </c>
      <c r="H185" s="14" t="s">
        <v>5286</v>
      </c>
      <c r="I185" s="14" t="s">
        <v>5286</v>
      </c>
      <c r="J185" s="112">
        <v>26.552368000000001</v>
      </c>
      <c r="K185" s="113">
        <v>50.009008100000003</v>
      </c>
      <c r="L185" s="137" t="str">
        <f t="shared" si="11"/>
        <v>26.552368,50.0090081</v>
      </c>
      <c r="M185" s="7" t="s">
        <v>5254</v>
      </c>
      <c r="N185" s="7" t="s">
        <v>5255</v>
      </c>
      <c r="O185" s="9"/>
      <c r="P185" s="32"/>
      <c r="Q185" s="29" t="s">
        <v>11</v>
      </c>
      <c r="R185" s="29" t="s">
        <v>11</v>
      </c>
      <c r="S185" s="29" t="s">
        <v>11</v>
      </c>
      <c r="T185" s="29" t="s">
        <v>11</v>
      </c>
      <c r="U185" s="29" t="s">
        <v>11</v>
      </c>
      <c r="V185" s="29" t="s">
        <v>11</v>
      </c>
      <c r="W185" s="29" t="s">
        <v>11</v>
      </c>
      <c r="X185" s="29" t="s">
        <v>11</v>
      </c>
      <c r="Y185" s="29" t="s">
        <v>11</v>
      </c>
      <c r="Z185" s="29" t="s">
        <v>11</v>
      </c>
      <c r="AA185" s="29" t="s">
        <v>11</v>
      </c>
      <c r="AB185" s="29" t="s">
        <v>11</v>
      </c>
      <c r="AC185" s="29" t="s">
        <v>11</v>
      </c>
      <c r="AD185" s="29" t="s">
        <v>11</v>
      </c>
      <c r="AE185" s="29" t="s">
        <v>11</v>
      </c>
      <c r="AF185" s="110" t="s">
        <v>11</v>
      </c>
      <c r="AG185" s="24">
        <f t="shared" si="8"/>
        <v>0</v>
      </c>
      <c r="AH185" s="24">
        <f t="shared" si="9"/>
        <v>0</v>
      </c>
      <c r="AI185" s="24">
        <f t="shared" si="10"/>
        <v>15</v>
      </c>
      <c r="AJ185" s="41" t="str" cm="1">
        <f t="array" ref="AJ185">_xlfn.IFS(
$AG185=15,"Not Started",
$AI185&lt;15,"In Progress",
$AI185=15,"Completed",
SUM(AG185:AI185)&gt;15,"Error"
)</f>
        <v>Completed</v>
      </c>
    </row>
    <row r="186" spans="1:36" ht="14.5" x14ac:dyDescent="0.35">
      <c r="A186" s="248"/>
      <c r="B186" s="14">
        <v>183</v>
      </c>
      <c r="C186" s="14" t="s">
        <v>435</v>
      </c>
      <c r="D186" s="53" t="s">
        <v>5050</v>
      </c>
      <c r="E186" s="57" t="s">
        <v>9069</v>
      </c>
      <c r="F186" s="7" t="s">
        <v>43</v>
      </c>
      <c r="G186" s="7" t="s">
        <v>44</v>
      </c>
      <c r="H186" s="14" t="s">
        <v>5286</v>
      </c>
      <c r="I186" s="14" t="s">
        <v>5286</v>
      </c>
      <c r="J186" s="112">
        <v>26.553410599999999</v>
      </c>
      <c r="K186" s="113">
        <v>50.0026589</v>
      </c>
      <c r="L186" s="137" t="str">
        <f t="shared" si="11"/>
        <v>26.5534106,50.0026589</v>
      </c>
      <c r="M186" s="7" t="s">
        <v>5256</v>
      </c>
      <c r="N186" s="7" t="s">
        <v>5257</v>
      </c>
      <c r="O186" s="9"/>
      <c r="P186" s="32"/>
      <c r="Q186" s="29" t="s">
        <v>11</v>
      </c>
      <c r="R186" s="29" t="s">
        <v>11</v>
      </c>
      <c r="S186" s="29" t="s">
        <v>11</v>
      </c>
      <c r="T186" s="29" t="s">
        <v>11</v>
      </c>
      <c r="U186" s="29" t="s">
        <v>11</v>
      </c>
      <c r="V186" s="29" t="s">
        <v>11</v>
      </c>
      <c r="W186" s="29" t="s">
        <v>11</v>
      </c>
      <c r="X186" s="29" t="s">
        <v>11</v>
      </c>
      <c r="Y186" s="29" t="s">
        <v>11</v>
      </c>
      <c r="Z186" s="29" t="s">
        <v>11</v>
      </c>
      <c r="AA186" s="29" t="s">
        <v>11</v>
      </c>
      <c r="AB186" s="29" t="s">
        <v>11</v>
      </c>
      <c r="AC186" s="29" t="s">
        <v>11</v>
      </c>
      <c r="AD186" s="29" t="s">
        <v>11</v>
      </c>
      <c r="AE186" s="29" t="s">
        <v>11</v>
      </c>
      <c r="AF186" s="110" t="s">
        <v>11</v>
      </c>
      <c r="AG186" s="24">
        <f t="shared" si="8"/>
        <v>0</v>
      </c>
      <c r="AH186" s="24">
        <f t="shared" si="9"/>
        <v>0</v>
      </c>
      <c r="AI186" s="24">
        <f t="shared" si="10"/>
        <v>15</v>
      </c>
      <c r="AJ186" s="41" t="str" cm="1">
        <f t="array" ref="AJ186">_xlfn.IFS(
$AG186=15,"Not Started",
$AI186&lt;15,"In Progress",
$AI186=15,"Completed",
SUM(AG186:AI186)&gt;15,"Error"
)</f>
        <v>Completed</v>
      </c>
    </row>
    <row r="187" spans="1:36" ht="14.5" x14ac:dyDescent="0.35">
      <c r="A187" s="248"/>
      <c r="B187" s="14">
        <v>184</v>
      </c>
      <c r="C187" s="7" t="s">
        <v>436</v>
      </c>
      <c r="D187" s="53" t="s">
        <v>5051</v>
      </c>
      <c r="E187" s="57" t="s">
        <v>9070</v>
      </c>
      <c r="F187" s="7" t="s">
        <v>51</v>
      </c>
      <c r="G187" s="7" t="s">
        <v>44</v>
      </c>
      <c r="H187" s="14" t="s">
        <v>5286</v>
      </c>
      <c r="I187" s="14" t="s">
        <v>5286</v>
      </c>
      <c r="J187" s="112">
        <v>26.56215649</v>
      </c>
      <c r="K187" s="113">
        <v>50.000279650000003</v>
      </c>
      <c r="L187" s="137" t="str">
        <f t="shared" si="11"/>
        <v>26.56215649,50.00027965</v>
      </c>
      <c r="M187" s="7" t="s">
        <v>5258</v>
      </c>
      <c r="N187" s="7" t="s">
        <v>5259</v>
      </c>
      <c r="O187" s="9"/>
      <c r="P187" s="32"/>
      <c r="Q187" s="29" t="s">
        <v>11</v>
      </c>
      <c r="R187" s="29" t="s">
        <v>11</v>
      </c>
      <c r="S187" s="29" t="s">
        <v>11</v>
      </c>
      <c r="T187" s="29" t="s">
        <v>11</v>
      </c>
      <c r="U187" s="29" t="s">
        <v>11</v>
      </c>
      <c r="V187" s="29" t="s">
        <v>11</v>
      </c>
      <c r="W187" s="29" t="s">
        <v>11</v>
      </c>
      <c r="X187" s="29" t="s">
        <v>11</v>
      </c>
      <c r="Y187" s="29" t="s">
        <v>11</v>
      </c>
      <c r="Z187" s="29" t="s">
        <v>11</v>
      </c>
      <c r="AA187" s="29" t="s">
        <v>11</v>
      </c>
      <c r="AB187" s="29" t="s">
        <v>11</v>
      </c>
      <c r="AC187" s="29" t="s">
        <v>11</v>
      </c>
      <c r="AD187" s="29" t="s">
        <v>11</v>
      </c>
      <c r="AE187" s="29" t="s">
        <v>11</v>
      </c>
      <c r="AF187" s="110" t="s">
        <v>11</v>
      </c>
      <c r="AG187" s="24">
        <f t="shared" si="8"/>
        <v>0</v>
      </c>
      <c r="AH187" s="24">
        <f t="shared" si="9"/>
        <v>0</v>
      </c>
      <c r="AI187" s="24">
        <f t="shared" si="10"/>
        <v>15</v>
      </c>
      <c r="AJ187" s="41" t="str" cm="1">
        <f t="array" ref="AJ187">_xlfn.IFS(
$AG187=15,"Not Started",
$AI187&lt;15,"In Progress",
$AI187=15,"Completed",
SUM(AG187:AI187)&gt;15,"Error"
)</f>
        <v>Completed</v>
      </c>
    </row>
    <row r="188" spans="1:36" ht="14.5" x14ac:dyDescent="0.35">
      <c r="A188" s="248"/>
      <c r="B188" s="14">
        <v>185</v>
      </c>
      <c r="C188" s="14" t="s">
        <v>437</v>
      </c>
      <c r="D188" s="53" t="s">
        <v>5052</v>
      </c>
      <c r="E188" s="57" t="s">
        <v>9071</v>
      </c>
      <c r="F188" s="7" t="s">
        <v>51</v>
      </c>
      <c r="G188" s="7" t="s">
        <v>44</v>
      </c>
      <c r="H188" s="14" t="s">
        <v>5286</v>
      </c>
      <c r="I188" s="14" t="s">
        <v>5286</v>
      </c>
      <c r="J188" s="112">
        <v>26.57283237</v>
      </c>
      <c r="K188" s="113">
        <v>50.00977804</v>
      </c>
      <c r="L188" s="137" t="str">
        <f t="shared" si="11"/>
        <v>26.57283237,50.00977804</v>
      </c>
      <c r="M188" s="7" t="s">
        <v>5260</v>
      </c>
      <c r="N188" s="7" t="s">
        <v>5261</v>
      </c>
      <c r="O188" s="9"/>
      <c r="P188" s="32"/>
      <c r="Q188" s="29" t="s">
        <v>11</v>
      </c>
      <c r="R188" s="29" t="s">
        <v>11</v>
      </c>
      <c r="S188" s="29" t="s">
        <v>11</v>
      </c>
      <c r="T188" s="29" t="s">
        <v>11</v>
      </c>
      <c r="U188" s="29" t="s">
        <v>11</v>
      </c>
      <c r="V188" s="29" t="s">
        <v>11</v>
      </c>
      <c r="W188" s="29" t="s">
        <v>11</v>
      </c>
      <c r="X188" s="29" t="s">
        <v>11</v>
      </c>
      <c r="Y188" s="29" t="s">
        <v>11</v>
      </c>
      <c r="Z188" s="29" t="s">
        <v>11</v>
      </c>
      <c r="AA188" s="29" t="s">
        <v>11</v>
      </c>
      <c r="AB188" s="29" t="s">
        <v>11</v>
      </c>
      <c r="AC188" s="29" t="s">
        <v>11</v>
      </c>
      <c r="AD188" s="29" t="s">
        <v>11</v>
      </c>
      <c r="AE188" s="29" t="s">
        <v>11</v>
      </c>
      <c r="AF188" s="110" t="s">
        <v>11</v>
      </c>
      <c r="AG188" s="24">
        <f t="shared" si="8"/>
        <v>0</v>
      </c>
      <c r="AH188" s="24">
        <f t="shared" si="9"/>
        <v>0</v>
      </c>
      <c r="AI188" s="24">
        <f t="shared" si="10"/>
        <v>15</v>
      </c>
      <c r="AJ188" s="41" t="str" cm="1">
        <f t="array" ref="AJ188">_xlfn.IFS(
$AG188=15,"Not Started",
$AI188&lt;15,"In Progress",
$AI188=15,"Completed",
SUM(AG188:AI188)&gt;15,"Error"
)</f>
        <v>Completed</v>
      </c>
    </row>
    <row r="189" spans="1:36" ht="14.5" x14ac:dyDescent="0.35">
      <c r="A189" s="248"/>
      <c r="B189" s="14">
        <v>186</v>
      </c>
      <c r="C189" s="7" t="s">
        <v>438</v>
      </c>
      <c r="D189" s="53" t="s">
        <v>5053</v>
      </c>
      <c r="E189" s="57" t="s">
        <v>9072</v>
      </c>
      <c r="F189" s="7" t="s">
        <v>51</v>
      </c>
      <c r="G189" s="7" t="s">
        <v>44</v>
      </c>
      <c r="H189" s="14" t="s">
        <v>5286</v>
      </c>
      <c r="I189" s="14" t="s">
        <v>5286</v>
      </c>
      <c r="J189" s="112">
        <v>26.561281789999999</v>
      </c>
      <c r="K189" s="113">
        <v>50.007149159999997</v>
      </c>
      <c r="L189" s="137" t="str">
        <f t="shared" si="11"/>
        <v>26.56128179,50.00714916</v>
      </c>
      <c r="M189" s="7" t="s">
        <v>5262</v>
      </c>
      <c r="N189" s="7" t="s">
        <v>5263</v>
      </c>
      <c r="O189" s="9"/>
      <c r="P189" s="32"/>
      <c r="Q189" s="29" t="s">
        <v>11</v>
      </c>
      <c r="R189" s="29" t="s">
        <v>11</v>
      </c>
      <c r="S189" s="29" t="s">
        <v>11</v>
      </c>
      <c r="T189" s="29" t="s">
        <v>11</v>
      </c>
      <c r="U189" s="29" t="s">
        <v>11</v>
      </c>
      <c r="V189" s="29" t="s">
        <v>11</v>
      </c>
      <c r="W189" s="29" t="s">
        <v>11</v>
      </c>
      <c r="X189" s="29" t="s">
        <v>11</v>
      </c>
      <c r="Y189" s="29" t="s">
        <v>11</v>
      </c>
      <c r="Z189" s="29" t="s">
        <v>11</v>
      </c>
      <c r="AA189" s="29" t="s">
        <v>11</v>
      </c>
      <c r="AB189" s="29" t="s">
        <v>11</v>
      </c>
      <c r="AC189" s="29" t="s">
        <v>11</v>
      </c>
      <c r="AD189" s="29" t="s">
        <v>11</v>
      </c>
      <c r="AE189" s="29" t="s">
        <v>11</v>
      </c>
      <c r="AF189" s="110" t="s">
        <v>11</v>
      </c>
      <c r="AG189" s="24">
        <f t="shared" si="8"/>
        <v>0</v>
      </c>
      <c r="AH189" s="24">
        <f t="shared" si="9"/>
        <v>0</v>
      </c>
      <c r="AI189" s="24">
        <f t="shared" si="10"/>
        <v>15</v>
      </c>
      <c r="AJ189" s="41" t="str" cm="1">
        <f t="array" ref="AJ189">_xlfn.IFS(
$AG189=15,"Not Started",
$AI189&lt;15,"In Progress",
$AI189=15,"Completed",
SUM(AG189:AI189)&gt;15,"Error"
)</f>
        <v>Completed</v>
      </c>
    </row>
    <row r="190" spans="1:36" ht="14.5" x14ac:dyDescent="0.35">
      <c r="A190" s="248"/>
      <c r="B190" s="14">
        <v>187</v>
      </c>
      <c r="C190" s="14" t="s">
        <v>439</v>
      </c>
      <c r="D190" s="53" t="s">
        <v>5054</v>
      </c>
      <c r="E190" s="57" t="s">
        <v>9073</v>
      </c>
      <c r="F190" s="7" t="s">
        <v>43</v>
      </c>
      <c r="G190" s="7" t="s">
        <v>44</v>
      </c>
      <c r="H190" s="14" t="s">
        <v>5286</v>
      </c>
      <c r="I190" s="14" t="s">
        <v>5286</v>
      </c>
      <c r="J190" s="112">
        <v>26.565352050000001</v>
      </c>
      <c r="K190" s="113">
        <v>50.009602000000001</v>
      </c>
      <c r="L190" s="137" t="str">
        <f t="shared" si="11"/>
        <v>26.56535205,50.009602</v>
      </c>
      <c r="M190" s="7" t="s">
        <v>5264</v>
      </c>
      <c r="N190" s="7">
        <v>30038901821</v>
      </c>
      <c r="O190" s="9"/>
      <c r="P190" s="32"/>
      <c r="Q190" s="29" t="s">
        <v>11</v>
      </c>
      <c r="R190" s="29" t="s">
        <v>11</v>
      </c>
      <c r="S190" s="29" t="s">
        <v>11</v>
      </c>
      <c r="T190" s="29" t="s">
        <v>11</v>
      </c>
      <c r="U190" s="29" t="s">
        <v>11</v>
      </c>
      <c r="V190" s="29" t="s">
        <v>11</v>
      </c>
      <c r="W190" s="29" t="s">
        <v>11</v>
      </c>
      <c r="X190" s="29" t="s">
        <v>11</v>
      </c>
      <c r="Y190" s="29" t="s">
        <v>11</v>
      </c>
      <c r="Z190" s="29" t="s">
        <v>11</v>
      </c>
      <c r="AA190" s="29" t="s">
        <v>11</v>
      </c>
      <c r="AB190" s="29" t="s">
        <v>11</v>
      </c>
      <c r="AC190" s="29" t="s">
        <v>11</v>
      </c>
      <c r="AD190" s="29" t="s">
        <v>11</v>
      </c>
      <c r="AE190" s="29" t="s">
        <v>11</v>
      </c>
      <c r="AF190" s="110" t="s">
        <v>11</v>
      </c>
      <c r="AG190" s="24">
        <f t="shared" si="8"/>
        <v>0</v>
      </c>
      <c r="AH190" s="24">
        <f t="shared" si="9"/>
        <v>0</v>
      </c>
      <c r="AI190" s="24">
        <f t="shared" si="10"/>
        <v>15</v>
      </c>
      <c r="AJ190" s="41" t="str" cm="1">
        <f t="array" ref="AJ190">_xlfn.IFS(
$AG190=15,"Not Started",
$AI190&lt;15,"In Progress",
$AI190=15,"Completed",
SUM(AG190:AI190)&gt;15,"Error"
)</f>
        <v>Completed</v>
      </c>
    </row>
    <row r="191" spans="1:36" ht="14.5" x14ac:dyDescent="0.35">
      <c r="A191" s="248"/>
      <c r="B191" s="14">
        <v>188</v>
      </c>
      <c r="C191" s="7" t="s">
        <v>440</v>
      </c>
      <c r="D191" s="53" t="s">
        <v>5055</v>
      </c>
      <c r="E191" s="57" t="s">
        <v>9074</v>
      </c>
      <c r="F191" s="7" t="s">
        <v>47</v>
      </c>
      <c r="G191" s="7" t="s">
        <v>44</v>
      </c>
      <c r="H191" s="14" t="s">
        <v>5286</v>
      </c>
      <c r="I191" s="14" t="s">
        <v>5286</v>
      </c>
      <c r="J191" s="112">
        <v>26.525951679999999</v>
      </c>
      <c r="K191" s="113">
        <v>50.028926720000001</v>
      </c>
      <c r="L191" s="137" t="str">
        <f t="shared" si="11"/>
        <v>26.52595168,50.02892672</v>
      </c>
      <c r="M191" s="7" t="s">
        <v>5265</v>
      </c>
      <c r="N191" s="7" t="s">
        <v>5266</v>
      </c>
      <c r="O191" s="9"/>
      <c r="P191" s="32"/>
      <c r="Q191" s="29" t="s">
        <v>11</v>
      </c>
      <c r="R191" s="29" t="s">
        <v>11</v>
      </c>
      <c r="S191" s="29" t="s">
        <v>11</v>
      </c>
      <c r="T191" s="29" t="s">
        <v>11</v>
      </c>
      <c r="U191" s="29" t="s">
        <v>11</v>
      </c>
      <c r="V191" s="29" t="s">
        <v>11</v>
      </c>
      <c r="W191" s="29" t="s">
        <v>11</v>
      </c>
      <c r="X191" s="29" t="s">
        <v>11</v>
      </c>
      <c r="Y191" s="29" t="s">
        <v>11</v>
      </c>
      <c r="Z191" s="29" t="s">
        <v>11</v>
      </c>
      <c r="AA191" s="29" t="s">
        <v>11</v>
      </c>
      <c r="AB191" s="29" t="s">
        <v>11</v>
      </c>
      <c r="AC191" s="29" t="s">
        <v>11</v>
      </c>
      <c r="AD191" s="29" t="s">
        <v>11</v>
      </c>
      <c r="AE191" s="29" t="s">
        <v>11</v>
      </c>
      <c r="AF191" s="110" t="s">
        <v>11</v>
      </c>
      <c r="AG191" s="24">
        <f t="shared" si="8"/>
        <v>0</v>
      </c>
      <c r="AH191" s="24">
        <f t="shared" si="9"/>
        <v>0</v>
      </c>
      <c r="AI191" s="24">
        <f t="shared" si="10"/>
        <v>15</v>
      </c>
      <c r="AJ191" s="41" t="str" cm="1">
        <f t="array" ref="AJ191">_xlfn.IFS(
$AG191=15,"Not Started",
$AI191&lt;15,"In Progress",
$AI191=15,"Completed",
SUM(AG191:AI191)&gt;15,"Error"
)</f>
        <v>Completed</v>
      </c>
    </row>
    <row r="192" spans="1:36" ht="14.5" x14ac:dyDescent="0.35">
      <c r="A192" s="248"/>
      <c r="B192" s="14">
        <v>189</v>
      </c>
      <c r="C192" s="14" t="s">
        <v>441</v>
      </c>
      <c r="D192" s="53" t="s">
        <v>5056</v>
      </c>
      <c r="E192" s="57" t="s">
        <v>9075</v>
      </c>
      <c r="F192" s="7" t="s">
        <v>51</v>
      </c>
      <c r="G192" s="7" t="s">
        <v>44</v>
      </c>
      <c r="H192" s="14" t="s">
        <v>5286</v>
      </c>
      <c r="I192" s="14" t="s">
        <v>5286</v>
      </c>
      <c r="J192" s="112">
        <v>26.520343860000001</v>
      </c>
      <c r="K192" s="113">
        <v>50.028505269999997</v>
      </c>
      <c r="L192" s="137" t="str">
        <f t="shared" si="11"/>
        <v>26.52034386,50.02850527</v>
      </c>
      <c r="M192" s="7" t="s">
        <v>5267</v>
      </c>
      <c r="N192" s="7" t="s">
        <v>5268</v>
      </c>
      <c r="O192" s="9"/>
      <c r="P192" s="32"/>
      <c r="Q192" s="29" t="s">
        <v>11</v>
      </c>
      <c r="R192" s="29" t="s">
        <v>11</v>
      </c>
      <c r="S192" s="29" t="s">
        <v>11</v>
      </c>
      <c r="T192" s="29" t="s">
        <v>11</v>
      </c>
      <c r="U192" s="29" t="s">
        <v>11</v>
      </c>
      <c r="V192" s="29" t="s">
        <v>11</v>
      </c>
      <c r="W192" s="29" t="s">
        <v>11</v>
      </c>
      <c r="X192" s="29" t="s">
        <v>11</v>
      </c>
      <c r="Y192" s="29" t="s">
        <v>11</v>
      </c>
      <c r="Z192" s="29" t="s">
        <v>11</v>
      </c>
      <c r="AA192" s="29" t="s">
        <v>11</v>
      </c>
      <c r="AB192" s="29" t="s">
        <v>11</v>
      </c>
      <c r="AC192" s="29" t="s">
        <v>11</v>
      </c>
      <c r="AD192" s="29" t="s">
        <v>11</v>
      </c>
      <c r="AE192" s="29" t="s">
        <v>11</v>
      </c>
      <c r="AF192" s="110" t="s">
        <v>11</v>
      </c>
      <c r="AG192" s="24">
        <f t="shared" si="8"/>
        <v>0</v>
      </c>
      <c r="AH192" s="24">
        <f t="shared" si="9"/>
        <v>0</v>
      </c>
      <c r="AI192" s="24">
        <f t="shared" si="10"/>
        <v>15</v>
      </c>
      <c r="AJ192" s="41" t="str" cm="1">
        <f t="array" ref="AJ192">_xlfn.IFS(
$AG192=15,"Not Started",
$AI192&lt;15,"In Progress",
$AI192=15,"Completed",
SUM(AG192:AI192)&gt;15,"Error"
)</f>
        <v>Completed</v>
      </c>
    </row>
    <row r="193" spans="1:36" ht="14.5" x14ac:dyDescent="0.35">
      <c r="A193" s="248"/>
      <c r="B193" s="14">
        <v>190</v>
      </c>
      <c r="C193" s="7" t="s">
        <v>442</v>
      </c>
      <c r="D193" s="53" t="s">
        <v>5057</v>
      </c>
      <c r="E193" s="57" t="s">
        <v>9076</v>
      </c>
      <c r="F193" s="7" t="s">
        <v>43</v>
      </c>
      <c r="G193" s="7" t="s">
        <v>44</v>
      </c>
      <c r="H193" s="14" t="s">
        <v>5286</v>
      </c>
      <c r="I193" s="14" t="s">
        <v>5286</v>
      </c>
      <c r="J193" s="112">
        <v>26.547397499999999</v>
      </c>
      <c r="K193" s="113">
        <v>49.990966790000002</v>
      </c>
      <c r="L193" s="137" t="str">
        <f t="shared" si="11"/>
        <v>26.5473975,49.99096679</v>
      </c>
      <c r="M193" s="7" t="s">
        <v>5269</v>
      </c>
      <c r="N193" s="7" t="s">
        <v>5270</v>
      </c>
      <c r="O193" s="9"/>
      <c r="P193" s="32"/>
      <c r="Q193" s="29" t="s">
        <v>11</v>
      </c>
      <c r="R193" s="29" t="s">
        <v>11</v>
      </c>
      <c r="S193" s="29" t="s">
        <v>11</v>
      </c>
      <c r="T193" s="29" t="s">
        <v>11</v>
      </c>
      <c r="U193" s="29" t="s">
        <v>11</v>
      </c>
      <c r="V193" s="29" t="s">
        <v>11</v>
      </c>
      <c r="W193" s="29" t="s">
        <v>11</v>
      </c>
      <c r="X193" s="29" t="s">
        <v>11</v>
      </c>
      <c r="Y193" s="29" t="s">
        <v>11</v>
      </c>
      <c r="Z193" s="29" t="s">
        <v>11</v>
      </c>
      <c r="AA193" s="29" t="s">
        <v>11</v>
      </c>
      <c r="AB193" s="29" t="s">
        <v>11</v>
      </c>
      <c r="AC193" s="29" t="s">
        <v>11</v>
      </c>
      <c r="AD193" s="29" t="s">
        <v>11</v>
      </c>
      <c r="AE193" s="29" t="s">
        <v>11</v>
      </c>
      <c r="AF193" s="110" t="s">
        <v>11</v>
      </c>
      <c r="AG193" s="24">
        <f t="shared" si="8"/>
        <v>0</v>
      </c>
      <c r="AH193" s="24">
        <f t="shared" si="9"/>
        <v>0</v>
      </c>
      <c r="AI193" s="24">
        <f t="shared" si="10"/>
        <v>15</v>
      </c>
      <c r="AJ193" s="41" t="str" cm="1">
        <f t="array" ref="AJ193">_xlfn.IFS(
$AG193=15,"Not Started",
$AI193&lt;15,"In Progress",
$AI193=15,"Completed",
SUM(AG193:AI193)&gt;15,"Error"
)</f>
        <v>Completed</v>
      </c>
    </row>
    <row r="194" spans="1:36" ht="14.5" x14ac:dyDescent="0.35">
      <c r="A194" s="248"/>
      <c r="B194" s="14">
        <v>191</v>
      </c>
      <c r="C194" s="14" t="s">
        <v>443</v>
      </c>
      <c r="D194" s="53" t="s">
        <v>5058</v>
      </c>
      <c r="E194" s="57" t="s">
        <v>9077</v>
      </c>
      <c r="F194" s="7" t="s">
        <v>43</v>
      </c>
      <c r="G194" s="7" t="s">
        <v>44</v>
      </c>
      <c r="H194" s="14" t="s">
        <v>5286</v>
      </c>
      <c r="I194" s="14" t="s">
        <v>5286</v>
      </c>
      <c r="J194" s="112">
        <v>26.649519680000001</v>
      </c>
      <c r="K194" s="113">
        <v>49.954074599999998</v>
      </c>
      <c r="L194" s="137" t="str">
        <f t="shared" si="11"/>
        <v>26.64951968,49.9540746</v>
      </c>
      <c r="M194" s="7" t="s">
        <v>5271</v>
      </c>
      <c r="N194" s="7" t="s">
        <v>5272</v>
      </c>
      <c r="O194" s="9"/>
      <c r="P194" s="32"/>
      <c r="Q194" s="29" t="s">
        <v>11</v>
      </c>
      <c r="R194" s="29" t="s">
        <v>11</v>
      </c>
      <c r="S194" s="29" t="s">
        <v>11</v>
      </c>
      <c r="T194" s="29" t="s">
        <v>11</v>
      </c>
      <c r="U194" s="29" t="s">
        <v>11</v>
      </c>
      <c r="V194" s="29" t="s">
        <v>11</v>
      </c>
      <c r="W194" s="29" t="s">
        <v>11</v>
      </c>
      <c r="X194" s="29" t="s">
        <v>11</v>
      </c>
      <c r="Y194" s="29" t="s">
        <v>11</v>
      </c>
      <c r="Z194" s="29" t="s">
        <v>11</v>
      </c>
      <c r="AA194" s="29" t="s">
        <v>11</v>
      </c>
      <c r="AB194" s="29" t="s">
        <v>11</v>
      </c>
      <c r="AC194" s="29" t="s">
        <v>11</v>
      </c>
      <c r="AD194" s="29" t="s">
        <v>11</v>
      </c>
      <c r="AE194" s="29" t="s">
        <v>11</v>
      </c>
      <c r="AF194" s="110" t="s">
        <v>11</v>
      </c>
      <c r="AG194" s="24">
        <f t="shared" si="8"/>
        <v>0</v>
      </c>
      <c r="AH194" s="24">
        <f t="shared" si="9"/>
        <v>0</v>
      </c>
      <c r="AI194" s="24">
        <f t="shared" si="10"/>
        <v>15</v>
      </c>
      <c r="AJ194" s="41" t="str" cm="1">
        <f t="array" ref="AJ194">_xlfn.IFS(
$AG194=15,"Not Started",
$AI194&lt;15,"In Progress",
$AI194=15,"Completed",
SUM(AG194:AI194)&gt;15,"Error"
)</f>
        <v>Completed</v>
      </c>
    </row>
    <row r="195" spans="1:36" ht="14.5" x14ac:dyDescent="0.35">
      <c r="A195" s="248"/>
      <c r="B195" s="14">
        <v>192</v>
      </c>
      <c r="C195" s="7" t="s">
        <v>444</v>
      </c>
      <c r="D195" s="53" t="s">
        <v>5059</v>
      </c>
      <c r="E195" s="57" t="s">
        <v>9078</v>
      </c>
      <c r="F195" s="7" t="s">
        <v>47</v>
      </c>
      <c r="G195" s="7" t="s">
        <v>44</v>
      </c>
      <c r="H195" s="14" t="s">
        <v>5286</v>
      </c>
      <c r="I195" s="14" t="s">
        <v>5286</v>
      </c>
      <c r="J195" s="112">
        <v>26.655738150000001</v>
      </c>
      <c r="K195" s="113">
        <v>49.950111020000001</v>
      </c>
      <c r="L195" s="137" t="str">
        <f t="shared" si="11"/>
        <v>26.65573815,49.95011102</v>
      </c>
      <c r="M195" s="7" t="s">
        <v>5273</v>
      </c>
      <c r="N195" s="7" t="s">
        <v>5274</v>
      </c>
      <c r="O195" s="9"/>
      <c r="P195" s="32"/>
      <c r="Q195" s="29" t="s">
        <v>11</v>
      </c>
      <c r="R195" s="29" t="s">
        <v>11</v>
      </c>
      <c r="S195" s="29" t="s">
        <v>11</v>
      </c>
      <c r="T195" s="29" t="s">
        <v>11</v>
      </c>
      <c r="U195" s="29" t="s">
        <v>11</v>
      </c>
      <c r="V195" s="29" t="s">
        <v>11</v>
      </c>
      <c r="W195" s="29" t="s">
        <v>11</v>
      </c>
      <c r="X195" s="29" t="s">
        <v>11</v>
      </c>
      <c r="Y195" s="29" t="s">
        <v>11</v>
      </c>
      <c r="Z195" s="29" t="s">
        <v>11</v>
      </c>
      <c r="AA195" s="29" t="s">
        <v>11</v>
      </c>
      <c r="AB195" s="29" t="s">
        <v>11</v>
      </c>
      <c r="AC195" s="29" t="s">
        <v>11</v>
      </c>
      <c r="AD195" s="29" t="s">
        <v>11</v>
      </c>
      <c r="AE195" s="29" t="s">
        <v>11</v>
      </c>
      <c r="AF195" s="110" t="s">
        <v>11</v>
      </c>
      <c r="AG195" s="24">
        <f t="shared" si="8"/>
        <v>0</v>
      </c>
      <c r="AH195" s="24">
        <f t="shared" si="9"/>
        <v>0</v>
      </c>
      <c r="AI195" s="24">
        <f t="shared" si="10"/>
        <v>15</v>
      </c>
      <c r="AJ195" s="41" t="str" cm="1">
        <f t="array" ref="AJ195">_xlfn.IFS(
$AG195=15,"Not Started",
$AI195&lt;15,"In Progress",
$AI195=15,"Completed",
SUM(AG195:AI195)&gt;15,"Error"
)</f>
        <v>Completed</v>
      </c>
    </row>
    <row r="196" spans="1:36" ht="14.5" x14ac:dyDescent="0.35">
      <c r="A196" s="248"/>
      <c r="B196" s="14">
        <v>193</v>
      </c>
      <c r="C196" s="14" t="s">
        <v>445</v>
      </c>
      <c r="D196" s="53" t="s">
        <v>5060</v>
      </c>
      <c r="E196" s="57" t="s">
        <v>9079</v>
      </c>
      <c r="F196" s="7" t="s">
        <v>51</v>
      </c>
      <c r="G196" s="7" t="s">
        <v>44</v>
      </c>
      <c r="H196" s="14" t="s">
        <v>5286</v>
      </c>
      <c r="I196" s="14" t="s">
        <v>5286</v>
      </c>
      <c r="J196" s="112">
        <v>26.585069189999999</v>
      </c>
      <c r="K196" s="113">
        <v>49.982718370000001</v>
      </c>
      <c r="L196" s="137" t="str">
        <f t="shared" si="11"/>
        <v>26.58506919,49.98271837</v>
      </c>
      <c r="M196" s="7" t="s">
        <v>5275</v>
      </c>
      <c r="N196" s="7" t="s">
        <v>5276</v>
      </c>
      <c r="O196" s="9"/>
      <c r="P196" s="32"/>
      <c r="Q196" s="29" t="s">
        <v>11</v>
      </c>
      <c r="R196" s="29" t="s">
        <v>11</v>
      </c>
      <c r="S196" s="29" t="s">
        <v>11</v>
      </c>
      <c r="T196" s="29" t="s">
        <v>11</v>
      </c>
      <c r="U196" s="29" t="s">
        <v>11</v>
      </c>
      <c r="V196" s="29" t="s">
        <v>11</v>
      </c>
      <c r="W196" s="29" t="s">
        <v>11</v>
      </c>
      <c r="X196" s="29" t="s">
        <v>11</v>
      </c>
      <c r="Y196" s="29" t="s">
        <v>11</v>
      </c>
      <c r="Z196" s="29" t="s">
        <v>11</v>
      </c>
      <c r="AA196" s="29" t="s">
        <v>11</v>
      </c>
      <c r="AB196" s="29" t="s">
        <v>11</v>
      </c>
      <c r="AC196" s="29" t="s">
        <v>11</v>
      </c>
      <c r="AD196" s="29" t="s">
        <v>11</v>
      </c>
      <c r="AE196" s="29" t="s">
        <v>11</v>
      </c>
      <c r="AF196" s="110" t="s">
        <v>11</v>
      </c>
      <c r="AG196" s="24">
        <f t="shared" ref="AG196:AG204" si="12">COUNTIF(Q196:AE196,$AG$2)</f>
        <v>0</v>
      </c>
      <c r="AH196" s="24">
        <f t="shared" ref="AH196:AH204" si="13">COUNTIF(Q196:AE196,$AH$2)</f>
        <v>0</v>
      </c>
      <c r="AI196" s="24">
        <f t="shared" ref="AI196:AI204" si="14">COUNTIF(Q196:AE196,$AI$2)</f>
        <v>15</v>
      </c>
      <c r="AJ196" s="41" t="str" cm="1">
        <f t="array" ref="AJ196">_xlfn.IFS(
$AG196=15,"Not Started",
$AI196&lt;15,"In Progress",
$AI196=15,"Completed",
SUM(AG196:AI196)&gt;15,"Error"
)</f>
        <v>Completed</v>
      </c>
    </row>
    <row r="197" spans="1:36" ht="14.5" x14ac:dyDescent="0.35">
      <c r="A197" s="248"/>
      <c r="B197" s="14">
        <v>194</v>
      </c>
      <c r="C197" s="7" t="s">
        <v>446</v>
      </c>
      <c r="D197" s="53" t="s">
        <v>5061</v>
      </c>
      <c r="E197" s="57" t="s">
        <v>9080</v>
      </c>
      <c r="F197" s="7" t="s">
        <v>43</v>
      </c>
      <c r="G197" s="7" t="s">
        <v>44</v>
      </c>
      <c r="H197" s="14" t="s">
        <v>5286</v>
      </c>
      <c r="I197" s="14" t="s">
        <v>5286</v>
      </c>
      <c r="J197" s="112">
        <v>26.586314000000002</v>
      </c>
      <c r="K197" s="113">
        <v>49.978331619999999</v>
      </c>
      <c r="L197" s="137" t="str">
        <f t="shared" ref="L197:L203" si="15">_xlfn.CONCAT(J197,",",K197)</f>
        <v>26.586314,49.97833162</v>
      </c>
      <c r="M197" s="7" t="s">
        <v>5277</v>
      </c>
      <c r="N197" s="7" t="s">
        <v>5278</v>
      </c>
      <c r="O197" s="9"/>
      <c r="P197" s="32"/>
      <c r="Q197" s="29" t="s">
        <v>11</v>
      </c>
      <c r="R197" s="29" t="s">
        <v>11</v>
      </c>
      <c r="S197" s="29" t="s">
        <v>11</v>
      </c>
      <c r="T197" s="29" t="s">
        <v>11</v>
      </c>
      <c r="U197" s="29" t="s">
        <v>11</v>
      </c>
      <c r="V197" s="29" t="s">
        <v>11</v>
      </c>
      <c r="W197" s="29" t="s">
        <v>11</v>
      </c>
      <c r="X197" s="29" t="s">
        <v>11</v>
      </c>
      <c r="Y197" s="29" t="s">
        <v>11</v>
      </c>
      <c r="Z197" s="29" t="s">
        <v>11</v>
      </c>
      <c r="AA197" s="29" t="s">
        <v>11</v>
      </c>
      <c r="AB197" s="29" t="s">
        <v>11</v>
      </c>
      <c r="AC197" s="29" t="s">
        <v>11</v>
      </c>
      <c r="AD197" s="29" t="s">
        <v>11</v>
      </c>
      <c r="AE197" s="29" t="s">
        <v>11</v>
      </c>
      <c r="AF197" s="110" t="s">
        <v>11</v>
      </c>
      <c r="AG197" s="24">
        <f t="shared" si="12"/>
        <v>0</v>
      </c>
      <c r="AH197" s="24">
        <f t="shared" si="13"/>
        <v>0</v>
      </c>
      <c r="AI197" s="24">
        <f t="shared" si="14"/>
        <v>15</v>
      </c>
      <c r="AJ197" s="41" t="str" cm="1">
        <f t="array" ref="AJ197">_xlfn.IFS(
$AG197=15,"Not Started",
$AI197&lt;15,"In Progress",
$AI197=15,"Completed",
SUM(AG197:AI197)&gt;15,"Error"
)</f>
        <v>Completed</v>
      </c>
    </row>
    <row r="198" spans="1:36" ht="14.5" x14ac:dyDescent="0.35">
      <c r="A198" s="248"/>
      <c r="B198" s="14">
        <v>195</v>
      </c>
      <c r="C198" s="14" t="s">
        <v>447</v>
      </c>
      <c r="D198" s="53" t="s">
        <v>5062</v>
      </c>
      <c r="E198" s="57" t="s">
        <v>9081</v>
      </c>
      <c r="F198" s="7" t="s">
        <v>47</v>
      </c>
      <c r="G198" s="7" t="s">
        <v>44</v>
      </c>
      <c r="H198" s="14" t="s">
        <v>5286</v>
      </c>
      <c r="I198" s="14" t="s">
        <v>5286</v>
      </c>
      <c r="J198" s="112">
        <v>26.586341269999998</v>
      </c>
      <c r="K198" s="113">
        <v>49.978367859999999</v>
      </c>
      <c r="L198" s="137" t="str">
        <f t="shared" si="15"/>
        <v>26.58634127,49.97836786</v>
      </c>
      <c r="M198" s="7" t="s">
        <v>5279</v>
      </c>
      <c r="N198" s="7" t="s">
        <v>5280</v>
      </c>
      <c r="O198" s="9"/>
      <c r="P198" s="32"/>
      <c r="Q198" s="29" t="s">
        <v>11</v>
      </c>
      <c r="R198" s="29" t="s">
        <v>11</v>
      </c>
      <c r="S198" s="29" t="s">
        <v>11</v>
      </c>
      <c r="T198" s="29" t="s">
        <v>11</v>
      </c>
      <c r="U198" s="29" t="s">
        <v>11</v>
      </c>
      <c r="V198" s="29" t="s">
        <v>11</v>
      </c>
      <c r="W198" s="29" t="s">
        <v>11</v>
      </c>
      <c r="X198" s="29" t="s">
        <v>11</v>
      </c>
      <c r="Y198" s="29" t="s">
        <v>11</v>
      </c>
      <c r="Z198" s="29" t="s">
        <v>11</v>
      </c>
      <c r="AA198" s="29" t="s">
        <v>11</v>
      </c>
      <c r="AB198" s="29" t="s">
        <v>11</v>
      </c>
      <c r="AC198" s="29" t="s">
        <v>11</v>
      </c>
      <c r="AD198" s="29" t="s">
        <v>11</v>
      </c>
      <c r="AE198" s="29" t="s">
        <v>11</v>
      </c>
      <c r="AF198" s="110" t="s">
        <v>11</v>
      </c>
      <c r="AG198" s="24">
        <f t="shared" si="12"/>
        <v>0</v>
      </c>
      <c r="AH198" s="24">
        <f t="shared" si="13"/>
        <v>0</v>
      </c>
      <c r="AI198" s="24">
        <f t="shared" si="14"/>
        <v>15</v>
      </c>
      <c r="AJ198" s="41" t="str" cm="1">
        <f t="array" ref="AJ198">_xlfn.IFS(
$AG198=15,"Not Started",
$AI198&lt;15,"In Progress",
$AI198=15,"Completed",
SUM(AG198:AI198)&gt;15,"Error"
)</f>
        <v>Completed</v>
      </c>
    </row>
    <row r="199" spans="1:36" ht="14.5" x14ac:dyDescent="0.35">
      <c r="A199" s="248"/>
      <c r="B199" s="14">
        <v>196</v>
      </c>
      <c r="C199" s="7" t="s">
        <v>448</v>
      </c>
      <c r="D199" s="53" t="s">
        <v>5063</v>
      </c>
      <c r="E199" s="57" t="s">
        <v>9082</v>
      </c>
      <c r="F199" s="7" t="s">
        <v>43</v>
      </c>
      <c r="G199" s="7" t="s">
        <v>44</v>
      </c>
      <c r="H199" s="14" t="s">
        <v>5286</v>
      </c>
      <c r="I199" s="14" t="s">
        <v>5286</v>
      </c>
      <c r="J199" s="112">
        <v>26.586241600000001</v>
      </c>
      <c r="K199" s="113">
        <v>49.979014900000003</v>
      </c>
      <c r="L199" s="137" t="str">
        <f t="shared" si="15"/>
        <v>26.5862416,49.9790149</v>
      </c>
      <c r="M199" s="7" t="s">
        <v>5281</v>
      </c>
      <c r="N199" s="7">
        <v>10006289202</v>
      </c>
      <c r="O199" s="9"/>
      <c r="P199" s="32"/>
      <c r="Q199" s="29" t="s">
        <v>11</v>
      </c>
      <c r="R199" s="29" t="s">
        <v>11</v>
      </c>
      <c r="S199" s="29" t="s">
        <v>11</v>
      </c>
      <c r="T199" s="29" t="s">
        <v>11</v>
      </c>
      <c r="U199" s="29" t="s">
        <v>11</v>
      </c>
      <c r="V199" s="29" t="s">
        <v>11</v>
      </c>
      <c r="W199" s="29" t="s">
        <v>11</v>
      </c>
      <c r="X199" s="29" t="s">
        <v>11</v>
      </c>
      <c r="Y199" s="29" t="s">
        <v>11</v>
      </c>
      <c r="Z199" s="29" t="s">
        <v>11</v>
      </c>
      <c r="AA199" s="29" t="s">
        <v>11</v>
      </c>
      <c r="AB199" s="29" t="s">
        <v>11</v>
      </c>
      <c r="AC199" s="29" t="s">
        <v>11</v>
      </c>
      <c r="AD199" s="29" t="s">
        <v>11</v>
      </c>
      <c r="AE199" s="29" t="s">
        <v>11</v>
      </c>
      <c r="AF199" s="110" t="s">
        <v>11</v>
      </c>
      <c r="AG199" s="24">
        <f t="shared" si="12"/>
        <v>0</v>
      </c>
      <c r="AH199" s="24">
        <f t="shared" si="13"/>
        <v>0</v>
      </c>
      <c r="AI199" s="24">
        <f t="shared" si="14"/>
        <v>15</v>
      </c>
      <c r="AJ199" s="41" t="str" cm="1">
        <f t="array" ref="AJ199">_xlfn.IFS(
$AG199=15,"Not Started",
$AI199&lt;15,"In Progress",
$AI199=15,"Completed",
SUM(AG199:AI199)&gt;15,"Error"
)</f>
        <v>Completed</v>
      </c>
    </row>
    <row r="200" spans="1:36" ht="14.5" x14ac:dyDescent="0.35">
      <c r="A200" s="248"/>
      <c r="B200" s="14">
        <v>197</v>
      </c>
      <c r="C200" s="14" t="s">
        <v>449</v>
      </c>
      <c r="D200" s="53" t="s">
        <v>5064</v>
      </c>
      <c r="E200" s="57" t="s">
        <v>9083</v>
      </c>
      <c r="F200" s="7" t="s">
        <v>51</v>
      </c>
      <c r="G200" s="7" t="s">
        <v>44</v>
      </c>
      <c r="H200" s="14" t="s">
        <v>5286</v>
      </c>
      <c r="I200" s="14" t="s">
        <v>5286</v>
      </c>
      <c r="J200" s="112">
        <v>26.657061219999999</v>
      </c>
      <c r="K200" s="113">
        <v>49.950635949999999</v>
      </c>
      <c r="L200" s="137" t="str">
        <f t="shared" si="15"/>
        <v>26.65706122,49.95063595</v>
      </c>
      <c r="M200" s="7" t="s">
        <v>5282</v>
      </c>
      <c r="N200" s="7">
        <v>10006293241</v>
      </c>
      <c r="O200" s="9"/>
      <c r="P200" s="32"/>
      <c r="Q200" s="29" t="s">
        <v>11</v>
      </c>
      <c r="R200" s="29" t="s">
        <v>11</v>
      </c>
      <c r="S200" s="29" t="s">
        <v>11</v>
      </c>
      <c r="T200" s="29" t="s">
        <v>11</v>
      </c>
      <c r="U200" s="29" t="s">
        <v>11</v>
      </c>
      <c r="V200" s="29" t="s">
        <v>11</v>
      </c>
      <c r="W200" s="29" t="s">
        <v>11</v>
      </c>
      <c r="X200" s="29" t="s">
        <v>11</v>
      </c>
      <c r="Y200" s="29" t="s">
        <v>11</v>
      </c>
      <c r="Z200" s="29" t="s">
        <v>11</v>
      </c>
      <c r="AA200" s="29" t="s">
        <v>11</v>
      </c>
      <c r="AB200" s="29" t="s">
        <v>11</v>
      </c>
      <c r="AC200" s="29" t="s">
        <v>11</v>
      </c>
      <c r="AD200" s="29" t="s">
        <v>11</v>
      </c>
      <c r="AE200" s="29" t="s">
        <v>11</v>
      </c>
      <c r="AF200" s="110" t="s">
        <v>11</v>
      </c>
      <c r="AG200" s="24">
        <f t="shared" si="12"/>
        <v>0</v>
      </c>
      <c r="AH200" s="24">
        <f t="shared" si="13"/>
        <v>0</v>
      </c>
      <c r="AI200" s="24">
        <f t="shared" si="14"/>
        <v>15</v>
      </c>
      <c r="AJ200" s="41" t="str" cm="1">
        <f t="array" ref="AJ200">_xlfn.IFS(
$AG200=15,"Not Started",
$AI200&lt;15,"In Progress",
$AI200=15,"Completed",
SUM(AG200:AI200)&gt;15,"Error"
)</f>
        <v>Completed</v>
      </c>
    </row>
    <row r="201" spans="1:36" ht="14.5" x14ac:dyDescent="0.35">
      <c r="A201" s="248"/>
      <c r="B201" s="14">
        <v>198</v>
      </c>
      <c r="C201" s="7" t="s">
        <v>450</v>
      </c>
      <c r="D201" s="53" t="s">
        <v>5065</v>
      </c>
      <c r="E201" s="57" t="s">
        <v>9084</v>
      </c>
      <c r="F201" s="7" t="s">
        <v>51</v>
      </c>
      <c r="G201" s="7" t="s">
        <v>44</v>
      </c>
      <c r="H201" s="14" t="s">
        <v>5286</v>
      </c>
      <c r="I201" s="14" t="s">
        <v>5286</v>
      </c>
      <c r="J201" s="112">
        <v>26.558625599999999</v>
      </c>
      <c r="K201" s="113">
        <v>50.071885399999999</v>
      </c>
      <c r="L201" s="137" t="str">
        <f t="shared" si="15"/>
        <v>26.5586256,50.0718854</v>
      </c>
      <c r="M201" s="7" t="s">
        <v>5283</v>
      </c>
      <c r="N201" s="7">
        <v>10006284618</v>
      </c>
      <c r="O201" s="9"/>
      <c r="P201" s="32"/>
      <c r="Q201" s="29" t="s">
        <v>11</v>
      </c>
      <c r="R201" s="29" t="s">
        <v>11</v>
      </c>
      <c r="S201" s="29" t="s">
        <v>11</v>
      </c>
      <c r="T201" s="29" t="s">
        <v>11</v>
      </c>
      <c r="U201" s="29" t="s">
        <v>11</v>
      </c>
      <c r="V201" s="29" t="s">
        <v>11</v>
      </c>
      <c r="W201" s="29" t="s">
        <v>11</v>
      </c>
      <c r="X201" s="29" t="s">
        <v>11</v>
      </c>
      <c r="Y201" s="29" t="s">
        <v>11</v>
      </c>
      <c r="Z201" s="29" t="s">
        <v>11</v>
      </c>
      <c r="AA201" s="29" t="s">
        <v>11</v>
      </c>
      <c r="AB201" s="29" t="s">
        <v>11</v>
      </c>
      <c r="AC201" s="29" t="s">
        <v>11</v>
      </c>
      <c r="AD201" s="29" t="s">
        <v>11</v>
      </c>
      <c r="AE201" s="29" t="s">
        <v>11</v>
      </c>
      <c r="AF201" s="110" t="s">
        <v>11</v>
      </c>
      <c r="AG201" s="24">
        <f t="shared" si="12"/>
        <v>0</v>
      </c>
      <c r="AH201" s="24">
        <f t="shared" si="13"/>
        <v>0</v>
      </c>
      <c r="AI201" s="24">
        <f t="shared" si="14"/>
        <v>15</v>
      </c>
      <c r="AJ201" s="41" t="str" cm="1">
        <f t="array" ref="AJ201">_xlfn.IFS(
$AG201=15,"Not Started",
$AI201&lt;15,"In Progress",
$AI201=15,"Completed",
SUM(AG201:AI201)&gt;15,"Error"
)</f>
        <v>Completed</v>
      </c>
    </row>
    <row r="202" spans="1:36" ht="14.5" x14ac:dyDescent="0.35">
      <c r="A202" s="248"/>
      <c r="B202" s="14">
        <v>199</v>
      </c>
      <c r="C202" s="14" t="s">
        <v>451</v>
      </c>
      <c r="D202" s="53" t="s">
        <v>5066</v>
      </c>
      <c r="E202" s="57" t="s">
        <v>9085</v>
      </c>
      <c r="F202" s="7" t="s">
        <v>47</v>
      </c>
      <c r="G202" s="7" t="s">
        <v>48</v>
      </c>
      <c r="H202" s="14" t="s">
        <v>5286</v>
      </c>
      <c r="I202" s="14" t="s">
        <v>5286</v>
      </c>
      <c r="J202" s="112">
        <v>26.566260199999999</v>
      </c>
      <c r="K202" s="113">
        <v>50.010816699999999</v>
      </c>
      <c r="L202" s="137" t="str">
        <f t="shared" si="15"/>
        <v>26.5662602,50.0108167</v>
      </c>
      <c r="M202" s="7" t="s">
        <v>5284</v>
      </c>
      <c r="N202" s="7">
        <v>10006256060</v>
      </c>
      <c r="O202" s="9"/>
      <c r="P202" s="32"/>
      <c r="Q202" s="29" t="s">
        <v>11</v>
      </c>
      <c r="R202" s="29" t="s">
        <v>11</v>
      </c>
      <c r="S202" s="29" t="s">
        <v>11</v>
      </c>
      <c r="T202" s="29" t="s">
        <v>11</v>
      </c>
      <c r="U202" s="29" t="s">
        <v>11</v>
      </c>
      <c r="V202" s="29" t="s">
        <v>11</v>
      </c>
      <c r="W202" s="29" t="s">
        <v>11</v>
      </c>
      <c r="X202" s="29" t="s">
        <v>11</v>
      </c>
      <c r="Y202" s="29" t="s">
        <v>11</v>
      </c>
      <c r="Z202" s="29" t="s">
        <v>11</v>
      </c>
      <c r="AA202" s="29" t="s">
        <v>11</v>
      </c>
      <c r="AB202" s="29" t="s">
        <v>11</v>
      </c>
      <c r="AC202" s="29" t="s">
        <v>11</v>
      </c>
      <c r="AD202" s="29" t="s">
        <v>11</v>
      </c>
      <c r="AE202" s="29" t="s">
        <v>11</v>
      </c>
      <c r="AF202" s="110" t="s">
        <v>11</v>
      </c>
      <c r="AG202" s="24">
        <f t="shared" si="12"/>
        <v>0</v>
      </c>
      <c r="AH202" s="24">
        <f t="shared" si="13"/>
        <v>0</v>
      </c>
      <c r="AI202" s="24">
        <f t="shared" si="14"/>
        <v>15</v>
      </c>
      <c r="AJ202" s="41" t="str" cm="1">
        <f t="array" ref="AJ202">_xlfn.IFS(
$AG202=15,"Not Started",
$AI202&lt;15,"In Progress",
$AI202=15,"Completed",
SUM(AG202:AI202)&gt;15,"Error"
)</f>
        <v>Completed</v>
      </c>
    </row>
    <row r="203" spans="1:36" ht="14.5" x14ac:dyDescent="0.35">
      <c r="A203" s="249"/>
      <c r="B203" s="14">
        <v>200</v>
      </c>
      <c r="C203" s="7" t="s">
        <v>452</v>
      </c>
      <c r="D203" s="101" t="s">
        <v>5067</v>
      </c>
      <c r="E203" s="57" t="s">
        <v>9086</v>
      </c>
      <c r="F203" s="7" t="s">
        <v>51</v>
      </c>
      <c r="G203" s="19" t="s">
        <v>48</v>
      </c>
      <c r="H203" s="14" t="s">
        <v>5286</v>
      </c>
      <c r="I203" s="14" t="s">
        <v>5286</v>
      </c>
      <c r="J203" s="112">
        <v>26.5664099</v>
      </c>
      <c r="K203" s="113">
        <v>50.010457100000004</v>
      </c>
      <c r="L203" s="137" t="str">
        <f t="shared" si="15"/>
        <v>26.5664099,50.0104571</v>
      </c>
      <c r="M203" s="19" t="s">
        <v>5285</v>
      </c>
      <c r="N203" s="19">
        <v>10006251018</v>
      </c>
      <c r="O203" s="20"/>
      <c r="P203" s="33"/>
      <c r="Q203" s="29" t="s">
        <v>11</v>
      </c>
      <c r="R203" s="29" t="s">
        <v>11</v>
      </c>
      <c r="S203" s="29" t="s">
        <v>11</v>
      </c>
      <c r="T203" s="29" t="s">
        <v>11</v>
      </c>
      <c r="U203" s="29" t="s">
        <v>11</v>
      </c>
      <c r="V203" s="29" t="s">
        <v>11</v>
      </c>
      <c r="W203" s="29" t="s">
        <v>11</v>
      </c>
      <c r="X203" s="29" t="s">
        <v>11</v>
      </c>
      <c r="Y203" s="29" t="s">
        <v>11</v>
      </c>
      <c r="Z203" s="29" t="s">
        <v>11</v>
      </c>
      <c r="AA203" s="29" t="s">
        <v>11</v>
      </c>
      <c r="AB203" s="29" t="s">
        <v>11</v>
      </c>
      <c r="AC203" s="29" t="s">
        <v>11</v>
      </c>
      <c r="AD203" s="29" t="s">
        <v>11</v>
      </c>
      <c r="AE203" s="29" t="s">
        <v>11</v>
      </c>
      <c r="AF203" s="110" t="s">
        <v>11</v>
      </c>
      <c r="AG203" s="24">
        <f t="shared" si="12"/>
        <v>0</v>
      </c>
      <c r="AH203" s="24">
        <f t="shared" si="13"/>
        <v>0</v>
      </c>
      <c r="AI203" s="24">
        <f t="shared" si="14"/>
        <v>15</v>
      </c>
      <c r="AJ203" s="41" t="str" cm="1">
        <f t="array" ref="AJ203">_xlfn.IFS(
$AG203=15,"Not Started",
$AI203&lt;15,"In Progress",
$AI203=15,"Completed",
SUM(AG203:AI203)&gt;15,"Error"
)</f>
        <v>Completed</v>
      </c>
    </row>
    <row r="204" spans="1:36" ht="15.75" customHeight="1" x14ac:dyDescent="0.2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137"/>
      <c r="M204" s="67"/>
      <c r="N204" s="67"/>
      <c r="O204" s="250" t="s">
        <v>251</v>
      </c>
      <c r="P204" s="99" t="s">
        <v>11</v>
      </c>
      <c r="Q204" s="72">
        <f>COUNTIF(Q$3:Q$203,"Completed")</f>
        <v>200</v>
      </c>
      <c r="R204" s="72">
        <f t="shared" ref="R204:AF204" si="16">COUNTIF(R$3:R$203,"Completed")</f>
        <v>200</v>
      </c>
      <c r="S204" s="72">
        <f t="shared" si="16"/>
        <v>200</v>
      </c>
      <c r="T204" s="72">
        <f t="shared" si="16"/>
        <v>200</v>
      </c>
      <c r="U204" s="72">
        <f t="shared" si="16"/>
        <v>200</v>
      </c>
      <c r="V204" s="72">
        <f t="shared" si="16"/>
        <v>200</v>
      </c>
      <c r="W204" s="72">
        <f t="shared" si="16"/>
        <v>200</v>
      </c>
      <c r="X204" s="72">
        <f t="shared" si="16"/>
        <v>200</v>
      </c>
      <c r="Y204" s="72">
        <f t="shared" si="16"/>
        <v>200</v>
      </c>
      <c r="Z204" s="72">
        <f t="shared" si="16"/>
        <v>200</v>
      </c>
      <c r="AA204" s="72">
        <f t="shared" si="16"/>
        <v>200</v>
      </c>
      <c r="AB204" s="72">
        <f t="shared" si="16"/>
        <v>200</v>
      </c>
      <c r="AC204" s="72">
        <f t="shared" si="16"/>
        <v>200</v>
      </c>
      <c r="AD204" s="72">
        <f t="shared" si="16"/>
        <v>200</v>
      </c>
      <c r="AE204" s="72">
        <f t="shared" si="16"/>
        <v>200</v>
      </c>
      <c r="AF204" s="72">
        <f t="shared" si="16"/>
        <v>200</v>
      </c>
      <c r="AG204" s="97">
        <f t="shared" si="12"/>
        <v>0</v>
      </c>
      <c r="AH204" s="97">
        <f t="shared" si="13"/>
        <v>0</v>
      </c>
      <c r="AI204" s="97">
        <f t="shared" si="14"/>
        <v>0</v>
      </c>
      <c r="AJ204" s="40" cm="1">
        <f t="array" ref="AJ204">SUM(Q204:AE204/15)</f>
        <v>200.00000000000003</v>
      </c>
    </row>
    <row r="205" spans="1:36" ht="15.75" customHeight="1" x14ac:dyDescent="0.25">
      <c r="L205" s="137"/>
      <c r="O205" s="250"/>
      <c r="P205" s="73" t="s">
        <v>10</v>
      </c>
      <c r="Q205" s="73">
        <f>COUNTIF(Q$3:Q$203,"In Progress")</f>
        <v>0</v>
      </c>
      <c r="R205" s="73">
        <f t="shared" ref="R205:AF205" si="17">COUNTIF(R$3:R$203,"In Progress")</f>
        <v>0</v>
      </c>
      <c r="S205" s="73">
        <f t="shared" si="17"/>
        <v>0</v>
      </c>
      <c r="T205" s="73">
        <f t="shared" si="17"/>
        <v>0</v>
      </c>
      <c r="U205" s="73">
        <f t="shared" si="17"/>
        <v>0</v>
      </c>
      <c r="V205" s="73">
        <f t="shared" si="17"/>
        <v>0</v>
      </c>
      <c r="W205" s="73">
        <f t="shared" si="17"/>
        <v>0</v>
      </c>
      <c r="X205" s="73">
        <f t="shared" si="17"/>
        <v>0</v>
      </c>
      <c r="Y205" s="73">
        <f t="shared" si="17"/>
        <v>0</v>
      </c>
      <c r="Z205" s="73">
        <f t="shared" si="17"/>
        <v>0</v>
      </c>
      <c r="AA205" s="73">
        <f t="shared" si="17"/>
        <v>0</v>
      </c>
      <c r="AB205" s="73">
        <f t="shared" si="17"/>
        <v>0</v>
      </c>
      <c r="AC205" s="73">
        <f t="shared" si="17"/>
        <v>0</v>
      </c>
      <c r="AD205" s="73">
        <f t="shared" si="17"/>
        <v>0</v>
      </c>
      <c r="AE205" s="73">
        <f t="shared" si="17"/>
        <v>0</v>
      </c>
      <c r="AF205" s="73">
        <f t="shared" si="17"/>
        <v>0</v>
      </c>
      <c r="AG205" s="98"/>
      <c r="AH205" s="98"/>
      <c r="AI205" s="98"/>
    </row>
    <row r="206" spans="1:36" ht="15.75" customHeight="1" x14ac:dyDescent="0.25">
      <c r="L206" s="137"/>
      <c r="O206" s="250"/>
      <c r="P206" s="74" t="s">
        <v>9</v>
      </c>
      <c r="Q206" s="74">
        <f>COUNTIF(Q$3:Q$203,"Not Started")</f>
        <v>0</v>
      </c>
      <c r="R206" s="74">
        <f t="shared" ref="R206:AF206" si="18">COUNTIF(R$3:R$203,"Not Started")</f>
        <v>0</v>
      </c>
      <c r="S206" s="74">
        <f t="shared" si="18"/>
        <v>0</v>
      </c>
      <c r="T206" s="74">
        <f t="shared" si="18"/>
        <v>0</v>
      </c>
      <c r="U206" s="74">
        <f t="shared" si="18"/>
        <v>0</v>
      </c>
      <c r="V206" s="74">
        <f t="shared" si="18"/>
        <v>0</v>
      </c>
      <c r="W206" s="74">
        <f t="shared" si="18"/>
        <v>0</v>
      </c>
      <c r="X206" s="74">
        <f t="shared" si="18"/>
        <v>0</v>
      </c>
      <c r="Y206" s="74">
        <f t="shared" si="18"/>
        <v>0</v>
      </c>
      <c r="Z206" s="74">
        <f t="shared" si="18"/>
        <v>0</v>
      </c>
      <c r="AA206" s="74">
        <f t="shared" si="18"/>
        <v>0</v>
      </c>
      <c r="AB206" s="74">
        <f t="shared" si="18"/>
        <v>0</v>
      </c>
      <c r="AC206" s="74">
        <f t="shared" si="18"/>
        <v>0</v>
      </c>
      <c r="AD206" s="74">
        <f t="shared" si="18"/>
        <v>0</v>
      </c>
      <c r="AE206" s="74">
        <f t="shared" si="18"/>
        <v>0</v>
      </c>
      <c r="AF206" s="74">
        <f t="shared" si="18"/>
        <v>0</v>
      </c>
      <c r="AG206" s="98"/>
      <c r="AH206" s="98"/>
      <c r="AI206" s="98"/>
    </row>
  </sheetData>
  <sheetProtection formatCells="0" formatColumns="0" formatRows="0" insertColumns="0" insertRows="0" insertHyperlinks="0" deleteColumns="0" deleteRows="0" sort="0" autoFilter="0" pivotTables="0"/>
  <protectedRanges>
    <protectedRange sqref="C4:AF4 C5:K203 M5:AF203 L5:L206" name="Range1"/>
  </protectedRanges>
  <autoFilter ref="A3:AN204" xr:uid="{55F1C4A6-A3A9-4D9B-951A-7BFDF6F9BE0F}">
    <filterColumn colId="8" showButton="0"/>
  </autoFilter>
  <mergeCells count="15">
    <mergeCell ref="A4:A203"/>
    <mergeCell ref="O204:O206"/>
    <mergeCell ref="AE2:AE3"/>
    <mergeCell ref="AF2:AF3"/>
    <mergeCell ref="AG2:AG3"/>
    <mergeCell ref="AH2:AH3"/>
    <mergeCell ref="AI2:AI3"/>
    <mergeCell ref="AJ2:AJ3"/>
    <mergeCell ref="A2:A3"/>
    <mergeCell ref="C2:O2"/>
    <mergeCell ref="P2:P3"/>
    <mergeCell ref="Q2:T2"/>
    <mergeCell ref="U2:AC2"/>
    <mergeCell ref="AD2:AD3"/>
    <mergeCell ref="J3:K3"/>
  </mergeCells>
  <conditionalFormatting sqref="C4:D203 F4:AI4 F5:K203 M5:AI203 L5:L206">
    <cfRule type="cellIs" dxfId="1959" priority="17" operator="equal">
      <formula>"In Progress"</formula>
    </cfRule>
    <cfRule type="cellIs" dxfId="1958" priority="18" operator="equal">
      <formula>"Completed"</formula>
    </cfRule>
  </conditionalFormatting>
  <conditionalFormatting sqref="Q4:AE203">
    <cfRule type="cellIs" dxfId="1957" priority="13" operator="equal">
      <formula>"Not Started"</formula>
    </cfRule>
  </conditionalFormatting>
  <conditionalFormatting sqref="AJ4:AJ203">
    <cfRule type="cellIs" dxfId="1956" priority="14" operator="equal">
      <formula>"In Progress"</formula>
    </cfRule>
    <cfRule type="cellIs" dxfId="1955" priority="15" operator="equal">
      <formula>"Completed"</formula>
    </cfRule>
    <cfRule type="cellIs" dxfId="1954" priority="16" operator="equal">
      <formula>"Not Started"</formula>
    </cfRule>
  </conditionalFormatting>
  <conditionalFormatting sqref="E5:E8">
    <cfRule type="cellIs" dxfId="1953" priority="11" operator="equal">
      <formula>"In Progress"</formula>
    </cfRule>
    <cfRule type="cellIs" dxfId="1952" priority="12" operator="equal">
      <formula>"Completed"</formula>
    </cfRule>
  </conditionalFormatting>
  <conditionalFormatting sqref="E4">
    <cfRule type="cellIs" dxfId="1951" priority="9" operator="equal">
      <formula>"In Progress"</formula>
    </cfRule>
    <cfRule type="cellIs" dxfId="1950" priority="10" operator="equal">
      <formula>"Completed"</formula>
    </cfRule>
  </conditionalFormatting>
  <conditionalFormatting sqref="E9:E203">
    <cfRule type="cellIs" dxfId="1949" priority="7" operator="equal">
      <formula>"In Progress"</formula>
    </cfRule>
    <cfRule type="cellIs" dxfId="1948" priority="8" operator="equal">
      <formula>"Completed"</formula>
    </cfRule>
  </conditionalFormatting>
  <conditionalFormatting sqref="B4:B203">
    <cfRule type="cellIs" dxfId="1947" priority="5" operator="equal">
      <formula>"In Progress"</formula>
    </cfRule>
    <cfRule type="cellIs" dxfId="1946" priority="6" operator="equal">
      <formula>"Completed"</formula>
    </cfRule>
  </conditionalFormatting>
  <conditionalFormatting sqref="G1:G2 G4:G1048576">
    <cfRule type="containsText" dxfId="1945" priority="3" operator="containsText" text="Girls">
      <formula>NOT(ISERROR(SEARCH("Girls",G1)))</formula>
    </cfRule>
    <cfRule type="containsText" dxfId="1944" priority="4" operator="containsText" text="Boys">
      <formula>NOT(ISERROR(SEARCH("Boys",G1)))</formula>
    </cfRule>
  </conditionalFormatting>
  <conditionalFormatting sqref="AG204:AI204">
    <cfRule type="cellIs" dxfId="1943" priority="1" operator="equal">
      <formula>"In Progress"</formula>
    </cfRule>
    <cfRule type="cellIs" dxfId="1942" priority="2" operator="equal">
      <formula>"Completed"</formula>
    </cfRule>
  </conditionalFormatting>
  <dataValidations disablePrompts="1" count="3">
    <dataValidation type="list" allowBlank="1" showInputMessage="1" showErrorMessage="1" sqref="Q4:AF203" xr:uid="{E5857F4C-6D4E-4A08-B70D-EFFD8BD08E3F}">
      <formula1>$AO$4:$AO$7</formula1>
    </dataValidation>
    <dataValidation type="list" allowBlank="1" showInputMessage="1" showErrorMessage="1" sqref="G4:G203" xr:uid="{FFA9A25C-CCB2-4DFD-A940-42297D2D53FC}">
      <formula1>$AN$4:$AN$6</formula1>
    </dataValidation>
    <dataValidation type="list" allowBlank="1" showInputMessage="1" showErrorMessage="1" sqref="F4:F203" xr:uid="{F577283C-1BDC-400B-AC07-004FBA4E8D8F}">
      <formula1>$AM$4:$AM$9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5BAC-720D-409E-B1EC-CB2993E19A05}">
  <sheetPr>
    <outlinePr summaryBelow="0" summaryRight="0"/>
  </sheetPr>
  <dimension ref="A1:AM206"/>
  <sheetViews>
    <sheetView showGridLines="0" topLeftCell="A196" zoomScale="84" zoomScaleNormal="84" workbookViewId="0">
      <selection activeCell="N14" sqref="N14"/>
    </sheetView>
  </sheetViews>
  <sheetFormatPr defaultColWidth="12.54296875" defaultRowHeight="15.75" customHeight="1" x14ac:dyDescent="0.25"/>
  <cols>
    <col min="1" max="1" width="12.54296875" style="1"/>
    <col min="2" max="2" width="8.54296875" style="1" bestFit="1" customWidth="1"/>
    <col min="3" max="3" width="16" style="54" bestFit="1" customWidth="1"/>
    <col min="4" max="4" width="35.90625" style="58" bestFit="1" customWidth="1"/>
    <col min="5" max="5" width="48.26953125" style="1" customWidth="1"/>
    <col min="6" max="6" width="16.1796875" style="1" bestFit="1" customWidth="1"/>
    <col min="7" max="7" width="8.1796875" style="1" bestFit="1" customWidth="1"/>
    <col min="8" max="8" width="7.81640625" style="1" bestFit="1" customWidth="1"/>
    <col min="9" max="9" width="6.7265625" style="1" bestFit="1" customWidth="1"/>
    <col min="10" max="10" width="36.08984375" style="1" bestFit="1" customWidth="1"/>
    <col min="11" max="11" width="18.54296875" style="1" customWidth="1"/>
    <col min="12" max="16" width="12.54296875" style="1"/>
    <col min="17" max="17" width="14.81640625" style="1" customWidth="1"/>
    <col min="18" max="20" width="15.7265625" style="1" bestFit="1" customWidth="1"/>
    <col min="21" max="21" width="20.1796875" style="1" customWidth="1"/>
    <col min="22" max="35" width="12.54296875" style="1"/>
    <col min="36" max="36" width="37.81640625" style="1" customWidth="1"/>
    <col min="37" max="37" width="18.453125" style="1" hidden="1" customWidth="1"/>
    <col min="38" max="38" width="12.54296875" style="1" hidden="1" customWidth="1"/>
    <col min="39" max="39" width="0" style="1" hidden="1" customWidth="1"/>
    <col min="40" max="16384" width="12.54296875" style="1"/>
  </cols>
  <sheetData>
    <row r="1" spans="1:39" ht="37" customHeight="1" x14ac:dyDescent="0.25">
      <c r="C1" s="51" t="s">
        <v>0</v>
      </c>
      <c r="D1" s="55">
        <v>46084</v>
      </c>
    </row>
    <row r="2" spans="1:39" ht="13" customHeight="1" x14ac:dyDescent="0.25">
      <c r="A2" s="236" t="s">
        <v>1</v>
      </c>
      <c r="B2" s="23"/>
      <c r="C2" s="237" t="s">
        <v>2</v>
      </c>
      <c r="D2" s="238"/>
      <c r="E2" s="238"/>
      <c r="F2" s="238"/>
      <c r="G2" s="238"/>
      <c r="H2" s="238"/>
      <c r="I2" s="238"/>
      <c r="J2" s="238"/>
      <c r="K2" s="238"/>
      <c r="L2" s="238"/>
      <c r="M2" s="239"/>
      <c r="N2" s="253" t="s">
        <v>3</v>
      </c>
      <c r="O2" s="241" t="s">
        <v>4</v>
      </c>
      <c r="P2" s="241"/>
      <c r="Q2" s="241"/>
      <c r="R2" s="241"/>
      <c r="S2" s="241"/>
      <c r="T2" s="243" t="s">
        <v>5</v>
      </c>
      <c r="U2" s="243"/>
      <c r="V2" s="243"/>
      <c r="W2" s="243"/>
      <c r="X2" s="243"/>
      <c r="Y2" s="243"/>
      <c r="Z2" s="243"/>
      <c r="AA2" s="243"/>
      <c r="AB2" s="244" t="s">
        <v>6</v>
      </c>
      <c r="AC2" s="251" t="s">
        <v>7</v>
      </c>
      <c r="AD2" s="252" t="s">
        <v>8</v>
      </c>
      <c r="AE2" s="235" t="s">
        <v>9</v>
      </c>
      <c r="AF2" s="235" t="s">
        <v>10</v>
      </c>
      <c r="AG2" s="235" t="s">
        <v>11</v>
      </c>
      <c r="AH2" s="235" t="s">
        <v>12</v>
      </c>
    </row>
    <row r="3" spans="1:39" s="2" customFormat="1" ht="47" x14ac:dyDescent="0.25">
      <c r="A3" s="236"/>
      <c r="B3" s="23" t="s">
        <v>9669</v>
      </c>
      <c r="C3" s="23" t="s">
        <v>13</v>
      </c>
      <c r="D3" s="23" t="s">
        <v>14</v>
      </c>
      <c r="E3" s="23" t="s">
        <v>15</v>
      </c>
      <c r="F3" s="23" t="s">
        <v>10256</v>
      </c>
      <c r="G3" s="23" t="s">
        <v>17</v>
      </c>
      <c r="H3" s="23" t="s">
        <v>18</v>
      </c>
      <c r="I3" s="23" t="s">
        <v>19</v>
      </c>
      <c r="J3" s="47" t="s">
        <v>2663</v>
      </c>
      <c r="K3" s="23" t="s">
        <v>21</v>
      </c>
      <c r="L3" s="23" t="s">
        <v>22</v>
      </c>
      <c r="M3" s="23" t="s">
        <v>23</v>
      </c>
      <c r="N3" s="254"/>
      <c r="O3" s="42" t="s">
        <v>24</v>
      </c>
      <c r="P3" s="42" t="s">
        <v>25</v>
      </c>
      <c r="Q3" s="42" t="s">
        <v>26</v>
      </c>
      <c r="R3" s="42" t="s">
        <v>27</v>
      </c>
      <c r="S3" s="42" t="s">
        <v>28</v>
      </c>
      <c r="T3" s="43" t="s">
        <v>29</v>
      </c>
      <c r="U3" s="43" t="s">
        <v>30</v>
      </c>
      <c r="V3" s="43" t="s">
        <v>31</v>
      </c>
      <c r="W3" s="43" t="s">
        <v>32</v>
      </c>
      <c r="X3" s="43" t="s">
        <v>33</v>
      </c>
      <c r="Y3" s="43" t="s">
        <v>34</v>
      </c>
      <c r="Z3" s="43" t="s">
        <v>35</v>
      </c>
      <c r="AA3" s="43" t="s">
        <v>36</v>
      </c>
      <c r="AB3" s="244"/>
      <c r="AC3" s="251"/>
      <c r="AD3" s="252"/>
      <c r="AE3" s="235"/>
      <c r="AF3" s="235"/>
      <c r="AG3" s="235"/>
      <c r="AH3" s="235"/>
      <c r="AK3" s="5" t="s">
        <v>16</v>
      </c>
      <c r="AL3" s="5" t="s">
        <v>17</v>
      </c>
      <c r="AM3" s="5" t="s">
        <v>37</v>
      </c>
    </row>
    <row r="4" spans="1:39" ht="15.75" customHeight="1" x14ac:dyDescent="0.25">
      <c r="A4" s="255" t="s">
        <v>1055</v>
      </c>
      <c r="B4" s="78">
        <v>1</v>
      </c>
      <c r="C4" s="63" t="s">
        <v>453</v>
      </c>
      <c r="D4" s="53" t="s">
        <v>2664</v>
      </c>
      <c r="E4" s="57" t="s">
        <v>2863</v>
      </c>
      <c r="F4" s="7" t="s">
        <v>43</v>
      </c>
      <c r="G4" s="7" t="s">
        <v>44</v>
      </c>
      <c r="H4" s="7" t="s">
        <v>3256</v>
      </c>
      <c r="I4" s="7" t="s">
        <v>3256</v>
      </c>
      <c r="J4" s="7" t="s">
        <v>3057</v>
      </c>
      <c r="K4" s="7" t="s">
        <v>3257</v>
      </c>
      <c r="L4" s="7">
        <v>10053560733</v>
      </c>
      <c r="M4" s="7"/>
      <c r="N4" s="7"/>
      <c r="O4" s="29" t="s">
        <v>11</v>
      </c>
      <c r="P4" s="29" t="s">
        <v>11</v>
      </c>
      <c r="Q4" s="29" t="s">
        <v>11</v>
      </c>
      <c r="R4" s="29" t="s">
        <v>11</v>
      </c>
      <c r="S4" s="29" t="s">
        <v>11</v>
      </c>
      <c r="T4" s="29" t="s">
        <v>11</v>
      </c>
      <c r="U4" s="29" t="s">
        <v>11</v>
      </c>
      <c r="V4" s="29" t="s">
        <v>11</v>
      </c>
      <c r="W4" s="29" t="s">
        <v>11</v>
      </c>
      <c r="X4" s="29" t="s">
        <v>11</v>
      </c>
      <c r="Y4" s="29" t="s">
        <v>11</v>
      </c>
      <c r="Z4" s="29" t="s">
        <v>11</v>
      </c>
      <c r="AA4" s="29" t="s">
        <v>11</v>
      </c>
      <c r="AB4" s="29" t="s">
        <v>11</v>
      </c>
      <c r="AC4" s="29" t="s">
        <v>11</v>
      </c>
      <c r="AD4" s="29" t="s">
        <v>11</v>
      </c>
      <c r="AE4" s="24">
        <f t="shared" ref="AE4:AE67" si="0">COUNTIF(O4:AC4,$AE$2)</f>
        <v>0</v>
      </c>
      <c r="AF4" s="24">
        <f t="shared" ref="AF4:AF67" si="1">COUNTIF(O4:AC4,$AF$2)</f>
        <v>0</v>
      </c>
      <c r="AG4" s="24">
        <f t="shared" ref="AG4:AG67" si="2">COUNTIF(O4:AC4,$AG$2)</f>
        <v>15</v>
      </c>
      <c r="AH4" s="41" t="str" cm="1">
        <f t="array" ref="AH4">_xlfn.IFS(
$AE4=15,"Not Started",
$AG4&lt;15,"In Progress",
$AG4=15,"Completed",
SUM(AE4:AG4)&gt;15,"Error"
)</f>
        <v>Completed</v>
      </c>
      <c r="AK4" s="3" t="s">
        <v>43</v>
      </c>
      <c r="AL4" s="3" t="s">
        <v>44</v>
      </c>
      <c r="AM4" s="3" t="s">
        <v>9</v>
      </c>
    </row>
    <row r="5" spans="1:39" ht="13" x14ac:dyDescent="0.25">
      <c r="A5" s="256"/>
      <c r="B5" s="78">
        <v>2</v>
      </c>
      <c r="C5" s="64" t="s">
        <v>454</v>
      </c>
      <c r="D5" s="53" t="s">
        <v>2665</v>
      </c>
      <c r="E5" s="57" t="s">
        <v>2864</v>
      </c>
      <c r="F5" s="7" t="s">
        <v>47</v>
      </c>
      <c r="G5" s="7" t="s">
        <v>44</v>
      </c>
      <c r="H5" s="7" t="s">
        <v>3256</v>
      </c>
      <c r="I5" s="7" t="s">
        <v>3256</v>
      </c>
      <c r="J5" s="7" t="s">
        <v>3058</v>
      </c>
      <c r="K5" s="7" t="s">
        <v>3258</v>
      </c>
      <c r="L5" s="7">
        <v>10053741908</v>
      </c>
      <c r="M5" s="7"/>
      <c r="N5" s="7"/>
      <c r="O5" s="29" t="s">
        <v>11</v>
      </c>
      <c r="P5" s="29" t="s">
        <v>11</v>
      </c>
      <c r="Q5" s="29" t="s">
        <v>11</v>
      </c>
      <c r="R5" s="29" t="s">
        <v>11</v>
      </c>
      <c r="S5" s="29" t="s">
        <v>11</v>
      </c>
      <c r="T5" s="29" t="s">
        <v>11</v>
      </c>
      <c r="U5" s="29" t="s">
        <v>11</v>
      </c>
      <c r="V5" s="29" t="s">
        <v>11</v>
      </c>
      <c r="W5" s="29" t="s">
        <v>11</v>
      </c>
      <c r="X5" s="29" t="s">
        <v>11</v>
      </c>
      <c r="Y5" s="29" t="s">
        <v>11</v>
      </c>
      <c r="Z5" s="29" t="s">
        <v>11</v>
      </c>
      <c r="AA5" s="29" t="s">
        <v>11</v>
      </c>
      <c r="AB5" s="29" t="s">
        <v>11</v>
      </c>
      <c r="AC5" s="29" t="s">
        <v>11</v>
      </c>
      <c r="AD5" s="29" t="s">
        <v>11</v>
      </c>
      <c r="AE5" s="24">
        <f t="shared" si="0"/>
        <v>0</v>
      </c>
      <c r="AF5" s="24">
        <f t="shared" si="1"/>
        <v>0</v>
      </c>
      <c r="AG5" s="24">
        <f t="shared" si="2"/>
        <v>15</v>
      </c>
      <c r="AH5" s="41" t="str" cm="1">
        <f t="array" ref="AH5">_xlfn.IFS(
$AE5=15,"Not Started",
$AG5&lt;15,"In Progress",
$AG5=15,"Completed",
SUM(AE5:AG5)&gt;15,"Error"
)</f>
        <v>Completed</v>
      </c>
      <c r="AK5" s="3" t="s">
        <v>47</v>
      </c>
      <c r="AL5" s="3" t="s">
        <v>48</v>
      </c>
      <c r="AM5" s="3" t="s">
        <v>10</v>
      </c>
    </row>
    <row r="6" spans="1:39" ht="13" x14ac:dyDescent="0.25">
      <c r="A6" s="248"/>
      <c r="B6" s="78">
        <v>3</v>
      </c>
      <c r="C6" s="14" t="s">
        <v>455</v>
      </c>
      <c r="D6" s="53" t="s">
        <v>2666</v>
      </c>
      <c r="E6" s="57" t="s">
        <v>2865</v>
      </c>
      <c r="F6" s="7" t="s">
        <v>51</v>
      </c>
      <c r="G6" s="7" t="s">
        <v>48</v>
      </c>
      <c r="H6" s="7" t="s">
        <v>3256</v>
      </c>
      <c r="I6" s="7" t="s">
        <v>3256</v>
      </c>
      <c r="J6" s="7" t="s">
        <v>3059</v>
      </c>
      <c r="K6" s="7" t="s">
        <v>3259</v>
      </c>
      <c r="L6" s="7">
        <v>10053676981</v>
      </c>
      <c r="M6" s="7"/>
      <c r="N6" s="7"/>
      <c r="O6" s="29" t="s">
        <v>11</v>
      </c>
      <c r="P6" s="29" t="s">
        <v>11</v>
      </c>
      <c r="Q6" s="29" t="s">
        <v>11</v>
      </c>
      <c r="R6" s="29" t="s">
        <v>11</v>
      </c>
      <c r="S6" s="29" t="s">
        <v>11</v>
      </c>
      <c r="T6" s="29" t="s">
        <v>11</v>
      </c>
      <c r="U6" s="29" t="s">
        <v>11</v>
      </c>
      <c r="V6" s="29" t="s">
        <v>11</v>
      </c>
      <c r="W6" s="29" t="s">
        <v>11</v>
      </c>
      <c r="X6" s="29" t="s">
        <v>11</v>
      </c>
      <c r="Y6" s="29" t="s">
        <v>11</v>
      </c>
      <c r="Z6" s="29" t="s">
        <v>11</v>
      </c>
      <c r="AA6" s="29" t="s">
        <v>11</v>
      </c>
      <c r="AB6" s="29" t="s">
        <v>11</v>
      </c>
      <c r="AC6" s="29" t="s">
        <v>11</v>
      </c>
      <c r="AD6" s="29" t="s">
        <v>11</v>
      </c>
      <c r="AE6" s="24">
        <f t="shared" si="0"/>
        <v>0</v>
      </c>
      <c r="AF6" s="24">
        <f t="shared" si="1"/>
        <v>0</v>
      </c>
      <c r="AG6" s="24">
        <f t="shared" si="2"/>
        <v>15</v>
      </c>
      <c r="AH6" s="41" t="str" cm="1">
        <f t="array" ref="AH6">_xlfn.IFS(
$AE6=15,"Not Started",
$AG6&lt;15,"In Progress",
$AG6=15,"Completed",
SUM(AE6:AG6)&gt;15,"Error"
)</f>
        <v>Completed</v>
      </c>
      <c r="AK6" s="3" t="s">
        <v>51</v>
      </c>
      <c r="AL6" s="3" t="s">
        <v>52</v>
      </c>
      <c r="AM6" s="3" t="s">
        <v>11</v>
      </c>
    </row>
    <row r="7" spans="1:39" ht="13" x14ac:dyDescent="0.25">
      <c r="A7" s="248"/>
      <c r="B7" s="78">
        <v>4</v>
      </c>
      <c r="C7" s="7" t="s">
        <v>456</v>
      </c>
      <c r="D7" s="53" t="s">
        <v>2667</v>
      </c>
      <c r="E7" s="57" t="s">
        <v>2866</v>
      </c>
      <c r="F7" s="7" t="s">
        <v>51</v>
      </c>
      <c r="G7" s="7" t="s">
        <v>48</v>
      </c>
      <c r="H7" s="7" t="s">
        <v>3256</v>
      </c>
      <c r="I7" s="7" t="s">
        <v>3256</v>
      </c>
      <c r="J7" s="7" t="s">
        <v>3060</v>
      </c>
      <c r="K7" s="7" t="s">
        <v>3260</v>
      </c>
      <c r="L7" s="7">
        <v>10053371558</v>
      </c>
      <c r="M7" s="7"/>
      <c r="N7" s="7"/>
      <c r="O7" s="29" t="s">
        <v>11</v>
      </c>
      <c r="P7" s="29" t="s">
        <v>11</v>
      </c>
      <c r="Q7" s="29" t="s">
        <v>11</v>
      </c>
      <c r="R7" s="29" t="s">
        <v>11</v>
      </c>
      <c r="S7" s="29" t="s">
        <v>11</v>
      </c>
      <c r="T7" s="29" t="s">
        <v>11</v>
      </c>
      <c r="U7" s="29" t="s">
        <v>11</v>
      </c>
      <c r="V7" s="29" t="s">
        <v>11</v>
      </c>
      <c r="W7" s="29" t="s">
        <v>11</v>
      </c>
      <c r="X7" s="29" t="s">
        <v>11</v>
      </c>
      <c r="Y7" s="29" t="s">
        <v>11</v>
      </c>
      <c r="Z7" s="29" t="s">
        <v>11</v>
      </c>
      <c r="AA7" s="29" t="s">
        <v>11</v>
      </c>
      <c r="AB7" s="29" t="s">
        <v>11</v>
      </c>
      <c r="AC7" s="29" t="s">
        <v>11</v>
      </c>
      <c r="AD7" s="29" t="s">
        <v>11</v>
      </c>
      <c r="AE7" s="24">
        <f t="shared" si="0"/>
        <v>0</v>
      </c>
      <c r="AF7" s="24">
        <f t="shared" si="1"/>
        <v>0</v>
      </c>
      <c r="AG7" s="24">
        <f t="shared" si="2"/>
        <v>15</v>
      </c>
      <c r="AH7" s="41" t="str" cm="1">
        <f t="array" ref="AH7">_xlfn.IFS(
$AE7=15,"Not Started",
$AG7&lt;15,"In Progress",
$AG7=15,"Completed",
SUM(AE7:AG7)&gt;15,"Error"
)</f>
        <v>Completed</v>
      </c>
      <c r="AK7" s="3" t="s">
        <v>9670</v>
      </c>
      <c r="AL7" s="3"/>
      <c r="AM7" s="3" t="s">
        <v>52</v>
      </c>
    </row>
    <row r="8" spans="1:39" ht="13" x14ac:dyDescent="0.25">
      <c r="A8" s="248"/>
      <c r="B8" s="78">
        <v>5</v>
      </c>
      <c r="C8" s="14" t="s">
        <v>457</v>
      </c>
      <c r="D8" s="53" t="s">
        <v>2668</v>
      </c>
      <c r="E8" s="57" t="s">
        <v>2867</v>
      </c>
      <c r="F8" s="7" t="s">
        <v>43</v>
      </c>
      <c r="G8" s="7" t="s">
        <v>48</v>
      </c>
      <c r="H8" s="7" t="s">
        <v>3256</v>
      </c>
      <c r="I8" s="7" t="s">
        <v>3256</v>
      </c>
      <c r="J8" s="7" t="s">
        <v>3061</v>
      </c>
      <c r="K8" s="7" t="s">
        <v>3261</v>
      </c>
      <c r="L8" s="7">
        <v>10053370837</v>
      </c>
      <c r="M8" s="7"/>
      <c r="N8" s="7"/>
      <c r="O8" s="29" t="s">
        <v>11</v>
      </c>
      <c r="P8" s="29" t="s">
        <v>11</v>
      </c>
      <c r="Q8" s="29" t="s">
        <v>11</v>
      </c>
      <c r="R8" s="29" t="s">
        <v>11</v>
      </c>
      <c r="S8" s="29" t="s">
        <v>11</v>
      </c>
      <c r="T8" s="29" t="s">
        <v>11</v>
      </c>
      <c r="U8" s="29" t="s">
        <v>11</v>
      </c>
      <c r="V8" s="29" t="s">
        <v>11</v>
      </c>
      <c r="W8" s="29" t="s">
        <v>11</v>
      </c>
      <c r="X8" s="29" t="s">
        <v>11</v>
      </c>
      <c r="Y8" s="29" t="s">
        <v>11</v>
      </c>
      <c r="Z8" s="29" t="s">
        <v>11</v>
      </c>
      <c r="AA8" s="29" t="s">
        <v>11</v>
      </c>
      <c r="AB8" s="29" t="s">
        <v>11</v>
      </c>
      <c r="AC8" s="29" t="s">
        <v>11</v>
      </c>
      <c r="AD8" s="29" t="s">
        <v>11</v>
      </c>
      <c r="AE8" s="24">
        <f t="shared" si="0"/>
        <v>0</v>
      </c>
      <c r="AF8" s="24">
        <f t="shared" si="1"/>
        <v>0</v>
      </c>
      <c r="AG8" s="24">
        <f t="shared" si="2"/>
        <v>15</v>
      </c>
      <c r="AH8" s="41" t="str" cm="1">
        <f t="array" ref="AH8">_xlfn.IFS(
$AE8=15,"Not Started",
$AG8&lt;15,"In Progress",
$AG8=15,"Completed",
SUM(AE8:AG8)&gt;15,"Error"
)</f>
        <v>Completed</v>
      </c>
      <c r="AK8" s="3" t="s">
        <v>9671</v>
      </c>
      <c r="AL8" s="3"/>
      <c r="AM8" s="3"/>
    </row>
    <row r="9" spans="1:39" ht="13" x14ac:dyDescent="0.25">
      <c r="A9" s="248"/>
      <c r="B9" s="78">
        <v>6</v>
      </c>
      <c r="C9" s="7" t="s">
        <v>458</v>
      </c>
      <c r="D9" s="53" t="s">
        <v>2669</v>
      </c>
      <c r="E9" s="57" t="s">
        <v>2868</v>
      </c>
      <c r="F9" s="7" t="s">
        <v>51</v>
      </c>
      <c r="G9" s="7" t="s">
        <v>44</v>
      </c>
      <c r="H9" s="7" t="s">
        <v>3256</v>
      </c>
      <c r="I9" s="7" t="s">
        <v>3256</v>
      </c>
      <c r="J9" s="7" t="s">
        <v>3062</v>
      </c>
      <c r="K9" s="7" t="s">
        <v>3262</v>
      </c>
      <c r="L9" s="7">
        <v>10053864855</v>
      </c>
      <c r="M9" s="7"/>
      <c r="N9" s="7"/>
      <c r="O9" s="29" t="s">
        <v>11</v>
      </c>
      <c r="P9" s="29" t="s">
        <v>11</v>
      </c>
      <c r="Q9" s="29" t="s">
        <v>11</v>
      </c>
      <c r="R9" s="29" t="s">
        <v>11</v>
      </c>
      <c r="S9" s="29" t="s">
        <v>11</v>
      </c>
      <c r="T9" s="29" t="s">
        <v>11</v>
      </c>
      <c r="U9" s="29" t="s">
        <v>11</v>
      </c>
      <c r="V9" s="29" t="s">
        <v>11</v>
      </c>
      <c r="W9" s="29" t="s">
        <v>11</v>
      </c>
      <c r="X9" s="29" t="s">
        <v>11</v>
      </c>
      <c r="Y9" s="29" t="s">
        <v>11</v>
      </c>
      <c r="Z9" s="29" t="s">
        <v>11</v>
      </c>
      <c r="AA9" s="29" t="s">
        <v>11</v>
      </c>
      <c r="AB9" s="29" t="s">
        <v>11</v>
      </c>
      <c r="AC9" s="29" t="s">
        <v>11</v>
      </c>
      <c r="AD9" s="29" t="s">
        <v>11</v>
      </c>
      <c r="AE9" s="24">
        <f t="shared" si="0"/>
        <v>0</v>
      </c>
      <c r="AF9" s="24">
        <f t="shared" si="1"/>
        <v>0</v>
      </c>
      <c r="AG9" s="24">
        <f t="shared" si="2"/>
        <v>15</v>
      </c>
      <c r="AH9" s="41" t="str" cm="1">
        <f t="array" ref="AH9">_xlfn.IFS(
$AE9=15,"Not Started",
$AG9&lt;15,"In Progress",
$AG9=15,"Completed",
SUM(AE9:AG9)&gt;15,"Error"
)</f>
        <v>Completed</v>
      </c>
      <c r="AK9" s="3" t="s">
        <v>52</v>
      </c>
      <c r="AL9" s="3"/>
      <c r="AM9" s="3"/>
    </row>
    <row r="10" spans="1:39" ht="13" x14ac:dyDescent="0.25">
      <c r="A10" s="248"/>
      <c r="B10" s="78">
        <v>7</v>
      </c>
      <c r="C10" s="14" t="s">
        <v>459</v>
      </c>
      <c r="D10" s="53" t="s">
        <v>2670</v>
      </c>
      <c r="E10" s="57" t="s">
        <v>2869</v>
      </c>
      <c r="F10" s="7" t="s">
        <v>47</v>
      </c>
      <c r="G10" s="7" t="s">
        <v>44</v>
      </c>
      <c r="H10" s="7" t="s">
        <v>3256</v>
      </c>
      <c r="I10" s="7" t="s">
        <v>3256</v>
      </c>
      <c r="J10" s="7" t="s">
        <v>3063</v>
      </c>
      <c r="K10" s="7" t="s">
        <v>3263</v>
      </c>
      <c r="L10" s="7">
        <v>10053741391</v>
      </c>
      <c r="M10" s="7"/>
      <c r="N10" s="7"/>
      <c r="O10" s="29" t="s">
        <v>11</v>
      </c>
      <c r="P10" s="29" t="s">
        <v>11</v>
      </c>
      <c r="Q10" s="29" t="s">
        <v>11</v>
      </c>
      <c r="R10" s="29" t="s">
        <v>11</v>
      </c>
      <c r="S10" s="29" t="s">
        <v>11</v>
      </c>
      <c r="T10" s="29" t="s">
        <v>11</v>
      </c>
      <c r="U10" s="29" t="s">
        <v>11</v>
      </c>
      <c r="V10" s="29" t="s">
        <v>11</v>
      </c>
      <c r="W10" s="29" t="s">
        <v>11</v>
      </c>
      <c r="X10" s="29" t="s">
        <v>11</v>
      </c>
      <c r="Y10" s="29" t="s">
        <v>11</v>
      </c>
      <c r="Z10" s="29" t="s">
        <v>11</v>
      </c>
      <c r="AA10" s="29" t="s">
        <v>11</v>
      </c>
      <c r="AB10" s="29" t="s">
        <v>11</v>
      </c>
      <c r="AC10" s="29" t="s">
        <v>11</v>
      </c>
      <c r="AD10" s="29" t="s">
        <v>11</v>
      </c>
      <c r="AE10" s="24">
        <f t="shared" si="0"/>
        <v>0</v>
      </c>
      <c r="AF10" s="24">
        <f t="shared" si="1"/>
        <v>0</v>
      </c>
      <c r="AG10" s="24">
        <f t="shared" si="2"/>
        <v>15</v>
      </c>
      <c r="AH10" s="41" t="str" cm="1">
        <f t="array" ref="AH10">_xlfn.IFS(
$AE10=15,"Not Started",
$AG10&lt;15,"In Progress",
$AG10=15,"Completed",
SUM(AE10:AG10)&gt;15,"Error"
)</f>
        <v>Completed</v>
      </c>
    </row>
    <row r="11" spans="1:39" ht="13" x14ac:dyDescent="0.25">
      <c r="A11" s="248"/>
      <c r="B11" s="78">
        <v>8</v>
      </c>
      <c r="C11" s="7" t="s">
        <v>460</v>
      </c>
      <c r="D11" s="53" t="s">
        <v>2671</v>
      </c>
      <c r="E11" s="57" t="s">
        <v>2870</v>
      </c>
      <c r="F11" s="7" t="s">
        <v>51</v>
      </c>
      <c r="G11" s="7" t="s">
        <v>44</v>
      </c>
      <c r="H11" s="7" t="s">
        <v>3256</v>
      </c>
      <c r="I11" s="7" t="s">
        <v>3256</v>
      </c>
      <c r="J11" s="7" t="s">
        <v>3064</v>
      </c>
      <c r="K11" s="7" t="s">
        <v>3264</v>
      </c>
      <c r="L11" s="7">
        <v>10053251166</v>
      </c>
      <c r="M11" s="7"/>
      <c r="N11" s="7"/>
      <c r="O11" s="29" t="s">
        <v>11</v>
      </c>
      <c r="P11" s="29" t="s">
        <v>11</v>
      </c>
      <c r="Q11" s="29" t="s">
        <v>11</v>
      </c>
      <c r="R11" s="29" t="s">
        <v>11</v>
      </c>
      <c r="S11" s="29" t="s">
        <v>11</v>
      </c>
      <c r="T11" s="29" t="s">
        <v>11</v>
      </c>
      <c r="U11" s="29" t="s">
        <v>11</v>
      </c>
      <c r="V11" s="29" t="s">
        <v>11</v>
      </c>
      <c r="W11" s="29" t="s">
        <v>11</v>
      </c>
      <c r="X11" s="29" t="s">
        <v>11</v>
      </c>
      <c r="Y11" s="29" t="s">
        <v>11</v>
      </c>
      <c r="Z11" s="29" t="s">
        <v>11</v>
      </c>
      <c r="AA11" s="29" t="s">
        <v>11</v>
      </c>
      <c r="AB11" s="29" t="s">
        <v>11</v>
      </c>
      <c r="AC11" s="29" t="s">
        <v>11</v>
      </c>
      <c r="AD11" s="29" t="s">
        <v>11</v>
      </c>
      <c r="AE11" s="24">
        <f t="shared" si="0"/>
        <v>0</v>
      </c>
      <c r="AF11" s="24">
        <f t="shared" si="1"/>
        <v>0</v>
      </c>
      <c r="AG11" s="24">
        <f t="shared" si="2"/>
        <v>15</v>
      </c>
      <c r="AH11" s="41" t="str" cm="1">
        <f t="array" ref="AH11">_xlfn.IFS(
$AE11=15,"Not Started",
$AG11&lt;15,"In Progress",
$AG11=15,"Completed",
SUM(AE11:AG11)&gt;15,"Error"
)</f>
        <v>Completed</v>
      </c>
    </row>
    <row r="12" spans="1:39" ht="13" x14ac:dyDescent="0.25">
      <c r="A12" s="248"/>
      <c r="B12" s="78">
        <v>9</v>
      </c>
      <c r="C12" s="14" t="s">
        <v>461</v>
      </c>
      <c r="D12" s="53" t="s">
        <v>2672</v>
      </c>
      <c r="E12" s="57" t="s">
        <v>2871</v>
      </c>
      <c r="F12" s="7" t="s">
        <v>43</v>
      </c>
      <c r="G12" s="7" t="s">
        <v>48</v>
      </c>
      <c r="H12" s="7" t="s">
        <v>3256</v>
      </c>
      <c r="I12" s="7" t="s">
        <v>3256</v>
      </c>
      <c r="J12" s="7" t="s">
        <v>3065</v>
      </c>
      <c r="K12" s="7" t="s">
        <v>3265</v>
      </c>
      <c r="L12" s="7">
        <v>10053306541</v>
      </c>
      <c r="M12" s="7"/>
      <c r="N12" s="7"/>
      <c r="O12" s="29" t="s">
        <v>11</v>
      </c>
      <c r="P12" s="29" t="s">
        <v>11</v>
      </c>
      <c r="Q12" s="29" t="s">
        <v>11</v>
      </c>
      <c r="R12" s="29" t="s">
        <v>11</v>
      </c>
      <c r="S12" s="29" t="s">
        <v>11</v>
      </c>
      <c r="T12" s="29" t="s">
        <v>11</v>
      </c>
      <c r="U12" s="29" t="s">
        <v>11</v>
      </c>
      <c r="V12" s="29" t="s">
        <v>11</v>
      </c>
      <c r="W12" s="29" t="s">
        <v>11</v>
      </c>
      <c r="X12" s="29" t="s">
        <v>11</v>
      </c>
      <c r="Y12" s="29" t="s">
        <v>11</v>
      </c>
      <c r="Z12" s="29" t="s">
        <v>11</v>
      </c>
      <c r="AA12" s="29" t="s">
        <v>11</v>
      </c>
      <c r="AB12" s="29" t="s">
        <v>11</v>
      </c>
      <c r="AC12" s="29" t="s">
        <v>11</v>
      </c>
      <c r="AD12" s="29" t="s">
        <v>11</v>
      </c>
      <c r="AE12" s="24">
        <f t="shared" si="0"/>
        <v>0</v>
      </c>
      <c r="AF12" s="24">
        <f t="shared" si="1"/>
        <v>0</v>
      </c>
      <c r="AG12" s="24">
        <f t="shared" si="2"/>
        <v>15</v>
      </c>
      <c r="AH12" s="41" t="str" cm="1">
        <f t="array" ref="AH12">_xlfn.IFS(
$AE12=15,"Not Started",
$AG12&lt;15,"In Progress",
$AG12=15,"Completed",
SUM(AE12:AG12)&gt;15,"Error"
)</f>
        <v>Completed</v>
      </c>
    </row>
    <row r="13" spans="1:39" ht="13" x14ac:dyDescent="0.25">
      <c r="A13" s="248"/>
      <c r="B13" s="78">
        <v>10</v>
      </c>
      <c r="C13" s="7" t="s">
        <v>462</v>
      </c>
      <c r="D13" s="53" t="s">
        <v>2673</v>
      </c>
      <c r="E13" s="57" t="s">
        <v>2872</v>
      </c>
      <c r="F13" s="7" t="s">
        <v>43</v>
      </c>
      <c r="G13" s="7" t="s">
        <v>44</v>
      </c>
      <c r="H13" s="7" t="s">
        <v>3256</v>
      </c>
      <c r="I13" s="7" t="s">
        <v>3256</v>
      </c>
      <c r="J13" s="7" t="s">
        <v>3066</v>
      </c>
      <c r="K13" s="7" t="s">
        <v>3266</v>
      </c>
      <c r="L13" s="7">
        <v>10053737155</v>
      </c>
      <c r="M13" s="7"/>
      <c r="N13" s="7"/>
      <c r="O13" s="29" t="s">
        <v>11</v>
      </c>
      <c r="P13" s="29" t="s">
        <v>11</v>
      </c>
      <c r="Q13" s="29" t="s">
        <v>11</v>
      </c>
      <c r="R13" s="29" t="s">
        <v>11</v>
      </c>
      <c r="S13" s="29" t="s">
        <v>11</v>
      </c>
      <c r="T13" s="29" t="s">
        <v>11</v>
      </c>
      <c r="U13" s="29" t="s">
        <v>11</v>
      </c>
      <c r="V13" s="29" t="s">
        <v>11</v>
      </c>
      <c r="W13" s="29" t="s">
        <v>11</v>
      </c>
      <c r="X13" s="29" t="s">
        <v>11</v>
      </c>
      <c r="Y13" s="29" t="s">
        <v>11</v>
      </c>
      <c r="Z13" s="29" t="s">
        <v>11</v>
      </c>
      <c r="AA13" s="29" t="s">
        <v>11</v>
      </c>
      <c r="AB13" s="29" t="s">
        <v>11</v>
      </c>
      <c r="AC13" s="29" t="s">
        <v>11</v>
      </c>
      <c r="AD13" s="29" t="s">
        <v>11</v>
      </c>
      <c r="AE13" s="24">
        <f t="shared" si="0"/>
        <v>0</v>
      </c>
      <c r="AF13" s="24">
        <f t="shared" si="1"/>
        <v>0</v>
      </c>
      <c r="AG13" s="24">
        <f t="shared" si="2"/>
        <v>15</v>
      </c>
      <c r="AH13" s="41" t="str" cm="1">
        <f t="array" ref="AH13">_xlfn.IFS(
$AE13=15,"Not Started",
$AG13&lt;15,"In Progress",
$AG13=15,"Completed",
SUM(AE13:AG13)&gt;15,"Error"
)</f>
        <v>Completed</v>
      </c>
    </row>
    <row r="14" spans="1:39" ht="15.75" customHeight="1" x14ac:dyDescent="0.25">
      <c r="A14" s="248"/>
      <c r="B14" s="78">
        <v>11</v>
      </c>
      <c r="C14" s="14" t="s">
        <v>463</v>
      </c>
      <c r="D14" s="53" t="s">
        <v>2674</v>
      </c>
      <c r="E14" s="57" t="s">
        <v>2873</v>
      </c>
      <c r="F14" s="7" t="s">
        <v>43</v>
      </c>
      <c r="G14" s="7" t="s">
        <v>44</v>
      </c>
      <c r="H14" s="7" t="s">
        <v>3256</v>
      </c>
      <c r="I14" s="7" t="s">
        <v>3256</v>
      </c>
      <c r="J14" s="7" t="s">
        <v>3067</v>
      </c>
      <c r="K14" s="7" t="s">
        <v>3267</v>
      </c>
      <c r="L14" s="7">
        <v>10053372751</v>
      </c>
      <c r="M14" s="7"/>
      <c r="N14" s="7"/>
      <c r="O14" s="29" t="s">
        <v>11</v>
      </c>
      <c r="P14" s="29" t="s">
        <v>11</v>
      </c>
      <c r="Q14" s="29" t="s">
        <v>11</v>
      </c>
      <c r="R14" s="29" t="s">
        <v>11</v>
      </c>
      <c r="S14" s="29" t="s">
        <v>11</v>
      </c>
      <c r="T14" s="29" t="s">
        <v>11</v>
      </c>
      <c r="U14" s="29" t="s">
        <v>11</v>
      </c>
      <c r="V14" s="29" t="s">
        <v>11</v>
      </c>
      <c r="W14" s="29" t="s">
        <v>11</v>
      </c>
      <c r="X14" s="29" t="s">
        <v>11</v>
      </c>
      <c r="Y14" s="29" t="s">
        <v>11</v>
      </c>
      <c r="Z14" s="29" t="s">
        <v>11</v>
      </c>
      <c r="AA14" s="29" t="s">
        <v>11</v>
      </c>
      <c r="AB14" s="29" t="s">
        <v>11</v>
      </c>
      <c r="AC14" s="29" t="s">
        <v>11</v>
      </c>
      <c r="AD14" s="29" t="s">
        <v>11</v>
      </c>
      <c r="AE14" s="24">
        <f t="shared" si="0"/>
        <v>0</v>
      </c>
      <c r="AF14" s="24">
        <f t="shared" si="1"/>
        <v>0</v>
      </c>
      <c r="AG14" s="24">
        <f t="shared" si="2"/>
        <v>15</v>
      </c>
      <c r="AH14" s="41" t="str" cm="1">
        <f t="array" ref="AH14">_xlfn.IFS(
$AE14=15,"Not Started",
$AG14&lt;15,"In Progress",
$AG14=15,"Completed",
SUM(AE14:AG14)&gt;15,"Error"
)</f>
        <v>Completed</v>
      </c>
    </row>
    <row r="15" spans="1:39" ht="15.75" customHeight="1" x14ac:dyDescent="0.25">
      <c r="A15" s="248"/>
      <c r="B15" s="78">
        <v>12</v>
      </c>
      <c r="C15" s="7" t="s">
        <v>464</v>
      </c>
      <c r="D15" s="53" t="s">
        <v>2675</v>
      </c>
      <c r="E15" s="57" t="s">
        <v>2874</v>
      </c>
      <c r="F15" s="7" t="s">
        <v>43</v>
      </c>
      <c r="G15" s="7" t="s">
        <v>44</v>
      </c>
      <c r="H15" s="7" t="s">
        <v>3256</v>
      </c>
      <c r="I15" s="7" t="s">
        <v>3256</v>
      </c>
      <c r="J15" s="7" t="s">
        <v>3068</v>
      </c>
      <c r="K15" s="7" t="s">
        <v>3268</v>
      </c>
      <c r="L15" s="7">
        <v>10053247520</v>
      </c>
      <c r="M15" s="7"/>
      <c r="N15" s="7"/>
      <c r="O15" s="29" t="s">
        <v>11</v>
      </c>
      <c r="P15" s="29" t="s">
        <v>11</v>
      </c>
      <c r="Q15" s="29" t="s">
        <v>11</v>
      </c>
      <c r="R15" s="29" t="s">
        <v>11</v>
      </c>
      <c r="S15" s="29" t="s">
        <v>11</v>
      </c>
      <c r="T15" s="29" t="s">
        <v>11</v>
      </c>
      <c r="U15" s="29" t="s">
        <v>11</v>
      </c>
      <c r="V15" s="29" t="s">
        <v>11</v>
      </c>
      <c r="W15" s="29" t="s">
        <v>11</v>
      </c>
      <c r="X15" s="29" t="s">
        <v>11</v>
      </c>
      <c r="Y15" s="29" t="s">
        <v>11</v>
      </c>
      <c r="Z15" s="29" t="s">
        <v>11</v>
      </c>
      <c r="AA15" s="29" t="s">
        <v>11</v>
      </c>
      <c r="AB15" s="29" t="s">
        <v>11</v>
      </c>
      <c r="AC15" s="29" t="s">
        <v>11</v>
      </c>
      <c r="AD15" s="29" t="s">
        <v>11</v>
      </c>
      <c r="AE15" s="24">
        <f t="shared" si="0"/>
        <v>0</v>
      </c>
      <c r="AF15" s="24">
        <f t="shared" si="1"/>
        <v>0</v>
      </c>
      <c r="AG15" s="24">
        <f t="shared" si="2"/>
        <v>15</v>
      </c>
      <c r="AH15" s="41" t="str" cm="1">
        <f t="array" ref="AH15">_xlfn.IFS(
$AE15=15,"Not Started",
$AG15&lt;15,"In Progress",
$AG15=15,"Completed",
SUM(AE15:AG15)&gt;15,"Error"
)</f>
        <v>Completed</v>
      </c>
    </row>
    <row r="16" spans="1:39" ht="15.75" customHeight="1" x14ac:dyDescent="0.25">
      <c r="A16" s="248"/>
      <c r="B16" s="78">
        <v>13</v>
      </c>
      <c r="C16" s="14" t="s">
        <v>465</v>
      </c>
      <c r="D16" s="53" t="s">
        <v>2676</v>
      </c>
      <c r="E16" s="57" t="s">
        <v>2875</v>
      </c>
      <c r="F16" s="7" t="s">
        <v>43</v>
      </c>
      <c r="G16" s="7" t="s">
        <v>44</v>
      </c>
      <c r="H16" s="7" t="s">
        <v>3256</v>
      </c>
      <c r="I16" s="7" t="s">
        <v>3256</v>
      </c>
      <c r="J16" s="7" t="s">
        <v>3069</v>
      </c>
      <c r="K16" s="7" t="s">
        <v>3269</v>
      </c>
      <c r="L16" s="7">
        <v>10093611748</v>
      </c>
      <c r="M16" s="7"/>
      <c r="N16" s="7"/>
      <c r="O16" s="29" t="s">
        <v>11</v>
      </c>
      <c r="P16" s="29" t="s">
        <v>11</v>
      </c>
      <c r="Q16" s="29" t="s">
        <v>11</v>
      </c>
      <c r="R16" s="29" t="s">
        <v>11</v>
      </c>
      <c r="S16" s="29" t="s">
        <v>11</v>
      </c>
      <c r="T16" s="29" t="s">
        <v>11</v>
      </c>
      <c r="U16" s="29" t="s">
        <v>11</v>
      </c>
      <c r="V16" s="29" t="s">
        <v>11</v>
      </c>
      <c r="W16" s="29" t="s">
        <v>11</v>
      </c>
      <c r="X16" s="29" t="s">
        <v>11</v>
      </c>
      <c r="Y16" s="29" t="s">
        <v>11</v>
      </c>
      <c r="Z16" s="29" t="s">
        <v>11</v>
      </c>
      <c r="AA16" s="29" t="s">
        <v>11</v>
      </c>
      <c r="AB16" s="29" t="s">
        <v>11</v>
      </c>
      <c r="AC16" s="29" t="s">
        <v>11</v>
      </c>
      <c r="AD16" s="29" t="s">
        <v>11</v>
      </c>
      <c r="AE16" s="24">
        <f t="shared" si="0"/>
        <v>0</v>
      </c>
      <c r="AF16" s="24">
        <f t="shared" si="1"/>
        <v>0</v>
      </c>
      <c r="AG16" s="24">
        <f t="shared" si="2"/>
        <v>15</v>
      </c>
      <c r="AH16" s="41" t="str" cm="1">
        <f t="array" ref="AH16">_xlfn.IFS(
$AE16=15,"Not Started",
$AG16&lt;15,"In Progress",
$AG16=15,"Completed",
SUM(AE16:AG16)&gt;15,"Error"
)</f>
        <v>Completed</v>
      </c>
    </row>
    <row r="17" spans="1:34" ht="15.75" customHeight="1" x14ac:dyDescent="0.25">
      <c r="A17" s="248"/>
      <c r="B17" s="78">
        <v>14</v>
      </c>
      <c r="C17" s="7" t="s">
        <v>466</v>
      </c>
      <c r="D17" s="53" t="s">
        <v>2677</v>
      </c>
      <c r="E17" s="57" t="s">
        <v>2876</v>
      </c>
      <c r="F17" s="7" t="s">
        <v>9670</v>
      </c>
      <c r="G17" s="7" t="s">
        <v>48</v>
      </c>
      <c r="H17" s="7" t="s">
        <v>3256</v>
      </c>
      <c r="I17" s="7" t="s">
        <v>3256</v>
      </c>
      <c r="J17" s="7" t="s">
        <v>3070</v>
      </c>
      <c r="K17" s="7" t="s">
        <v>3270</v>
      </c>
      <c r="L17" s="7">
        <v>10102722662</v>
      </c>
      <c r="M17" s="7"/>
      <c r="N17" s="7"/>
      <c r="O17" s="29" t="s">
        <v>11</v>
      </c>
      <c r="P17" s="29" t="s">
        <v>11</v>
      </c>
      <c r="Q17" s="29" t="s">
        <v>11</v>
      </c>
      <c r="R17" s="29" t="s">
        <v>11</v>
      </c>
      <c r="S17" s="29" t="s">
        <v>11</v>
      </c>
      <c r="T17" s="29" t="s">
        <v>11</v>
      </c>
      <c r="U17" s="29" t="s">
        <v>11</v>
      </c>
      <c r="V17" s="29" t="s">
        <v>11</v>
      </c>
      <c r="W17" s="29" t="s">
        <v>11</v>
      </c>
      <c r="X17" s="29" t="s">
        <v>11</v>
      </c>
      <c r="Y17" s="29" t="s">
        <v>11</v>
      </c>
      <c r="Z17" s="29" t="s">
        <v>11</v>
      </c>
      <c r="AA17" s="29" t="s">
        <v>11</v>
      </c>
      <c r="AB17" s="29" t="s">
        <v>11</v>
      </c>
      <c r="AC17" s="29" t="s">
        <v>11</v>
      </c>
      <c r="AD17" s="29" t="s">
        <v>11</v>
      </c>
      <c r="AE17" s="24">
        <f t="shared" si="0"/>
        <v>0</v>
      </c>
      <c r="AF17" s="24">
        <f t="shared" si="1"/>
        <v>0</v>
      </c>
      <c r="AG17" s="24">
        <f t="shared" si="2"/>
        <v>15</v>
      </c>
      <c r="AH17" s="41" t="str" cm="1">
        <f t="array" ref="AH17">_xlfn.IFS(
$AE17=15,"Not Started",
$AG17&lt;15,"In Progress",
$AG17=15,"Completed",
SUM(AE17:AG17)&gt;15,"Error"
)</f>
        <v>Completed</v>
      </c>
    </row>
    <row r="18" spans="1:34" ht="15.75" customHeight="1" x14ac:dyDescent="0.25">
      <c r="A18" s="248"/>
      <c r="B18" s="78">
        <v>15</v>
      </c>
      <c r="C18" s="14" t="s">
        <v>467</v>
      </c>
      <c r="D18" s="53" t="s">
        <v>2678</v>
      </c>
      <c r="E18" s="57" t="s">
        <v>2877</v>
      </c>
      <c r="F18" s="7" t="s">
        <v>43</v>
      </c>
      <c r="G18" s="7" t="s">
        <v>48</v>
      </c>
      <c r="H18" s="7" t="s">
        <v>3256</v>
      </c>
      <c r="I18" s="7" t="s">
        <v>3256</v>
      </c>
      <c r="J18" s="7" t="s">
        <v>3071</v>
      </c>
      <c r="K18" s="7" t="s">
        <v>3271</v>
      </c>
      <c r="L18" s="7">
        <v>10088727214</v>
      </c>
      <c r="M18" s="7"/>
      <c r="N18" s="7"/>
      <c r="O18" s="29" t="s">
        <v>11</v>
      </c>
      <c r="P18" s="29" t="s">
        <v>11</v>
      </c>
      <c r="Q18" s="29" t="s">
        <v>11</v>
      </c>
      <c r="R18" s="29" t="s">
        <v>11</v>
      </c>
      <c r="S18" s="29" t="s">
        <v>11</v>
      </c>
      <c r="T18" s="29" t="s">
        <v>11</v>
      </c>
      <c r="U18" s="29" t="s">
        <v>11</v>
      </c>
      <c r="V18" s="29" t="s">
        <v>11</v>
      </c>
      <c r="W18" s="29" t="s">
        <v>11</v>
      </c>
      <c r="X18" s="29" t="s">
        <v>11</v>
      </c>
      <c r="Y18" s="29" t="s">
        <v>11</v>
      </c>
      <c r="Z18" s="29" t="s">
        <v>11</v>
      </c>
      <c r="AA18" s="29" t="s">
        <v>11</v>
      </c>
      <c r="AB18" s="29" t="s">
        <v>11</v>
      </c>
      <c r="AC18" s="29" t="s">
        <v>11</v>
      </c>
      <c r="AD18" s="29" t="s">
        <v>11</v>
      </c>
      <c r="AE18" s="24">
        <f t="shared" si="0"/>
        <v>0</v>
      </c>
      <c r="AF18" s="24">
        <f t="shared" si="1"/>
        <v>0</v>
      </c>
      <c r="AG18" s="24">
        <f t="shared" si="2"/>
        <v>15</v>
      </c>
      <c r="AH18" s="41" t="str" cm="1">
        <f t="array" ref="AH18">_xlfn.IFS(
$AE18=15,"Not Started",
$AG18&lt;15,"In Progress",
$AG18=15,"Completed",
SUM(AE18:AG18)&gt;15,"Error"
)</f>
        <v>Completed</v>
      </c>
    </row>
    <row r="19" spans="1:34" ht="15.75" customHeight="1" x14ac:dyDescent="0.25">
      <c r="A19" s="248"/>
      <c r="B19" s="78">
        <v>16</v>
      </c>
      <c r="C19" s="7" t="s">
        <v>468</v>
      </c>
      <c r="D19" s="53" t="s">
        <v>2679</v>
      </c>
      <c r="E19" s="57" t="s">
        <v>2878</v>
      </c>
      <c r="F19" s="7" t="s">
        <v>51</v>
      </c>
      <c r="G19" s="7" t="s">
        <v>48</v>
      </c>
      <c r="H19" s="7" t="s">
        <v>3256</v>
      </c>
      <c r="I19" s="7" t="s">
        <v>3256</v>
      </c>
      <c r="J19" s="7" t="s">
        <v>3072</v>
      </c>
      <c r="K19" s="7" t="s">
        <v>3272</v>
      </c>
      <c r="L19" s="7">
        <v>10053676560</v>
      </c>
      <c r="M19" s="7"/>
      <c r="N19" s="7"/>
      <c r="O19" s="29" t="s">
        <v>11</v>
      </c>
      <c r="P19" s="29" t="s">
        <v>11</v>
      </c>
      <c r="Q19" s="29" t="s">
        <v>11</v>
      </c>
      <c r="R19" s="29" t="s">
        <v>11</v>
      </c>
      <c r="S19" s="29" t="s">
        <v>11</v>
      </c>
      <c r="T19" s="29" t="s">
        <v>11</v>
      </c>
      <c r="U19" s="29" t="s">
        <v>11</v>
      </c>
      <c r="V19" s="29" t="s">
        <v>11</v>
      </c>
      <c r="W19" s="29" t="s">
        <v>11</v>
      </c>
      <c r="X19" s="29" t="s">
        <v>11</v>
      </c>
      <c r="Y19" s="29" t="s">
        <v>11</v>
      </c>
      <c r="Z19" s="29" t="s">
        <v>11</v>
      </c>
      <c r="AA19" s="29" t="s">
        <v>11</v>
      </c>
      <c r="AB19" s="29" t="s">
        <v>11</v>
      </c>
      <c r="AC19" s="29" t="s">
        <v>11</v>
      </c>
      <c r="AD19" s="29" t="s">
        <v>11</v>
      </c>
      <c r="AE19" s="24">
        <f t="shared" si="0"/>
        <v>0</v>
      </c>
      <c r="AF19" s="24">
        <f t="shared" si="1"/>
        <v>0</v>
      </c>
      <c r="AG19" s="24">
        <f t="shared" si="2"/>
        <v>15</v>
      </c>
      <c r="AH19" s="41" t="str" cm="1">
        <f t="array" ref="AH19">_xlfn.IFS(
$AE19=15,"Not Started",
$AG19&lt;15,"In Progress",
$AG19=15,"Completed",
SUM(AE19:AG19)&gt;15,"Error"
)</f>
        <v>Completed</v>
      </c>
    </row>
    <row r="20" spans="1:34" ht="15.75" customHeight="1" x14ac:dyDescent="0.25">
      <c r="A20" s="248"/>
      <c r="B20" s="78">
        <v>17</v>
      </c>
      <c r="C20" s="14" t="s">
        <v>469</v>
      </c>
      <c r="D20" s="53" t="s">
        <v>2680</v>
      </c>
      <c r="E20" s="57" t="s">
        <v>2879</v>
      </c>
      <c r="F20" s="7" t="s">
        <v>51</v>
      </c>
      <c r="G20" s="7" t="s">
        <v>48</v>
      </c>
      <c r="H20" s="7" t="s">
        <v>3256</v>
      </c>
      <c r="I20" s="7" t="s">
        <v>3256</v>
      </c>
      <c r="J20" s="7" t="s">
        <v>3073</v>
      </c>
      <c r="K20" s="7" t="s">
        <v>3273</v>
      </c>
      <c r="L20" s="7">
        <v>10097169622</v>
      </c>
      <c r="M20" s="7"/>
      <c r="N20" s="7"/>
      <c r="O20" s="29" t="s">
        <v>11</v>
      </c>
      <c r="P20" s="29" t="s">
        <v>11</v>
      </c>
      <c r="Q20" s="29" t="s">
        <v>11</v>
      </c>
      <c r="R20" s="29" t="s">
        <v>11</v>
      </c>
      <c r="S20" s="29" t="s">
        <v>11</v>
      </c>
      <c r="T20" s="29" t="s">
        <v>11</v>
      </c>
      <c r="U20" s="29" t="s">
        <v>11</v>
      </c>
      <c r="V20" s="29" t="s">
        <v>11</v>
      </c>
      <c r="W20" s="29" t="s">
        <v>11</v>
      </c>
      <c r="X20" s="29" t="s">
        <v>11</v>
      </c>
      <c r="Y20" s="29" t="s">
        <v>11</v>
      </c>
      <c r="Z20" s="29" t="s">
        <v>11</v>
      </c>
      <c r="AA20" s="29" t="s">
        <v>11</v>
      </c>
      <c r="AB20" s="29" t="s">
        <v>11</v>
      </c>
      <c r="AC20" s="29" t="s">
        <v>11</v>
      </c>
      <c r="AD20" s="29" t="s">
        <v>11</v>
      </c>
      <c r="AE20" s="24">
        <f t="shared" si="0"/>
        <v>0</v>
      </c>
      <c r="AF20" s="24">
        <f t="shared" si="1"/>
        <v>0</v>
      </c>
      <c r="AG20" s="24">
        <f t="shared" si="2"/>
        <v>15</v>
      </c>
      <c r="AH20" s="41" t="str" cm="1">
        <f t="array" ref="AH20">_xlfn.IFS(
$AE20=15,"Not Started",
$AG20&lt;15,"In Progress",
$AG20=15,"Completed",
SUM(AE20:AG20)&gt;15,"Error"
)</f>
        <v>Completed</v>
      </c>
    </row>
    <row r="21" spans="1:34" ht="13" x14ac:dyDescent="0.25">
      <c r="A21" s="248"/>
      <c r="B21" s="78">
        <v>18</v>
      </c>
      <c r="C21" s="7" t="s">
        <v>470</v>
      </c>
      <c r="D21" s="53" t="s">
        <v>2681</v>
      </c>
      <c r="E21" s="57" t="s">
        <v>2880</v>
      </c>
      <c r="F21" s="7" t="s">
        <v>47</v>
      </c>
      <c r="G21" s="7" t="s">
        <v>48</v>
      </c>
      <c r="H21" s="7" t="s">
        <v>3256</v>
      </c>
      <c r="I21" s="7" t="s">
        <v>3256</v>
      </c>
      <c r="J21" s="7" t="s">
        <v>3074</v>
      </c>
      <c r="K21" s="7" t="s">
        <v>3274</v>
      </c>
      <c r="L21" s="7">
        <v>10053740123</v>
      </c>
      <c r="M21" s="7"/>
      <c r="N21" s="7"/>
      <c r="O21" s="29" t="s">
        <v>11</v>
      </c>
      <c r="P21" s="29" t="s">
        <v>11</v>
      </c>
      <c r="Q21" s="29" t="s">
        <v>11</v>
      </c>
      <c r="R21" s="29" t="s">
        <v>11</v>
      </c>
      <c r="S21" s="29" t="s">
        <v>11</v>
      </c>
      <c r="T21" s="29" t="s">
        <v>11</v>
      </c>
      <c r="U21" s="29" t="s">
        <v>11</v>
      </c>
      <c r="V21" s="29" t="s">
        <v>11</v>
      </c>
      <c r="W21" s="29" t="s">
        <v>11</v>
      </c>
      <c r="X21" s="29" t="s">
        <v>11</v>
      </c>
      <c r="Y21" s="29" t="s">
        <v>11</v>
      </c>
      <c r="Z21" s="29" t="s">
        <v>11</v>
      </c>
      <c r="AA21" s="29" t="s">
        <v>11</v>
      </c>
      <c r="AB21" s="29" t="s">
        <v>11</v>
      </c>
      <c r="AC21" s="29" t="s">
        <v>11</v>
      </c>
      <c r="AD21" s="29" t="s">
        <v>11</v>
      </c>
      <c r="AE21" s="24">
        <f t="shared" si="0"/>
        <v>0</v>
      </c>
      <c r="AF21" s="24">
        <f t="shared" si="1"/>
        <v>0</v>
      </c>
      <c r="AG21" s="24">
        <f t="shared" si="2"/>
        <v>15</v>
      </c>
      <c r="AH21" s="41" t="str" cm="1">
        <f t="array" ref="AH21">_xlfn.IFS(
$AE21=15,"Not Started",
$AG21&lt;15,"In Progress",
$AG21=15,"Completed",
SUM(AE21:AG21)&gt;15,"Error"
)</f>
        <v>Completed</v>
      </c>
    </row>
    <row r="22" spans="1:34" ht="13" x14ac:dyDescent="0.25">
      <c r="A22" s="248"/>
      <c r="B22" s="78">
        <v>19</v>
      </c>
      <c r="C22" s="14" t="s">
        <v>471</v>
      </c>
      <c r="D22" s="53" t="s">
        <v>2682</v>
      </c>
      <c r="E22" s="57" t="s">
        <v>2881</v>
      </c>
      <c r="F22" s="7" t="s">
        <v>47</v>
      </c>
      <c r="G22" s="7" t="s">
        <v>44</v>
      </c>
      <c r="H22" s="7" t="s">
        <v>3256</v>
      </c>
      <c r="I22" s="7" t="s">
        <v>3256</v>
      </c>
      <c r="J22" s="7" t="s">
        <v>3075</v>
      </c>
      <c r="K22" s="7" t="s">
        <v>3275</v>
      </c>
      <c r="L22" s="7">
        <v>10053678822</v>
      </c>
      <c r="M22" s="7"/>
      <c r="N22" s="7"/>
      <c r="O22" s="29" t="s">
        <v>11</v>
      </c>
      <c r="P22" s="29" t="s">
        <v>11</v>
      </c>
      <c r="Q22" s="29" t="s">
        <v>11</v>
      </c>
      <c r="R22" s="29" t="s">
        <v>11</v>
      </c>
      <c r="S22" s="29" t="s">
        <v>11</v>
      </c>
      <c r="T22" s="29" t="s">
        <v>11</v>
      </c>
      <c r="U22" s="29" t="s">
        <v>11</v>
      </c>
      <c r="V22" s="29" t="s">
        <v>11</v>
      </c>
      <c r="W22" s="29" t="s">
        <v>11</v>
      </c>
      <c r="X22" s="29" t="s">
        <v>11</v>
      </c>
      <c r="Y22" s="29" t="s">
        <v>11</v>
      </c>
      <c r="Z22" s="29" t="s">
        <v>11</v>
      </c>
      <c r="AA22" s="29" t="s">
        <v>11</v>
      </c>
      <c r="AB22" s="29" t="s">
        <v>11</v>
      </c>
      <c r="AC22" s="29" t="s">
        <v>11</v>
      </c>
      <c r="AD22" s="29" t="s">
        <v>11</v>
      </c>
      <c r="AE22" s="24">
        <f t="shared" si="0"/>
        <v>0</v>
      </c>
      <c r="AF22" s="24">
        <f t="shared" si="1"/>
        <v>0</v>
      </c>
      <c r="AG22" s="24">
        <f t="shared" si="2"/>
        <v>15</v>
      </c>
      <c r="AH22" s="41" t="str" cm="1">
        <f t="array" ref="AH22">_xlfn.IFS(
$AE22=15,"Not Started",
$AG22&lt;15,"In Progress",
$AG22=15,"Completed",
SUM(AE22:AG22)&gt;15,"Error"
)</f>
        <v>Completed</v>
      </c>
    </row>
    <row r="23" spans="1:34" ht="13" x14ac:dyDescent="0.25">
      <c r="A23" s="248"/>
      <c r="B23" s="78">
        <v>20</v>
      </c>
      <c r="C23" s="7" t="s">
        <v>472</v>
      </c>
      <c r="D23" s="53" t="s">
        <v>2683</v>
      </c>
      <c r="E23" s="57" t="s">
        <v>2882</v>
      </c>
      <c r="F23" s="7" t="s">
        <v>47</v>
      </c>
      <c r="G23" s="7" t="s">
        <v>48</v>
      </c>
      <c r="H23" s="7" t="s">
        <v>3256</v>
      </c>
      <c r="I23" s="7" t="s">
        <v>3256</v>
      </c>
      <c r="J23" s="7" t="s">
        <v>3076</v>
      </c>
      <c r="K23" s="7" t="s">
        <v>3276</v>
      </c>
      <c r="L23" s="7">
        <v>10087927417</v>
      </c>
      <c r="M23" s="7"/>
      <c r="N23" s="7"/>
      <c r="O23" s="29" t="s">
        <v>11</v>
      </c>
      <c r="P23" s="29" t="s">
        <v>11</v>
      </c>
      <c r="Q23" s="29" t="s">
        <v>11</v>
      </c>
      <c r="R23" s="29" t="s">
        <v>11</v>
      </c>
      <c r="S23" s="29" t="s">
        <v>11</v>
      </c>
      <c r="T23" s="29" t="s">
        <v>11</v>
      </c>
      <c r="U23" s="29" t="s">
        <v>11</v>
      </c>
      <c r="V23" s="29" t="s">
        <v>11</v>
      </c>
      <c r="W23" s="29" t="s">
        <v>11</v>
      </c>
      <c r="X23" s="29" t="s">
        <v>11</v>
      </c>
      <c r="Y23" s="29" t="s">
        <v>11</v>
      </c>
      <c r="Z23" s="29" t="s">
        <v>11</v>
      </c>
      <c r="AA23" s="29" t="s">
        <v>11</v>
      </c>
      <c r="AB23" s="29" t="s">
        <v>11</v>
      </c>
      <c r="AC23" s="29" t="s">
        <v>11</v>
      </c>
      <c r="AD23" s="29" t="s">
        <v>11</v>
      </c>
      <c r="AE23" s="24">
        <f t="shared" si="0"/>
        <v>0</v>
      </c>
      <c r="AF23" s="24">
        <f t="shared" si="1"/>
        <v>0</v>
      </c>
      <c r="AG23" s="24">
        <f t="shared" si="2"/>
        <v>15</v>
      </c>
      <c r="AH23" s="41" t="str" cm="1">
        <f t="array" ref="AH23">_xlfn.IFS(
$AE23=15,"Not Started",
$AG23&lt;15,"In Progress",
$AG23=15,"Completed",
SUM(AE23:AG23)&gt;15,"Error"
)</f>
        <v>Completed</v>
      </c>
    </row>
    <row r="24" spans="1:34" ht="13" x14ac:dyDescent="0.25">
      <c r="A24" s="248"/>
      <c r="B24" s="78">
        <v>21</v>
      </c>
      <c r="C24" s="14" t="s">
        <v>473</v>
      </c>
      <c r="D24" s="53" t="s">
        <v>2684</v>
      </c>
      <c r="E24" s="57" t="s">
        <v>2883</v>
      </c>
      <c r="F24" s="7" t="s">
        <v>43</v>
      </c>
      <c r="G24" s="7" t="s">
        <v>48</v>
      </c>
      <c r="H24" s="7" t="s">
        <v>3256</v>
      </c>
      <c r="I24" s="7" t="s">
        <v>3256</v>
      </c>
      <c r="J24" s="7" t="s">
        <v>3077</v>
      </c>
      <c r="K24" s="7" t="s">
        <v>3277</v>
      </c>
      <c r="L24" s="7">
        <v>10053503942</v>
      </c>
      <c r="M24" s="7"/>
      <c r="N24" s="7"/>
      <c r="O24" s="29" t="s">
        <v>11</v>
      </c>
      <c r="P24" s="29" t="s">
        <v>11</v>
      </c>
      <c r="Q24" s="29" t="s">
        <v>11</v>
      </c>
      <c r="R24" s="29" t="s">
        <v>11</v>
      </c>
      <c r="S24" s="29" t="s">
        <v>11</v>
      </c>
      <c r="T24" s="29" t="s">
        <v>11</v>
      </c>
      <c r="U24" s="29" t="s">
        <v>11</v>
      </c>
      <c r="V24" s="29" t="s">
        <v>11</v>
      </c>
      <c r="W24" s="29" t="s">
        <v>11</v>
      </c>
      <c r="X24" s="29" t="s">
        <v>11</v>
      </c>
      <c r="Y24" s="29" t="s">
        <v>11</v>
      </c>
      <c r="Z24" s="29" t="s">
        <v>11</v>
      </c>
      <c r="AA24" s="29" t="s">
        <v>11</v>
      </c>
      <c r="AB24" s="29" t="s">
        <v>11</v>
      </c>
      <c r="AC24" s="29" t="s">
        <v>11</v>
      </c>
      <c r="AD24" s="29" t="s">
        <v>11</v>
      </c>
      <c r="AE24" s="24">
        <f t="shared" si="0"/>
        <v>0</v>
      </c>
      <c r="AF24" s="24">
        <f t="shared" si="1"/>
        <v>0</v>
      </c>
      <c r="AG24" s="24">
        <f t="shared" si="2"/>
        <v>15</v>
      </c>
      <c r="AH24" s="41" t="str" cm="1">
        <f t="array" ref="AH24">_xlfn.IFS(
$AE24=15,"Not Started",
$AG24&lt;15,"In Progress",
$AG24=15,"Completed",
SUM(AE24:AG24)&gt;15,"Error"
)</f>
        <v>Completed</v>
      </c>
    </row>
    <row r="25" spans="1:34" ht="13" x14ac:dyDescent="0.25">
      <c r="A25" s="248"/>
      <c r="B25" s="78">
        <v>22</v>
      </c>
      <c r="C25" s="7" t="s">
        <v>474</v>
      </c>
      <c r="D25" s="53" t="s">
        <v>2685</v>
      </c>
      <c r="E25" s="57" t="s">
        <v>2884</v>
      </c>
      <c r="F25" s="7" t="s">
        <v>43</v>
      </c>
      <c r="G25" s="7" t="s">
        <v>44</v>
      </c>
      <c r="H25" s="7" t="s">
        <v>3256</v>
      </c>
      <c r="I25" s="7" t="s">
        <v>3256</v>
      </c>
      <c r="J25" s="7" t="s">
        <v>3078</v>
      </c>
      <c r="K25" s="7" t="s">
        <v>3278</v>
      </c>
      <c r="L25" s="7">
        <v>10053790009</v>
      </c>
      <c r="M25" s="7"/>
      <c r="N25" s="7"/>
      <c r="O25" s="29" t="s">
        <v>11</v>
      </c>
      <c r="P25" s="29" t="s">
        <v>11</v>
      </c>
      <c r="Q25" s="29" t="s">
        <v>11</v>
      </c>
      <c r="R25" s="29" t="s">
        <v>11</v>
      </c>
      <c r="S25" s="29" t="s">
        <v>11</v>
      </c>
      <c r="T25" s="29" t="s">
        <v>11</v>
      </c>
      <c r="U25" s="29" t="s">
        <v>11</v>
      </c>
      <c r="V25" s="29" t="s">
        <v>11</v>
      </c>
      <c r="W25" s="29" t="s">
        <v>11</v>
      </c>
      <c r="X25" s="29" t="s">
        <v>11</v>
      </c>
      <c r="Y25" s="29" t="s">
        <v>11</v>
      </c>
      <c r="Z25" s="29" t="s">
        <v>11</v>
      </c>
      <c r="AA25" s="29" t="s">
        <v>11</v>
      </c>
      <c r="AB25" s="29" t="s">
        <v>11</v>
      </c>
      <c r="AC25" s="29" t="s">
        <v>11</v>
      </c>
      <c r="AD25" s="29" t="s">
        <v>11</v>
      </c>
      <c r="AE25" s="24">
        <f t="shared" si="0"/>
        <v>0</v>
      </c>
      <c r="AF25" s="24">
        <f t="shared" si="1"/>
        <v>0</v>
      </c>
      <c r="AG25" s="24">
        <f t="shared" si="2"/>
        <v>15</v>
      </c>
      <c r="AH25" s="41" t="str" cm="1">
        <f t="array" ref="AH25">_xlfn.IFS(
$AE25=15,"Not Started",
$AG25&lt;15,"In Progress",
$AG25=15,"Completed",
SUM(AE25:AG25)&gt;15,"Error"
)</f>
        <v>Completed</v>
      </c>
    </row>
    <row r="26" spans="1:34" ht="13" x14ac:dyDescent="0.25">
      <c r="A26" s="248"/>
      <c r="B26" s="78">
        <v>23</v>
      </c>
      <c r="C26" s="14" t="s">
        <v>475</v>
      </c>
      <c r="D26" s="53" t="s">
        <v>2686</v>
      </c>
      <c r="E26" s="57" t="s">
        <v>2885</v>
      </c>
      <c r="F26" s="7" t="s">
        <v>47</v>
      </c>
      <c r="G26" s="7" t="s">
        <v>48</v>
      </c>
      <c r="H26" s="7" t="s">
        <v>3256</v>
      </c>
      <c r="I26" s="7" t="s">
        <v>3256</v>
      </c>
      <c r="J26" s="7" t="s">
        <v>3079</v>
      </c>
      <c r="K26" s="7" t="s">
        <v>3279</v>
      </c>
      <c r="L26" s="7">
        <v>10053436877</v>
      </c>
      <c r="M26" s="7"/>
      <c r="N26" s="7"/>
      <c r="O26" s="29" t="s">
        <v>11</v>
      </c>
      <c r="P26" s="29" t="s">
        <v>11</v>
      </c>
      <c r="Q26" s="29" t="s">
        <v>11</v>
      </c>
      <c r="R26" s="29" t="s">
        <v>11</v>
      </c>
      <c r="S26" s="29" t="s">
        <v>11</v>
      </c>
      <c r="T26" s="29" t="s">
        <v>11</v>
      </c>
      <c r="U26" s="29" t="s">
        <v>11</v>
      </c>
      <c r="V26" s="29" t="s">
        <v>11</v>
      </c>
      <c r="W26" s="29" t="s">
        <v>11</v>
      </c>
      <c r="X26" s="29" t="s">
        <v>11</v>
      </c>
      <c r="Y26" s="29" t="s">
        <v>11</v>
      </c>
      <c r="Z26" s="29" t="s">
        <v>11</v>
      </c>
      <c r="AA26" s="29" t="s">
        <v>11</v>
      </c>
      <c r="AB26" s="29" t="s">
        <v>11</v>
      </c>
      <c r="AC26" s="29" t="s">
        <v>11</v>
      </c>
      <c r="AD26" s="29" t="s">
        <v>11</v>
      </c>
      <c r="AE26" s="24">
        <f t="shared" si="0"/>
        <v>0</v>
      </c>
      <c r="AF26" s="24">
        <f t="shared" si="1"/>
        <v>0</v>
      </c>
      <c r="AG26" s="24">
        <f t="shared" si="2"/>
        <v>15</v>
      </c>
      <c r="AH26" s="41" t="str" cm="1">
        <f t="array" ref="AH26">_xlfn.IFS(
$AE26=15,"Not Started",
$AG26&lt;15,"In Progress",
$AG26=15,"Completed",
SUM(AE26:AG26)&gt;15,"Error"
)</f>
        <v>Completed</v>
      </c>
    </row>
    <row r="27" spans="1:34" ht="13" x14ac:dyDescent="0.25">
      <c r="A27" s="248"/>
      <c r="B27" s="78">
        <v>24</v>
      </c>
      <c r="C27" s="7" t="s">
        <v>476</v>
      </c>
      <c r="D27" s="53" t="s">
        <v>2687</v>
      </c>
      <c r="E27" s="57" t="s">
        <v>2886</v>
      </c>
      <c r="F27" s="7" t="s">
        <v>51</v>
      </c>
      <c r="G27" s="7" t="s">
        <v>44</v>
      </c>
      <c r="H27" s="7" t="s">
        <v>3256</v>
      </c>
      <c r="I27" s="7" t="s">
        <v>3256</v>
      </c>
      <c r="J27" s="7" t="s">
        <v>3080</v>
      </c>
      <c r="K27" s="7" t="s">
        <v>3280</v>
      </c>
      <c r="L27" s="7">
        <v>10053497381</v>
      </c>
      <c r="M27" s="7"/>
      <c r="N27" s="7"/>
      <c r="O27" s="29" t="s">
        <v>11</v>
      </c>
      <c r="P27" s="29" t="s">
        <v>11</v>
      </c>
      <c r="Q27" s="29" t="s">
        <v>11</v>
      </c>
      <c r="R27" s="29" t="s">
        <v>11</v>
      </c>
      <c r="S27" s="29" t="s">
        <v>11</v>
      </c>
      <c r="T27" s="29" t="s">
        <v>11</v>
      </c>
      <c r="U27" s="29" t="s">
        <v>11</v>
      </c>
      <c r="V27" s="29" t="s">
        <v>11</v>
      </c>
      <c r="W27" s="29" t="s">
        <v>11</v>
      </c>
      <c r="X27" s="29" t="s">
        <v>11</v>
      </c>
      <c r="Y27" s="29" t="s">
        <v>11</v>
      </c>
      <c r="Z27" s="29" t="s">
        <v>11</v>
      </c>
      <c r="AA27" s="29" t="s">
        <v>11</v>
      </c>
      <c r="AB27" s="29" t="s">
        <v>11</v>
      </c>
      <c r="AC27" s="29" t="s">
        <v>11</v>
      </c>
      <c r="AD27" s="29" t="s">
        <v>11</v>
      </c>
      <c r="AE27" s="24">
        <f t="shared" si="0"/>
        <v>0</v>
      </c>
      <c r="AF27" s="24">
        <f t="shared" si="1"/>
        <v>0</v>
      </c>
      <c r="AG27" s="24">
        <f t="shared" si="2"/>
        <v>15</v>
      </c>
      <c r="AH27" s="41" t="str" cm="1">
        <f t="array" ref="AH27">_xlfn.IFS(
$AE27=15,"Not Started",
$AG27&lt;15,"In Progress",
$AG27=15,"Completed",
SUM(AE27:AG27)&gt;15,"Error"
)</f>
        <v>Completed</v>
      </c>
    </row>
    <row r="28" spans="1:34" ht="13" x14ac:dyDescent="0.25">
      <c r="A28" s="248"/>
      <c r="B28" s="78">
        <v>25</v>
      </c>
      <c r="C28" s="14" t="s">
        <v>477</v>
      </c>
      <c r="D28" s="53" t="s">
        <v>2688</v>
      </c>
      <c r="E28" s="57" t="s">
        <v>2887</v>
      </c>
      <c r="F28" s="7" t="s">
        <v>43</v>
      </c>
      <c r="G28" s="7" t="s">
        <v>44</v>
      </c>
      <c r="H28" s="7" t="s">
        <v>3256</v>
      </c>
      <c r="I28" s="7" t="s">
        <v>3256</v>
      </c>
      <c r="J28" s="7" t="s">
        <v>3081</v>
      </c>
      <c r="K28" s="7" t="s">
        <v>3281</v>
      </c>
      <c r="L28" s="7">
        <v>10053306818</v>
      </c>
      <c r="M28" s="7"/>
      <c r="N28" s="7"/>
      <c r="O28" s="29" t="s">
        <v>11</v>
      </c>
      <c r="P28" s="29" t="s">
        <v>11</v>
      </c>
      <c r="Q28" s="29" t="s">
        <v>11</v>
      </c>
      <c r="R28" s="29" t="s">
        <v>11</v>
      </c>
      <c r="S28" s="29" t="s">
        <v>11</v>
      </c>
      <c r="T28" s="29" t="s">
        <v>11</v>
      </c>
      <c r="U28" s="29" t="s">
        <v>11</v>
      </c>
      <c r="V28" s="29" t="s">
        <v>11</v>
      </c>
      <c r="W28" s="29" t="s">
        <v>11</v>
      </c>
      <c r="X28" s="29" t="s">
        <v>11</v>
      </c>
      <c r="Y28" s="29" t="s">
        <v>11</v>
      </c>
      <c r="Z28" s="29" t="s">
        <v>11</v>
      </c>
      <c r="AA28" s="29" t="s">
        <v>11</v>
      </c>
      <c r="AB28" s="29" t="s">
        <v>11</v>
      </c>
      <c r="AC28" s="29" t="s">
        <v>11</v>
      </c>
      <c r="AD28" s="29" t="s">
        <v>11</v>
      </c>
      <c r="AE28" s="24">
        <f t="shared" si="0"/>
        <v>0</v>
      </c>
      <c r="AF28" s="24">
        <f t="shared" si="1"/>
        <v>0</v>
      </c>
      <c r="AG28" s="24">
        <f t="shared" si="2"/>
        <v>15</v>
      </c>
      <c r="AH28" s="41" t="str" cm="1">
        <f t="array" ref="AH28">_xlfn.IFS(
$AE28=15,"Not Started",
$AG28&lt;15,"In Progress",
$AG28=15,"Completed",
SUM(AE28:AG28)&gt;15,"Error"
)</f>
        <v>Completed</v>
      </c>
    </row>
    <row r="29" spans="1:34" ht="13" x14ac:dyDescent="0.25">
      <c r="A29" s="248"/>
      <c r="B29" s="78">
        <v>26</v>
      </c>
      <c r="C29" s="7" t="s">
        <v>478</v>
      </c>
      <c r="D29" s="53" t="s">
        <v>2689</v>
      </c>
      <c r="E29" s="57" t="s">
        <v>2888</v>
      </c>
      <c r="F29" s="7" t="s">
        <v>47</v>
      </c>
      <c r="G29" s="7" t="s">
        <v>48</v>
      </c>
      <c r="H29" s="7" t="s">
        <v>3256</v>
      </c>
      <c r="I29" s="7" t="s">
        <v>3256</v>
      </c>
      <c r="J29" s="7" t="s">
        <v>3082</v>
      </c>
      <c r="K29" s="7" t="s">
        <v>3282</v>
      </c>
      <c r="L29" s="7">
        <v>10053563978</v>
      </c>
      <c r="M29" s="7"/>
      <c r="N29" s="7"/>
      <c r="O29" s="29" t="s">
        <v>11</v>
      </c>
      <c r="P29" s="29" t="s">
        <v>11</v>
      </c>
      <c r="Q29" s="29" t="s">
        <v>11</v>
      </c>
      <c r="R29" s="29" t="s">
        <v>11</v>
      </c>
      <c r="S29" s="29" t="s">
        <v>11</v>
      </c>
      <c r="T29" s="29" t="s">
        <v>11</v>
      </c>
      <c r="U29" s="29" t="s">
        <v>11</v>
      </c>
      <c r="V29" s="29" t="s">
        <v>11</v>
      </c>
      <c r="W29" s="29" t="s">
        <v>11</v>
      </c>
      <c r="X29" s="29" t="s">
        <v>11</v>
      </c>
      <c r="Y29" s="29" t="s">
        <v>11</v>
      </c>
      <c r="Z29" s="29" t="s">
        <v>11</v>
      </c>
      <c r="AA29" s="29" t="s">
        <v>11</v>
      </c>
      <c r="AB29" s="29" t="s">
        <v>11</v>
      </c>
      <c r="AC29" s="29" t="s">
        <v>11</v>
      </c>
      <c r="AD29" s="29" t="s">
        <v>11</v>
      </c>
      <c r="AE29" s="24">
        <f t="shared" si="0"/>
        <v>0</v>
      </c>
      <c r="AF29" s="24">
        <f t="shared" si="1"/>
        <v>0</v>
      </c>
      <c r="AG29" s="24">
        <f t="shared" si="2"/>
        <v>15</v>
      </c>
      <c r="AH29" s="41" t="str" cm="1">
        <f t="array" ref="AH29">_xlfn.IFS(
$AE29=15,"Not Started",
$AG29&lt;15,"In Progress",
$AG29=15,"Completed",
SUM(AE29:AG29)&gt;15,"Error"
)</f>
        <v>Completed</v>
      </c>
    </row>
    <row r="30" spans="1:34" ht="13" x14ac:dyDescent="0.25">
      <c r="A30" s="248"/>
      <c r="B30" s="78">
        <v>27</v>
      </c>
      <c r="C30" s="14" t="s">
        <v>479</v>
      </c>
      <c r="D30" s="53" t="s">
        <v>2690</v>
      </c>
      <c r="E30" s="57" t="s">
        <v>2889</v>
      </c>
      <c r="F30" s="7" t="s">
        <v>43</v>
      </c>
      <c r="G30" s="7" t="s">
        <v>44</v>
      </c>
      <c r="H30" s="7" t="s">
        <v>3256</v>
      </c>
      <c r="I30" s="7" t="s">
        <v>3256</v>
      </c>
      <c r="J30" s="7" t="s">
        <v>3083</v>
      </c>
      <c r="K30" s="7" t="s">
        <v>3283</v>
      </c>
      <c r="L30" s="7">
        <v>10105379095</v>
      </c>
      <c r="M30" s="7"/>
      <c r="N30" s="7"/>
      <c r="O30" s="29" t="s">
        <v>11</v>
      </c>
      <c r="P30" s="29" t="s">
        <v>11</v>
      </c>
      <c r="Q30" s="29" t="s">
        <v>11</v>
      </c>
      <c r="R30" s="29" t="s">
        <v>11</v>
      </c>
      <c r="S30" s="29" t="s">
        <v>11</v>
      </c>
      <c r="T30" s="29" t="s">
        <v>11</v>
      </c>
      <c r="U30" s="29" t="s">
        <v>11</v>
      </c>
      <c r="V30" s="29" t="s">
        <v>11</v>
      </c>
      <c r="W30" s="29" t="s">
        <v>11</v>
      </c>
      <c r="X30" s="29" t="s">
        <v>11</v>
      </c>
      <c r="Y30" s="29" t="s">
        <v>11</v>
      </c>
      <c r="Z30" s="29" t="s">
        <v>11</v>
      </c>
      <c r="AA30" s="29" t="s">
        <v>11</v>
      </c>
      <c r="AB30" s="29" t="s">
        <v>11</v>
      </c>
      <c r="AC30" s="29" t="s">
        <v>11</v>
      </c>
      <c r="AD30" s="29" t="s">
        <v>11</v>
      </c>
      <c r="AE30" s="24">
        <f t="shared" si="0"/>
        <v>0</v>
      </c>
      <c r="AF30" s="24">
        <f t="shared" si="1"/>
        <v>0</v>
      </c>
      <c r="AG30" s="24">
        <f t="shared" si="2"/>
        <v>15</v>
      </c>
      <c r="AH30" s="41" t="str" cm="1">
        <f t="array" ref="AH30">_xlfn.IFS(
$AE30=15,"Not Started",
$AG30&lt;15,"In Progress",
$AG30=15,"Completed",
SUM(AE30:AG30)&gt;15,"Error"
)</f>
        <v>Completed</v>
      </c>
    </row>
    <row r="31" spans="1:34" ht="13" x14ac:dyDescent="0.25">
      <c r="A31" s="248"/>
      <c r="B31" s="78">
        <v>28</v>
      </c>
      <c r="C31" s="7" t="s">
        <v>480</v>
      </c>
      <c r="D31" s="53" t="s">
        <v>2691</v>
      </c>
      <c r="E31" s="57" t="s">
        <v>2890</v>
      </c>
      <c r="F31" s="7" t="s">
        <v>43</v>
      </c>
      <c r="G31" s="7" t="s">
        <v>44</v>
      </c>
      <c r="H31" s="7" t="s">
        <v>3256</v>
      </c>
      <c r="I31" s="7" t="s">
        <v>3256</v>
      </c>
      <c r="J31" s="7" t="s">
        <v>3084</v>
      </c>
      <c r="K31" s="7" t="s">
        <v>3284</v>
      </c>
      <c r="L31" s="7">
        <v>10053787166</v>
      </c>
      <c r="M31" s="7"/>
      <c r="N31" s="7"/>
      <c r="O31" s="29" t="s">
        <v>11</v>
      </c>
      <c r="P31" s="29" t="s">
        <v>11</v>
      </c>
      <c r="Q31" s="29" t="s">
        <v>11</v>
      </c>
      <c r="R31" s="29" t="s">
        <v>11</v>
      </c>
      <c r="S31" s="29" t="s">
        <v>11</v>
      </c>
      <c r="T31" s="29" t="s">
        <v>11</v>
      </c>
      <c r="U31" s="29" t="s">
        <v>11</v>
      </c>
      <c r="V31" s="29" t="s">
        <v>11</v>
      </c>
      <c r="W31" s="29" t="s">
        <v>11</v>
      </c>
      <c r="X31" s="29" t="s">
        <v>11</v>
      </c>
      <c r="Y31" s="29" t="s">
        <v>11</v>
      </c>
      <c r="Z31" s="29" t="s">
        <v>11</v>
      </c>
      <c r="AA31" s="29" t="s">
        <v>11</v>
      </c>
      <c r="AB31" s="29" t="s">
        <v>11</v>
      </c>
      <c r="AC31" s="29" t="s">
        <v>11</v>
      </c>
      <c r="AD31" s="29" t="s">
        <v>11</v>
      </c>
      <c r="AE31" s="24">
        <f t="shared" si="0"/>
        <v>0</v>
      </c>
      <c r="AF31" s="24">
        <f t="shared" si="1"/>
        <v>0</v>
      </c>
      <c r="AG31" s="24">
        <f t="shared" si="2"/>
        <v>15</v>
      </c>
      <c r="AH31" s="41" t="str" cm="1">
        <f t="array" ref="AH31">_xlfn.IFS(
$AE31=15,"Not Started",
$AG31&lt;15,"In Progress",
$AG31=15,"Completed",
SUM(AE31:AG31)&gt;15,"Error"
)</f>
        <v>Completed</v>
      </c>
    </row>
    <row r="32" spans="1:34" ht="13" x14ac:dyDescent="0.25">
      <c r="A32" s="248"/>
      <c r="B32" s="78">
        <v>29</v>
      </c>
      <c r="C32" s="14" t="s">
        <v>481</v>
      </c>
      <c r="D32" s="53" t="s">
        <v>2692</v>
      </c>
      <c r="E32" s="57" t="s">
        <v>2891</v>
      </c>
      <c r="F32" s="7" t="s">
        <v>43</v>
      </c>
      <c r="G32" s="7" t="s">
        <v>44</v>
      </c>
      <c r="H32" s="7" t="s">
        <v>3256</v>
      </c>
      <c r="I32" s="7" t="s">
        <v>3256</v>
      </c>
      <c r="J32" s="7" t="s">
        <v>3085</v>
      </c>
      <c r="K32" s="7" t="s">
        <v>3285</v>
      </c>
      <c r="L32" s="7">
        <v>10053787694</v>
      </c>
      <c r="M32" s="7"/>
      <c r="N32" s="7"/>
      <c r="O32" s="29" t="s">
        <v>11</v>
      </c>
      <c r="P32" s="29" t="s">
        <v>11</v>
      </c>
      <c r="Q32" s="29" t="s">
        <v>11</v>
      </c>
      <c r="R32" s="29" t="s">
        <v>11</v>
      </c>
      <c r="S32" s="29" t="s">
        <v>11</v>
      </c>
      <c r="T32" s="29" t="s">
        <v>11</v>
      </c>
      <c r="U32" s="29" t="s">
        <v>11</v>
      </c>
      <c r="V32" s="29" t="s">
        <v>11</v>
      </c>
      <c r="W32" s="29" t="s">
        <v>11</v>
      </c>
      <c r="X32" s="29" t="s">
        <v>11</v>
      </c>
      <c r="Y32" s="29" t="s">
        <v>11</v>
      </c>
      <c r="Z32" s="29" t="s">
        <v>11</v>
      </c>
      <c r="AA32" s="29" t="s">
        <v>11</v>
      </c>
      <c r="AB32" s="29" t="s">
        <v>11</v>
      </c>
      <c r="AC32" s="29" t="s">
        <v>11</v>
      </c>
      <c r="AD32" s="29" t="s">
        <v>11</v>
      </c>
      <c r="AE32" s="24">
        <f t="shared" si="0"/>
        <v>0</v>
      </c>
      <c r="AF32" s="24">
        <f t="shared" si="1"/>
        <v>0</v>
      </c>
      <c r="AG32" s="24">
        <f t="shared" si="2"/>
        <v>15</v>
      </c>
      <c r="AH32" s="41" t="str" cm="1">
        <f t="array" ref="AH32">_xlfn.IFS(
$AE32=15,"Not Started",
$AG32&lt;15,"In Progress",
$AG32=15,"Completed",
SUM(AE32:AG32)&gt;15,"Error"
)</f>
        <v>Completed</v>
      </c>
    </row>
    <row r="33" spans="1:34" ht="13" x14ac:dyDescent="0.25">
      <c r="A33" s="248"/>
      <c r="B33" s="78">
        <v>30</v>
      </c>
      <c r="C33" s="7" t="s">
        <v>482</v>
      </c>
      <c r="D33" s="53" t="s">
        <v>2693</v>
      </c>
      <c r="E33" s="57" t="s">
        <v>2892</v>
      </c>
      <c r="F33" s="7" t="s">
        <v>51</v>
      </c>
      <c r="G33" s="7" t="s">
        <v>48</v>
      </c>
      <c r="H33" s="7" t="s">
        <v>3256</v>
      </c>
      <c r="I33" s="7" t="s">
        <v>3256</v>
      </c>
      <c r="J33" s="7" t="s">
        <v>3086</v>
      </c>
      <c r="K33" s="7" t="s">
        <v>3286</v>
      </c>
      <c r="L33" s="7">
        <v>10053682290</v>
      </c>
      <c r="M33" s="7"/>
      <c r="N33" s="7"/>
      <c r="O33" s="29" t="s">
        <v>11</v>
      </c>
      <c r="P33" s="29" t="s">
        <v>11</v>
      </c>
      <c r="Q33" s="29" t="s">
        <v>11</v>
      </c>
      <c r="R33" s="29" t="s">
        <v>11</v>
      </c>
      <c r="S33" s="29" t="s">
        <v>11</v>
      </c>
      <c r="T33" s="29" t="s">
        <v>11</v>
      </c>
      <c r="U33" s="29" t="s">
        <v>11</v>
      </c>
      <c r="V33" s="29" t="s">
        <v>11</v>
      </c>
      <c r="W33" s="29" t="s">
        <v>11</v>
      </c>
      <c r="X33" s="29" t="s">
        <v>11</v>
      </c>
      <c r="Y33" s="29" t="s">
        <v>11</v>
      </c>
      <c r="Z33" s="29" t="s">
        <v>11</v>
      </c>
      <c r="AA33" s="29" t="s">
        <v>11</v>
      </c>
      <c r="AB33" s="29" t="s">
        <v>11</v>
      </c>
      <c r="AC33" s="29" t="s">
        <v>11</v>
      </c>
      <c r="AD33" s="29" t="s">
        <v>11</v>
      </c>
      <c r="AE33" s="24">
        <f t="shared" si="0"/>
        <v>0</v>
      </c>
      <c r="AF33" s="24">
        <f t="shared" si="1"/>
        <v>0</v>
      </c>
      <c r="AG33" s="24">
        <f t="shared" si="2"/>
        <v>15</v>
      </c>
      <c r="AH33" s="41" t="str" cm="1">
        <f t="array" ref="AH33">_xlfn.IFS(
$AE33=15,"Not Started",
$AG33&lt;15,"In Progress",
$AG33=15,"Completed",
SUM(AE33:AG33)&gt;15,"Error"
)</f>
        <v>Completed</v>
      </c>
    </row>
    <row r="34" spans="1:34" ht="13" x14ac:dyDescent="0.25">
      <c r="A34" s="248"/>
      <c r="B34" s="78">
        <v>31</v>
      </c>
      <c r="C34" s="14" t="s">
        <v>483</v>
      </c>
      <c r="D34" s="53" t="s">
        <v>2694</v>
      </c>
      <c r="E34" s="57" t="s">
        <v>2893</v>
      </c>
      <c r="F34" s="7" t="s">
        <v>43</v>
      </c>
      <c r="G34" s="7" t="s">
        <v>48</v>
      </c>
      <c r="H34" s="7" t="s">
        <v>3256</v>
      </c>
      <c r="I34" s="7" t="s">
        <v>3256</v>
      </c>
      <c r="J34" s="7" t="s">
        <v>3087</v>
      </c>
      <c r="K34" s="7" t="s">
        <v>3287</v>
      </c>
      <c r="L34" s="7">
        <v>10100983866</v>
      </c>
      <c r="M34" s="7"/>
      <c r="N34" s="7"/>
      <c r="O34" s="29" t="s">
        <v>11</v>
      </c>
      <c r="P34" s="29" t="s">
        <v>11</v>
      </c>
      <c r="Q34" s="29" t="s">
        <v>11</v>
      </c>
      <c r="R34" s="29" t="s">
        <v>11</v>
      </c>
      <c r="S34" s="29" t="s">
        <v>11</v>
      </c>
      <c r="T34" s="29" t="s">
        <v>11</v>
      </c>
      <c r="U34" s="29" t="s">
        <v>11</v>
      </c>
      <c r="V34" s="29" t="s">
        <v>11</v>
      </c>
      <c r="W34" s="29" t="s">
        <v>11</v>
      </c>
      <c r="X34" s="29" t="s">
        <v>11</v>
      </c>
      <c r="Y34" s="29" t="s">
        <v>11</v>
      </c>
      <c r="Z34" s="29" t="s">
        <v>11</v>
      </c>
      <c r="AA34" s="29" t="s">
        <v>11</v>
      </c>
      <c r="AB34" s="29" t="s">
        <v>11</v>
      </c>
      <c r="AC34" s="29" t="s">
        <v>11</v>
      </c>
      <c r="AD34" s="29" t="s">
        <v>11</v>
      </c>
      <c r="AE34" s="24">
        <f t="shared" si="0"/>
        <v>0</v>
      </c>
      <c r="AF34" s="24">
        <f t="shared" si="1"/>
        <v>0</v>
      </c>
      <c r="AG34" s="24">
        <f t="shared" si="2"/>
        <v>15</v>
      </c>
      <c r="AH34" s="41" t="str" cm="1">
        <f t="array" ref="AH34">_xlfn.IFS(
$AE34=15,"Not Started",
$AG34&lt;15,"In Progress",
$AG34=15,"Completed",
SUM(AE34:AG34)&gt;15,"Error"
)</f>
        <v>Completed</v>
      </c>
    </row>
    <row r="35" spans="1:34" ht="13" x14ac:dyDescent="0.25">
      <c r="A35" s="248"/>
      <c r="B35" s="78">
        <v>32</v>
      </c>
      <c r="C35" s="7" t="s">
        <v>484</v>
      </c>
      <c r="D35" s="53" t="s">
        <v>2695</v>
      </c>
      <c r="E35" s="57" t="s">
        <v>2894</v>
      </c>
      <c r="F35" s="7" t="s">
        <v>51</v>
      </c>
      <c r="G35" s="7" t="s">
        <v>44</v>
      </c>
      <c r="H35" s="7" t="s">
        <v>3256</v>
      </c>
      <c r="I35" s="7" t="s">
        <v>3256</v>
      </c>
      <c r="J35" s="7" t="s">
        <v>3088</v>
      </c>
      <c r="K35" s="7" t="s">
        <v>3288</v>
      </c>
      <c r="L35" s="7">
        <v>10053679811</v>
      </c>
      <c r="M35" s="7"/>
      <c r="N35" s="7"/>
      <c r="O35" s="29" t="s">
        <v>11</v>
      </c>
      <c r="P35" s="29" t="s">
        <v>11</v>
      </c>
      <c r="Q35" s="29" t="s">
        <v>11</v>
      </c>
      <c r="R35" s="29" t="s">
        <v>11</v>
      </c>
      <c r="S35" s="29" t="s">
        <v>11</v>
      </c>
      <c r="T35" s="29" t="s">
        <v>11</v>
      </c>
      <c r="U35" s="29" t="s">
        <v>11</v>
      </c>
      <c r="V35" s="29" t="s">
        <v>11</v>
      </c>
      <c r="W35" s="29" t="s">
        <v>11</v>
      </c>
      <c r="X35" s="29" t="s">
        <v>11</v>
      </c>
      <c r="Y35" s="29" t="s">
        <v>11</v>
      </c>
      <c r="Z35" s="29" t="s">
        <v>11</v>
      </c>
      <c r="AA35" s="29" t="s">
        <v>11</v>
      </c>
      <c r="AB35" s="29" t="s">
        <v>11</v>
      </c>
      <c r="AC35" s="29" t="s">
        <v>11</v>
      </c>
      <c r="AD35" s="29" t="s">
        <v>11</v>
      </c>
      <c r="AE35" s="24">
        <f t="shared" si="0"/>
        <v>0</v>
      </c>
      <c r="AF35" s="24">
        <f t="shared" si="1"/>
        <v>0</v>
      </c>
      <c r="AG35" s="24">
        <f t="shared" si="2"/>
        <v>15</v>
      </c>
      <c r="AH35" s="41" t="str" cm="1">
        <f t="array" ref="AH35">_xlfn.IFS(
$AE35=15,"Not Started",
$AG35&lt;15,"In Progress",
$AG35=15,"Completed",
SUM(AE35:AG35)&gt;15,"Error"
)</f>
        <v>Completed</v>
      </c>
    </row>
    <row r="36" spans="1:34" ht="13" x14ac:dyDescent="0.25">
      <c r="A36" s="248"/>
      <c r="B36" s="78">
        <v>33</v>
      </c>
      <c r="C36" s="14" t="s">
        <v>485</v>
      </c>
      <c r="D36" s="53" t="s">
        <v>2696</v>
      </c>
      <c r="E36" s="57" t="s">
        <v>2895</v>
      </c>
      <c r="F36" s="7" t="s">
        <v>51</v>
      </c>
      <c r="G36" s="7" t="s">
        <v>48</v>
      </c>
      <c r="H36" s="7" t="s">
        <v>3256</v>
      </c>
      <c r="I36" s="7" t="s">
        <v>3256</v>
      </c>
      <c r="J36" s="7" t="s">
        <v>3089</v>
      </c>
      <c r="K36" s="7" t="s">
        <v>3289</v>
      </c>
      <c r="L36" s="7">
        <v>10053808088</v>
      </c>
      <c r="M36" s="7"/>
      <c r="N36" s="7"/>
      <c r="O36" s="29" t="s">
        <v>11</v>
      </c>
      <c r="P36" s="29" t="s">
        <v>11</v>
      </c>
      <c r="Q36" s="29" t="s">
        <v>11</v>
      </c>
      <c r="R36" s="29" t="s">
        <v>11</v>
      </c>
      <c r="S36" s="29" t="s">
        <v>11</v>
      </c>
      <c r="T36" s="29" t="s">
        <v>11</v>
      </c>
      <c r="U36" s="29" t="s">
        <v>11</v>
      </c>
      <c r="V36" s="29" t="s">
        <v>11</v>
      </c>
      <c r="W36" s="29" t="s">
        <v>11</v>
      </c>
      <c r="X36" s="29" t="s">
        <v>11</v>
      </c>
      <c r="Y36" s="29" t="s">
        <v>11</v>
      </c>
      <c r="Z36" s="29" t="s">
        <v>11</v>
      </c>
      <c r="AA36" s="29" t="s">
        <v>11</v>
      </c>
      <c r="AB36" s="29" t="s">
        <v>11</v>
      </c>
      <c r="AC36" s="29" t="s">
        <v>11</v>
      </c>
      <c r="AD36" s="29" t="s">
        <v>11</v>
      </c>
      <c r="AE36" s="24">
        <f t="shared" si="0"/>
        <v>0</v>
      </c>
      <c r="AF36" s="24">
        <f t="shared" si="1"/>
        <v>0</v>
      </c>
      <c r="AG36" s="24">
        <f t="shared" si="2"/>
        <v>15</v>
      </c>
      <c r="AH36" s="41" t="str" cm="1">
        <f t="array" ref="AH36">_xlfn.IFS(
$AE36=15,"Not Started",
$AG36&lt;15,"In Progress",
$AG36=15,"Completed",
SUM(AE36:AG36)&gt;15,"Error"
)</f>
        <v>Completed</v>
      </c>
    </row>
    <row r="37" spans="1:34" ht="13" x14ac:dyDescent="0.25">
      <c r="A37" s="248"/>
      <c r="B37" s="78">
        <v>34</v>
      </c>
      <c r="C37" s="7" t="s">
        <v>486</v>
      </c>
      <c r="D37" s="53" t="s">
        <v>2697</v>
      </c>
      <c r="E37" s="57" t="s">
        <v>2896</v>
      </c>
      <c r="F37" s="7" t="s">
        <v>43</v>
      </c>
      <c r="G37" s="7" t="s">
        <v>48</v>
      </c>
      <c r="H37" s="7" t="s">
        <v>3256</v>
      </c>
      <c r="I37" s="7" t="s">
        <v>3256</v>
      </c>
      <c r="J37" s="7" t="s">
        <v>3090</v>
      </c>
      <c r="K37" s="7" t="s">
        <v>3290</v>
      </c>
      <c r="L37" s="7">
        <v>10053367466</v>
      </c>
      <c r="M37" s="7"/>
      <c r="N37" s="7"/>
      <c r="O37" s="29" t="s">
        <v>11</v>
      </c>
      <c r="P37" s="29" t="s">
        <v>11</v>
      </c>
      <c r="Q37" s="29" t="s">
        <v>11</v>
      </c>
      <c r="R37" s="29" t="s">
        <v>11</v>
      </c>
      <c r="S37" s="29" t="s">
        <v>11</v>
      </c>
      <c r="T37" s="29" t="s">
        <v>11</v>
      </c>
      <c r="U37" s="29" t="s">
        <v>11</v>
      </c>
      <c r="V37" s="29" t="s">
        <v>11</v>
      </c>
      <c r="W37" s="29" t="s">
        <v>11</v>
      </c>
      <c r="X37" s="29" t="s">
        <v>11</v>
      </c>
      <c r="Y37" s="29" t="s">
        <v>11</v>
      </c>
      <c r="Z37" s="29" t="s">
        <v>11</v>
      </c>
      <c r="AA37" s="29" t="s">
        <v>11</v>
      </c>
      <c r="AB37" s="29" t="s">
        <v>11</v>
      </c>
      <c r="AC37" s="29" t="s">
        <v>11</v>
      </c>
      <c r="AD37" s="29" t="s">
        <v>11</v>
      </c>
      <c r="AE37" s="24">
        <f t="shared" si="0"/>
        <v>0</v>
      </c>
      <c r="AF37" s="24">
        <f t="shared" si="1"/>
        <v>0</v>
      </c>
      <c r="AG37" s="24">
        <f t="shared" si="2"/>
        <v>15</v>
      </c>
      <c r="AH37" s="41" t="str" cm="1">
        <f t="array" ref="AH37">_xlfn.IFS(
$AE37=15,"Not Started",
$AG37&lt;15,"In Progress",
$AG37=15,"Completed",
SUM(AE37:AG37)&gt;15,"Error"
)</f>
        <v>Completed</v>
      </c>
    </row>
    <row r="38" spans="1:34" ht="13" x14ac:dyDescent="0.25">
      <c r="A38" s="248"/>
      <c r="B38" s="78">
        <v>35</v>
      </c>
      <c r="C38" s="14" t="s">
        <v>487</v>
      </c>
      <c r="D38" s="53" t="s">
        <v>2698</v>
      </c>
      <c r="E38" s="57" t="s">
        <v>2897</v>
      </c>
      <c r="F38" s="7" t="s">
        <v>51</v>
      </c>
      <c r="G38" s="7" t="s">
        <v>44</v>
      </c>
      <c r="H38" s="7" t="s">
        <v>3256</v>
      </c>
      <c r="I38" s="7" t="s">
        <v>3256</v>
      </c>
      <c r="J38" s="7" t="s">
        <v>3091</v>
      </c>
      <c r="K38" s="7" t="s">
        <v>3291</v>
      </c>
      <c r="L38" s="7">
        <v>10053844119</v>
      </c>
      <c r="M38" s="7"/>
      <c r="N38" s="7"/>
      <c r="O38" s="29" t="s">
        <v>11</v>
      </c>
      <c r="P38" s="29" t="s">
        <v>11</v>
      </c>
      <c r="Q38" s="29" t="s">
        <v>11</v>
      </c>
      <c r="R38" s="29" t="s">
        <v>11</v>
      </c>
      <c r="S38" s="29" t="s">
        <v>11</v>
      </c>
      <c r="T38" s="29" t="s">
        <v>11</v>
      </c>
      <c r="U38" s="29" t="s">
        <v>11</v>
      </c>
      <c r="V38" s="29" t="s">
        <v>11</v>
      </c>
      <c r="W38" s="29" t="s">
        <v>11</v>
      </c>
      <c r="X38" s="29" t="s">
        <v>11</v>
      </c>
      <c r="Y38" s="29" t="s">
        <v>11</v>
      </c>
      <c r="Z38" s="29" t="s">
        <v>11</v>
      </c>
      <c r="AA38" s="29" t="s">
        <v>11</v>
      </c>
      <c r="AB38" s="29" t="s">
        <v>11</v>
      </c>
      <c r="AC38" s="29" t="s">
        <v>11</v>
      </c>
      <c r="AD38" s="29" t="s">
        <v>11</v>
      </c>
      <c r="AE38" s="24">
        <f t="shared" si="0"/>
        <v>0</v>
      </c>
      <c r="AF38" s="24">
        <f t="shared" si="1"/>
        <v>0</v>
      </c>
      <c r="AG38" s="24">
        <f t="shared" si="2"/>
        <v>15</v>
      </c>
      <c r="AH38" s="41" t="str" cm="1">
        <f t="array" ref="AH38">_xlfn.IFS(
$AE38=15,"Not Started",
$AG38&lt;15,"In Progress",
$AG38=15,"Completed",
SUM(AE38:AG38)&gt;15,"Error"
)</f>
        <v>Completed</v>
      </c>
    </row>
    <row r="39" spans="1:34" ht="13" x14ac:dyDescent="0.25">
      <c r="A39" s="248"/>
      <c r="B39" s="78">
        <v>36</v>
      </c>
      <c r="C39" s="7" t="s">
        <v>488</v>
      </c>
      <c r="D39" s="53" t="s">
        <v>2699</v>
      </c>
      <c r="E39" s="57" t="s">
        <v>2898</v>
      </c>
      <c r="F39" s="7" t="s">
        <v>43</v>
      </c>
      <c r="G39" s="7" t="s">
        <v>44</v>
      </c>
      <c r="H39" s="7" t="s">
        <v>3256</v>
      </c>
      <c r="I39" s="7" t="s">
        <v>3256</v>
      </c>
      <c r="J39" s="7" t="s">
        <v>3092</v>
      </c>
      <c r="K39" s="7" t="s">
        <v>3292</v>
      </c>
      <c r="L39" s="7">
        <v>10053308231</v>
      </c>
      <c r="M39" s="7"/>
      <c r="N39" s="7"/>
      <c r="O39" s="29" t="s">
        <v>11</v>
      </c>
      <c r="P39" s="29" t="s">
        <v>11</v>
      </c>
      <c r="Q39" s="29" t="s">
        <v>11</v>
      </c>
      <c r="R39" s="29" t="s">
        <v>11</v>
      </c>
      <c r="S39" s="29" t="s">
        <v>11</v>
      </c>
      <c r="T39" s="29" t="s">
        <v>11</v>
      </c>
      <c r="U39" s="29" t="s">
        <v>11</v>
      </c>
      <c r="V39" s="29" t="s">
        <v>11</v>
      </c>
      <c r="W39" s="29" t="s">
        <v>11</v>
      </c>
      <c r="X39" s="29" t="s">
        <v>11</v>
      </c>
      <c r="Y39" s="29" t="s">
        <v>11</v>
      </c>
      <c r="Z39" s="29" t="s">
        <v>11</v>
      </c>
      <c r="AA39" s="29" t="s">
        <v>11</v>
      </c>
      <c r="AB39" s="29" t="s">
        <v>11</v>
      </c>
      <c r="AC39" s="29" t="s">
        <v>11</v>
      </c>
      <c r="AD39" s="29" t="s">
        <v>11</v>
      </c>
      <c r="AE39" s="24">
        <f t="shared" si="0"/>
        <v>0</v>
      </c>
      <c r="AF39" s="24">
        <f t="shared" si="1"/>
        <v>0</v>
      </c>
      <c r="AG39" s="24">
        <f t="shared" si="2"/>
        <v>15</v>
      </c>
      <c r="AH39" s="41" t="str" cm="1">
        <f t="array" ref="AH39">_xlfn.IFS(
$AE39=15,"Not Started",
$AG39&lt;15,"In Progress",
$AG39=15,"Completed",
SUM(AE39:AG39)&gt;15,"Error"
)</f>
        <v>Completed</v>
      </c>
    </row>
    <row r="40" spans="1:34" ht="13" x14ac:dyDescent="0.25">
      <c r="A40" s="248"/>
      <c r="B40" s="78">
        <v>37</v>
      </c>
      <c r="C40" s="14" t="s">
        <v>489</v>
      </c>
      <c r="D40" s="53" t="s">
        <v>2700</v>
      </c>
      <c r="E40" s="57" t="s">
        <v>2899</v>
      </c>
      <c r="F40" s="7" t="s">
        <v>51</v>
      </c>
      <c r="G40" s="7" t="s">
        <v>44</v>
      </c>
      <c r="H40" s="7" t="s">
        <v>3256</v>
      </c>
      <c r="I40" s="7" t="s">
        <v>3256</v>
      </c>
      <c r="J40" s="7" t="s">
        <v>3093</v>
      </c>
      <c r="K40" s="7" t="s">
        <v>3293</v>
      </c>
      <c r="L40" s="7">
        <v>10053249758</v>
      </c>
      <c r="M40" s="7"/>
      <c r="N40" s="7"/>
      <c r="O40" s="29" t="s">
        <v>11</v>
      </c>
      <c r="P40" s="29" t="s">
        <v>11</v>
      </c>
      <c r="Q40" s="29" t="s">
        <v>11</v>
      </c>
      <c r="R40" s="29" t="s">
        <v>11</v>
      </c>
      <c r="S40" s="29" t="s">
        <v>11</v>
      </c>
      <c r="T40" s="29" t="s">
        <v>11</v>
      </c>
      <c r="U40" s="29" t="s">
        <v>11</v>
      </c>
      <c r="V40" s="29" t="s">
        <v>11</v>
      </c>
      <c r="W40" s="29" t="s">
        <v>11</v>
      </c>
      <c r="X40" s="29" t="s">
        <v>11</v>
      </c>
      <c r="Y40" s="29" t="s">
        <v>11</v>
      </c>
      <c r="Z40" s="29" t="s">
        <v>11</v>
      </c>
      <c r="AA40" s="29" t="s">
        <v>11</v>
      </c>
      <c r="AB40" s="29" t="s">
        <v>11</v>
      </c>
      <c r="AC40" s="29" t="s">
        <v>11</v>
      </c>
      <c r="AD40" s="29" t="s">
        <v>11</v>
      </c>
      <c r="AE40" s="24">
        <f t="shared" si="0"/>
        <v>0</v>
      </c>
      <c r="AF40" s="24">
        <f t="shared" si="1"/>
        <v>0</v>
      </c>
      <c r="AG40" s="24">
        <f t="shared" si="2"/>
        <v>15</v>
      </c>
      <c r="AH40" s="41" t="str" cm="1">
        <f t="array" ref="AH40">_xlfn.IFS(
$AE40=15,"Not Started",
$AG40&lt;15,"In Progress",
$AG40=15,"Completed",
SUM(AE40:AG40)&gt;15,"Error"
)</f>
        <v>Completed</v>
      </c>
    </row>
    <row r="41" spans="1:34" ht="13" x14ac:dyDescent="0.25">
      <c r="A41" s="248"/>
      <c r="B41" s="78">
        <v>38</v>
      </c>
      <c r="C41" s="7" t="s">
        <v>490</v>
      </c>
      <c r="D41" s="53" t="s">
        <v>2701</v>
      </c>
      <c r="E41" s="57" t="s">
        <v>2900</v>
      </c>
      <c r="F41" s="7" t="s">
        <v>43</v>
      </c>
      <c r="G41" s="7" t="s">
        <v>44</v>
      </c>
      <c r="H41" s="7" t="s">
        <v>3256</v>
      </c>
      <c r="I41" s="7" t="s">
        <v>3256</v>
      </c>
      <c r="J41" s="7" t="s">
        <v>3094</v>
      </c>
      <c r="K41" s="7" t="s">
        <v>3294</v>
      </c>
      <c r="L41" s="7">
        <v>10053788486</v>
      </c>
      <c r="M41" s="7"/>
      <c r="N41" s="7"/>
      <c r="O41" s="29" t="s">
        <v>11</v>
      </c>
      <c r="P41" s="29" t="s">
        <v>11</v>
      </c>
      <c r="Q41" s="29" t="s">
        <v>11</v>
      </c>
      <c r="R41" s="29" t="s">
        <v>11</v>
      </c>
      <c r="S41" s="29" t="s">
        <v>11</v>
      </c>
      <c r="T41" s="29" t="s">
        <v>11</v>
      </c>
      <c r="U41" s="29" t="s">
        <v>11</v>
      </c>
      <c r="V41" s="29" t="s">
        <v>11</v>
      </c>
      <c r="W41" s="29" t="s">
        <v>11</v>
      </c>
      <c r="X41" s="29" t="s">
        <v>11</v>
      </c>
      <c r="Y41" s="29" t="s">
        <v>11</v>
      </c>
      <c r="Z41" s="29" t="s">
        <v>11</v>
      </c>
      <c r="AA41" s="29" t="s">
        <v>11</v>
      </c>
      <c r="AB41" s="29" t="s">
        <v>11</v>
      </c>
      <c r="AC41" s="29" t="s">
        <v>11</v>
      </c>
      <c r="AD41" s="29" t="s">
        <v>11</v>
      </c>
      <c r="AE41" s="24">
        <f t="shared" si="0"/>
        <v>0</v>
      </c>
      <c r="AF41" s="24">
        <f t="shared" si="1"/>
        <v>0</v>
      </c>
      <c r="AG41" s="24">
        <f t="shared" si="2"/>
        <v>15</v>
      </c>
      <c r="AH41" s="41" t="str" cm="1">
        <f t="array" ref="AH41">_xlfn.IFS(
$AE41=15,"Not Started",
$AG41&lt;15,"In Progress",
$AG41=15,"Completed",
SUM(AE41:AG41)&gt;15,"Error"
)</f>
        <v>Completed</v>
      </c>
    </row>
    <row r="42" spans="1:34" ht="13" x14ac:dyDescent="0.25">
      <c r="A42" s="248"/>
      <c r="B42" s="78">
        <v>39</v>
      </c>
      <c r="C42" s="14" t="s">
        <v>491</v>
      </c>
      <c r="D42" s="53" t="s">
        <v>2702</v>
      </c>
      <c r="E42" s="57" t="s">
        <v>2901</v>
      </c>
      <c r="F42" s="7" t="s">
        <v>43</v>
      </c>
      <c r="G42" s="7" t="s">
        <v>44</v>
      </c>
      <c r="H42" s="7" t="s">
        <v>3256</v>
      </c>
      <c r="I42" s="7" t="s">
        <v>3256</v>
      </c>
      <c r="J42" s="7" t="s">
        <v>3095</v>
      </c>
      <c r="K42" s="7" t="s">
        <v>3295</v>
      </c>
      <c r="L42" s="7">
        <v>10053496973</v>
      </c>
      <c r="M42" s="7"/>
      <c r="N42" s="7"/>
      <c r="O42" s="29" t="s">
        <v>11</v>
      </c>
      <c r="P42" s="29" t="s">
        <v>11</v>
      </c>
      <c r="Q42" s="29" t="s">
        <v>11</v>
      </c>
      <c r="R42" s="29" t="s">
        <v>11</v>
      </c>
      <c r="S42" s="29" t="s">
        <v>11</v>
      </c>
      <c r="T42" s="29" t="s">
        <v>11</v>
      </c>
      <c r="U42" s="29" t="s">
        <v>11</v>
      </c>
      <c r="V42" s="29" t="s">
        <v>11</v>
      </c>
      <c r="W42" s="29" t="s">
        <v>11</v>
      </c>
      <c r="X42" s="29" t="s">
        <v>11</v>
      </c>
      <c r="Y42" s="29" t="s">
        <v>11</v>
      </c>
      <c r="Z42" s="29" t="s">
        <v>11</v>
      </c>
      <c r="AA42" s="29" t="s">
        <v>11</v>
      </c>
      <c r="AB42" s="29" t="s">
        <v>11</v>
      </c>
      <c r="AC42" s="29" t="s">
        <v>11</v>
      </c>
      <c r="AD42" s="29" t="s">
        <v>11</v>
      </c>
      <c r="AE42" s="24">
        <f t="shared" si="0"/>
        <v>0</v>
      </c>
      <c r="AF42" s="24">
        <f t="shared" si="1"/>
        <v>0</v>
      </c>
      <c r="AG42" s="24">
        <f t="shared" si="2"/>
        <v>15</v>
      </c>
      <c r="AH42" s="41" t="str" cm="1">
        <f t="array" ref="AH42">_xlfn.IFS(
$AE42=15,"Not Started",
$AG42&lt;15,"In Progress",
$AG42=15,"Completed",
SUM(AE42:AG42)&gt;15,"Error"
)</f>
        <v>Completed</v>
      </c>
    </row>
    <row r="43" spans="1:34" ht="13" x14ac:dyDescent="0.25">
      <c r="A43" s="248"/>
      <c r="B43" s="78">
        <v>40</v>
      </c>
      <c r="C43" s="7" t="s">
        <v>492</v>
      </c>
      <c r="D43" s="53" t="s">
        <v>2703</v>
      </c>
      <c r="E43" s="57" t="s">
        <v>2902</v>
      </c>
      <c r="F43" s="7" t="s">
        <v>43</v>
      </c>
      <c r="G43" s="7" t="s">
        <v>44</v>
      </c>
      <c r="H43" s="7" t="s">
        <v>3256</v>
      </c>
      <c r="I43" s="7" t="s">
        <v>3256</v>
      </c>
      <c r="J43" s="7" t="s">
        <v>3096</v>
      </c>
      <c r="K43" s="7" t="s">
        <v>3296</v>
      </c>
      <c r="L43" s="7">
        <v>10053847818</v>
      </c>
      <c r="M43" s="7"/>
      <c r="N43" s="7"/>
      <c r="O43" s="29" t="s">
        <v>11</v>
      </c>
      <c r="P43" s="29" t="s">
        <v>11</v>
      </c>
      <c r="Q43" s="29" t="s">
        <v>11</v>
      </c>
      <c r="R43" s="29" t="s">
        <v>11</v>
      </c>
      <c r="S43" s="29" t="s">
        <v>11</v>
      </c>
      <c r="T43" s="29" t="s">
        <v>11</v>
      </c>
      <c r="U43" s="29" t="s">
        <v>11</v>
      </c>
      <c r="V43" s="29" t="s">
        <v>11</v>
      </c>
      <c r="W43" s="29" t="s">
        <v>11</v>
      </c>
      <c r="X43" s="29" t="s">
        <v>11</v>
      </c>
      <c r="Y43" s="29" t="s">
        <v>11</v>
      </c>
      <c r="Z43" s="29" t="s">
        <v>11</v>
      </c>
      <c r="AA43" s="29" t="s">
        <v>11</v>
      </c>
      <c r="AB43" s="29" t="s">
        <v>11</v>
      </c>
      <c r="AC43" s="29" t="s">
        <v>11</v>
      </c>
      <c r="AD43" s="29" t="s">
        <v>11</v>
      </c>
      <c r="AE43" s="24">
        <f t="shared" si="0"/>
        <v>0</v>
      </c>
      <c r="AF43" s="24">
        <f t="shared" si="1"/>
        <v>0</v>
      </c>
      <c r="AG43" s="24">
        <f t="shared" si="2"/>
        <v>15</v>
      </c>
      <c r="AH43" s="41" t="str" cm="1">
        <f t="array" ref="AH43">_xlfn.IFS(
$AE43=15,"Not Started",
$AG43&lt;15,"In Progress",
$AG43=15,"Completed",
SUM(AE43:AG43)&gt;15,"Error"
)</f>
        <v>Completed</v>
      </c>
    </row>
    <row r="44" spans="1:34" ht="13" x14ac:dyDescent="0.25">
      <c r="A44" s="248"/>
      <c r="B44" s="78">
        <v>41</v>
      </c>
      <c r="C44" s="14" t="s">
        <v>493</v>
      </c>
      <c r="D44" s="53" t="s">
        <v>2704</v>
      </c>
      <c r="E44" s="57" t="s">
        <v>2903</v>
      </c>
      <c r="F44" s="7" t="s">
        <v>43</v>
      </c>
      <c r="G44" s="7" t="s">
        <v>44</v>
      </c>
      <c r="H44" s="7" t="s">
        <v>3256</v>
      </c>
      <c r="I44" s="7" t="s">
        <v>3256</v>
      </c>
      <c r="J44" s="7" t="s">
        <v>3097</v>
      </c>
      <c r="K44" s="7" t="s">
        <v>3297</v>
      </c>
      <c r="L44" s="7">
        <v>10053852809</v>
      </c>
      <c r="M44" s="7"/>
      <c r="N44" s="7"/>
      <c r="O44" s="29" t="s">
        <v>11</v>
      </c>
      <c r="P44" s="29" t="s">
        <v>11</v>
      </c>
      <c r="Q44" s="29" t="s">
        <v>11</v>
      </c>
      <c r="R44" s="29" t="s">
        <v>11</v>
      </c>
      <c r="S44" s="29" t="s">
        <v>11</v>
      </c>
      <c r="T44" s="29" t="s">
        <v>11</v>
      </c>
      <c r="U44" s="29" t="s">
        <v>11</v>
      </c>
      <c r="V44" s="29" t="s">
        <v>11</v>
      </c>
      <c r="W44" s="29" t="s">
        <v>11</v>
      </c>
      <c r="X44" s="29" t="s">
        <v>11</v>
      </c>
      <c r="Y44" s="29" t="s">
        <v>11</v>
      </c>
      <c r="Z44" s="29" t="s">
        <v>11</v>
      </c>
      <c r="AA44" s="29" t="s">
        <v>11</v>
      </c>
      <c r="AB44" s="29" t="s">
        <v>11</v>
      </c>
      <c r="AC44" s="29" t="s">
        <v>11</v>
      </c>
      <c r="AD44" s="29" t="s">
        <v>11</v>
      </c>
      <c r="AE44" s="24">
        <f t="shared" si="0"/>
        <v>0</v>
      </c>
      <c r="AF44" s="24">
        <f t="shared" si="1"/>
        <v>0</v>
      </c>
      <c r="AG44" s="24">
        <f t="shared" si="2"/>
        <v>15</v>
      </c>
      <c r="AH44" s="41" t="str" cm="1">
        <f t="array" ref="AH44">_xlfn.IFS(
$AE44=15,"Not Started",
$AG44&lt;15,"In Progress",
$AG44=15,"Completed",
SUM(AE44:AG44)&gt;15,"Error"
)</f>
        <v>Completed</v>
      </c>
    </row>
    <row r="45" spans="1:34" ht="13" x14ac:dyDescent="0.25">
      <c r="A45" s="248"/>
      <c r="B45" s="78">
        <v>42</v>
      </c>
      <c r="C45" s="7" t="s">
        <v>494</v>
      </c>
      <c r="D45" s="53" t="s">
        <v>2705</v>
      </c>
      <c r="E45" s="57" t="s">
        <v>2904</v>
      </c>
      <c r="F45" s="7" t="s">
        <v>47</v>
      </c>
      <c r="G45" s="7" t="s">
        <v>44</v>
      </c>
      <c r="H45" s="7" t="s">
        <v>3256</v>
      </c>
      <c r="I45" s="7" t="s">
        <v>3256</v>
      </c>
      <c r="J45" s="7" t="s">
        <v>3098</v>
      </c>
      <c r="K45" s="7" t="s">
        <v>3298</v>
      </c>
      <c r="L45" s="7">
        <v>10100670048</v>
      </c>
      <c r="M45" s="7"/>
      <c r="N45" s="7"/>
      <c r="O45" s="29" t="s">
        <v>11</v>
      </c>
      <c r="P45" s="29" t="s">
        <v>11</v>
      </c>
      <c r="Q45" s="29" t="s">
        <v>11</v>
      </c>
      <c r="R45" s="29" t="s">
        <v>11</v>
      </c>
      <c r="S45" s="29" t="s">
        <v>11</v>
      </c>
      <c r="T45" s="29" t="s">
        <v>11</v>
      </c>
      <c r="U45" s="29" t="s">
        <v>11</v>
      </c>
      <c r="V45" s="29" t="s">
        <v>11</v>
      </c>
      <c r="W45" s="29" t="s">
        <v>11</v>
      </c>
      <c r="X45" s="29" t="s">
        <v>11</v>
      </c>
      <c r="Y45" s="29" t="s">
        <v>11</v>
      </c>
      <c r="Z45" s="29" t="s">
        <v>11</v>
      </c>
      <c r="AA45" s="29" t="s">
        <v>11</v>
      </c>
      <c r="AB45" s="29" t="s">
        <v>11</v>
      </c>
      <c r="AC45" s="29" t="s">
        <v>11</v>
      </c>
      <c r="AD45" s="29" t="s">
        <v>11</v>
      </c>
      <c r="AE45" s="24">
        <f t="shared" si="0"/>
        <v>0</v>
      </c>
      <c r="AF45" s="24">
        <f t="shared" si="1"/>
        <v>0</v>
      </c>
      <c r="AG45" s="24">
        <f t="shared" si="2"/>
        <v>15</v>
      </c>
      <c r="AH45" s="41" t="str" cm="1">
        <f t="array" ref="AH45">_xlfn.IFS(
$AE45=15,"Not Started",
$AG45&lt;15,"In Progress",
$AG45=15,"Completed",
SUM(AE45:AG45)&gt;15,"Error"
)</f>
        <v>Completed</v>
      </c>
    </row>
    <row r="46" spans="1:34" ht="13" x14ac:dyDescent="0.25">
      <c r="A46" s="248"/>
      <c r="B46" s="78">
        <v>43</v>
      </c>
      <c r="C46" s="14" t="s">
        <v>495</v>
      </c>
      <c r="D46" s="53" t="s">
        <v>2706</v>
      </c>
      <c r="E46" s="57" t="s">
        <v>2905</v>
      </c>
      <c r="F46" s="7" t="s">
        <v>43</v>
      </c>
      <c r="G46" s="7" t="s">
        <v>44</v>
      </c>
      <c r="H46" s="7" t="s">
        <v>3256</v>
      </c>
      <c r="I46" s="7" t="s">
        <v>3256</v>
      </c>
      <c r="J46" s="7" t="s">
        <v>3099</v>
      </c>
      <c r="K46" s="7" t="s">
        <v>3299</v>
      </c>
      <c r="L46" s="7">
        <v>10053310866</v>
      </c>
      <c r="M46" s="7"/>
      <c r="N46" s="7"/>
      <c r="O46" s="29" t="s">
        <v>11</v>
      </c>
      <c r="P46" s="29" t="s">
        <v>11</v>
      </c>
      <c r="Q46" s="29" t="s">
        <v>11</v>
      </c>
      <c r="R46" s="29" t="s">
        <v>11</v>
      </c>
      <c r="S46" s="29" t="s">
        <v>11</v>
      </c>
      <c r="T46" s="29" t="s">
        <v>11</v>
      </c>
      <c r="U46" s="29" t="s">
        <v>11</v>
      </c>
      <c r="V46" s="29" t="s">
        <v>11</v>
      </c>
      <c r="W46" s="29" t="s">
        <v>11</v>
      </c>
      <c r="X46" s="29" t="s">
        <v>11</v>
      </c>
      <c r="Y46" s="29" t="s">
        <v>11</v>
      </c>
      <c r="Z46" s="29" t="s">
        <v>11</v>
      </c>
      <c r="AA46" s="29" t="s">
        <v>11</v>
      </c>
      <c r="AB46" s="29" t="s">
        <v>11</v>
      </c>
      <c r="AC46" s="29" t="s">
        <v>11</v>
      </c>
      <c r="AD46" s="29" t="s">
        <v>11</v>
      </c>
      <c r="AE46" s="24">
        <f t="shared" si="0"/>
        <v>0</v>
      </c>
      <c r="AF46" s="24">
        <f t="shared" si="1"/>
        <v>0</v>
      </c>
      <c r="AG46" s="24">
        <f t="shared" si="2"/>
        <v>15</v>
      </c>
      <c r="AH46" s="41" t="str" cm="1">
        <f t="array" ref="AH46">_xlfn.IFS(
$AE46=15,"Not Started",
$AG46&lt;15,"In Progress",
$AG46=15,"Completed",
SUM(AE46:AG46)&gt;15,"Error"
)</f>
        <v>Completed</v>
      </c>
    </row>
    <row r="47" spans="1:34" ht="13" x14ac:dyDescent="0.25">
      <c r="A47" s="248"/>
      <c r="B47" s="78">
        <v>44</v>
      </c>
      <c r="C47" s="7" t="s">
        <v>496</v>
      </c>
      <c r="D47" s="53" t="s">
        <v>2707</v>
      </c>
      <c r="E47" s="57" t="s">
        <v>2906</v>
      </c>
      <c r="F47" s="7" t="s">
        <v>43</v>
      </c>
      <c r="G47" s="7" t="s">
        <v>48</v>
      </c>
      <c r="H47" s="7" t="s">
        <v>3256</v>
      </c>
      <c r="I47" s="7" t="s">
        <v>3256</v>
      </c>
      <c r="J47" s="7" t="s">
        <v>3100</v>
      </c>
      <c r="K47" s="7" t="s">
        <v>3300</v>
      </c>
      <c r="L47" s="7">
        <v>10053619671</v>
      </c>
      <c r="M47" s="7"/>
      <c r="N47" s="7"/>
      <c r="O47" s="29" t="s">
        <v>11</v>
      </c>
      <c r="P47" s="29" t="s">
        <v>11</v>
      </c>
      <c r="Q47" s="29" t="s">
        <v>11</v>
      </c>
      <c r="R47" s="29" t="s">
        <v>11</v>
      </c>
      <c r="S47" s="29" t="s">
        <v>11</v>
      </c>
      <c r="T47" s="29" t="s">
        <v>11</v>
      </c>
      <c r="U47" s="29" t="s">
        <v>11</v>
      </c>
      <c r="V47" s="29" t="s">
        <v>11</v>
      </c>
      <c r="W47" s="29" t="s">
        <v>11</v>
      </c>
      <c r="X47" s="29" t="s">
        <v>11</v>
      </c>
      <c r="Y47" s="29" t="s">
        <v>11</v>
      </c>
      <c r="Z47" s="29" t="s">
        <v>11</v>
      </c>
      <c r="AA47" s="29" t="s">
        <v>11</v>
      </c>
      <c r="AB47" s="29" t="s">
        <v>11</v>
      </c>
      <c r="AC47" s="29" t="s">
        <v>11</v>
      </c>
      <c r="AD47" s="29" t="s">
        <v>11</v>
      </c>
      <c r="AE47" s="24">
        <f t="shared" si="0"/>
        <v>0</v>
      </c>
      <c r="AF47" s="24">
        <f t="shared" si="1"/>
        <v>0</v>
      </c>
      <c r="AG47" s="24">
        <f t="shared" si="2"/>
        <v>15</v>
      </c>
      <c r="AH47" s="41" t="str" cm="1">
        <f t="array" ref="AH47">_xlfn.IFS(
$AE47=15,"Not Started",
$AG47&lt;15,"In Progress",
$AG47=15,"Completed",
SUM(AE47:AG47)&gt;15,"Error"
)</f>
        <v>Completed</v>
      </c>
    </row>
    <row r="48" spans="1:34" ht="13" x14ac:dyDescent="0.25">
      <c r="A48" s="248"/>
      <c r="B48" s="78">
        <v>45</v>
      </c>
      <c r="C48" s="14" t="s">
        <v>497</v>
      </c>
      <c r="D48" s="53" t="s">
        <v>2708</v>
      </c>
      <c r="E48" s="57" t="s">
        <v>2907</v>
      </c>
      <c r="F48" s="7" t="s">
        <v>51</v>
      </c>
      <c r="G48" s="7" t="s">
        <v>48</v>
      </c>
      <c r="H48" s="7" t="s">
        <v>3256</v>
      </c>
      <c r="I48" s="7" t="s">
        <v>3256</v>
      </c>
      <c r="J48" s="7" t="s">
        <v>3101</v>
      </c>
      <c r="K48" s="7" t="s">
        <v>3301</v>
      </c>
      <c r="L48" s="7">
        <v>10053794831</v>
      </c>
      <c r="M48" s="7"/>
      <c r="N48" s="7"/>
      <c r="O48" s="29" t="s">
        <v>11</v>
      </c>
      <c r="P48" s="29" t="s">
        <v>11</v>
      </c>
      <c r="Q48" s="29" t="s">
        <v>11</v>
      </c>
      <c r="R48" s="29" t="s">
        <v>11</v>
      </c>
      <c r="S48" s="29" t="s">
        <v>11</v>
      </c>
      <c r="T48" s="29" t="s">
        <v>11</v>
      </c>
      <c r="U48" s="29" t="s">
        <v>11</v>
      </c>
      <c r="V48" s="29" t="s">
        <v>11</v>
      </c>
      <c r="W48" s="29" t="s">
        <v>11</v>
      </c>
      <c r="X48" s="29" t="s">
        <v>11</v>
      </c>
      <c r="Y48" s="29" t="s">
        <v>11</v>
      </c>
      <c r="Z48" s="29" t="s">
        <v>11</v>
      </c>
      <c r="AA48" s="29" t="s">
        <v>11</v>
      </c>
      <c r="AB48" s="29" t="s">
        <v>11</v>
      </c>
      <c r="AC48" s="29" t="s">
        <v>11</v>
      </c>
      <c r="AD48" s="29" t="s">
        <v>11</v>
      </c>
      <c r="AE48" s="24">
        <f t="shared" si="0"/>
        <v>0</v>
      </c>
      <c r="AF48" s="24">
        <f t="shared" si="1"/>
        <v>0</v>
      </c>
      <c r="AG48" s="24">
        <f t="shared" si="2"/>
        <v>15</v>
      </c>
      <c r="AH48" s="41" t="str" cm="1">
        <f t="array" ref="AH48">_xlfn.IFS(
$AE48=15,"Not Started",
$AG48&lt;15,"In Progress",
$AG48=15,"Completed",
SUM(AE48:AG48)&gt;15,"Error"
)</f>
        <v>Completed</v>
      </c>
    </row>
    <row r="49" spans="1:34" ht="13" x14ac:dyDescent="0.25">
      <c r="A49" s="248"/>
      <c r="B49" s="78">
        <v>46</v>
      </c>
      <c r="C49" s="7" t="s">
        <v>498</v>
      </c>
      <c r="D49" s="53" t="s">
        <v>2709</v>
      </c>
      <c r="E49" s="57" t="s">
        <v>2908</v>
      </c>
      <c r="F49" s="7" t="s">
        <v>51</v>
      </c>
      <c r="G49" s="7" t="s">
        <v>48</v>
      </c>
      <c r="H49" s="7" t="s">
        <v>3256</v>
      </c>
      <c r="I49" s="7" t="s">
        <v>3256</v>
      </c>
      <c r="J49" s="7" t="s">
        <v>3102</v>
      </c>
      <c r="K49" s="7" t="s">
        <v>3302</v>
      </c>
      <c r="L49" s="7">
        <v>10053441554</v>
      </c>
      <c r="M49" s="7"/>
      <c r="N49" s="7"/>
      <c r="O49" s="29" t="s">
        <v>11</v>
      </c>
      <c r="P49" s="29" t="s">
        <v>11</v>
      </c>
      <c r="Q49" s="29" t="s">
        <v>11</v>
      </c>
      <c r="R49" s="29" t="s">
        <v>11</v>
      </c>
      <c r="S49" s="29" t="s">
        <v>11</v>
      </c>
      <c r="T49" s="29" t="s">
        <v>11</v>
      </c>
      <c r="U49" s="29" t="s">
        <v>11</v>
      </c>
      <c r="V49" s="29" t="s">
        <v>11</v>
      </c>
      <c r="W49" s="29" t="s">
        <v>11</v>
      </c>
      <c r="X49" s="29" t="s">
        <v>11</v>
      </c>
      <c r="Y49" s="29" t="s">
        <v>11</v>
      </c>
      <c r="Z49" s="29" t="s">
        <v>11</v>
      </c>
      <c r="AA49" s="29" t="s">
        <v>11</v>
      </c>
      <c r="AB49" s="29" t="s">
        <v>11</v>
      </c>
      <c r="AC49" s="29" t="s">
        <v>11</v>
      </c>
      <c r="AD49" s="29" t="s">
        <v>11</v>
      </c>
      <c r="AE49" s="24">
        <f t="shared" si="0"/>
        <v>0</v>
      </c>
      <c r="AF49" s="24">
        <f t="shared" si="1"/>
        <v>0</v>
      </c>
      <c r="AG49" s="24">
        <f t="shared" si="2"/>
        <v>15</v>
      </c>
      <c r="AH49" s="41" t="str" cm="1">
        <f t="array" ref="AH49">_xlfn.IFS(
$AE49=15,"Not Started",
$AG49&lt;15,"In Progress",
$AG49=15,"Completed",
SUM(AE49:AG49)&gt;15,"Error"
)</f>
        <v>Completed</v>
      </c>
    </row>
    <row r="50" spans="1:34" ht="13" x14ac:dyDescent="0.25">
      <c r="A50" s="248"/>
      <c r="B50" s="78">
        <v>47</v>
      </c>
      <c r="C50" s="14" t="s">
        <v>499</v>
      </c>
      <c r="D50" s="53" t="s">
        <v>2710</v>
      </c>
      <c r="E50" s="57" t="s">
        <v>2909</v>
      </c>
      <c r="F50" s="7" t="s">
        <v>51</v>
      </c>
      <c r="G50" s="7" t="s">
        <v>44</v>
      </c>
      <c r="H50" s="7" t="s">
        <v>3256</v>
      </c>
      <c r="I50" s="7" t="s">
        <v>3256</v>
      </c>
      <c r="J50" s="7" t="s">
        <v>3103</v>
      </c>
      <c r="K50" s="7" t="s">
        <v>3303</v>
      </c>
      <c r="L50" s="7">
        <v>10053682253</v>
      </c>
      <c r="M50" s="7"/>
      <c r="N50" s="7"/>
      <c r="O50" s="29" t="s">
        <v>11</v>
      </c>
      <c r="P50" s="29" t="s">
        <v>11</v>
      </c>
      <c r="Q50" s="29" t="s">
        <v>11</v>
      </c>
      <c r="R50" s="29" t="s">
        <v>11</v>
      </c>
      <c r="S50" s="29" t="s">
        <v>11</v>
      </c>
      <c r="T50" s="29" t="s">
        <v>11</v>
      </c>
      <c r="U50" s="29" t="s">
        <v>11</v>
      </c>
      <c r="V50" s="29" t="s">
        <v>11</v>
      </c>
      <c r="W50" s="29" t="s">
        <v>11</v>
      </c>
      <c r="X50" s="29" t="s">
        <v>11</v>
      </c>
      <c r="Y50" s="29" t="s">
        <v>11</v>
      </c>
      <c r="Z50" s="29" t="s">
        <v>11</v>
      </c>
      <c r="AA50" s="29" t="s">
        <v>11</v>
      </c>
      <c r="AB50" s="29" t="s">
        <v>11</v>
      </c>
      <c r="AC50" s="29" t="s">
        <v>11</v>
      </c>
      <c r="AD50" s="29" t="s">
        <v>11</v>
      </c>
      <c r="AE50" s="24">
        <f t="shared" si="0"/>
        <v>0</v>
      </c>
      <c r="AF50" s="24">
        <f t="shared" si="1"/>
        <v>0</v>
      </c>
      <c r="AG50" s="24">
        <f t="shared" si="2"/>
        <v>15</v>
      </c>
      <c r="AH50" s="41" t="str" cm="1">
        <f t="array" ref="AH50">_xlfn.IFS(
$AE50=15,"Not Started",
$AG50&lt;15,"In Progress",
$AG50=15,"Completed",
SUM(AE50:AG50)&gt;15,"Error"
)</f>
        <v>Completed</v>
      </c>
    </row>
    <row r="51" spans="1:34" ht="13" x14ac:dyDescent="0.25">
      <c r="A51" s="248"/>
      <c r="B51" s="78">
        <v>48</v>
      </c>
      <c r="C51" s="7" t="s">
        <v>500</v>
      </c>
      <c r="D51" s="53" t="s">
        <v>2711</v>
      </c>
      <c r="E51" s="57" t="s">
        <v>2910</v>
      </c>
      <c r="F51" s="7" t="s">
        <v>43</v>
      </c>
      <c r="G51" s="7" t="s">
        <v>44</v>
      </c>
      <c r="H51" s="7" t="s">
        <v>3256</v>
      </c>
      <c r="I51" s="7" t="s">
        <v>3256</v>
      </c>
      <c r="J51" s="7" t="s">
        <v>3104</v>
      </c>
      <c r="K51" s="7" t="s">
        <v>3304</v>
      </c>
      <c r="L51" s="7">
        <v>10052294221</v>
      </c>
      <c r="M51" s="7"/>
      <c r="N51" s="7"/>
      <c r="O51" s="29" t="s">
        <v>11</v>
      </c>
      <c r="P51" s="29" t="s">
        <v>11</v>
      </c>
      <c r="Q51" s="29" t="s">
        <v>11</v>
      </c>
      <c r="R51" s="29" t="s">
        <v>11</v>
      </c>
      <c r="S51" s="29" t="s">
        <v>11</v>
      </c>
      <c r="T51" s="29" t="s">
        <v>11</v>
      </c>
      <c r="U51" s="29" t="s">
        <v>11</v>
      </c>
      <c r="V51" s="29" t="s">
        <v>11</v>
      </c>
      <c r="W51" s="29" t="s">
        <v>11</v>
      </c>
      <c r="X51" s="29" t="s">
        <v>11</v>
      </c>
      <c r="Y51" s="29" t="s">
        <v>11</v>
      </c>
      <c r="Z51" s="29" t="s">
        <v>11</v>
      </c>
      <c r="AA51" s="29" t="s">
        <v>11</v>
      </c>
      <c r="AB51" s="29" t="s">
        <v>11</v>
      </c>
      <c r="AC51" s="29" t="s">
        <v>11</v>
      </c>
      <c r="AD51" s="29" t="s">
        <v>11</v>
      </c>
      <c r="AE51" s="24">
        <f t="shared" si="0"/>
        <v>0</v>
      </c>
      <c r="AF51" s="24">
        <f t="shared" si="1"/>
        <v>0</v>
      </c>
      <c r="AG51" s="24">
        <f t="shared" si="2"/>
        <v>15</v>
      </c>
      <c r="AH51" s="41" t="str" cm="1">
        <f t="array" ref="AH51">_xlfn.IFS(
$AE51=15,"Not Started",
$AG51&lt;15,"In Progress",
$AG51=15,"Completed",
SUM(AE51:AG51)&gt;15,"Error"
)</f>
        <v>Completed</v>
      </c>
    </row>
    <row r="52" spans="1:34" ht="13" x14ac:dyDescent="0.25">
      <c r="A52" s="248"/>
      <c r="B52" s="78">
        <v>49</v>
      </c>
      <c r="C52" s="14" t="s">
        <v>501</v>
      </c>
      <c r="D52" s="53" t="s">
        <v>2712</v>
      </c>
      <c r="E52" s="57" t="s">
        <v>2911</v>
      </c>
      <c r="F52" s="7" t="s">
        <v>51</v>
      </c>
      <c r="G52" s="7" t="s">
        <v>44</v>
      </c>
      <c r="H52" s="7" t="s">
        <v>3256</v>
      </c>
      <c r="I52" s="7" t="s">
        <v>3256</v>
      </c>
      <c r="J52" s="7" t="s">
        <v>3105</v>
      </c>
      <c r="K52" s="7" t="s">
        <v>3305</v>
      </c>
      <c r="L52" s="7">
        <v>10053295966</v>
      </c>
      <c r="M52" s="7"/>
      <c r="N52" s="7"/>
      <c r="O52" s="29" t="s">
        <v>11</v>
      </c>
      <c r="P52" s="29" t="s">
        <v>11</v>
      </c>
      <c r="Q52" s="29" t="s">
        <v>11</v>
      </c>
      <c r="R52" s="29" t="s">
        <v>11</v>
      </c>
      <c r="S52" s="29" t="s">
        <v>11</v>
      </c>
      <c r="T52" s="29" t="s">
        <v>11</v>
      </c>
      <c r="U52" s="29" t="s">
        <v>11</v>
      </c>
      <c r="V52" s="29" t="s">
        <v>11</v>
      </c>
      <c r="W52" s="29" t="s">
        <v>11</v>
      </c>
      <c r="X52" s="29" t="s">
        <v>11</v>
      </c>
      <c r="Y52" s="29" t="s">
        <v>11</v>
      </c>
      <c r="Z52" s="29" t="s">
        <v>11</v>
      </c>
      <c r="AA52" s="29" t="s">
        <v>11</v>
      </c>
      <c r="AB52" s="29" t="s">
        <v>11</v>
      </c>
      <c r="AC52" s="29" t="s">
        <v>11</v>
      </c>
      <c r="AD52" s="29" t="s">
        <v>11</v>
      </c>
      <c r="AE52" s="24">
        <f t="shared" si="0"/>
        <v>0</v>
      </c>
      <c r="AF52" s="24">
        <f t="shared" si="1"/>
        <v>0</v>
      </c>
      <c r="AG52" s="24">
        <f t="shared" si="2"/>
        <v>15</v>
      </c>
      <c r="AH52" s="41" t="str" cm="1">
        <f t="array" ref="AH52">_xlfn.IFS(
$AE52=15,"Not Started",
$AG52&lt;15,"In Progress",
$AG52=15,"Completed",
SUM(AE52:AG52)&gt;15,"Error"
)</f>
        <v>Completed</v>
      </c>
    </row>
    <row r="53" spans="1:34" ht="13" x14ac:dyDescent="0.25">
      <c r="A53" s="248"/>
      <c r="B53" s="78">
        <v>50</v>
      </c>
      <c r="C53" s="7" t="s">
        <v>502</v>
      </c>
      <c r="D53" s="53" t="s">
        <v>2713</v>
      </c>
      <c r="E53" s="57" t="s">
        <v>2912</v>
      </c>
      <c r="F53" s="7" t="s">
        <v>43</v>
      </c>
      <c r="G53" s="7" t="s">
        <v>44</v>
      </c>
      <c r="H53" s="7" t="s">
        <v>3256</v>
      </c>
      <c r="I53" s="7" t="s">
        <v>3256</v>
      </c>
      <c r="J53" s="7" t="s">
        <v>3106</v>
      </c>
      <c r="K53" s="7" t="s">
        <v>3306</v>
      </c>
      <c r="L53" s="7">
        <v>10053811520</v>
      </c>
      <c r="M53" s="7"/>
      <c r="N53" s="7"/>
      <c r="O53" s="29" t="s">
        <v>11</v>
      </c>
      <c r="P53" s="29" t="s">
        <v>11</v>
      </c>
      <c r="Q53" s="29" t="s">
        <v>11</v>
      </c>
      <c r="R53" s="29" t="s">
        <v>11</v>
      </c>
      <c r="S53" s="29" t="s">
        <v>11</v>
      </c>
      <c r="T53" s="29" t="s">
        <v>11</v>
      </c>
      <c r="U53" s="29" t="s">
        <v>11</v>
      </c>
      <c r="V53" s="29" t="s">
        <v>11</v>
      </c>
      <c r="W53" s="29" t="s">
        <v>11</v>
      </c>
      <c r="X53" s="29" t="s">
        <v>11</v>
      </c>
      <c r="Y53" s="29" t="s">
        <v>11</v>
      </c>
      <c r="Z53" s="29" t="s">
        <v>11</v>
      </c>
      <c r="AA53" s="29" t="s">
        <v>11</v>
      </c>
      <c r="AB53" s="29" t="s">
        <v>11</v>
      </c>
      <c r="AC53" s="29" t="s">
        <v>11</v>
      </c>
      <c r="AD53" s="29" t="s">
        <v>11</v>
      </c>
      <c r="AE53" s="24">
        <f t="shared" si="0"/>
        <v>0</v>
      </c>
      <c r="AF53" s="24">
        <f t="shared" si="1"/>
        <v>0</v>
      </c>
      <c r="AG53" s="24">
        <f t="shared" si="2"/>
        <v>15</v>
      </c>
      <c r="AH53" s="41" t="str" cm="1">
        <f t="array" ref="AH53">_xlfn.IFS(
$AE53=15,"Not Started",
$AG53&lt;15,"In Progress",
$AG53=15,"Completed",
SUM(AE53:AG53)&gt;15,"Error"
)</f>
        <v>Completed</v>
      </c>
    </row>
    <row r="54" spans="1:34" ht="13" x14ac:dyDescent="0.25">
      <c r="A54" s="248"/>
      <c r="B54" s="78">
        <v>51</v>
      </c>
      <c r="C54" s="14" t="s">
        <v>503</v>
      </c>
      <c r="D54" s="53" t="s">
        <v>2714</v>
      </c>
      <c r="E54" s="57" t="s">
        <v>2913</v>
      </c>
      <c r="F54" s="7" t="s">
        <v>51</v>
      </c>
      <c r="G54" s="7" t="s">
        <v>44</v>
      </c>
      <c r="H54" s="7" t="s">
        <v>3256</v>
      </c>
      <c r="I54" s="7" t="s">
        <v>3256</v>
      </c>
      <c r="J54" s="7" t="s">
        <v>3107</v>
      </c>
      <c r="K54" s="7" t="s">
        <v>3307</v>
      </c>
      <c r="L54" s="7">
        <v>10083128744</v>
      </c>
      <c r="M54" s="7"/>
      <c r="N54" s="7"/>
      <c r="O54" s="29" t="s">
        <v>11</v>
      </c>
      <c r="P54" s="29" t="s">
        <v>11</v>
      </c>
      <c r="Q54" s="29" t="s">
        <v>11</v>
      </c>
      <c r="R54" s="29" t="s">
        <v>11</v>
      </c>
      <c r="S54" s="29" t="s">
        <v>11</v>
      </c>
      <c r="T54" s="29" t="s">
        <v>11</v>
      </c>
      <c r="U54" s="29" t="s">
        <v>11</v>
      </c>
      <c r="V54" s="29" t="s">
        <v>11</v>
      </c>
      <c r="W54" s="29" t="s">
        <v>11</v>
      </c>
      <c r="X54" s="29" t="s">
        <v>11</v>
      </c>
      <c r="Y54" s="29" t="s">
        <v>11</v>
      </c>
      <c r="Z54" s="29" t="s">
        <v>11</v>
      </c>
      <c r="AA54" s="29" t="s">
        <v>11</v>
      </c>
      <c r="AB54" s="29" t="s">
        <v>11</v>
      </c>
      <c r="AC54" s="29" t="s">
        <v>11</v>
      </c>
      <c r="AD54" s="29" t="s">
        <v>11</v>
      </c>
      <c r="AE54" s="24">
        <f t="shared" si="0"/>
        <v>0</v>
      </c>
      <c r="AF54" s="24">
        <f t="shared" si="1"/>
        <v>0</v>
      </c>
      <c r="AG54" s="24">
        <f t="shared" si="2"/>
        <v>15</v>
      </c>
      <c r="AH54" s="41" t="str" cm="1">
        <f t="array" ref="AH54">_xlfn.IFS(
$AE54=15,"Not Started",
$AG54&lt;15,"In Progress",
$AG54=15,"Completed",
SUM(AE54:AG54)&gt;15,"Error"
)</f>
        <v>Completed</v>
      </c>
    </row>
    <row r="55" spans="1:34" ht="13" x14ac:dyDescent="0.25">
      <c r="A55" s="248"/>
      <c r="B55" s="78">
        <v>52</v>
      </c>
      <c r="C55" s="7" t="s">
        <v>504</v>
      </c>
      <c r="D55" s="53" t="s">
        <v>2715</v>
      </c>
      <c r="E55" s="57" t="s">
        <v>2914</v>
      </c>
      <c r="F55" s="7" t="s">
        <v>47</v>
      </c>
      <c r="G55" s="7" t="s">
        <v>44</v>
      </c>
      <c r="H55" s="7" t="s">
        <v>3256</v>
      </c>
      <c r="I55" s="7" t="s">
        <v>3256</v>
      </c>
      <c r="J55" s="7" t="s">
        <v>3108</v>
      </c>
      <c r="K55" s="7" t="s">
        <v>3308</v>
      </c>
      <c r="L55" s="7">
        <v>10095842735</v>
      </c>
      <c r="M55" s="7"/>
      <c r="N55" s="7"/>
      <c r="O55" s="29" t="s">
        <v>11</v>
      </c>
      <c r="P55" s="29" t="s">
        <v>11</v>
      </c>
      <c r="Q55" s="29" t="s">
        <v>11</v>
      </c>
      <c r="R55" s="29" t="s">
        <v>11</v>
      </c>
      <c r="S55" s="29" t="s">
        <v>11</v>
      </c>
      <c r="T55" s="29" t="s">
        <v>11</v>
      </c>
      <c r="U55" s="29" t="s">
        <v>11</v>
      </c>
      <c r="V55" s="29" t="s">
        <v>11</v>
      </c>
      <c r="W55" s="29" t="s">
        <v>11</v>
      </c>
      <c r="X55" s="29" t="s">
        <v>11</v>
      </c>
      <c r="Y55" s="29" t="s">
        <v>11</v>
      </c>
      <c r="Z55" s="29" t="s">
        <v>11</v>
      </c>
      <c r="AA55" s="29" t="s">
        <v>11</v>
      </c>
      <c r="AB55" s="29" t="s">
        <v>11</v>
      </c>
      <c r="AC55" s="29" t="s">
        <v>11</v>
      </c>
      <c r="AD55" s="29" t="s">
        <v>11</v>
      </c>
      <c r="AE55" s="24">
        <f t="shared" si="0"/>
        <v>0</v>
      </c>
      <c r="AF55" s="24">
        <f t="shared" si="1"/>
        <v>0</v>
      </c>
      <c r="AG55" s="24">
        <f t="shared" si="2"/>
        <v>15</v>
      </c>
      <c r="AH55" s="41" t="str" cm="1">
        <f t="array" ref="AH55">_xlfn.IFS(
$AE55=15,"Not Started",
$AG55&lt;15,"In Progress",
$AG55=15,"Completed",
SUM(AE55:AG55)&gt;15,"Error"
)</f>
        <v>Completed</v>
      </c>
    </row>
    <row r="56" spans="1:34" ht="26" x14ac:dyDescent="0.25">
      <c r="A56" s="248"/>
      <c r="B56" s="78">
        <v>53</v>
      </c>
      <c r="C56" s="14" t="s">
        <v>505</v>
      </c>
      <c r="D56" s="53" t="s">
        <v>2716</v>
      </c>
      <c r="E56" s="80" t="s">
        <v>10220</v>
      </c>
      <c r="F56" s="7" t="s">
        <v>43</v>
      </c>
      <c r="G56" s="7" t="s">
        <v>48</v>
      </c>
      <c r="H56" s="7" t="s">
        <v>3256</v>
      </c>
      <c r="I56" s="7" t="s">
        <v>3256</v>
      </c>
      <c r="J56" s="7" t="s">
        <v>3109</v>
      </c>
      <c r="K56" s="7" t="s">
        <v>3309</v>
      </c>
      <c r="L56" s="7">
        <v>10053789053</v>
      </c>
      <c r="M56" s="7"/>
      <c r="N56" s="7"/>
      <c r="O56" s="29" t="s">
        <v>11</v>
      </c>
      <c r="P56" s="29" t="s">
        <v>11</v>
      </c>
      <c r="Q56" s="29" t="s">
        <v>11</v>
      </c>
      <c r="R56" s="29" t="s">
        <v>11</v>
      </c>
      <c r="S56" s="29" t="s">
        <v>11</v>
      </c>
      <c r="T56" s="29" t="s">
        <v>11</v>
      </c>
      <c r="U56" s="29" t="s">
        <v>11</v>
      </c>
      <c r="V56" s="29" t="s">
        <v>11</v>
      </c>
      <c r="W56" s="29" t="s">
        <v>11</v>
      </c>
      <c r="X56" s="29" t="s">
        <v>11</v>
      </c>
      <c r="Y56" s="29" t="s">
        <v>11</v>
      </c>
      <c r="Z56" s="29" t="s">
        <v>11</v>
      </c>
      <c r="AA56" s="29" t="s">
        <v>11</v>
      </c>
      <c r="AB56" s="29" t="s">
        <v>11</v>
      </c>
      <c r="AC56" s="29" t="s">
        <v>11</v>
      </c>
      <c r="AD56" s="29" t="s">
        <v>11</v>
      </c>
      <c r="AE56" s="24">
        <f t="shared" si="0"/>
        <v>0</v>
      </c>
      <c r="AF56" s="24">
        <f t="shared" si="1"/>
        <v>0</v>
      </c>
      <c r="AG56" s="24">
        <f t="shared" si="2"/>
        <v>15</v>
      </c>
      <c r="AH56" s="41" t="str" cm="1">
        <f t="array" ref="AH56">_xlfn.IFS(
$AE56=15,"Not Started",
$AG56&lt;15,"In Progress",
$AG56=15,"Completed",
SUM(AE56:AG56)&gt;15,"Error"
)</f>
        <v>Completed</v>
      </c>
    </row>
    <row r="57" spans="1:34" ht="13" x14ac:dyDescent="0.25">
      <c r="A57" s="248"/>
      <c r="B57" s="78">
        <v>54</v>
      </c>
      <c r="C57" s="7" t="s">
        <v>506</v>
      </c>
      <c r="D57" s="53" t="s">
        <v>2717</v>
      </c>
      <c r="E57" s="57" t="s">
        <v>2915</v>
      </c>
      <c r="F57" s="7" t="s">
        <v>43</v>
      </c>
      <c r="G57" s="7" t="s">
        <v>44</v>
      </c>
      <c r="H57" s="7" t="s">
        <v>3256</v>
      </c>
      <c r="I57" s="7" t="s">
        <v>3256</v>
      </c>
      <c r="J57" s="7" t="s">
        <v>3110</v>
      </c>
      <c r="K57" s="7" t="s">
        <v>3310</v>
      </c>
      <c r="L57" s="7">
        <v>10053559661</v>
      </c>
      <c r="M57" s="7"/>
      <c r="N57" s="7"/>
      <c r="O57" s="29" t="s">
        <v>11</v>
      </c>
      <c r="P57" s="29" t="s">
        <v>11</v>
      </c>
      <c r="Q57" s="29" t="s">
        <v>11</v>
      </c>
      <c r="R57" s="29" t="s">
        <v>11</v>
      </c>
      <c r="S57" s="29" t="s">
        <v>11</v>
      </c>
      <c r="T57" s="29" t="s">
        <v>11</v>
      </c>
      <c r="U57" s="29" t="s">
        <v>11</v>
      </c>
      <c r="V57" s="29" t="s">
        <v>11</v>
      </c>
      <c r="W57" s="29" t="s">
        <v>11</v>
      </c>
      <c r="X57" s="29" t="s">
        <v>11</v>
      </c>
      <c r="Y57" s="29" t="s">
        <v>11</v>
      </c>
      <c r="Z57" s="29" t="s">
        <v>11</v>
      </c>
      <c r="AA57" s="29" t="s">
        <v>11</v>
      </c>
      <c r="AB57" s="29" t="s">
        <v>11</v>
      </c>
      <c r="AC57" s="29" t="s">
        <v>11</v>
      </c>
      <c r="AD57" s="29" t="s">
        <v>11</v>
      </c>
      <c r="AE57" s="24">
        <f t="shared" si="0"/>
        <v>0</v>
      </c>
      <c r="AF57" s="24">
        <f t="shared" si="1"/>
        <v>0</v>
      </c>
      <c r="AG57" s="24">
        <f t="shared" si="2"/>
        <v>15</v>
      </c>
      <c r="AH57" s="41" t="str" cm="1">
        <f t="array" ref="AH57">_xlfn.IFS(
$AE57=15,"Not Started",
$AG57&lt;15,"In Progress",
$AG57=15,"Completed",
SUM(AE57:AG57)&gt;15,"Error"
)</f>
        <v>Completed</v>
      </c>
    </row>
    <row r="58" spans="1:34" ht="13" x14ac:dyDescent="0.25">
      <c r="A58" s="248"/>
      <c r="B58" s="78">
        <v>55</v>
      </c>
      <c r="C58" s="14" t="s">
        <v>507</v>
      </c>
      <c r="D58" s="53" t="s">
        <v>2718</v>
      </c>
      <c r="E58" s="57" t="s">
        <v>2916</v>
      </c>
      <c r="F58" s="7" t="s">
        <v>47</v>
      </c>
      <c r="G58" s="7" t="s">
        <v>44</v>
      </c>
      <c r="H58" s="7" t="s">
        <v>3256</v>
      </c>
      <c r="I58" s="7" t="s">
        <v>3256</v>
      </c>
      <c r="J58" s="7" t="s">
        <v>3111</v>
      </c>
      <c r="K58" s="7" t="s">
        <v>3311</v>
      </c>
      <c r="L58" s="7">
        <v>10101670196</v>
      </c>
      <c r="M58" s="7"/>
      <c r="N58" s="7"/>
      <c r="O58" s="29" t="s">
        <v>11</v>
      </c>
      <c r="P58" s="29" t="s">
        <v>11</v>
      </c>
      <c r="Q58" s="29" t="s">
        <v>11</v>
      </c>
      <c r="R58" s="29" t="s">
        <v>11</v>
      </c>
      <c r="S58" s="29" t="s">
        <v>11</v>
      </c>
      <c r="T58" s="29" t="s">
        <v>11</v>
      </c>
      <c r="U58" s="29" t="s">
        <v>11</v>
      </c>
      <c r="V58" s="29" t="s">
        <v>11</v>
      </c>
      <c r="W58" s="29" t="s">
        <v>11</v>
      </c>
      <c r="X58" s="29" t="s">
        <v>11</v>
      </c>
      <c r="Y58" s="29" t="s">
        <v>11</v>
      </c>
      <c r="Z58" s="29" t="s">
        <v>11</v>
      </c>
      <c r="AA58" s="29" t="s">
        <v>11</v>
      </c>
      <c r="AB58" s="29" t="s">
        <v>11</v>
      </c>
      <c r="AC58" s="29" t="s">
        <v>11</v>
      </c>
      <c r="AD58" s="29" t="s">
        <v>11</v>
      </c>
      <c r="AE58" s="24">
        <f t="shared" si="0"/>
        <v>0</v>
      </c>
      <c r="AF58" s="24">
        <f t="shared" si="1"/>
        <v>0</v>
      </c>
      <c r="AG58" s="24">
        <f t="shared" si="2"/>
        <v>15</v>
      </c>
      <c r="AH58" s="41" t="str" cm="1">
        <f t="array" ref="AH58">_xlfn.IFS(
$AE58=15,"Not Started",
$AG58&lt;15,"In Progress",
$AG58=15,"Completed",
SUM(AE58:AG58)&gt;15,"Error"
)</f>
        <v>Completed</v>
      </c>
    </row>
    <row r="59" spans="1:34" ht="13" x14ac:dyDescent="0.25">
      <c r="A59" s="248"/>
      <c r="B59" s="78">
        <v>56</v>
      </c>
      <c r="C59" s="7" t="s">
        <v>508</v>
      </c>
      <c r="D59" s="53" t="s">
        <v>2719</v>
      </c>
      <c r="E59" s="57" t="s">
        <v>2917</v>
      </c>
      <c r="F59" s="7" t="s">
        <v>51</v>
      </c>
      <c r="G59" s="7" t="s">
        <v>44</v>
      </c>
      <c r="H59" s="7" t="s">
        <v>3256</v>
      </c>
      <c r="I59" s="7" t="s">
        <v>3256</v>
      </c>
      <c r="J59" s="7" t="s">
        <v>3112</v>
      </c>
      <c r="K59" s="7" t="s">
        <v>3312</v>
      </c>
      <c r="L59" s="7">
        <v>10053298851</v>
      </c>
      <c r="M59" s="7"/>
      <c r="N59" s="7"/>
      <c r="O59" s="29" t="s">
        <v>11</v>
      </c>
      <c r="P59" s="29" t="s">
        <v>11</v>
      </c>
      <c r="Q59" s="29" t="s">
        <v>11</v>
      </c>
      <c r="R59" s="29" t="s">
        <v>11</v>
      </c>
      <c r="S59" s="29" t="s">
        <v>11</v>
      </c>
      <c r="T59" s="29" t="s">
        <v>11</v>
      </c>
      <c r="U59" s="29" t="s">
        <v>11</v>
      </c>
      <c r="V59" s="29" t="s">
        <v>11</v>
      </c>
      <c r="W59" s="29" t="s">
        <v>11</v>
      </c>
      <c r="X59" s="29" t="s">
        <v>11</v>
      </c>
      <c r="Y59" s="29" t="s">
        <v>11</v>
      </c>
      <c r="Z59" s="29" t="s">
        <v>11</v>
      </c>
      <c r="AA59" s="29" t="s">
        <v>11</v>
      </c>
      <c r="AB59" s="29" t="s">
        <v>11</v>
      </c>
      <c r="AC59" s="29" t="s">
        <v>11</v>
      </c>
      <c r="AD59" s="29" t="s">
        <v>11</v>
      </c>
      <c r="AE59" s="24">
        <f t="shared" si="0"/>
        <v>0</v>
      </c>
      <c r="AF59" s="24">
        <f t="shared" si="1"/>
        <v>0</v>
      </c>
      <c r="AG59" s="24">
        <f t="shared" si="2"/>
        <v>15</v>
      </c>
      <c r="AH59" s="41" t="str" cm="1">
        <f t="array" ref="AH59">_xlfn.IFS(
$AE59=15,"Not Started",
$AG59&lt;15,"In Progress",
$AG59=15,"Completed",
SUM(AE59:AG59)&gt;15,"Error"
)</f>
        <v>Completed</v>
      </c>
    </row>
    <row r="60" spans="1:34" ht="13" x14ac:dyDescent="0.25">
      <c r="A60" s="248"/>
      <c r="B60" s="78">
        <v>57</v>
      </c>
      <c r="C60" s="14" t="s">
        <v>509</v>
      </c>
      <c r="D60" s="53" t="s">
        <v>2720</v>
      </c>
      <c r="E60" s="57" t="s">
        <v>2918</v>
      </c>
      <c r="F60" s="7" t="s">
        <v>51</v>
      </c>
      <c r="G60" s="7" t="s">
        <v>48</v>
      </c>
      <c r="H60" s="7" t="s">
        <v>3256</v>
      </c>
      <c r="I60" s="7" t="s">
        <v>3256</v>
      </c>
      <c r="J60" s="7" t="s">
        <v>3113</v>
      </c>
      <c r="K60" s="7" t="s">
        <v>3313</v>
      </c>
      <c r="L60" s="7">
        <v>10088061521</v>
      </c>
      <c r="M60" s="7"/>
      <c r="N60" s="7"/>
      <c r="O60" s="29" t="s">
        <v>11</v>
      </c>
      <c r="P60" s="29" t="s">
        <v>11</v>
      </c>
      <c r="Q60" s="29" t="s">
        <v>11</v>
      </c>
      <c r="R60" s="29" t="s">
        <v>11</v>
      </c>
      <c r="S60" s="29" t="s">
        <v>11</v>
      </c>
      <c r="T60" s="29" t="s">
        <v>11</v>
      </c>
      <c r="U60" s="29" t="s">
        <v>11</v>
      </c>
      <c r="V60" s="29" t="s">
        <v>11</v>
      </c>
      <c r="W60" s="29" t="s">
        <v>11</v>
      </c>
      <c r="X60" s="29" t="s">
        <v>11</v>
      </c>
      <c r="Y60" s="29" t="s">
        <v>11</v>
      </c>
      <c r="Z60" s="29" t="s">
        <v>11</v>
      </c>
      <c r="AA60" s="29" t="s">
        <v>11</v>
      </c>
      <c r="AB60" s="29" t="s">
        <v>11</v>
      </c>
      <c r="AC60" s="29" t="s">
        <v>11</v>
      </c>
      <c r="AD60" s="29" t="s">
        <v>11</v>
      </c>
      <c r="AE60" s="24">
        <f t="shared" si="0"/>
        <v>0</v>
      </c>
      <c r="AF60" s="24">
        <f t="shared" si="1"/>
        <v>0</v>
      </c>
      <c r="AG60" s="24">
        <f t="shared" si="2"/>
        <v>15</v>
      </c>
      <c r="AH60" s="41" t="str" cm="1">
        <f t="array" ref="AH60">_xlfn.IFS(
$AE60=15,"Not Started",
$AG60&lt;15,"In Progress",
$AG60=15,"Completed",
SUM(AE60:AG60)&gt;15,"Error"
)</f>
        <v>Completed</v>
      </c>
    </row>
    <row r="61" spans="1:34" ht="13" x14ac:dyDescent="0.25">
      <c r="A61" s="248"/>
      <c r="B61" s="78">
        <v>58</v>
      </c>
      <c r="C61" s="7" t="s">
        <v>510</v>
      </c>
      <c r="D61" s="53" t="s">
        <v>2721</v>
      </c>
      <c r="E61" s="57" t="s">
        <v>2919</v>
      </c>
      <c r="F61" s="7" t="s">
        <v>47</v>
      </c>
      <c r="G61" s="7" t="s">
        <v>44</v>
      </c>
      <c r="H61" s="7" t="s">
        <v>3256</v>
      </c>
      <c r="I61" s="7" t="s">
        <v>3256</v>
      </c>
      <c r="J61" s="7" t="s">
        <v>3114</v>
      </c>
      <c r="K61" s="7" t="s">
        <v>3314</v>
      </c>
      <c r="L61" s="7">
        <v>10053504921</v>
      </c>
      <c r="M61" s="7"/>
      <c r="N61" s="7"/>
      <c r="O61" s="29" t="s">
        <v>11</v>
      </c>
      <c r="P61" s="29" t="s">
        <v>11</v>
      </c>
      <c r="Q61" s="29" t="s">
        <v>11</v>
      </c>
      <c r="R61" s="29" t="s">
        <v>11</v>
      </c>
      <c r="S61" s="29" t="s">
        <v>11</v>
      </c>
      <c r="T61" s="29" t="s">
        <v>11</v>
      </c>
      <c r="U61" s="29" t="s">
        <v>11</v>
      </c>
      <c r="V61" s="29" t="s">
        <v>11</v>
      </c>
      <c r="W61" s="29" t="s">
        <v>11</v>
      </c>
      <c r="X61" s="29" t="s">
        <v>11</v>
      </c>
      <c r="Y61" s="29" t="s">
        <v>11</v>
      </c>
      <c r="Z61" s="29" t="s">
        <v>11</v>
      </c>
      <c r="AA61" s="29" t="s">
        <v>11</v>
      </c>
      <c r="AB61" s="29" t="s">
        <v>11</v>
      </c>
      <c r="AC61" s="29" t="s">
        <v>11</v>
      </c>
      <c r="AD61" s="29" t="s">
        <v>11</v>
      </c>
      <c r="AE61" s="24">
        <f t="shared" si="0"/>
        <v>0</v>
      </c>
      <c r="AF61" s="24">
        <f t="shared" si="1"/>
        <v>0</v>
      </c>
      <c r="AG61" s="24">
        <f t="shared" si="2"/>
        <v>15</v>
      </c>
      <c r="AH61" s="41" t="str" cm="1">
        <f t="array" ref="AH61">_xlfn.IFS(
$AE61=15,"Not Started",
$AG61&lt;15,"In Progress",
$AG61=15,"Completed",
SUM(AE61:AG61)&gt;15,"Error"
)</f>
        <v>Completed</v>
      </c>
    </row>
    <row r="62" spans="1:34" ht="13" x14ac:dyDescent="0.25">
      <c r="A62" s="248"/>
      <c r="B62" s="78">
        <v>59</v>
      </c>
      <c r="C62" s="14" t="s">
        <v>511</v>
      </c>
      <c r="D62" s="53" t="s">
        <v>2722</v>
      </c>
      <c r="E62" s="57" t="s">
        <v>2920</v>
      </c>
      <c r="F62" s="7" t="s">
        <v>47</v>
      </c>
      <c r="G62" s="7" t="s">
        <v>48</v>
      </c>
      <c r="H62" s="7" t="s">
        <v>3256</v>
      </c>
      <c r="I62" s="7" t="s">
        <v>3256</v>
      </c>
      <c r="J62" s="7" t="s">
        <v>3115</v>
      </c>
      <c r="K62" s="7" t="s">
        <v>3315</v>
      </c>
      <c r="L62" s="7">
        <v>10053821615</v>
      </c>
      <c r="M62" s="7"/>
      <c r="N62" s="7"/>
      <c r="O62" s="29" t="s">
        <v>11</v>
      </c>
      <c r="P62" s="29" t="s">
        <v>11</v>
      </c>
      <c r="Q62" s="29" t="s">
        <v>11</v>
      </c>
      <c r="R62" s="29" t="s">
        <v>11</v>
      </c>
      <c r="S62" s="29" t="s">
        <v>11</v>
      </c>
      <c r="T62" s="29" t="s">
        <v>11</v>
      </c>
      <c r="U62" s="29" t="s">
        <v>11</v>
      </c>
      <c r="V62" s="29" t="s">
        <v>11</v>
      </c>
      <c r="W62" s="29" t="s">
        <v>11</v>
      </c>
      <c r="X62" s="29" t="s">
        <v>11</v>
      </c>
      <c r="Y62" s="29" t="s">
        <v>11</v>
      </c>
      <c r="Z62" s="29" t="s">
        <v>11</v>
      </c>
      <c r="AA62" s="29" t="s">
        <v>11</v>
      </c>
      <c r="AB62" s="29" t="s">
        <v>11</v>
      </c>
      <c r="AC62" s="29" t="s">
        <v>11</v>
      </c>
      <c r="AD62" s="29" t="s">
        <v>11</v>
      </c>
      <c r="AE62" s="24">
        <f t="shared" si="0"/>
        <v>0</v>
      </c>
      <c r="AF62" s="24">
        <f t="shared" si="1"/>
        <v>0</v>
      </c>
      <c r="AG62" s="24">
        <f t="shared" si="2"/>
        <v>15</v>
      </c>
      <c r="AH62" s="41" t="str" cm="1">
        <f t="array" ref="AH62">_xlfn.IFS(
$AE62=15,"Not Started",
$AG62&lt;15,"In Progress",
$AG62=15,"Completed",
SUM(AE62:AG62)&gt;15,"Error"
)</f>
        <v>Completed</v>
      </c>
    </row>
    <row r="63" spans="1:34" ht="26" x14ac:dyDescent="0.25">
      <c r="A63" s="248"/>
      <c r="B63" s="78">
        <v>60</v>
      </c>
      <c r="C63" s="7" t="s">
        <v>512</v>
      </c>
      <c r="D63" s="79" t="s">
        <v>10221</v>
      </c>
      <c r="E63" s="80" t="s">
        <v>10219</v>
      </c>
      <c r="F63" s="7" t="s">
        <v>43</v>
      </c>
      <c r="G63" s="7" t="s">
        <v>44</v>
      </c>
      <c r="H63" s="7" t="s">
        <v>3256</v>
      </c>
      <c r="I63" s="7" t="s">
        <v>3256</v>
      </c>
      <c r="J63" s="7" t="s">
        <v>3116</v>
      </c>
      <c r="K63" s="7" t="s">
        <v>3316</v>
      </c>
      <c r="L63" s="7">
        <v>10053676864</v>
      </c>
      <c r="M63" s="7"/>
      <c r="N63" s="7"/>
      <c r="O63" s="29" t="s">
        <v>11</v>
      </c>
      <c r="P63" s="29" t="s">
        <v>11</v>
      </c>
      <c r="Q63" s="29" t="s">
        <v>11</v>
      </c>
      <c r="R63" s="29" t="s">
        <v>11</v>
      </c>
      <c r="S63" s="29" t="s">
        <v>11</v>
      </c>
      <c r="T63" s="29" t="s">
        <v>11</v>
      </c>
      <c r="U63" s="29" t="s">
        <v>11</v>
      </c>
      <c r="V63" s="29" t="s">
        <v>11</v>
      </c>
      <c r="W63" s="29" t="s">
        <v>11</v>
      </c>
      <c r="X63" s="29" t="s">
        <v>11</v>
      </c>
      <c r="Y63" s="29" t="s">
        <v>11</v>
      </c>
      <c r="Z63" s="29" t="s">
        <v>11</v>
      </c>
      <c r="AA63" s="29" t="s">
        <v>11</v>
      </c>
      <c r="AB63" s="29" t="s">
        <v>11</v>
      </c>
      <c r="AC63" s="29" t="s">
        <v>11</v>
      </c>
      <c r="AD63" s="29" t="s">
        <v>11</v>
      </c>
      <c r="AE63" s="24">
        <f t="shared" si="0"/>
        <v>0</v>
      </c>
      <c r="AF63" s="24">
        <f t="shared" si="1"/>
        <v>0</v>
      </c>
      <c r="AG63" s="24">
        <f t="shared" si="2"/>
        <v>15</v>
      </c>
      <c r="AH63" s="41" t="str" cm="1">
        <f t="array" ref="AH63">_xlfn.IFS(
$AE63=15,"Not Started",
$AG63&lt;15,"In Progress",
$AG63=15,"Completed",
SUM(AE63:AG63)&gt;15,"Error"
)</f>
        <v>Completed</v>
      </c>
    </row>
    <row r="64" spans="1:34" ht="13" x14ac:dyDescent="0.25">
      <c r="A64" s="248"/>
      <c r="B64" s="78">
        <v>61</v>
      </c>
      <c r="C64" s="14" t="s">
        <v>513</v>
      </c>
      <c r="D64" s="53" t="s">
        <v>2723</v>
      </c>
      <c r="E64" s="57" t="s">
        <v>2921</v>
      </c>
      <c r="F64" s="7" t="s">
        <v>43</v>
      </c>
      <c r="G64" s="7" t="s">
        <v>48</v>
      </c>
      <c r="H64" s="7" t="s">
        <v>3256</v>
      </c>
      <c r="I64" s="7" t="s">
        <v>3256</v>
      </c>
      <c r="J64" s="7" t="s">
        <v>3117</v>
      </c>
      <c r="K64" s="7" t="s">
        <v>3317</v>
      </c>
      <c r="L64" s="7">
        <v>10053679196</v>
      </c>
      <c r="M64" s="7"/>
      <c r="N64" s="7"/>
      <c r="O64" s="29" t="s">
        <v>11</v>
      </c>
      <c r="P64" s="29" t="s">
        <v>11</v>
      </c>
      <c r="Q64" s="29" t="s">
        <v>11</v>
      </c>
      <c r="R64" s="29" t="s">
        <v>11</v>
      </c>
      <c r="S64" s="29" t="s">
        <v>11</v>
      </c>
      <c r="T64" s="29" t="s">
        <v>11</v>
      </c>
      <c r="U64" s="29" t="s">
        <v>11</v>
      </c>
      <c r="V64" s="29" t="s">
        <v>11</v>
      </c>
      <c r="W64" s="29" t="s">
        <v>11</v>
      </c>
      <c r="X64" s="29" t="s">
        <v>11</v>
      </c>
      <c r="Y64" s="29" t="s">
        <v>11</v>
      </c>
      <c r="Z64" s="29" t="s">
        <v>11</v>
      </c>
      <c r="AA64" s="29" t="s">
        <v>11</v>
      </c>
      <c r="AB64" s="29" t="s">
        <v>11</v>
      </c>
      <c r="AC64" s="29" t="s">
        <v>11</v>
      </c>
      <c r="AD64" s="29" t="s">
        <v>11</v>
      </c>
      <c r="AE64" s="24">
        <f t="shared" si="0"/>
        <v>0</v>
      </c>
      <c r="AF64" s="24">
        <f t="shared" si="1"/>
        <v>0</v>
      </c>
      <c r="AG64" s="24">
        <f t="shared" si="2"/>
        <v>15</v>
      </c>
      <c r="AH64" s="41" t="str" cm="1">
        <f t="array" ref="AH64">_xlfn.IFS(
$AE64=15,"Not Started",
$AG64&lt;15,"In Progress",
$AG64=15,"Completed",
SUM(AE64:AG64)&gt;15,"Error"
)</f>
        <v>Completed</v>
      </c>
    </row>
    <row r="65" spans="1:34" ht="13" x14ac:dyDescent="0.25">
      <c r="A65" s="248"/>
      <c r="B65" s="78">
        <v>62</v>
      </c>
      <c r="C65" s="7" t="s">
        <v>514</v>
      </c>
      <c r="D65" s="53" t="s">
        <v>2724</v>
      </c>
      <c r="E65" s="57" t="s">
        <v>2922</v>
      </c>
      <c r="F65" s="7" t="s">
        <v>47</v>
      </c>
      <c r="G65" s="7" t="s">
        <v>44</v>
      </c>
      <c r="H65" s="7" t="s">
        <v>3256</v>
      </c>
      <c r="I65" s="7" t="s">
        <v>3256</v>
      </c>
      <c r="J65" s="7" t="s">
        <v>3118</v>
      </c>
      <c r="K65" s="7" t="s">
        <v>3318</v>
      </c>
      <c r="L65" s="7">
        <v>10086271109</v>
      </c>
      <c r="M65" s="7"/>
      <c r="N65" s="7"/>
      <c r="O65" s="29" t="s">
        <v>11</v>
      </c>
      <c r="P65" s="29" t="s">
        <v>11</v>
      </c>
      <c r="Q65" s="29" t="s">
        <v>11</v>
      </c>
      <c r="R65" s="29" t="s">
        <v>11</v>
      </c>
      <c r="S65" s="29" t="s">
        <v>11</v>
      </c>
      <c r="T65" s="29" t="s">
        <v>11</v>
      </c>
      <c r="U65" s="29" t="s">
        <v>11</v>
      </c>
      <c r="V65" s="29" t="s">
        <v>11</v>
      </c>
      <c r="W65" s="29" t="s">
        <v>11</v>
      </c>
      <c r="X65" s="29" t="s">
        <v>11</v>
      </c>
      <c r="Y65" s="29" t="s">
        <v>11</v>
      </c>
      <c r="Z65" s="29" t="s">
        <v>11</v>
      </c>
      <c r="AA65" s="29" t="s">
        <v>11</v>
      </c>
      <c r="AB65" s="29" t="s">
        <v>11</v>
      </c>
      <c r="AC65" s="29" t="s">
        <v>11</v>
      </c>
      <c r="AD65" s="29" t="s">
        <v>11</v>
      </c>
      <c r="AE65" s="24">
        <f t="shared" si="0"/>
        <v>0</v>
      </c>
      <c r="AF65" s="24">
        <f t="shared" si="1"/>
        <v>0</v>
      </c>
      <c r="AG65" s="24">
        <f t="shared" si="2"/>
        <v>15</v>
      </c>
      <c r="AH65" s="41" t="str" cm="1">
        <f t="array" ref="AH65">_xlfn.IFS(
$AE65=15,"Not Started",
$AG65&lt;15,"In Progress",
$AG65=15,"Completed",
SUM(AE65:AG65)&gt;15,"Error"
)</f>
        <v>Completed</v>
      </c>
    </row>
    <row r="66" spans="1:34" ht="13" x14ac:dyDescent="0.25">
      <c r="A66" s="248"/>
      <c r="B66" s="78">
        <v>63</v>
      </c>
      <c r="C66" s="14" t="s">
        <v>515</v>
      </c>
      <c r="D66" s="53" t="s">
        <v>2725</v>
      </c>
      <c r="E66" s="57" t="s">
        <v>2923</v>
      </c>
      <c r="F66" s="7" t="s">
        <v>43</v>
      </c>
      <c r="G66" s="7" t="s">
        <v>44</v>
      </c>
      <c r="H66" s="7" t="s">
        <v>3256</v>
      </c>
      <c r="I66" s="7" t="s">
        <v>3256</v>
      </c>
      <c r="J66" s="7" t="s">
        <v>3119</v>
      </c>
      <c r="K66" s="7" t="s">
        <v>3319</v>
      </c>
      <c r="L66" s="7">
        <v>10053814497</v>
      </c>
      <c r="M66" s="7"/>
      <c r="N66" s="7"/>
      <c r="O66" s="29" t="s">
        <v>11</v>
      </c>
      <c r="P66" s="29" t="s">
        <v>11</v>
      </c>
      <c r="Q66" s="29" t="s">
        <v>11</v>
      </c>
      <c r="R66" s="29" t="s">
        <v>11</v>
      </c>
      <c r="S66" s="29" t="s">
        <v>11</v>
      </c>
      <c r="T66" s="29" t="s">
        <v>11</v>
      </c>
      <c r="U66" s="29" t="s">
        <v>11</v>
      </c>
      <c r="V66" s="29" t="s">
        <v>11</v>
      </c>
      <c r="W66" s="29" t="s">
        <v>11</v>
      </c>
      <c r="X66" s="29" t="s">
        <v>11</v>
      </c>
      <c r="Y66" s="29" t="s">
        <v>11</v>
      </c>
      <c r="Z66" s="29" t="s">
        <v>11</v>
      </c>
      <c r="AA66" s="29" t="s">
        <v>11</v>
      </c>
      <c r="AB66" s="29" t="s">
        <v>11</v>
      </c>
      <c r="AC66" s="29" t="s">
        <v>11</v>
      </c>
      <c r="AD66" s="29" t="s">
        <v>11</v>
      </c>
      <c r="AE66" s="24">
        <f t="shared" si="0"/>
        <v>0</v>
      </c>
      <c r="AF66" s="24">
        <f t="shared" si="1"/>
        <v>0</v>
      </c>
      <c r="AG66" s="24">
        <f t="shared" si="2"/>
        <v>15</v>
      </c>
      <c r="AH66" s="41" t="str" cm="1">
        <f t="array" ref="AH66">_xlfn.IFS(
$AE66=15,"Not Started",
$AG66&lt;15,"In Progress",
$AG66=15,"Completed",
SUM(AE66:AG66)&gt;15,"Error"
)</f>
        <v>Completed</v>
      </c>
    </row>
    <row r="67" spans="1:34" ht="13" x14ac:dyDescent="0.25">
      <c r="A67" s="248"/>
      <c r="B67" s="78">
        <v>64</v>
      </c>
      <c r="C67" s="7" t="s">
        <v>516</v>
      </c>
      <c r="D67" s="53" t="s">
        <v>2726</v>
      </c>
      <c r="E67" s="57" t="s">
        <v>2924</v>
      </c>
      <c r="F67" s="7" t="s">
        <v>51</v>
      </c>
      <c r="G67" s="7" t="s">
        <v>48</v>
      </c>
      <c r="H67" s="7" t="s">
        <v>3256</v>
      </c>
      <c r="I67" s="7" t="s">
        <v>3256</v>
      </c>
      <c r="J67" s="7" t="s">
        <v>3120</v>
      </c>
      <c r="K67" s="7" t="s">
        <v>3320</v>
      </c>
      <c r="L67" s="7">
        <v>10053367715</v>
      </c>
      <c r="M67" s="7"/>
      <c r="N67" s="7"/>
      <c r="O67" s="29" t="s">
        <v>11</v>
      </c>
      <c r="P67" s="29" t="s">
        <v>11</v>
      </c>
      <c r="Q67" s="29" t="s">
        <v>11</v>
      </c>
      <c r="R67" s="29" t="s">
        <v>11</v>
      </c>
      <c r="S67" s="29" t="s">
        <v>11</v>
      </c>
      <c r="T67" s="29" t="s">
        <v>11</v>
      </c>
      <c r="U67" s="29" t="s">
        <v>11</v>
      </c>
      <c r="V67" s="29" t="s">
        <v>11</v>
      </c>
      <c r="W67" s="29" t="s">
        <v>11</v>
      </c>
      <c r="X67" s="29" t="s">
        <v>11</v>
      </c>
      <c r="Y67" s="29" t="s">
        <v>11</v>
      </c>
      <c r="Z67" s="29" t="s">
        <v>11</v>
      </c>
      <c r="AA67" s="29" t="s">
        <v>11</v>
      </c>
      <c r="AB67" s="29" t="s">
        <v>11</v>
      </c>
      <c r="AC67" s="29" t="s">
        <v>11</v>
      </c>
      <c r="AD67" s="29" t="s">
        <v>11</v>
      </c>
      <c r="AE67" s="24">
        <f t="shared" si="0"/>
        <v>0</v>
      </c>
      <c r="AF67" s="24">
        <f t="shared" si="1"/>
        <v>0</v>
      </c>
      <c r="AG67" s="24">
        <f t="shared" si="2"/>
        <v>15</v>
      </c>
      <c r="AH67" s="41" t="str" cm="1">
        <f t="array" ref="AH67">_xlfn.IFS(
$AE67=15,"Not Started",
$AG67&lt;15,"In Progress",
$AG67=15,"Completed",
SUM(AE67:AG67)&gt;15,"Error"
)</f>
        <v>Completed</v>
      </c>
    </row>
    <row r="68" spans="1:34" ht="13" x14ac:dyDescent="0.25">
      <c r="A68" s="248"/>
      <c r="B68" s="78">
        <v>65</v>
      </c>
      <c r="C68" s="14" t="s">
        <v>517</v>
      </c>
      <c r="D68" s="53" t="s">
        <v>2727</v>
      </c>
      <c r="E68" s="57" t="s">
        <v>2925</v>
      </c>
      <c r="F68" s="7" t="s">
        <v>51</v>
      </c>
      <c r="G68" s="7" t="s">
        <v>48</v>
      </c>
      <c r="H68" s="7" t="s">
        <v>3256</v>
      </c>
      <c r="I68" s="7" t="s">
        <v>3256</v>
      </c>
      <c r="J68" s="7" t="s">
        <v>3121</v>
      </c>
      <c r="K68" s="7" t="s">
        <v>3321</v>
      </c>
      <c r="L68" s="7">
        <v>10053443129</v>
      </c>
      <c r="M68" s="7"/>
      <c r="N68" s="7"/>
      <c r="O68" s="29" t="s">
        <v>11</v>
      </c>
      <c r="P68" s="29" t="s">
        <v>11</v>
      </c>
      <c r="Q68" s="29" t="s">
        <v>11</v>
      </c>
      <c r="R68" s="29" t="s">
        <v>11</v>
      </c>
      <c r="S68" s="29" t="s">
        <v>11</v>
      </c>
      <c r="T68" s="29" t="s">
        <v>11</v>
      </c>
      <c r="U68" s="29" t="s">
        <v>11</v>
      </c>
      <c r="V68" s="29" t="s">
        <v>11</v>
      </c>
      <c r="W68" s="29" t="s">
        <v>11</v>
      </c>
      <c r="X68" s="29" t="s">
        <v>11</v>
      </c>
      <c r="Y68" s="29" t="s">
        <v>11</v>
      </c>
      <c r="Z68" s="29" t="s">
        <v>11</v>
      </c>
      <c r="AA68" s="29" t="s">
        <v>11</v>
      </c>
      <c r="AB68" s="29" t="s">
        <v>11</v>
      </c>
      <c r="AC68" s="29" t="s">
        <v>11</v>
      </c>
      <c r="AD68" s="29" t="s">
        <v>11</v>
      </c>
      <c r="AE68" s="24">
        <f t="shared" ref="AE68:AE131" si="3">COUNTIF(O68:AC68,$AE$2)</f>
        <v>0</v>
      </c>
      <c r="AF68" s="24">
        <f t="shared" ref="AF68:AF131" si="4">COUNTIF(O68:AC68,$AF$2)</f>
        <v>0</v>
      </c>
      <c r="AG68" s="24">
        <f t="shared" ref="AG68:AG131" si="5">COUNTIF(O68:AC68,$AG$2)</f>
        <v>15</v>
      </c>
      <c r="AH68" s="41" t="str" cm="1">
        <f t="array" ref="AH68">_xlfn.IFS(
$AE68=15,"Not Started",
$AG68&lt;15,"In Progress",
$AG68=15,"Completed",
SUM(AE68:AG68)&gt;15,"Error"
)</f>
        <v>Completed</v>
      </c>
    </row>
    <row r="69" spans="1:34" ht="13" x14ac:dyDescent="0.25">
      <c r="A69" s="248"/>
      <c r="B69" s="78">
        <v>66</v>
      </c>
      <c r="C69" s="7" t="s">
        <v>518</v>
      </c>
      <c r="D69" s="53" t="s">
        <v>2728</v>
      </c>
      <c r="E69" s="57" t="s">
        <v>2926</v>
      </c>
      <c r="F69" s="7" t="s">
        <v>43</v>
      </c>
      <c r="G69" s="7" t="s">
        <v>44</v>
      </c>
      <c r="H69" s="7" t="s">
        <v>3256</v>
      </c>
      <c r="I69" s="7" t="s">
        <v>3256</v>
      </c>
      <c r="J69" s="7" t="s">
        <v>3122</v>
      </c>
      <c r="K69" s="7" t="s">
        <v>3322</v>
      </c>
      <c r="L69" s="7">
        <v>10053738368</v>
      </c>
      <c r="M69" s="7"/>
      <c r="N69" s="7"/>
      <c r="O69" s="29" t="s">
        <v>11</v>
      </c>
      <c r="P69" s="29" t="s">
        <v>11</v>
      </c>
      <c r="Q69" s="29" t="s">
        <v>11</v>
      </c>
      <c r="R69" s="29" t="s">
        <v>11</v>
      </c>
      <c r="S69" s="29" t="s">
        <v>11</v>
      </c>
      <c r="T69" s="29" t="s">
        <v>11</v>
      </c>
      <c r="U69" s="29" t="s">
        <v>11</v>
      </c>
      <c r="V69" s="29" t="s">
        <v>11</v>
      </c>
      <c r="W69" s="29" t="s">
        <v>11</v>
      </c>
      <c r="X69" s="29" t="s">
        <v>11</v>
      </c>
      <c r="Y69" s="29" t="s">
        <v>11</v>
      </c>
      <c r="Z69" s="29" t="s">
        <v>11</v>
      </c>
      <c r="AA69" s="29" t="s">
        <v>11</v>
      </c>
      <c r="AB69" s="29" t="s">
        <v>11</v>
      </c>
      <c r="AC69" s="29" t="s">
        <v>11</v>
      </c>
      <c r="AD69" s="29" t="s">
        <v>11</v>
      </c>
      <c r="AE69" s="24">
        <f t="shared" si="3"/>
        <v>0</v>
      </c>
      <c r="AF69" s="24">
        <f t="shared" si="4"/>
        <v>0</v>
      </c>
      <c r="AG69" s="24">
        <f t="shared" si="5"/>
        <v>15</v>
      </c>
      <c r="AH69" s="41" t="str" cm="1">
        <f t="array" ref="AH69">_xlfn.IFS(
$AE69=15,"Not Started",
$AG69&lt;15,"In Progress",
$AG69=15,"Completed",
SUM(AE69:AG69)&gt;15,"Error"
)</f>
        <v>Completed</v>
      </c>
    </row>
    <row r="70" spans="1:34" ht="13" x14ac:dyDescent="0.25">
      <c r="A70" s="248"/>
      <c r="B70" s="78">
        <v>67</v>
      </c>
      <c r="C70" s="14" t="s">
        <v>519</v>
      </c>
      <c r="D70" s="53" t="s">
        <v>2729</v>
      </c>
      <c r="E70" s="57" t="s">
        <v>2927</v>
      </c>
      <c r="F70" s="7" t="s">
        <v>47</v>
      </c>
      <c r="G70" s="7" t="s">
        <v>44</v>
      </c>
      <c r="H70" s="7" t="s">
        <v>3256</v>
      </c>
      <c r="I70" s="7" t="s">
        <v>3256</v>
      </c>
      <c r="J70" s="7" t="s">
        <v>3123</v>
      </c>
      <c r="K70" s="7" t="s">
        <v>3323</v>
      </c>
      <c r="L70" s="7">
        <v>10099957858</v>
      </c>
      <c r="M70" s="7"/>
      <c r="N70" s="7"/>
      <c r="O70" s="29" t="s">
        <v>11</v>
      </c>
      <c r="P70" s="29" t="s">
        <v>11</v>
      </c>
      <c r="Q70" s="29" t="s">
        <v>11</v>
      </c>
      <c r="R70" s="29" t="s">
        <v>11</v>
      </c>
      <c r="S70" s="29" t="s">
        <v>11</v>
      </c>
      <c r="T70" s="29" t="s">
        <v>11</v>
      </c>
      <c r="U70" s="29" t="s">
        <v>11</v>
      </c>
      <c r="V70" s="29" t="s">
        <v>11</v>
      </c>
      <c r="W70" s="29" t="s">
        <v>11</v>
      </c>
      <c r="X70" s="29" t="s">
        <v>11</v>
      </c>
      <c r="Y70" s="29" t="s">
        <v>11</v>
      </c>
      <c r="Z70" s="29" t="s">
        <v>11</v>
      </c>
      <c r="AA70" s="29" t="s">
        <v>11</v>
      </c>
      <c r="AB70" s="29" t="s">
        <v>11</v>
      </c>
      <c r="AC70" s="29" t="s">
        <v>11</v>
      </c>
      <c r="AD70" s="29" t="s">
        <v>11</v>
      </c>
      <c r="AE70" s="24">
        <f t="shared" si="3"/>
        <v>0</v>
      </c>
      <c r="AF70" s="24">
        <f t="shared" si="4"/>
        <v>0</v>
      </c>
      <c r="AG70" s="24">
        <f t="shared" si="5"/>
        <v>15</v>
      </c>
      <c r="AH70" s="41" t="str" cm="1">
        <f t="array" ref="AH70">_xlfn.IFS(
$AE70=15,"Not Started",
$AG70&lt;15,"In Progress",
$AG70=15,"Completed",
SUM(AE70:AG70)&gt;15,"Error"
)</f>
        <v>Completed</v>
      </c>
    </row>
    <row r="71" spans="1:34" ht="13" x14ac:dyDescent="0.25">
      <c r="A71" s="248"/>
      <c r="B71" s="78">
        <v>68</v>
      </c>
      <c r="C71" s="7" t="s">
        <v>520</v>
      </c>
      <c r="D71" s="53" t="s">
        <v>2730</v>
      </c>
      <c r="E71" s="57" t="s">
        <v>2928</v>
      </c>
      <c r="F71" s="7" t="s">
        <v>47</v>
      </c>
      <c r="G71" s="7" t="s">
        <v>44</v>
      </c>
      <c r="H71" s="7" t="s">
        <v>3256</v>
      </c>
      <c r="I71" s="7" t="s">
        <v>3256</v>
      </c>
      <c r="J71" s="7" t="s">
        <v>3124</v>
      </c>
      <c r="K71" s="7" t="s">
        <v>3324</v>
      </c>
      <c r="L71" s="7">
        <v>10053371905</v>
      </c>
      <c r="M71" s="7"/>
      <c r="N71" s="7"/>
      <c r="O71" s="29" t="s">
        <v>11</v>
      </c>
      <c r="P71" s="29" t="s">
        <v>11</v>
      </c>
      <c r="Q71" s="29" t="s">
        <v>11</v>
      </c>
      <c r="R71" s="29" t="s">
        <v>11</v>
      </c>
      <c r="S71" s="29" t="s">
        <v>11</v>
      </c>
      <c r="T71" s="29" t="s">
        <v>11</v>
      </c>
      <c r="U71" s="29" t="s">
        <v>11</v>
      </c>
      <c r="V71" s="29" t="s">
        <v>11</v>
      </c>
      <c r="W71" s="29" t="s">
        <v>11</v>
      </c>
      <c r="X71" s="29" t="s">
        <v>11</v>
      </c>
      <c r="Y71" s="29" t="s">
        <v>11</v>
      </c>
      <c r="Z71" s="29" t="s">
        <v>11</v>
      </c>
      <c r="AA71" s="29" t="s">
        <v>11</v>
      </c>
      <c r="AB71" s="29" t="s">
        <v>11</v>
      </c>
      <c r="AC71" s="29" t="s">
        <v>11</v>
      </c>
      <c r="AD71" s="29" t="s">
        <v>11</v>
      </c>
      <c r="AE71" s="24">
        <f t="shared" si="3"/>
        <v>0</v>
      </c>
      <c r="AF71" s="24">
        <f t="shared" si="4"/>
        <v>0</v>
      </c>
      <c r="AG71" s="24">
        <f t="shared" si="5"/>
        <v>15</v>
      </c>
      <c r="AH71" s="41" t="str" cm="1">
        <f t="array" ref="AH71">_xlfn.IFS(
$AE71=15,"Not Started",
$AG71&lt;15,"In Progress",
$AG71=15,"Completed",
SUM(AE71:AG71)&gt;15,"Error"
)</f>
        <v>Completed</v>
      </c>
    </row>
    <row r="72" spans="1:34" ht="13" x14ac:dyDescent="0.25">
      <c r="A72" s="248"/>
      <c r="B72" s="78">
        <v>69</v>
      </c>
      <c r="C72" s="14" t="s">
        <v>521</v>
      </c>
      <c r="D72" s="53" t="s">
        <v>2731</v>
      </c>
      <c r="E72" s="57" t="s">
        <v>2929</v>
      </c>
      <c r="F72" s="7" t="s">
        <v>43</v>
      </c>
      <c r="G72" s="7" t="s">
        <v>44</v>
      </c>
      <c r="H72" s="7" t="s">
        <v>3256</v>
      </c>
      <c r="I72" s="7" t="s">
        <v>3256</v>
      </c>
      <c r="J72" s="7" t="s">
        <v>3125</v>
      </c>
      <c r="K72" s="7" t="s">
        <v>3325</v>
      </c>
      <c r="L72" s="7">
        <v>10099957811</v>
      </c>
      <c r="M72" s="7"/>
      <c r="N72" s="7"/>
      <c r="O72" s="29" t="s">
        <v>11</v>
      </c>
      <c r="P72" s="29" t="s">
        <v>11</v>
      </c>
      <c r="Q72" s="29" t="s">
        <v>11</v>
      </c>
      <c r="R72" s="29" t="s">
        <v>11</v>
      </c>
      <c r="S72" s="29" t="s">
        <v>11</v>
      </c>
      <c r="T72" s="29" t="s">
        <v>11</v>
      </c>
      <c r="U72" s="29" t="s">
        <v>11</v>
      </c>
      <c r="V72" s="29" t="s">
        <v>11</v>
      </c>
      <c r="W72" s="29" t="s">
        <v>11</v>
      </c>
      <c r="X72" s="29" t="s">
        <v>11</v>
      </c>
      <c r="Y72" s="29" t="s">
        <v>11</v>
      </c>
      <c r="Z72" s="29" t="s">
        <v>11</v>
      </c>
      <c r="AA72" s="29" t="s">
        <v>11</v>
      </c>
      <c r="AB72" s="29" t="s">
        <v>11</v>
      </c>
      <c r="AC72" s="29" t="s">
        <v>11</v>
      </c>
      <c r="AD72" s="29" t="s">
        <v>11</v>
      </c>
      <c r="AE72" s="24">
        <f t="shared" si="3"/>
        <v>0</v>
      </c>
      <c r="AF72" s="24">
        <f t="shared" si="4"/>
        <v>0</v>
      </c>
      <c r="AG72" s="24">
        <f t="shared" si="5"/>
        <v>15</v>
      </c>
      <c r="AH72" s="41" t="str" cm="1">
        <f t="array" ref="AH72">_xlfn.IFS(
$AE72=15,"Not Started",
$AG72&lt;15,"In Progress",
$AG72=15,"Completed",
SUM(AE72:AG72)&gt;15,"Error"
)</f>
        <v>Completed</v>
      </c>
    </row>
    <row r="73" spans="1:34" ht="13" x14ac:dyDescent="0.25">
      <c r="A73" s="248"/>
      <c r="B73" s="78">
        <v>70</v>
      </c>
      <c r="C73" s="7" t="s">
        <v>522</v>
      </c>
      <c r="D73" s="53" t="s">
        <v>2732</v>
      </c>
      <c r="E73" s="57" t="s">
        <v>2930</v>
      </c>
      <c r="F73" s="7" t="s">
        <v>43</v>
      </c>
      <c r="G73" s="7" t="s">
        <v>48</v>
      </c>
      <c r="H73" s="7" t="s">
        <v>3256</v>
      </c>
      <c r="I73" s="7" t="s">
        <v>3256</v>
      </c>
      <c r="J73" s="7" t="s">
        <v>3126</v>
      </c>
      <c r="K73" s="7" t="s">
        <v>3326</v>
      </c>
      <c r="L73" s="7">
        <v>10053679310</v>
      </c>
      <c r="M73" s="7"/>
      <c r="N73" s="7"/>
      <c r="O73" s="29" t="s">
        <v>11</v>
      </c>
      <c r="P73" s="29" t="s">
        <v>11</v>
      </c>
      <c r="Q73" s="29" t="s">
        <v>11</v>
      </c>
      <c r="R73" s="29" t="s">
        <v>11</v>
      </c>
      <c r="S73" s="29" t="s">
        <v>11</v>
      </c>
      <c r="T73" s="29" t="s">
        <v>11</v>
      </c>
      <c r="U73" s="29" t="s">
        <v>11</v>
      </c>
      <c r="V73" s="29" t="s">
        <v>11</v>
      </c>
      <c r="W73" s="29" t="s">
        <v>11</v>
      </c>
      <c r="X73" s="29" t="s">
        <v>11</v>
      </c>
      <c r="Y73" s="29" t="s">
        <v>11</v>
      </c>
      <c r="Z73" s="29" t="s">
        <v>11</v>
      </c>
      <c r="AA73" s="29" t="s">
        <v>11</v>
      </c>
      <c r="AB73" s="29" t="s">
        <v>11</v>
      </c>
      <c r="AC73" s="29" t="s">
        <v>11</v>
      </c>
      <c r="AD73" s="29" t="s">
        <v>11</v>
      </c>
      <c r="AE73" s="24">
        <f t="shared" si="3"/>
        <v>0</v>
      </c>
      <c r="AF73" s="24">
        <f t="shared" si="4"/>
        <v>0</v>
      </c>
      <c r="AG73" s="24">
        <f t="shared" si="5"/>
        <v>15</v>
      </c>
      <c r="AH73" s="41" t="str" cm="1">
        <f t="array" ref="AH73">_xlfn.IFS(
$AE73=15,"Not Started",
$AG73&lt;15,"In Progress",
$AG73=15,"Completed",
SUM(AE73:AG73)&gt;15,"Error"
)</f>
        <v>Completed</v>
      </c>
    </row>
    <row r="74" spans="1:34" ht="13" x14ac:dyDescent="0.25">
      <c r="A74" s="248"/>
      <c r="B74" s="78">
        <v>71</v>
      </c>
      <c r="C74" s="14" t="s">
        <v>523</v>
      </c>
      <c r="D74" s="53" t="s">
        <v>2733</v>
      </c>
      <c r="E74" s="57" t="s">
        <v>2931</v>
      </c>
      <c r="F74" s="7" t="s">
        <v>47</v>
      </c>
      <c r="G74" s="7" t="s">
        <v>44</v>
      </c>
      <c r="H74" s="7" t="s">
        <v>3256</v>
      </c>
      <c r="I74" s="7" t="s">
        <v>3256</v>
      </c>
      <c r="J74" s="7" t="s">
        <v>3127</v>
      </c>
      <c r="K74" s="7" t="s">
        <v>3327</v>
      </c>
      <c r="L74" s="7">
        <v>10053818923</v>
      </c>
      <c r="M74" s="7"/>
      <c r="N74" s="7"/>
      <c r="O74" s="29" t="s">
        <v>11</v>
      </c>
      <c r="P74" s="29" t="s">
        <v>11</v>
      </c>
      <c r="Q74" s="29" t="s">
        <v>11</v>
      </c>
      <c r="R74" s="29" t="s">
        <v>11</v>
      </c>
      <c r="S74" s="29" t="s">
        <v>11</v>
      </c>
      <c r="T74" s="29" t="s">
        <v>11</v>
      </c>
      <c r="U74" s="29" t="s">
        <v>11</v>
      </c>
      <c r="V74" s="29" t="s">
        <v>11</v>
      </c>
      <c r="W74" s="29" t="s">
        <v>11</v>
      </c>
      <c r="X74" s="29" t="s">
        <v>11</v>
      </c>
      <c r="Y74" s="29" t="s">
        <v>11</v>
      </c>
      <c r="Z74" s="29" t="s">
        <v>11</v>
      </c>
      <c r="AA74" s="29" t="s">
        <v>11</v>
      </c>
      <c r="AB74" s="29" t="s">
        <v>11</v>
      </c>
      <c r="AC74" s="29" t="s">
        <v>11</v>
      </c>
      <c r="AD74" s="29" t="s">
        <v>11</v>
      </c>
      <c r="AE74" s="24">
        <f t="shared" si="3"/>
        <v>0</v>
      </c>
      <c r="AF74" s="24">
        <f t="shared" si="4"/>
        <v>0</v>
      </c>
      <c r="AG74" s="24">
        <f t="shared" si="5"/>
        <v>15</v>
      </c>
      <c r="AH74" s="41" t="str" cm="1">
        <f t="array" ref="AH74">_xlfn.IFS(
$AE74=15,"Not Started",
$AG74&lt;15,"In Progress",
$AG74=15,"Completed",
SUM(AE74:AG74)&gt;15,"Error"
)</f>
        <v>Completed</v>
      </c>
    </row>
    <row r="75" spans="1:34" ht="13" x14ac:dyDescent="0.25">
      <c r="A75" s="248"/>
      <c r="B75" s="78">
        <v>72</v>
      </c>
      <c r="C75" s="7" t="s">
        <v>524</v>
      </c>
      <c r="D75" s="53" t="s">
        <v>2734</v>
      </c>
      <c r="E75" s="57" t="s">
        <v>2932</v>
      </c>
      <c r="F75" s="7" t="s">
        <v>51</v>
      </c>
      <c r="G75" s="7" t="s">
        <v>48</v>
      </c>
      <c r="H75" s="7" t="s">
        <v>3256</v>
      </c>
      <c r="I75" s="7" t="s">
        <v>3256</v>
      </c>
      <c r="J75" s="7"/>
      <c r="K75" s="7" t="s">
        <v>3328</v>
      </c>
      <c r="L75" s="7">
        <v>10053254444</v>
      </c>
      <c r="M75" s="7"/>
      <c r="N75" s="7"/>
      <c r="O75" s="29" t="s">
        <v>11</v>
      </c>
      <c r="P75" s="29" t="s">
        <v>11</v>
      </c>
      <c r="Q75" s="29" t="s">
        <v>11</v>
      </c>
      <c r="R75" s="29" t="s">
        <v>11</v>
      </c>
      <c r="S75" s="29" t="s">
        <v>11</v>
      </c>
      <c r="T75" s="29" t="s">
        <v>11</v>
      </c>
      <c r="U75" s="29" t="s">
        <v>11</v>
      </c>
      <c r="V75" s="29" t="s">
        <v>11</v>
      </c>
      <c r="W75" s="29" t="s">
        <v>11</v>
      </c>
      <c r="X75" s="29" t="s">
        <v>11</v>
      </c>
      <c r="Y75" s="29" t="s">
        <v>11</v>
      </c>
      <c r="Z75" s="29" t="s">
        <v>11</v>
      </c>
      <c r="AA75" s="29" t="s">
        <v>11</v>
      </c>
      <c r="AB75" s="29" t="s">
        <v>11</v>
      </c>
      <c r="AC75" s="29" t="s">
        <v>11</v>
      </c>
      <c r="AD75" s="29" t="s">
        <v>11</v>
      </c>
      <c r="AE75" s="24">
        <f t="shared" si="3"/>
        <v>0</v>
      </c>
      <c r="AF75" s="24">
        <f t="shared" si="4"/>
        <v>0</v>
      </c>
      <c r="AG75" s="24">
        <f t="shared" si="5"/>
        <v>15</v>
      </c>
      <c r="AH75" s="41" t="str" cm="1">
        <f t="array" ref="AH75">_xlfn.IFS(
$AE75=15,"Not Started",
$AG75&lt;15,"In Progress",
$AG75=15,"Completed",
SUM(AE75:AG75)&gt;15,"Error"
)</f>
        <v>Completed</v>
      </c>
    </row>
    <row r="76" spans="1:34" ht="13" x14ac:dyDescent="0.25">
      <c r="A76" s="248"/>
      <c r="B76" s="78">
        <v>73</v>
      </c>
      <c r="C76" s="14" t="s">
        <v>525</v>
      </c>
      <c r="D76" s="53" t="s">
        <v>2735</v>
      </c>
      <c r="E76" s="57" t="s">
        <v>2933</v>
      </c>
      <c r="F76" s="7" t="s">
        <v>43</v>
      </c>
      <c r="G76" s="7" t="s">
        <v>48</v>
      </c>
      <c r="H76" s="7" t="s">
        <v>3256</v>
      </c>
      <c r="I76" s="7" t="s">
        <v>3256</v>
      </c>
      <c r="J76" s="7" t="s">
        <v>3128</v>
      </c>
      <c r="K76" s="7" t="s">
        <v>3329</v>
      </c>
      <c r="L76" s="7">
        <v>10053788691</v>
      </c>
      <c r="M76" s="7"/>
      <c r="N76" s="7"/>
      <c r="O76" s="29" t="s">
        <v>11</v>
      </c>
      <c r="P76" s="29" t="s">
        <v>11</v>
      </c>
      <c r="Q76" s="29" t="s">
        <v>11</v>
      </c>
      <c r="R76" s="29" t="s">
        <v>11</v>
      </c>
      <c r="S76" s="29" t="s">
        <v>11</v>
      </c>
      <c r="T76" s="29" t="s">
        <v>11</v>
      </c>
      <c r="U76" s="29" t="s">
        <v>11</v>
      </c>
      <c r="V76" s="29" t="s">
        <v>11</v>
      </c>
      <c r="W76" s="29" t="s">
        <v>11</v>
      </c>
      <c r="X76" s="29" t="s">
        <v>11</v>
      </c>
      <c r="Y76" s="29" t="s">
        <v>11</v>
      </c>
      <c r="Z76" s="29" t="s">
        <v>11</v>
      </c>
      <c r="AA76" s="29" t="s">
        <v>11</v>
      </c>
      <c r="AB76" s="29" t="s">
        <v>11</v>
      </c>
      <c r="AC76" s="29" t="s">
        <v>11</v>
      </c>
      <c r="AD76" s="29" t="s">
        <v>11</v>
      </c>
      <c r="AE76" s="24">
        <f t="shared" si="3"/>
        <v>0</v>
      </c>
      <c r="AF76" s="24">
        <f t="shared" si="4"/>
        <v>0</v>
      </c>
      <c r="AG76" s="24">
        <f t="shared" si="5"/>
        <v>15</v>
      </c>
      <c r="AH76" s="41" t="str" cm="1">
        <f t="array" ref="AH76">_xlfn.IFS(
$AE76=15,"Not Started",
$AG76&lt;15,"In Progress",
$AG76=15,"Completed",
SUM(AE76:AG76)&gt;15,"Error"
)</f>
        <v>Completed</v>
      </c>
    </row>
    <row r="77" spans="1:34" ht="13" x14ac:dyDescent="0.25">
      <c r="A77" s="248"/>
      <c r="B77" s="78">
        <v>74</v>
      </c>
      <c r="C77" s="7" t="s">
        <v>526</v>
      </c>
      <c r="D77" s="53" t="s">
        <v>2736</v>
      </c>
      <c r="E77" s="57" t="s">
        <v>2934</v>
      </c>
      <c r="F77" s="7" t="s">
        <v>43</v>
      </c>
      <c r="G77" s="7" t="s">
        <v>48</v>
      </c>
      <c r="H77" s="7" t="s">
        <v>3256</v>
      </c>
      <c r="I77" s="7" t="s">
        <v>3256</v>
      </c>
      <c r="J77" s="7" t="s">
        <v>3129</v>
      </c>
      <c r="K77" s="7" t="s">
        <v>3330</v>
      </c>
      <c r="L77" s="7">
        <v>10053808300</v>
      </c>
      <c r="M77" s="7"/>
      <c r="N77" s="7"/>
      <c r="O77" s="29" t="s">
        <v>11</v>
      </c>
      <c r="P77" s="29" t="s">
        <v>11</v>
      </c>
      <c r="Q77" s="29" t="s">
        <v>11</v>
      </c>
      <c r="R77" s="29" t="s">
        <v>11</v>
      </c>
      <c r="S77" s="29" t="s">
        <v>11</v>
      </c>
      <c r="T77" s="29" t="s">
        <v>11</v>
      </c>
      <c r="U77" s="29" t="s">
        <v>11</v>
      </c>
      <c r="V77" s="29" t="s">
        <v>11</v>
      </c>
      <c r="W77" s="29" t="s">
        <v>11</v>
      </c>
      <c r="X77" s="29" t="s">
        <v>11</v>
      </c>
      <c r="Y77" s="29" t="s">
        <v>11</v>
      </c>
      <c r="Z77" s="29" t="s">
        <v>11</v>
      </c>
      <c r="AA77" s="29" t="s">
        <v>11</v>
      </c>
      <c r="AB77" s="29" t="s">
        <v>11</v>
      </c>
      <c r="AC77" s="29" t="s">
        <v>11</v>
      </c>
      <c r="AD77" s="29" t="s">
        <v>11</v>
      </c>
      <c r="AE77" s="24">
        <f t="shared" si="3"/>
        <v>0</v>
      </c>
      <c r="AF77" s="24">
        <f t="shared" si="4"/>
        <v>0</v>
      </c>
      <c r="AG77" s="24">
        <f t="shared" si="5"/>
        <v>15</v>
      </c>
      <c r="AH77" s="41" t="str" cm="1">
        <f t="array" ref="AH77">_xlfn.IFS(
$AE77=15,"Not Started",
$AG77&lt;15,"In Progress",
$AG77=15,"Completed",
SUM(AE77:AG77)&gt;15,"Error"
)</f>
        <v>Completed</v>
      </c>
    </row>
    <row r="78" spans="1:34" ht="13" x14ac:dyDescent="0.25">
      <c r="A78" s="248"/>
      <c r="B78" s="78">
        <v>75</v>
      </c>
      <c r="C78" s="14" t="s">
        <v>527</v>
      </c>
      <c r="D78" s="53" t="s">
        <v>2737</v>
      </c>
      <c r="E78" s="57" t="s">
        <v>2935</v>
      </c>
      <c r="F78" s="7" t="s">
        <v>51</v>
      </c>
      <c r="G78" s="7" t="s">
        <v>44</v>
      </c>
      <c r="H78" s="7" t="s">
        <v>3256</v>
      </c>
      <c r="I78" s="7" t="s">
        <v>3256</v>
      </c>
      <c r="J78" s="7" t="s">
        <v>3130</v>
      </c>
      <c r="K78" s="7" t="s">
        <v>3331</v>
      </c>
      <c r="L78" s="7">
        <v>10099967068</v>
      </c>
      <c r="M78" s="7"/>
      <c r="N78" s="7"/>
      <c r="O78" s="29" t="s">
        <v>11</v>
      </c>
      <c r="P78" s="29" t="s">
        <v>11</v>
      </c>
      <c r="Q78" s="29" t="s">
        <v>11</v>
      </c>
      <c r="R78" s="29" t="s">
        <v>11</v>
      </c>
      <c r="S78" s="29" t="s">
        <v>11</v>
      </c>
      <c r="T78" s="29" t="s">
        <v>11</v>
      </c>
      <c r="U78" s="29" t="s">
        <v>11</v>
      </c>
      <c r="V78" s="29" t="s">
        <v>11</v>
      </c>
      <c r="W78" s="29" t="s">
        <v>11</v>
      </c>
      <c r="X78" s="29" t="s">
        <v>11</v>
      </c>
      <c r="Y78" s="29" t="s">
        <v>11</v>
      </c>
      <c r="Z78" s="29" t="s">
        <v>11</v>
      </c>
      <c r="AA78" s="29" t="s">
        <v>11</v>
      </c>
      <c r="AB78" s="29" t="s">
        <v>11</v>
      </c>
      <c r="AC78" s="29" t="s">
        <v>11</v>
      </c>
      <c r="AD78" s="29" t="s">
        <v>11</v>
      </c>
      <c r="AE78" s="24">
        <f t="shared" si="3"/>
        <v>0</v>
      </c>
      <c r="AF78" s="24">
        <f t="shared" si="4"/>
        <v>0</v>
      </c>
      <c r="AG78" s="24">
        <f t="shared" si="5"/>
        <v>15</v>
      </c>
      <c r="AH78" s="41" t="str" cm="1">
        <f t="array" ref="AH78">_xlfn.IFS(
$AE78=15,"Not Started",
$AG78&lt;15,"In Progress",
$AG78=15,"Completed",
SUM(AE78:AG78)&gt;15,"Error"
)</f>
        <v>Completed</v>
      </c>
    </row>
    <row r="79" spans="1:34" ht="13" x14ac:dyDescent="0.25">
      <c r="A79" s="248"/>
      <c r="B79" s="78">
        <v>76</v>
      </c>
      <c r="C79" s="7" t="s">
        <v>528</v>
      </c>
      <c r="D79" s="53" t="s">
        <v>2738</v>
      </c>
      <c r="E79" s="57" t="s">
        <v>2936</v>
      </c>
      <c r="F79" s="7" t="s">
        <v>9670</v>
      </c>
      <c r="G79" s="7" t="s">
        <v>48</v>
      </c>
      <c r="H79" s="7" t="s">
        <v>3256</v>
      </c>
      <c r="I79" s="7" t="s">
        <v>3256</v>
      </c>
      <c r="J79" s="7" t="s">
        <v>3131</v>
      </c>
      <c r="K79" s="7" t="s">
        <v>3332</v>
      </c>
      <c r="L79" s="7">
        <v>10053836181</v>
      </c>
      <c r="M79" s="7"/>
      <c r="N79" s="7"/>
      <c r="O79" s="29" t="s">
        <v>11</v>
      </c>
      <c r="P79" s="29" t="s">
        <v>11</v>
      </c>
      <c r="Q79" s="29" t="s">
        <v>11</v>
      </c>
      <c r="R79" s="29" t="s">
        <v>11</v>
      </c>
      <c r="S79" s="29" t="s">
        <v>11</v>
      </c>
      <c r="T79" s="29" t="s">
        <v>11</v>
      </c>
      <c r="U79" s="29" t="s">
        <v>11</v>
      </c>
      <c r="V79" s="29" t="s">
        <v>11</v>
      </c>
      <c r="W79" s="29" t="s">
        <v>11</v>
      </c>
      <c r="X79" s="29" t="s">
        <v>11</v>
      </c>
      <c r="Y79" s="29" t="s">
        <v>11</v>
      </c>
      <c r="Z79" s="29" t="s">
        <v>11</v>
      </c>
      <c r="AA79" s="29" t="s">
        <v>11</v>
      </c>
      <c r="AB79" s="29" t="s">
        <v>11</v>
      </c>
      <c r="AC79" s="29" t="s">
        <v>11</v>
      </c>
      <c r="AD79" s="29" t="s">
        <v>11</v>
      </c>
      <c r="AE79" s="24">
        <f t="shared" si="3"/>
        <v>0</v>
      </c>
      <c r="AF79" s="24">
        <f t="shared" si="4"/>
        <v>0</v>
      </c>
      <c r="AG79" s="24">
        <f t="shared" si="5"/>
        <v>15</v>
      </c>
      <c r="AH79" s="41" t="str" cm="1">
        <f t="array" ref="AH79">_xlfn.IFS(
$AE79=15,"Not Started",
$AG79&lt;15,"In Progress",
$AG79=15,"Completed",
SUM(AE79:AG79)&gt;15,"Error"
)</f>
        <v>Completed</v>
      </c>
    </row>
    <row r="80" spans="1:34" ht="13" x14ac:dyDescent="0.25">
      <c r="A80" s="248"/>
      <c r="B80" s="78">
        <v>77</v>
      </c>
      <c r="C80" s="14" t="s">
        <v>529</v>
      </c>
      <c r="D80" s="53" t="s">
        <v>2739</v>
      </c>
      <c r="E80" s="57" t="s">
        <v>2937</v>
      </c>
      <c r="F80" s="7" t="s">
        <v>51</v>
      </c>
      <c r="G80" s="7" t="s">
        <v>48</v>
      </c>
      <c r="H80" s="7" t="s">
        <v>3256</v>
      </c>
      <c r="I80" s="7" t="s">
        <v>3256</v>
      </c>
      <c r="J80" s="7" t="s">
        <v>3132</v>
      </c>
      <c r="K80" s="7" t="s">
        <v>3333</v>
      </c>
      <c r="L80" s="7">
        <v>10053864953</v>
      </c>
      <c r="M80" s="7"/>
      <c r="N80" s="7"/>
      <c r="O80" s="29" t="s">
        <v>11</v>
      </c>
      <c r="P80" s="29" t="s">
        <v>11</v>
      </c>
      <c r="Q80" s="29" t="s">
        <v>11</v>
      </c>
      <c r="R80" s="29" t="s">
        <v>11</v>
      </c>
      <c r="S80" s="29" t="s">
        <v>11</v>
      </c>
      <c r="T80" s="29" t="s">
        <v>11</v>
      </c>
      <c r="U80" s="29" t="s">
        <v>11</v>
      </c>
      <c r="V80" s="29" t="s">
        <v>11</v>
      </c>
      <c r="W80" s="29" t="s">
        <v>11</v>
      </c>
      <c r="X80" s="29" t="s">
        <v>11</v>
      </c>
      <c r="Y80" s="29" t="s">
        <v>11</v>
      </c>
      <c r="Z80" s="29" t="s">
        <v>11</v>
      </c>
      <c r="AA80" s="29" t="s">
        <v>11</v>
      </c>
      <c r="AB80" s="29" t="s">
        <v>11</v>
      </c>
      <c r="AC80" s="29" t="s">
        <v>11</v>
      </c>
      <c r="AD80" s="29" t="s">
        <v>11</v>
      </c>
      <c r="AE80" s="24">
        <f t="shared" si="3"/>
        <v>0</v>
      </c>
      <c r="AF80" s="24">
        <f t="shared" si="4"/>
        <v>0</v>
      </c>
      <c r="AG80" s="24">
        <f t="shared" si="5"/>
        <v>15</v>
      </c>
      <c r="AH80" s="41" t="str" cm="1">
        <f t="array" ref="AH80">_xlfn.IFS(
$AE80=15,"Not Started",
$AG80&lt;15,"In Progress",
$AG80=15,"Completed",
SUM(AE80:AG80)&gt;15,"Error"
)</f>
        <v>Completed</v>
      </c>
    </row>
    <row r="81" spans="1:34" ht="13" x14ac:dyDescent="0.25">
      <c r="A81" s="248"/>
      <c r="B81" s="78">
        <v>78</v>
      </c>
      <c r="C81" s="7" t="s">
        <v>530</v>
      </c>
      <c r="D81" s="53" t="s">
        <v>2740</v>
      </c>
      <c r="E81" s="57" t="s">
        <v>2938</v>
      </c>
      <c r="F81" s="7" t="s">
        <v>43</v>
      </c>
      <c r="G81" s="7" t="s">
        <v>48</v>
      </c>
      <c r="H81" s="7" t="s">
        <v>3256</v>
      </c>
      <c r="I81" s="7" t="s">
        <v>3256</v>
      </c>
      <c r="J81" s="7" t="s">
        <v>3133</v>
      </c>
      <c r="K81" s="7" t="s">
        <v>3334</v>
      </c>
      <c r="L81" s="7">
        <v>10101108817</v>
      </c>
      <c r="M81" s="7"/>
      <c r="N81" s="7"/>
      <c r="O81" s="29" t="s">
        <v>11</v>
      </c>
      <c r="P81" s="29" t="s">
        <v>11</v>
      </c>
      <c r="Q81" s="29" t="s">
        <v>11</v>
      </c>
      <c r="R81" s="29" t="s">
        <v>11</v>
      </c>
      <c r="S81" s="29" t="s">
        <v>11</v>
      </c>
      <c r="T81" s="29" t="s">
        <v>11</v>
      </c>
      <c r="U81" s="29" t="s">
        <v>11</v>
      </c>
      <c r="V81" s="29" t="s">
        <v>11</v>
      </c>
      <c r="W81" s="29" t="s">
        <v>11</v>
      </c>
      <c r="X81" s="29" t="s">
        <v>11</v>
      </c>
      <c r="Y81" s="29" t="s">
        <v>11</v>
      </c>
      <c r="Z81" s="29" t="s">
        <v>11</v>
      </c>
      <c r="AA81" s="29" t="s">
        <v>11</v>
      </c>
      <c r="AB81" s="29" t="s">
        <v>11</v>
      </c>
      <c r="AC81" s="29" t="s">
        <v>11</v>
      </c>
      <c r="AD81" s="29" t="s">
        <v>11</v>
      </c>
      <c r="AE81" s="24">
        <f t="shared" si="3"/>
        <v>0</v>
      </c>
      <c r="AF81" s="24">
        <f t="shared" si="4"/>
        <v>0</v>
      </c>
      <c r="AG81" s="24">
        <f t="shared" si="5"/>
        <v>15</v>
      </c>
      <c r="AH81" s="41" t="str" cm="1">
        <f t="array" ref="AH81">_xlfn.IFS(
$AE81=15,"Not Started",
$AG81&lt;15,"In Progress",
$AG81=15,"Completed",
SUM(AE81:AG81)&gt;15,"Error"
)</f>
        <v>Completed</v>
      </c>
    </row>
    <row r="82" spans="1:34" ht="13" x14ac:dyDescent="0.25">
      <c r="A82" s="248"/>
      <c r="B82" s="78">
        <v>79</v>
      </c>
      <c r="C82" s="14" t="s">
        <v>531</v>
      </c>
      <c r="D82" s="53" t="s">
        <v>2741</v>
      </c>
      <c r="E82" s="57" t="s">
        <v>2939</v>
      </c>
      <c r="F82" s="7" t="s">
        <v>43</v>
      </c>
      <c r="G82" s="7" t="s">
        <v>44</v>
      </c>
      <c r="H82" s="7" t="s">
        <v>3256</v>
      </c>
      <c r="I82" s="7" t="s">
        <v>3256</v>
      </c>
      <c r="J82" s="7" t="s">
        <v>3134</v>
      </c>
      <c r="K82" s="7" t="s">
        <v>3335</v>
      </c>
      <c r="L82" s="7">
        <v>10053440593</v>
      </c>
      <c r="M82" s="7"/>
      <c r="N82" s="7"/>
      <c r="O82" s="29" t="s">
        <v>11</v>
      </c>
      <c r="P82" s="29" t="s">
        <v>11</v>
      </c>
      <c r="Q82" s="29" t="s">
        <v>11</v>
      </c>
      <c r="R82" s="29" t="s">
        <v>11</v>
      </c>
      <c r="S82" s="29" t="s">
        <v>11</v>
      </c>
      <c r="T82" s="29" t="s">
        <v>11</v>
      </c>
      <c r="U82" s="29" t="s">
        <v>11</v>
      </c>
      <c r="V82" s="29" t="s">
        <v>11</v>
      </c>
      <c r="W82" s="29" t="s">
        <v>11</v>
      </c>
      <c r="X82" s="29" t="s">
        <v>11</v>
      </c>
      <c r="Y82" s="29" t="s">
        <v>11</v>
      </c>
      <c r="Z82" s="29" t="s">
        <v>11</v>
      </c>
      <c r="AA82" s="29" t="s">
        <v>11</v>
      </c>
      <c r="AB82" s="29" t="s">
        <v>11</v>
      </c>
      <c r="AC82" s="29" t="s">
        <v>11</v>
      </c>
      <c r="AD82" s="29" t="s">
        <v>11</v>
      </c>
      <c r="AE82" s="24">
        <f t="shared" si="3"/>
        <v>0</v>
      </c>
      <c r="AF82" s="24">
        <f t="shared" si="4"/>
        <v>0</v>
      </c>
      <c r="AG82" s="24">
        <f t="shared" si="5"/>
        <v>15</v>
      </c>
      <c r="AH82" s="41" t="str" cm="1">
        <f t="array" ref="AH82">_xlfn.IFS(
$AE82=15,"Not Started",
$AG82&lt;15,"In Progress",
$AG82=15,"Completed",
SUM(AE82:AG82)&gt;15,"Error"
)</f>
        <v>Completed</v>
      </c>
    </row>
    <row r="83" spans="1:34" ht="13" x14ac:dyDescent="0.25">
      <c r="A83" s="248"/>
      <c r="B83" s="78">
        <v>80</v>
      </c>
      <c r="C83" s="7" t="s">
        <v>532</v>
      </c>
      <c r="D83" s="53" t="s">
        <v>2742</v>
      </c>
      <c r="E83" s="57" t="s">
        <v>2940</v>
      </c>
      <c r="F83" s="7" t="s">
        <v>51</v>
      </c>
      <c r="G83" s="7" t="s">
        <v>44</v>
      </c>
      <c r="H83" s="7" t="s">
        <v>3256</v>
      </c>
      <c r="I83" s="7" t="s">
        <v>3256</v>
      </c>
      <c r="J83" s="7" t="s">
        <v>3135</v>
      </c>
      <c r="K83" s="7" t="s">
        <v>3336</v>
      </c>
      <c r="L83" s="7">
        <v>10053440341</v>
      </c>
      <c r="M83" s="7"/>
      <c r="N83" s="7"/>
      <c r="O83" s="29" t="s">
        <v>11</v>
      </c>
      <c r="P83" s="29" t="s">
        <v>11</v>
      </c>
      <c r="Q83" s="29" t="s">
        <v>11</v>
      </c>
      <c r="R83" s="29" t="s">
        <v>11</v>
      </c>
      <c r="S83" s="29" t="s">
        <v>11</v>
      </c>
      <c r="T83" s="29" t="s">
        <v>11</v>
      </c>
      <c r="U83" s="29" t="s">
        <v>11</v>
      </c>
      <c r="V83" s="29" t="s">
        <v>11</v>
      </c>
      <c r="W83" s="29" t="s">
        <v>11</v>
      </c>
      <c r="X83" s="29" t="s">
        <v>11</v>
      </c>
      <c r="Y83" s="29" t="s">
        <v>11</v>
      </c>
      <c r="Z83" s="29" t="s">
        <v>11</v>
      </c>
      <c r="AA83" s="29" t="s">
        <v>11</v>
      </c>
      <c r="AB83" s="29" t="s">
        <v>11</v>
      </c>
      <c r="AC83" s="29" t="s">
        <v>11</v>
      </c>
      <c r="AD83" s="29" t="s">
        <v>11</v>
      </c>
      <c r="AE83" s="24">
        <f t="shared" si="3"/>
        <v>0</v>
      </c>
      <c r="AF83" s="24">
        <f t="shared" si="4"/>
        <v>0</v>
      </c>
      <c r="AG83" s="24">
        <f t="shared" si="5"/>
        <v>15</v>
      </c>
      <c r="AH83" s="41" t="str" cm="1">
        <f t="array" ref="AH83">_xlfn.IFS(
$AE83=15,"Not Started",
$AG83&lt;15,"In Progress",
$AG83=15,"Completed",
SUM(AE83:AG83)&gt;15,"Error"
)</f>
        <v>Completed</v>
      </c>
    </row>
    <row r="84" spans="1:34" ht="13" x14ac:dyDescent="0.25">
      <c r="A84" s="248"/>
      <c r="B84" s="78">
        <v>81</v>
      </c>
      <c r="C84" s="14" t="s">
        <v>533</v>
      </c>
      <c r="D84" s="53" t="s">
        <v>2743</v>
      </c>
      <c r="E84" s="57" t="s">
        <v>2941</v>
      </c>
      <c r="F84" s="7" t="s">
        <v>51</v>
      </c>
      <c r="G84" s="7" t="s">
        <v>44</v>
      </c>
      <c r="H84" s="7" t="s">
        <v>3256</v>
      </c>
      <c r="I84" s="7" t="s">
        <v>3256</v>
      </c>
      <c r="J84" s="7" t="s">
        <v>3136</v>
      </c>
      <c r="K84" s="7" t="s">
        <v>3337</v>
      </c>
      <c r="L84" s="7">
        <v>10101672038</v>
      </c>
      <c r="M84" s="7"/>
      <c r="N84" s="7"/>
      <c r="O84" s="29" t="s">
        <v>11</v>
      </c>
      <c r="P84" s="29" t="s">
        <v>11</v>
      </c>
      <c r="Q84" s="29" t="s">
        <v>11</v>
      </c>
      <c r="R84" s="29" t="s">
        <v>11</v>
      </c>
      <c r="S84" s="29" t="s">
        <v>11</v>
      </c>
      <c r="T84" s="29" t="s">
        <v>11</v>
      </c>
      <c r="U84" s="29" t="s">
        <v>11</v>
      </c>
      <c r="V84" s="29" t="s">
        <v>11</v>
      </c>
      <c r="W84" s="29" t="s">
        <v>11</v>
      </c>
      <c r="X84" s="29" t="s">
        <v>11</v>
      </c>
      <c r="Y84" s="29" t="s">
        <v>11</v>
      </c>
      <c r="Z84" s="29" t="s">
        <v>11</v>
      </c>
      <c r="AA84" s="29" t="s">
        <v>11</v>
      </c>
      <c r="AB84" s="29" t="s">
        <v>11</v>
      </c>
      <c r="AC84" s="29" t="s">
        <v>11</v>
      </c>
      <c r="AD84" s="29" t="s">
        <v>11</v>
      </c>
      <c r="AE84" s="24">
        <f t="shared" si="3"/>
        <v>0</v>
      </c>
      <c r="AF84" s="24">
        <f t="shared" si="4"/>
        <v>0</v>
      </c>
      <c r="AG84" s="24">
        <f t="shared" si="5"/>
        <v>15</v>
      </c>
      <c r="AH84" s="41" t="str" cm="1">
        <f t="array" ref="AH84">_xlfn.IFS(
$AE84=15,"Not Started",
$AG84&lt;15,"In Progress",
$AG84=15,"Completed",
SUM(AE84:AG84)&gt;15,"Error"
)</f>
        <v>Completed</v>
      </c>
    </row>
    <row r="85" spans="1:34" ht="13" x14ac:dyDescent="0.25">
      <c r="A85" s="248"/>
      <c r="B85" s="78">
        <v>82</v>
      </c>
      <c r="C85" s="7" t="s">
        <v>534</v>
      </c>
      <c r="D85" s="53" t="s">
        <v>2744</v>
      </c>
      <c r="E85" s="57" t="s">
        <v>2942</v>
      </c>
      <c r="F85" s="7" t="s">
        <v>47</v>
      </c>
      <c r="G85" s="7" t="s">
        <v>48</v>
      </c>
      <c r="H85" s="7" t="s">
        <v>3256</v>
      </c>
      <c r="I85" s="7" t="s">
        <v>3256</v>
      </c>
      <c r="J85" s="7" t="s">
        <v>3137</v>
      </c>
      <c r="K85" s="7" t="s">
        <v>3338</v>
      </c>
      <c r="L85" s="7">
        <v>10053823066</v>
      </c>
      <c r="M85" s="7"/>
      <c r="N85" s="7"/>
      <c r="O85" s="29" t="s">
        <v>11</v>
      </c>
      <c r="P85" s="29" t="s">
        <v>11</v>
      </c>
      <c r="Q85" s="29" t="s">
        <v>11</v>
      </c>
      <c r="R85" s="29" t="s">
        <v>11</v>
      </c>
      <c r="S85" s="29" t="s">
        <v>11</v>
      </c>
      <c r="T85" s="29" t="s">
        <v>11</v>
      </c>
      <c r="U85" s="29" t="s">
        <v>11</v>
      </c>
      <c r="V85" s="29" t="s">
        <v>11</v>
      </c>
      <c r="W85" s="29" t="s">
        <v>11</v>
      </c>
      <c r="X85" s="29" t="s">
        <v>11</v>
      </c>
      <c r="Y85" s="29" t="s">
        <v>11</v>
      </c>
      <c r="Z85" s="29" t="s">
        <v>11</v>
      </c>
      <c r="AA85" s="29" t="s">
        <v>11</v>
      </c>
      <c r="AB85" s="29" t="s">
        <v>11</v>
      </c>
      <c r="AC85" s="29" t="s">
        <v>11</v>
      </c>
      <c r="AD85" s="29" t="s">
        <v>11</v>
      </c>
      <c r="AE85" s="24">
        <f t="shared" si="3"/>
        <v>0</v>
      </c>
      <c r="AF85" s="24">
        <f t="shared" si="4"/>
        <v>0</v>
      </c>
      <c r="AG85" s="24">
        <f t="shared" si="5"/>
        <v>15</v>
      </c>
      <c r="AH85" s="41" t="str" cm="1">
        <f t="array" ref="AH85">_xlfn.IFS(
$AE85=15,"Not Started",
$AG85&lt;15,"In Progress",
$AG85=15,"Completed",
SUM(AE85:AG85)&gt;15,"Error"
)</f>
        <v>Completed</v>
      </c>
    </row>
    <row r="86" spans="1:34" ht="13" x14ac:dyDescent="0.25">
      <c r="A86" s="248"/>
      <c r="B86" s="78">
        <v>83</v>
      </c>
      <c r="C86" s="14" t="s">
        <v>535</v>
      </c>
      <c r="D86" s="53" t="s">
        <v>2745</v>
      </c>
      <c r="E86" s="57" t="s">
        <v>2943</v>
      </c>
      <c r="F86" s="7" t="s">
        <v>47</v>
      </c>
      <c r="G86" s="7" t="s">
        <v>48</v>
      </c>
      <c r="H86" s="7" t="s">
        <v>3256</v>
      </c>
      <c r="I86" s="7" t="s">
        <v>3256</v>
      </c>
      <c r="J86" s="7" t="s">
        <v>3138</v>
      </c>
      <c r="K86" s="7" t="s">
        <v>3339</v>
      </c>
      <c r="L86" s="7">
        <v>10090403616</v>
      </c>
      <c r="M86" s="7"/>
      <c r="N86" s="7"/>
      <c r="O86" s="29" t="s">
        <v>11</v>
      </c>
      <c r="P86" s="29" t="s">
        <v>11</v>
      </c>
      <c r="Q86" s="29" t="s">
        <v>11</v>
      </c>
      <c r="R86" s="29" t="s">
        <v>11</v>
      </c>
      <c r="S86" s="29" t="s">
        <v>11</v>
      </c>
      <c r="T86" s="29" t="s">
        <v>11</v>
      </c>
      <c r="U86" s="29" t="s">
        <v>11</v>
      </c>
      <c r="V86" s="29" t="s">
        <v>11</v>
      </c>
      <c r="W86" s="29" t="s">
        <v>11</v>
      </c>
      <c r="X86" s="29" t="s">
        <v>11</v>
      </c>
      <c r="Y86" s="29" t="s">
        <v>11</v>
      </c>
      <c r="Z86" s="29" t="s">
        <v>11</v>
      </c>
      <c r="AA86" s="29" t="s">
        <v>11</v>
      </c>
      <c r="AB86" s="29" t="s">
        <v>11</v>
      </c>
      <c r="AC86" s="29" t="s">
        <v>11</v>
      </c>
      <c r="AD86" s="29" t="s">
        <v>11</v>
      </c>
      <c r="AE86" s="24">
        <f t="shared" si="3"/>
        <v>0</v>
      </c>
      <c r="AF86" s="24">
        <f t="shared" si="4"/>
        <v>0</v>
      </c>
      <c r="AG86" s="24">
        <f t="shared" si="5"/>
        <v>15</v>
      </c>
      <c r="AH86" s="41" t="str" cm="1">
        <f t="array" ref="AH86">_xlfn.IFS(
$AE86=15,"Not Started",
$AG86&lt;15,"In Progress",
$AG86=15,"Completed",
SUM(AE86:AG86)&gt;15,"Error"
)</f>
        <v>Completed</v>
      </c>
    </row>
    <row r="87" spans="1:34" ht="13" x14ac:dyDescent="0.25">
      <c r="A87" s="248"/>
      <c r="B87" s="78">
        <v>84</v>
      </c>
      <c r="C87" s="7" t="s">
        <v>536</v>
      </c>
      <c r="D87" s="53" t="s">
        <v>2746</v>
      </c>
      <c r="E87" s="57" t="s">
        <v>2944</v>
      </c>
      <c r="F87" s="7" t="s">
        <v>43</v>
      </c>
      <c r="G87" s="7" t="s">
        <v>44</v>
      </c>
      <c r="H87" s="7" t="s">
        <v>3256</v>
      </c>
      <c r="I87" s="7" t="s">
        <v>3256</v>
      </c>
      <c r="J87" s="7" t="s">
        <v>3139</v>
      </c>
      <c r="K87" s="7" t="s">
        <v>3340</v>
      </c>
      <c r="L87" s="7">
        <v>10053785887</v>
      </c>
      <c r="M87" s="7"/>
      <c r="N87" s="7"/>
      <c r="O87" s="29" t="s">
        <v>11</v>
      </c>
      <c r="P87" s="29" t="s">
        <v>11</v>
      </c>
      <c r="Q87" s="29" t="s">
        <v>11</v>
      </c>
      <c r="R87" s="29" t="s">
        <v>11</v>
      </c>
      <c r="S87" s="29" t="s">
        <v>11</v>
      </c>
      <c r="T87" s="29" t="s">
        <v>11</v>
      </c>
      <c r="U87" s="29" t="s">
        <v>11</v>
      </c>
      <c r="V87" s="29" t="s">
        <v>11</v>
      </c>
      <c r="W87" s="29" t="s">
        <v>11</v>
      </c>
      <c r="X87" s="29" t="s">
        <v>11</v>
      </c>
      <c r="Y87" s="29" t="s">
        <v>11</v>
      </c>
      <c r="Z87" s="29" t="s">
        <v>11</v>
      </c>
      <c r="AA87" s="29" t="s">
        <v>11</v>
      </c>
      <c r="AB87" s="29" t="s">
        <v>11</v>
      </c>
      <c r="AC87" s="29" t="s">
        <v>11</v>
      </c>
      <c r="AD87" s="29" t="s">
        <v>11</v>
      </c>
      <c r="AE87" s="24">
        <f t="shared" si="3"/>
        <v>0</v>
      </c>
      <c r="AF87" s="24">
        <f t="shared" si="4"/>
        <v>0</v>
      </c>
      <c r="AG87" s="24">
        <f t="shared" si="5"/>
        <v>15</v>
      </c>
      <c r="AH87" s="41" t="str" cm="1">
        <f t="array" ref="AH87">_xlfn.IFS(
$AE87=15,"Not Started",
$AG87&lt;15,"In Progress",
$AG87=15,"Completed",
SUM(AE87:AG87)&gt;15,"Error"
)</f>
        <v>Completed</v>
      </c>
    </row>
    <row r="88" spans="1:34" ht="13" x14ac:dyDescent="0.25">
      <c r="A88" s="248"/>
      <c r="B88" s="78">
        <v>85</v>
      </c>
      <c r="C88" s="14" t="s">
        <v>537</v>
      </c>
      <c r="D88" s="53" t="s">
        <v>2747</v>
      </c>
      <c r="E88" s="57" t="s">
        <v>2945</v>
      </c>
      <c r="F88" s="7" t="s">
        <v>43</v>
      </c>
      <c r="G88" s="7" t="s">
        <v>48</v>
      </c>
      <c r="H88" s="7" t="s">
        <v>3256</v>
      </c>
      <c r="I88" s="7" t="s">
        <v>3256</v>
      </c>
      <c r="J88" s="7" t="s">
        <v>3140</v>
      </c>
      <c r="K88" s="7" t="s">
        <v>3341</v>
      </c>
      <c r="L88" s="7">
        <v>10053371342</v>
      </c>
      <c r="M88" s="7"/>
      <c r="N88" s="7"/>
      <c r="O88" s="29" t="s">
        <v>11</v>
      </c>
      <c r="P88" s="29" t="s">
        <v>11</v>
      </c>
      <c r="Q88" s="29" t="s">
        <v>11</v>
      </c>
      <c r="R88" s="29" t="s">
        <v>11</v>
      </c>
      <c r="S88" s="29" t="s">
        <v>11</v>
      </c>
      <c r="T88" s="29" t="s">
        <v>11</v>
      </c>
      <c r="U88" s="29" t="s">
        <v>11</v>
      </c>
      <c r="V88" s="29" t="s">
        <v>11</v>
      </c>
      <c r="W88" s="29" t="s">
        <v>11</v>
      </c>
      <c r="X88" s="29" t="s">
        <v>11</v>
      </c>
      <c r="Y88" s="29" t="s">
        <v>11</v>
      </c>
      <c r="Z88" s="29" t="s">
        <v>11</v>
      </c>
      <c r="AA88" s="29" t="s">
        <v>11</v>
      </c>
      <c r="AB88" s="29" t="s">
        <v>11</v>
      </c>
      <c r="AC88" s="29" t="s">
        <v>11</v>
      </c>
      <c r="AD88" s="29" t="s">
        <v>11</v>
      </c>
      <c r="AE88" s="24">
        <f t="shared" si="3"/>
        <v>0</v>
      </c>
      <c r="AF88" s="24">
        <f t="shared" si="4"/>
        <v>0</v>
      </c>
      <c r="AG88" s="24">
        <f t="shared" si="5"/>
        <v>15</v>
      </c>
      <c r="AH88" s="41" t="str" cm="1">
        <f t="array" ref="AH88">_xlfn.IFS(
$AE88=15,"Not Started",
$AG88&lt;15,"In Progress",
$AG88=15,"Completed",
SUM(AE88:AG88)&gt;15,"Error"
)</f>
        <v>Completed</v>
      </c>
    </row>
    <row r="89" spans="1:34" ht="13" x14ac:dyDescent="0.25">
      <c r="A89" s="248"/>
      <c r="B89" s="78">
        <v>86</v>
      </c>
      <c r="C89" s="7" t="s">
        <v>538</v>
      </c>
      <c r="D89" s="53" t="s">
        <v>2748</v>
      </c>
      <c r="E89" s="57" t="s">
        <v>2946</v>
      </c>
      <c r="F89" s="7" t="s">
        <v>43</v>
      </c>
      <c r="G89" s="7" t="s">
        <v>44</v>
      </c>
      <c r="H89" s="7" t="s">
        <v>3256</v>
      </c>
      <c r="I89" s="7" t="s">
        <v>3256</v>
      </c>
      <c r="J89" s="7" t="s">
        <v>3141</v>
      </c>
      <c r="K89" s="7" t="s">
        <v>3342</v>
      </c>
      <c r="L89" s="7">
        <v>10085634292</v>
      </c>
      <c r="M89" s="7"/>
      <c r="N89" s="7"/>
      <c r="O89" s="29" t="s">
        <v>11</v>
      </c>
      <c r="P89" s="29" t="s">
        <v>11</v>
      </c>
      <c r="Q89" s="29" t="s">
        <v>11</v>
      </c>
      <c r="R89" s="29" t="s">
        <v>11</v>
      </c>
      <c r="S89" s="29" t="s">
        <v>11</v>
      </c>
      <c r="T89" s="29" t="s">
        <v>11</v>
      </c>
      <c r="U89" s="29" t="s">
        <v>11</v>
      </c>
      <c r="V89" s="29" t="s">
        <v>11</v>
      </c>
      <c r="W89" s="29" t="s">
        <v>11</v>
      </c>
      <c r="X89" s="29" t="s">
        <v>11</v>
      </c>
      <c r="Y89" s="29" t="s">
        <v>11</v>
      </c>
      <c r="Z89" s="29" t="s">
        <v>11</v>
      </c>
      <c r="AA89" s="29" t="s">
        <v>11</v>
      </c>
      <c r="AB89" s="29" t="s">
        <v>11</v>
      </c>
      <c r="AC89" s="29" t="s">
        <v>11</v>
      </c>
      <c r="AD89" s="29" t="s">
        <v>11</v>
      </c>
      <c r="AE89" s="24">
        <f t="shared" si="3"/>
        <v>0</v>
      </c>
      <c r="AF89" s="24">
        <f t="shared" si="4"/>
        <v>0</v>
      </c>
      <c r="AG89" s="24">
        <f t="shared" si="5"/>
        <v>15</v>
      </c>
      <c r="AH89" s="41" t="str" cm="1">
        <f t="array" ref="AH89">_xlfn.IFS(
$AE89=15,"Not Started",
$AG89&lt;15,"In Progress",
$AG89=15,"Completed",
SUM(AE89:AG89)&gt;15,"Error"
)</f>
        <v>Completed</v>
      </c>
    </row>
    <row r="90" spans="1:34" ht="13" x14ac:dyDescent="0.25">
      <c r="A90" s="248"/>
      <c r="B90" s="78">
        <v>87</v>
      </c>
      <c r="C90" s="14" t="s">
        <v>539</v>
      </c>
      <c r="D90" s="53" t="s">
        <v>2749</v>
      </c>
      <c r="E90" s="57" t="s">
        <v>2947</v>
      </c>
      <c r="F90" s="7" t="s">
        <v>47</v>
      </c>
      <c r="G90" s="7" t="s">
        <v>44</v>
      </c>
      <c r="H90" s="7" t="s">
        <v>3256</v>
      </c>
      <c r="I90" s="7" t="s">
        <v>3256</v>
      </c>
      <c r="J90" s="7" t="s">
        <v>3142</v>
      </c>
      <c r="K90" s="7" t="s">
        <v>3343</v>
      </c>
      <c r="L90" s="7">
        <v>10053681775</v>
      </c>
      <c r="M90" s="7"/>
      <c r="N90" s="7"/>
      <c r="O90" s="29" t="s">
        <v>11</v>
      </c>
      <c r="P90" s="29" t="s">
        <v>11</v>
      </c>
      <c r="Q90" s="29" t="s">
        <v>11</v>
      </c>
      <c r="R90" s="29" t="s">
        <v>11</v>
      </c>
      <c r="S90" s="29" t="s">
        <v>11</v>
      </c>
      <c r="T90" s="29" t="s">
        <v>11</v>
      </c>
      <c r="U90" s="29" t="s">
        <v>11</v>
      </c>
      <c r="V90" s="29" t="s">
        <v>11</v>
      </c>
      <c r="W90" s="29" t="s">
        <v>11</v>
      </c>
      <c r="X90" s="29" t="s">
        <v>11</v>
      </c>
      <c r="Y90" s="29" t="s">
        <v>9</v>
      </c>
      <c r="Z90" s="29" t="s">
        <v>11</v>
      </c>
      <c r="AA90" s="29" t="s">
        <v>9</v>
      </c>
      <c r="AB90" s="29" t="s">
        <v>11</v>
      </c>
      <c r="AC90" s="29" t="s">
        <v>11</v>
      </c>
      <c r="AD90" s="29" t="s">
        <v>11</v>
      </c>
      <c r="AE90" s="24">
        <f t="shared" si="3"/>
        <v>2</v>
      </c>
      <c r="AF90" s="24">
        <f t="shared" si="4"/>
        <v>0</v>
      </c>
      <c r="AG90" s="24">
        <f t="shared" si="5"/>
        <v>13</v>
      </c>
      <c r="AH90" s="41" t="str" cm="1">
        <f t="array" ref="AH90">_xlfn.IFS(
$AE90=15,"Not Started",
$AG90&lt;15,"In Progress",
$AG90=15,"Completed",
SUM(AE90:AG90)&gt;15,"Error"
)</f>
        <v>In Progress</v>
      </c>
    </row>
    <row r="91" spans="1:34" ht="13" x14ac:dyDescent="0.25">
      <c r="A91" s="248"/>
      <c r="B91" s="78">
        <v>88</v>
      </c>
      <c r="C91" s="7" t="s">
        <v>540</v>
      </c>
      <c r="D91" s="53" t="s">
        <v>2750</v>
      </c>
      <c r="E91" s="57" t="s">
        <v>2948</v>
      </c>
      <c r="F91" s="7" t="s">
        <v>47</v>
      </c>
      <c r="G91" s="7" t="s">
        <v>44</v>
      </c>
      <c r="H91" s="7" t="s">
        <v>3256</v>
      </c>
      <c r="I91" s="7" t="s">
        <v>3256</v>
      </c>
      <c r="J91" s="7" t="s">
        <v>3143</v>
      </c>
      <c r="K91" s="7" t="s">
        <v>3344</v>
      </c>
      <c r="L91" s="7">
        <v>10053371932</v>
      </c>
      <c r="M91" s="7"/>
      <c r="N91" s="7"/>
      <c r="O91" s="29" t="s">
        <v>11</v>
      </c>
      <c r="P91" s="29" t="s">
        <v>11</v>
      </c>
      <c r="Q91" s="29" t="s">
        <v>11</v>
      </c>
      <c r="R91" s="29" t="s">
        <v>11</v>
      </c>
      <c r="S91" s="29" t="s">
        <v>11</v>
      </c>
      <c r="T91" s="29" t="s">
        <v>11</v>
      </c>
      <c r="U91" s="29" t="s">
        <v>11</v>
      </c>
      <c r="V91" s="29" t="s">
        <v>11</v>
      </c>
      <c r="W91" s="29" t="s">
        <v>11</v>
      </c>
      <c r="X91" s="29" t="s">
        <v>11</v>
      </c>
      <c r="Y91" s="29" t="s">
        <v>11</v>
      </c>
      <c r="Z91" s="29" t="s">
        <v>11</v>
      </c>
      <c r="AA91" s="29" t="s">
        <v>11</v>
      </c>
      <c r="AB91" s="29" t="s">
        <v>11</v>
      </c>
      <c r="AC91" s="29" t="s">
        <v>11</v>
      </c>
      <c r="AD91" s="29" t="s">
        <v>11</v>
      </c>
      <c r="AE91" s="24">
        <f t="shared" si="3"/>
        <v>0</v>
      </c>
      <c r="AF91" s="24">
        <f t="shared" si="4"/>
        <v>0</v>
      </c>
      <c r="AG91" s="24">
        <f t="shared" si="5"/>
        <v>15</v>
      </c>
      <c r="AH91" s="41" t="str" cm="1">
        <f t="array" ref="AH91">_xlfn.IFS(
$AE91=15,"Not Started",
$AG91&lt;15,"In Progress",
$AG91=15,"Completed",
SUM(AE91:AG91)&gt;15,"Error"
)</f>
        <v>Completed</v>
      </c>
    </row>
    <row r="92" spans="1:34" ht="13" x14ac:dyDescent="0.25">
      <c r="A92" s="248"/>
      <c r="B92" s="78">
        <v>89</v>
      </c>
      <c r="C92" s="14" t="s">
        <v>541</v>
      </c>
      <c r="D92" s="53" t="s">
        <v>2751</v>
      </c>
      <c r="E92" s="57" t="s">
        <v>2949</v>
      </c>
      <c r="F92" s="7" t="s">
        <v>43</v>
      </c>
      <c r="G92" s="7" t="s">
        <v>48</v>
      </c>
      <c r="H92" s="7" t="s">
        <v>3256</v>
      </c>
      <c r="I92" s="7" t="s">
        <v>3256</v>
      </c>
      <c r="J92" s="7" t="s">
        <v>3144</v>
      </c>
      <c r="K92" s="7" t="s">
        <v>3345</v>
      </c>
      <c r="L92" s="7">
        <v>10053441231</v>
      </c>
      <c r="M92" s="7"/>
      <c r="N92" s="7"/>
      <c r="O92" s="29" t="s">
        <v>11</v>
      </c>
      <c r="P92" s="29" t="s">
        <v>11</v>
      </c>
      <c r="Q92" s="29" t="s">
        <v>11</v>
      </c>
      <c r="R92" s="29" t="s">
        <v>11</v>
      </c>
      <c r="S92" s="29" t="s">
        <v>11</v>
      </c>
      <c r="T92" s="29" t="s">
        <v>11</v>
      </c>
      <c r="U92" s="29" t="s">
        <v>11</v>
      </c>
      <c r="V92" s="29" t="s">
        <v>11</v>
      </c>
      <c r="W92" s="29" t="s">
        <v>11</v>
      </c>
      <c r="X92" s="29" t="s">
        <v>11</v>
      </c>
      <c r="Y92" s="29" t="s">
        <v>11</v>
      </c>
      <c r="Z92" s="29" t="s">
        <v>11</v>
      </c>
      <c r="AA92" s="29" t="s">
        <v>11</v>
      </c>
      <c r="AB92" s="29" t="s">
        <v>11</v>
      </c>
      <c r="AC92" s="29" t="s">
        <v>11</v>
      </c>
      <c r="AD92" s="29" t="s">
        <v>11</v>
      </c>
      <c r="AE92" s="24">
        <f t="shared" si="3"/>
        <v>0</v>
      </c>
      <c r="AF92" s="24">
        <f t="shared" si="4"/>
        <v>0</v>
      </c>
      <c r="AG92" s="24">
        <f t="shared" si="5"/>
        <v>15</v>
      </c>
      <c r="AH92" s="41" t="str" cm="1">
        <f t="array" ref="AH92">_xlfn.IFS(
$AE92=15,"Not Started",
$AG92&lt;15,"In Progress",
$AG92=15,"Completed",
SUM(AE92:AG92)&gt;15,"Error"
)</f>
        <v>Completed</v>
      </c>
    </row>
    <row r="93" spans="1:34" ht="13" x14ac:dyDescent="0.25">
      <c r="A93" s="248"/>
      <c r="B93" s="78">
        <v>90</v>
      </c>
      <c r="C93" s="7" t="s">
        <v>542</v>
      </c>
      <c r="D93" s="53" t="s">
        <v>2752</v>
      </c>
      <c r="E93" s="57" t="s">
        <v>2950</v>
      </c>
      <c r="F93" s="7" t="s">
        <v>43</v>
      </c>
      <c r="G93" s="7" t="s">
        <v>44</v>
      </c>
      <c r="H93" s="7" t="s">
        <v>3256</v>
      </c>
      <c r="I93" s="7" t="s">
        <v>3256</v>
      </c>
      <c r="J93" s="7" t="s">
        <v>3145</v>
      </c>
      <c r="K93" s="7" t="s">
        <v>3346</v>
      </c>
      <c r="L93" s="7">
        <v>10053863974</v>
      </c>
      <c r="M93" s="7"/>
      <c r="N93" s="7"/>
      <c r="O93" s="29" t="s">
        <v>11</v>
      </c>
      <c r="P93" s="29" t="s">
        <v>11</v>
      </c>
      <c r="Q93" s="29" t="s">
        <v>11</v>
      </c>
      <c r="R93" s="29" t="s">
        <v>11</v>
      </c>
      <c r="S93" s="29" t="s">
        <v>11</v>
      </c>
      <c r="T93" s="29" t="s">
        <v>11</v>
      </c>
      <c r="U93" s="29" t="s">
        <v>11</v>
      </c>
      <c r="V93" s="29" t="s">
        <v>11</v>
      </c>
      <c r="W93" s="29" t="s">
        <v>11</v>
      </c>
      <c r="X93" s="29" t="s">
        <v>11</v>
      </c>
      <c r="Y93" s="29" t="s">
        <v>11</v>
      </c>
      <c r="Z93" s="29" t="s">
        <v>11</v>
      </c>
      <c r="AA93" s="29" t="s">
        <v>11</v>
      </c>
      <c r="AB93" s="29" t="s">
        <v>11</v>
      </c>
      <c r="AC93" s="29" t="s">
        <v>11</v>
      </c>
      <c r="AD93" s="29" t="s">
        <v>11</v>
      </c>
      <c r="AE93" s="24">
        <f t="shared" si="3"/>
        <v>0</v>
      </c>
      <c r="AF93" s="24">
        <f t="shared" si="4"/>
        <v>0</v>
      </c>
      <c r="AG93" s="24">
        <f t="shared" si="5"/>
        <v>15</v>
      </c>
      <c r="AH93" s="41" t="str" cm="1">
        <f t="array" ref="AH93">_xlfn.IFS(
$AE93=15,"Not Started",
$AG93&lt;15,"In Progress",
$AG93=15,"Completed",
SUM(AE93:AG93)&gt;15,"Error"
)</f>
        <v>Completed</v>
      </c>
    </row>
    <row r="94" spans="1:34" ht="13" x14ac:dyDescent="0.25">
      <c r="A94" s="248"/>
      <c r="B94" s="78">
        <v>91</v>
      </c>
      <c r="C94" s="14" t="s">
        <v>543</v>
      </c>
      <c r="D94" s="53" t="s">
        <v>2753</v>
      </c>
      <c r="E94" s="57" t="s">
        <v>2951</v>
      </c>
      <c r="F94" s="7" t="s">
        <v>47</v>
      </c>
      <c r="G94" s="7" t="s">
        <v>48</v>
      </c>
      <c r="H94" s="7" t="s">
        <v>3256</v>
      </c>
      <c r="I94" s="7" t="s">
        <v>3256</v>
      </c>
      <c r="J94" s="7" t="s">
        <v>3146</v>
      </c>
      <c r="K94" s="7" t="s">
        <v>3347</v>
      </c>
      <c r="L94" s="7">
        <v>10100670253</v>
      </c>
      <c r="M94" s="7"/>
      <c r="N94" s="7"/>
      <c r="O94" s="29" t="s">
        <v>11</v>
      </c>
      <c r="P94" s="29" t="s">
        <v>11</v>
      </c>
      <c r="Q94" s="29" t="s">
        <v>11</v>
      </c>
      <c r="R94" s="29" t="s">
        <v>11</v>
      </c>
      <c r="S94" s="29" t="s">
        <v>11</v>
      </c>
      <c r="T94" s="29" t="s">
        <v>11</v>
      </c>
      <c r="U94" s="29" t="s">
        <v>11</v>
      </c>
      <c r="V94" s="29" t="s">
        <v>11</v>
      </c>
      <c r="W94" s="29" t="s">
        <v>11</v>
      </c>
      <c r="X94" s="29" t="s">
        <v>11</v>
      </c>
      <c r="Y94" s="29" t="s">
        <v>11</v>
      </c>
      <c r="Z94" s="29" t="s">
        <v>11</v>
      </c>
      <c r="AA94" s="29" t="s">
        <v>11</v>
      </c>
      <c r="AB94" s="29" t="s">
        <v>11</v>
      </c>
      <c r="AC94" s="29" t="s">
        <v>11</v>
      </c>
      <c r="AD94" s="29" t="s">
        <v>11</v>
      </c>
      <c r="AE94" s="24">
        <f t="shared" si="3"/>
        <v>0</v>
      </c>
      <c r="AF94" s="24">
        <f t="shared" si="4"/>
        <v>0</v>
      </c>
      <c r="AG94" s="24">
        <f t="shared" si="5"/>
        <v>15</v>
      </c>
      <c r="AH94" s="41" t="str" cm="1">
        <f t="array" ref="AH94">_xlfn.IFS(
$AE94=15,"Not Started",
$AG94&lt;15,"In Progress",
$AG94=15,"Completed",
SUM(AE94:AG94)&gt;15,"Error"
)</f>
        <v>Completed</v>
      </c>
    </row>
    <row r="95" spans="1:34" ht="13" x14ac:dyDescent="0.25">
      <c r="A95" s="248"/>
      <c r="B95" s="78">
        <v>92</v>
      </c>
      <c r="C95" s="7" t="s">
        <v>544</v>
      </c>
      <c r="D95" s="53" t="s">
        <v>2754</v>
      </c>
      <c r="E95" s="57" t="s">
        <v>2952</v>
      </c>
      <c r="F95" s="7" t="s">
        <v>47</v>
      </c>
      <c r="G95" s="7" t="s">
        <v>48</v>
      </c>
      <c r="H95" s="7" t="s">
        <v>3256</v>
      </c>
      <c r="I95" s="7" t="s">
        <v>3256</v>
      </c>
      <c r="J95" s="7" t="s">
        <v>3147</v>
      </c>
      <c r="K95" s="7" t="s">
        <v>3348</v>
      </c>
      <c r="L95" s="7">
        <v>10053251845</v>
      </c>
      <c r="M95" s="7"/>
      <c r="N95" s="7"/>
      <c r="O95" s="29" t="s">
        <v>11</v>
      </c>
      <c r="P95" s="29" t="s">
        <v>11</v>
      </c>
      <c r="Q95" s="29" t="s">
        <v>11</v>
      </c>
      <c r="R95" s="29" t="s">
        <v>11</v>
      </c>
      <c r="S95" s="29" t="s">
        <v>11</v>
      </c>
      <c r="T95" s="29" t="s">
        <v>11</v>
      </c>
      <c r="U95" s="29" t="s">
        <v>11</v>
      </c>
      <c r="V95" s="29" t="s">
        <v>11</v>
      </c>
      <c r="W95" s="29" t="s">
        <v>11</v>
      </c>
      <c r="X95" s="29" t="s">
        <v>11</v>
      </c>
      <c r="Y95" s="29" t="s">
        <v>11</v>
      </c>
      <c r="Z95" s="29" t="s">
        <v>11</v>
      </c>
      <c r="AA95" s="29" t="s">
        <v>11</v>
      </c>
      <c r="AB95" s="29" t="s">
        <v>11</v>
      </c>
      <c r="AC95" s="29" t="s">
        <v>11</v>
      </c>
      <c r="AD95" s="29" t="s">
        <v>11</v>
      </c>
      <c r="AE95" s="24">
        <f t="shared" si="3"/>
        <v>0</v>
      </c>
      <c r="AF95" s="24">
        <f t="shared" si="4"/>
        <v>0</v>
      </c>
      <c r="AG95" s="24">
        <f t="shared" si="5"/>
        <v>15</v>
      </c>
      <c r="AH95" s="41" t="str" cm="1">
        <f t="array" ref="AH95">_xlfn.IFS(
$AE95=15,"Not Started",
$AG95&lt;15,"In Progress",
$AG95=15,"Completed",
SUM(AE95:AG95)&gt;15,"Error"
)</f>
        <v>Completed</v>
      </c>
    </row>
    <row r="96" spans="1:34" ht="13" x14ac:dyDescent="0.25">
      <c r="A96" s="248"/>
      <c r="B96" s="78">
        <v>93</v>
      </c>
      <c r="C96" s="14" t="s">
        <v>545</v>
      </c>
      <c r="D96" s="53" t="s">
        <v>2755</v>
      </c>
      <c r="E96" s="57" t="s">
        <v>2953</v>
      </c>
      <c r="F96" s="7" t="s">
        <v>43</v>
      </c>
      <c r="G96" s="7" t="s">
        <v>48</v>
      </c>
      <c r="H96" s="7" t="s">
        <v>3256</v>
      </c>
      <c r="I96" s="7" t="s">
        <v>3256</v>
      </c>
      <c r="J96" s="7" t="s">
        <v>3148</v>
      </c>
      <c r="K96" s="7" t="s">
        <v>3349</v>
      </c>
      <c r="L96" s="7">
        <v>10102172026</v>
      </c>
      <c r="M96" s="7"/>
      <c r="N96" s="7"/>
      <c r="O96" s="29" t="s">
        <v>11</v>
      </c>
      <c r="P96" s="29" t="s">
        <v>11</v>
      </c>
      <c r="Q96" s="29" t="s">
        <v>11</v>
      </c>
      <c r="R96" s="29" t="s">
        <v>11</v>
      </c>
      <c r="S96" s="29" t="s">
        <v>11</v>
      </c>
      <c r="T96" s="29" t="s">
        <v>11</v>
      </c>
      <c r="U96" s="29" t="s">
        <v>11</v>
      </c>
      <c r="V96" s="29" t="s">
        <v>11</v>
      </c>
      <c r="W96" s="29" t="s">
        <v>11</v>
      </c>
      <c r="X96" s="29" t="s">
        <v>11</v>
      </c>
      <c r="Y96" s="29" t="s">
        <v>11</v>
      </c>
      <c r="Z96" s="29" t="s">
        <v>11</v>
      </c>
      <c r="AA96" s="29" t="s">
        <v>11</v>
      </c>
      <c r="AB96" s="29" t="s">
        <v>11</v>
      </c>
      <c r="AC96" s="29" t="s">
        <v>11</v>
      </c>
      <c r="AD96" s="29" t="s">
        <v>11</v>
      </c>
      <c r="AE96" s="24">
        <f t="shared" si="3"/>
        <v>0</v>
      </c>
      <c r="AF96" s="24">
        <f t="shared" si="4"/>
        <v>0</v>
      </c>
      <c r="AG96" s="24">
        <f t="shared" si="5"/>
        <v>15</v>
      </c>
      <c r="AH96" s="41" t="str" cm="1">
        <f t="array" ref="AH96">_xlfn.IFS(
$AE96=15,"Not Started",
$AG96&lt;15,"In Progress",
$AG96=15,"Completed",
SUM(AE96:AG96)&gt;15,"Error"
)</f>
        <v>Completed</v>
      </c>
    </row>
    <row r="97" spans="1:34" ht="13" x14ac:dyDescent="0.25">
      <c r="A97" s="248"/>
      <c r="B97" s="78">
        <v>94</v>
      </c>
      <c r="C97" s="7" t="s">
        <v>546</v>
      </c>
      <c r="D97" s="53" t="s">
        <v>2756</v>
      </c>
      <c r="E97" s="57" t="s">
        <v>2954</v>
      </c>
      <c r="F97" s="7" t="s">
        <v>9670</v>
      </c>
      <c r="G97" s="7" t="s">
        <v>48</v>
      </c>
      <c r="H97" s="7" t="s">
        <v>3256</v>
      </c>
      <c r="I97" s="7" t="s">
        <v>3256</v>
      </c>
      <c r="J97" s="7" t="s">
        <v>3149</v>
      </c>
      <c r="K97" s="7" t="s">
        <v>3350</v>
      </c>
      <c r="L97" s="7">
        <v>10053676265</v>
      </c>
      <c r="M97" s="7"/>
      <c r="N97" s="7"/>
      <c r="O97" s="29" t="s">
        <v>11</v>
      </c>
      <c r="P97" s="29" t="s">
        <v>11</v>
      </c>
      <c r="Q97" s="29" t="s">
        <v>11</v>
      </c>
      <c r="R97" s="29" t="s">
        <v>11</v>
      </c>
      <c r="S97" s="29" t="s">
        <v>11</v>
      </c>
      <c r="T97" s="29" t="s">
        <v>11</v>
      </c>
      <c r="U97" s="29" t="s">
        <v>11</v>
      </c>
      <c r="V97" s="29" t="s">
        <v>11</v>
      </c>
      <c r="W97" s="29" t="s">
        <v>11</v>
      </c>
      <c r="X97" s="29" t="s">
        <v>11</v>
      </c>
      <c r="Y97" s="29" t="s">
        <v>11</v>
      </c>
      <c r="Z97" s="29" t="s">
        <v>11</v>
      </c>
      <c r="AA97" s="29" t="s">
        <v>11</v>
      </c>
      <c r="AB97" s="29" t="s">
        <v>11</v>
      </c>
      <c r="AC97" s="29" t="s">
        <v>11</v>
      </c>
      <c r="AD97" s="29" t="s">
        <v>11</v>
      </c>
      <c r="AE97" s="24">
        <f t="shared" si="3"/>
        <v>0</v>
      </c>
      <c r="AF97" s="24">
        <f t="shared" si="4"/>
        <v>0</v>
      </c>
      <c r="AG97" s="24">
        <f t="shared" si="5"/>
        <v>15</v>
      </c>
      <c r="AH97" s="41" t="str" cm="1">
        <f t="array" ref="AH97">_xlfn.IFS(
$AE97=15,"Not Started",
$AG97&lt;15,"In Progress",
$AG97=15,"Completed",
SUM(AE97:AG97)&gt;15,"Error"
)</f>
        <v>Completed</v>
      </c>
    </row>
    <row r="98" spans="1:34" ht="13" x14ac:dyDescent="0.25">
      <c r="A98" s="248"/>
      <c r="B98" s="78">
        <v>95</v>
      </c>
      <c r="C98" s="14" t="s">
        <v>547</v>
      </c>
      <c r="D98" s="53" t="s">
        <v>2757</v>
      </c>
      <c r="E98" s="57" t="s">
        <v>2955</v>
      </c>
      <c r="F98" s="7" t="s">
        <v>9670</v>
      </c>
      <c r="G98" s="7" t="s">
        <v>48</v>
      </c>
      <c r="H98" s="7" t="s">
        <v>3256</v>
      </c>
      <c r="I98" s="7" t="s">
        <v>3256</v>
      </c>
      <c r="J98" s="7" t="s">
        <v>3150</v>
      </c>
      <c r="K98" s="7" t="s">
        <v>3351</v>
      </c>
      <c r="L98" s="7">
        <v>10052041941</v>
      </c>
      <c r="M98" s="7"/>
      <c r="N98" s="7"/>
      <c r="O98" s="29" t="s">
        <v>11</v>
      </c>
      <c r="P98" s="29" t="s">
        <v>11</v>
      </c>
      <c r="Q98" s="29" t="s">
        <v>11</v>
      </c>
      <c r="R98" s="29" t="s">
        <v>11</v>
      </c>
      <c r="S98" s="29" t="s">
        <v>11</v>
      </c>
      <c r="T98" s="29" t="s">
        <v>11</v>
      </c>
      <c r="U98" s="29" t="s">
        <v>11</v>
      </c>
      <c r="V98" s="29" t="s">
        <v>11</v>
      </c>
      <c r="W98" s="29" t="s">
        <v>11</v>
      </c>
      <c r="X98" s="29" t="s">
        <v>11</v>
      </c>
      <c r="Y98" s="29" t="s">
        <v>11</v>
      </c>
      <c r="Z98" s="29" t="s">
        <v>11</v>
      </c>
      <c r="AA98" s="29" t="s">
        <v>11</v>
      </c>
      <c r="AB98" s="29" t="s">
        <v>11</v>
      </c>
      <c r="AC98" s="29" t="s">
        <v>11</v>
      </c>
      <c r="AD98" s="29" t="s">
        <v>11</v>
      </c>
      <c r="AE98" s="24">
        <f t="shared" si="3"/>
        <v>0</v>
      </c>
      <c r="AF98" s="24">
        <f t="shared" si="4"/>
        <v>0</v>
      </c>
      <c r="AG98" s="24">
        <f t="shared" si="5"/>
        <v>15</v>
      </c>
      <c r="AH98" s="41" t="str" cm="1">
        <f t="array" ref="AH98">_xlfn.IFS(
$AE98=15,"Not Started",
$AG98&lt;15,"In Progress",
$AG98=15,"Completed",
SUM(AE98:AG98)&gt;15,"Error"
)</f>
        <v>Completed</v>
      </c>
    </row>
    <row r="99" spans="1:34" ht="26" x14ac:dyDescent="0.25">
      <c r="A99" s="248"/>
      <c r="B99" s="78">
        <v>96</v>
      </c>
      <c r="C99" s="7" t="s">
        <v>548</v>
      </c>
      <c r="D99" s="53" t="s">
        <v>2758</v>
      </c>
      <c r="E99" s="80" t="s">
        <v>10222</v>
      </c>
      <c r="F99" s="7" t="s">
        <v>51</v>
      </c>
      <c r="G99" s="7" t="s">
        <v>44</v>
      </c>
      <c r="H99" s="7" t="s">
        <v>3256</v>
      </c>
      <c r="I99" s="7" t="s">
        <v>3256</v>
      </c>
      <c r="J99" s="7" t="s">
        <v>3151</v>
      </c>
      <c r="K99" s="7" t="s">
        <v>3352</v>
      </c>
      <c r="L99" s="7">
        <v>10053787068</v>
      </c>
      <c r="M99" s="7"/>
      <c r="N99" s="7"/>
      <c r="O99" s="29" t="s">
        <v>11</v>
      </c>
      <c r="P99" s="29" t="s">
        <v>11</v>
      </c>
      <c r="Q99" s="29" t="s">
        <v>11</v>
      </c>
      <c r="R99" s="29" t="s">
        <v>11</v>
      </c>
      <c r="S99" s="29" t="s">
        <v>11</v>
      </c>
      <c r="T99" s="29" t="s">
        <v>11</v>
      </c>
      <c r="U99" s="29" t="s">
        <v>11</v>
      </c>
      <c r="V99" s="29" t="s">
        <v>11</v>
      </c>
      <c r="W99" s="29" t="s">
        <v>11</v>
      </c>
      <c r="X99" s="29" t="s">
        <v>11</v>
      </c>
      <c r="Y99" s="29" t="s">
        <v>11</v>
      </c>
      <c r="Z99" s="29" t="s">
        <v>11</v>
      </c>
      <c r="AA99" s="29" t="s">
        <v>11</v>
      </c>
      <c r="AB99" s="29" t="s">
        <v>11</v>
      </c>
      <c r="AC99" s="29" t="s">
        <v>11</v>
      </c>
      <c r="AD99" s="29" t="s">
        <v>11</v>
      </c>
      <c r="AE99" s="24">
        <f t="shared" si="3"/>
        <v>0</v>
      </c>
      <c r="AF99" s="24">
        <f t="shared" si="4"/>
        <v>0</v>
      </c>
      <c r="AG99" s="24">
        <f t="shared" si="5"/>
        <v>15</v>
      </c>
      <c r="AH99" s="41" t="str" cm="1">
        <f t="array" ref="AH99">_xlfn.IFS(
$AE99=15,"Not Started",
$AG99&lt;15,"In Progress",
$AG99=15,"Completed",
SUM(AE99:AG99)&gt;15,"Error"
)</f>
        <v>Completed</v>
      </c>
    </row>
    <row r="100" spans="1:34" ht="13" x14ac:dyDescent="0.25">
      <c r="A100" s="248"/>
      <c r="B100" s="78">
        <v>97</v>
      </c>
      <c r="C100" s="14" t="s">
        <v>549</v>
      </c>
      <c r="D100" s="53" t="s">
        <v>2759</v>
      </c>
      <c r="E100" s="57" t="s">
        <v>2956</v>
      </c>
      <c r="F100" s="7" t="s">
        <v>47</v>
      </c>
      <c r="G100" s="7" t="s">
        <v>48</v>
      </c>
      <c r="H100" s="7" t="s">
        <v>3256</v>
      </c>
      <c r="I100" s="7" t="s">
        <v>3256</v>
      </c>
      <c r="J100" s="7" t="s">
        <v>3152</v>
      </c>
      <c r="K100" s="7" t="s">
        <v>3353</v>
      </c>
      <c r="L100" s="7">
        <v>10053791294</v>
      </c>
      <c r="M100" s="7"/>
      <c r="N100" s="7"/>
      <c r="O100" s="29" t="s">
        <v>11</v>
      </c>
      <c r="P100" s="29" t="s">
        <v>11</v>
      </c>
      <c r="Q100" s="29" t="s">
        <v>11</v>
      </c>
      <c r="R100" s="29" t="s">
        <v>11</v>
      </c>
      <c r="S100" s="29" t="s">
        <v>11</v>
      </c>
      <c r="T100" s="29" t="s">
        <v>11</v>
      </c>
      <c r="U100" s="29" t="s">
        <v>11</v>
      </c>
      <c r="V100" s="29" t="s">
        <v>11</v>
      </c>
      <c r="W100" s="29" t="s">
        <v>11</v>
      </c>
      <c r="X100" s="29" t="s">
        <v>11</v>
      </c>
      <c r="Y100" s="29" t="s">
        <v>11</v>
      </c>
      <c r="Z100" s="29" t="s">
        <v>11</v>
      </c>
      <c r="AA100" s="29" t="s">
        <v>11</v>
      </c>
      <c r="AB100" s="29" t="s">
        <v>11</v>
      </c>
      <c r="AC100" s="29" t="s">
        <v>11</v>
      </c>
      <c r="AD100" s="29" t="s">
        <v>11</v>
      </c>
      <c r="AE100" s="24">
        <f t="shared" si="3"/>
        <v>0</v>
      </c>
      <c r="AF100" s="24">
        <f t="shared" si="4"/>
        <v>0</v>
      </c>
      <c r="AG100" s="24">
        <f t="shared" si="5"/>
        <v>15</v>
      </c>
      <c r="AH100" s="41" t="str" cm="1">
        <f t="array" ref="AH100">_xlfn.IFS(
$AE100=15,"Not Started",
$AG100&lt;15,"In Progress",
$AG100=15,"Completed",
SUM(AE100:AG100)&gt;15,"Error"
)</f>
        <v>Completed</v>
      </c>
    </row>
    <row r="101" spans="1:34" ht="13" x14ac:dyDescent="0.25">
      <c r="A101" s="248"/>
      <c r="B101" s="78">
        <v>98</v>
      </c>
      <c r="C101" s="7" t="s">
        <v>550</v>
      </c>
      <c r="D101" s="53" t="s">
        <v>2760</v>
      </c>
      <c r="E101" s="57" t="s">
        <v>2957</v>
      </c>
      <c r="F101" s="7" t="s">
        <v>9670</v>
      </c>
      <c r="G101" s="7" t="s">
        <v>48</v>
      </c>
      <c r="H101" s="7" t="s">
        <v>3256</v>
      </c>
      <c r="I101" s="7" t="s">
        <v>3256</v>
      </c>
      <c r="J101" s="7" t="s">
        <v>3153</v>
      </c>
      <c r="K101" s="7" t="s">
        <v>3354</v>
      </c>
      <c r="L101" s="7">
        <v>10053790770</v>
      </c>
      <c r="M101" s="7"/>
      <c r="N101" s="7"/>
      <c r="O101" s="29" t="s">
        <v>11</v>
      </c>
      <c r="P101" s="29" t="s">
        <v>11</v>
      </c>
      <c r="Q101" s="29" t="s">
        <v>11</v>
      </c>
      <c r="R101" s="29" t="s">
        <v>11</v>
      </c>
      <c r="S101" s="29" t="s">
        <v>11</v>
      </c>
      <c r="T101" s="29" t="s">
        <v>11</v>
      </c>
      <c r="U101" s="29" t="s">
        <v>11</v>
      </c>
      <c r="V101" s="29" t="s">
        <v>11</v>
      </c>
      <c r="W101" s="29" t="s">
        <v>11</v>
      </c>
      <c r="X101" s="29" t="s">
        <v>11</v>
      </c>
      <c r="Y101" s="29" t="s">
        <v>11</v>
      </c>
      <c r="Z101" s="29" t="s">
        <v>11</v>
      </c>
      <c r="AA101" s="29" t="s">
        <v>11</v>
      </c>
      <c r="AB101" s="29" t="s">
        <v>11</v>
      </c>
      <c r="AC101" s="29" t="s">
        <v>11</v>
      </c>
      <c r="AD101" s="29" t="s">
        <v>11</v>
      </c>
      <c r="AE101" s="24">
        <f t="shared" si="3"/>
        <v>0</v>
      </c>
      <c r="AF101" s="24">
        <f t="shared" si="4"/>
        <v>0</v>
      </c>
      <c r="AG101" s="24">
        <f t="shared" si="5"/>
        <v>15</v>
      </c>
      <c r="AH101" s="41" t="str" cm="1">
        <f t="array" ref="AH101">_xlfn.IFS(
$AE101=15,"Not Started",
$AG101&lt;15,"In Progress",
$AG101=15,"Completed",
SUM(AE101:AG101)&gt;15,"Error"
)</f>
        <v>Completed</v>
      </c>
    </row>
    <row r="102" spans="1:34" ht="13" x14ac:dyDescent="0.25">
      <c r="A102" s="248"/>
      <c r="B102" s="78">
        <v>99</v>
      </c>
      <c r="C102" s="14" t="s">
        <v>551</v>
      </c>
      <c r="D102" s="53" t="s">
        <v>2761</v>
      </c>
      <c r="E102" s="57" t="s">
        <v>2958</v>
      </c>
      <c r="F102" s="7" t="s">
        <v>47</v>
      </c>
      <c r="G102" s="7" t="s">
        <v>48</v>
      </c>
      <c r="H102" s="7" t="s">
        <v>3256</v>
      </c>
      <c r="I102" s="7" t="s">
        <v>3256</v>
      </c>
      <c r="J102" s="7" t="s">
        <v>3154</v>
      </c>
      <c r="K102" s="7" t="s">
        <v>3355</v>
      </c>
      <c r="L102" s="7">
        <v>10053815411</v>
      </c>
      <c r="M102" s="7"/>
      <c r="N102" s="7"/>
      <c r="O102" s="29" t="s">
        <v>11</v>
      </c>
      <c r="P102" s="29" t="s">
        <v>11</v>
      </c>
      <c r="Q102" s="29" t="s">
        <v>11</v>
      </c>
      <c r="R102" s="29" t="s">
        <v>11</v>
      </c>
      <c r="S102" s="29" t="s">
        <v>11</v>
      </c>
      <c r="T102" s="29" t="s">
        <v>11</v>
      </c>
      <c r="U102" s="29" t="s">
        <v>11</v>
      </c>
      <c r="V102" s="29" t="s">
        <v>11</v>
      </c>
      <c r="W102" s="29" t="s">
        <v>11</v>
      </c>
      <c r="X102" s="29" t="s">
        <v>11</v>
      </c>
      <c r="Y102" s="29" t="s">
        <v>11</v>
      </c>
      <c r="Z102" s="29" t="s">
        <v>11</v>
      </c>
      <c r="AA102" s="29" t="s">
        <v>11</v>
      </c>
      <c r="AB102" s="29" t="s">
        <v>11</v>
      </c>
      <c r="AC102" s="29" t="s">
        <v>11</v>
      </c>
      <c r="AD102" s="29" t="s">
        <v>11</v>
      </c>
      <c r="AE102" s="24">
        <f t="shared" si="3"/>
        <v>0</v>
      </c>
      <c r="AF102" s="24">
        <f t="shared" si="4"/>
        <v>0</v>
      </c>
      <c r="AG102" s="24">
        <f t="shared" si="5"/>
        <v>15</v>
      </c>
      <c r="AH102" s="41" t="str" cm="1">
        <f t="array" ref="AH102">_xlfn.IFS(
$AE102=15,"Not Started",
$AG102&lt;15,"In Progress",
$AG102=15,"Completed",
SUM(AE102:AG102)&gt;15,"Error"
)</f>
        <v>Completed</v>
      </c>
    </row>
    <row r="103" spans="1:34" ht="13" x14ac:dyDescent="0.25">
      <c r="A103" s="248"/>
      <c r="B103" s="78">
        <v>100</v>
      </c>
      <c r="C103" s="7" t="s">
        <v>552</v>
      </c>
      <c r="D103" s="53" t="s">
        <v>2762</v>
      </c>
      <c r="E103" s="57" t="s">
        <v>2959</v>
      </c>
      <c r="F103" s="7" t="s">
        <v>43</v>
      </c>
      <c r="G103" s="7" t="s">
        <v>48</v>
      </c>
      <c r="H103" s="7" t="s">
        <v>3256</v>
      </c>
      <c r="I103" s="7" t="s">
        <v>3256</v>
      </c>
      <c r="J103" s="7" t="s">
        <v>3155</v>
      </c>
      <c r="K103" s="7" t="s">
        <v>3356</v>
      </c>
      <c r="L103" s="7">
        <v>10095836916</v>
      </c>
      <c r="M103" s="7"/>
      <c r="N103" s="7"/>
      <c r="O103" s="29" t="s">
        <v>11</v>
      </c>
      <c r="P103" s="29" t="s">
        <v>11</v>
      </c>
      <c r="Q103" s="29" t="s">
        <v>11</v>
      </c>
      <c r="R103" s="29" t="s">
        <v>11</v>
      </c>
      <c r="S103" s="29" t="s">
        <v>11</v>
      </c>
      <c r="T103" s="29" t="s">
        <v>11</v>
      </c>
      <c r="U103" s="29" t="s">
        <v>11</v>
      </c>
      <c r="V103" s="29" t="s">
        <v>11</v>
      </c>
      <c r="W103" s="29" t="s">
        <v>11</v>
      </c>
      <c r="X103" s="29" t="s">
        <v>11</v>
      </c>
      <c r="Y103" s="29" t="s">
        <v>11</v>
      </c>
      <c r="Z103" s="29" t="s">
        <v>11</v>
      </c>
      <c r="AA103" s="29" t="s">
        <v>11</v>
      </c>
      <c r="AB103" s="29" t="s">
        <v>11</v>
      </c>
      <c r="AC103" s="29" t="s">
        <v>11</v>
      </c>
      <c r="AD103" s="29" t="s">
        <v>11</v>
      </c>
      <c r="AE103" s="24">
        <f t="shared" si="3"/>
        <v>0</v>
      </c>
      <c r="AF103" s="24">
        <f t="shared" si="4"/>
        <v>0</v>
      </c>
      <c r="AG103" s="24">
        <f t="shared" si="5"/>
        <v>15</v>
      </c>
      <c r="AH103" s="41" t="str" cm="1">
        <f t="array" ref="AH103">_xlfn.IFS(
$AE103=15,"Not Started",
$AG103&lt;15,"In Progress",
$AG103=15,"Completed",
SUM(AE103:AG103)&gt;15,"Error"
)</f>
        <v>Completed</v>
      </c>
    </row>
    <row r="104" spans="1:34" ht="13" x14ac:dyDescent="0.25">
      <c r="A104" s="248"/>
      <c r="B104" s="78">
        <v>101</v>
      </c>
      <c r="C104" s="14" t="s">
        <v>553</v>
      </c>
      <c r="D104" s="53" t="s">
        <v>2763</v>
      </c>
      <c r="E104" s="57" t="s">
        <v>2960</v>
      </c>
      <c r="F104" s="7" t="s">
        <v>47</v>
      </c>
      <c r="G104" s="7" t="s">
        <v>44</v>
      </c>
      <c r="H104" s="7" t="s">
        <v>3256</v>
      </c>
      <c r="I104" s="7" t="s">
        <v>3256</v>
      </c>
      <c r="J104" s="7" t="s">
        <v>3156</v>
      </c>
      <c r="K104" s="7" t="s">
        <v>3357</v>
      </c>
      <c r="L104" s="7">
        <v>10053793154</v>
      </c>
      <c r="M104" s="7"/>
      <c r="N104" s="7"/>
      <c r="O104" s="29" t="s">
        <v>11</v>
      </c>
      <c r="P104" s="29" t="s">
        <v>11</v>
      </c>
      <c r="Q104" s="29" t="s">
        <v>11</v>
      </c>
      <c r="R104" s="29" t="s">
        <v>11</v>
      </c>
      <c r="S104" s="29" t="s">
        <v>11</v>
      </c>
      <c r="T104" s="29" t="s">
        <v>11</v>
      </c>
      <c r="U104" s="29" t="s">
        <v>11</v>
      </c>
      <c r="V104" s="29" t="s">
        <v>11</v>
      </c>
      <c r="W104" s="29" t="s">
        <v>11</v>
      </c>
      <c r="X104" s="29" t="s">
        <v>11</v>
      </c>
      <c r="Y104" s="29" t="s">
        <v>11</v>
      </c>
      <c r="Z104" s="29" t="s">
        <v>11</v>
      </c>
      <c r="AA104" s="29" t="s">
        <v>11</v>
      </c>
      <c r="AB104" s="29" t="s">
        <v>11</v>
      </c>
      <c r="AC104" s="29" t="s">
        <v>11</v>
      </c>
      <c r="AD104" s="29" t="s">
        <v>11</v>
      </c>
      <c r="AE104" s="24">
        <f t="shared" si="3"/>
        <v>0</v>
      </c>
      <c r="AF104" s="24">
        <f t="shared" si="4"/>
        <v>0</v>
      </c>
      <c r="AG104" s="24">
        <f t="shared" si="5"/>
        <v>15</v>
      </c>
      <c r="AH104" s="41" t="str" cm="1">
        <f t="array" ref="AH104">_xlfn.IFS(
$AE104=15,"Not Started",
$AG104&lt;15,"In Progress",
$AG104=15,"Completed",
SUM(AE104:AG104)&gt;15,"Error"
)</f>
        <v>Completed</v>
      </c>
    </row>
    <row r="105" spans="1:34" ht="13" x14ac:dyDescent="0.25">
      <c r="A105" s="248"/>
      <c r="B105" s="78">
        <v>102</v>
      </c>
      <c r="C105" s="7" t="s">
        <v>554</v>
      </c>
      <c r="D105" s="53" t="s">
        <v>2764</v>
      </c>
      <c r="E105" s="57" t="s">
        <v>2961</v>
      </c>
      <c r="F105" s="7" t="s">
        <v>51</v>
      </c>
      <c r="G105" s="7" t="s">
        <v>48</v>
      </c>
      <c r="H105" s="7" t="s">
        <v>3256</v>
      </c>
      <c r="I105" s="7" t="s">
        <v>3256</v>
      </c>
      <c r="J105" s="7" t="s">
        <v>3157</v>
      </c>
      <c r="K105" s="7" t="s">
        <v>3358</v>
      </c>
      <c r="L105" s="7">
        <v>10053786679</v>
      </c>
      <c r="M105" s="7"/>
      <c r="N105" s="7"/>
      <c r="O105" s="29" t="s">
        <v>11</v>
      </c>
      <c r="P105" s="29" t="s">
        <v>11</v>
      </c>
      <c r="Q105" s="29" t="s">
        <v>11</v>
      </c>
      <c r="R105" s="29" t="s">
        <v>11</v>
      </c>
      <c r="S105" s="29" t="s">
        <v>11</v>
      </c>
      <c r="T105" s="29" t="s">
        <v>11</v>
      </c>
      <c r="U105" s="29" t="s">
        <v>11</v>
      </c>
      <c r="V105" s="29" t="s">
        <v>11</v>
      </c>
      <c r="W105" s="29" t="s">
        <v>11</v>
      </c>
      <c r="X105" s="29" t="s">
        <v>11</v>
      </c>
      <c r="Y105" s="29" t="s">
        <v>11</v>
      </c>
      <c r="Z105" s="29" t="s">
        <v>11</v>
      </c>
      <c r="AA105" s="29" t="s">
        <v>11</v>
      </c>
      <c r="AB105" s="29" t="s">
        <v>11</v>
      </c>
      <c r="AC105" s="29" t="s">
        <v>11</v>
      </c>
      <c r="AD105" s="29" t="s">
        <v>11</v>
      </c>
      <c r="AE105" s="24">
        <f t="shared" si="3"/>
        <v>0</v>
      </c>
      <c r="AF105" s="24">
        <f t="shared" si="4"/>
        <v>0</v>
      </c>
      <c r="AG105" s="24">
        <f t="shared" si="5"/>
        <v>15</v>
      </c>
      <c r="AH105" s="41" t="str" cm="1">
        <f t="array" ref="AH105">_xlfn.IFS(
$AE105=15,"Not Started",
$AG105&lt;15,"In Progress",
$AG105=15,"Completed",
SUM(AE105:AG105)&gt;15,"Error"
)</f>
        <v>Completed</v>
      </c>
    </row>
    <row r="106" spans="1:34" ht="13" x14ac:dyDescent="0.25">
      <c r="A106" s="248"/>
      <c r="B106" s="78">
        <v>103</v>
      </c>
      <c r="C106" s="14" t="s">
        <v>555</v>
      </c>
      <c r="D106" s="53" t="s">
        <v>2765</v>
      </c>
      <c r="E106" s="57" t="s">
        <v>2962</v>
      </c>
      <c r="F106" s="7" t="s">
        <v>51</v>
      </c>
      <c r="G106" s="7" t="s">
        <v>48</v>
      </c>
      <c r="H106" s="7" t="s">
        <v>3256</v>
      </c>
      <c r="I106" s="7" t="s">
        <v>3256</v>
      </c>
      <c r="J106" s="7" t="s">
        <v>3158</v>
      </c>
      <c r="K106" s="7" t="s">
        <v>3359</v>
      </c>
      <c r="L106" s="7">
        <v>10053787531</v>
      </c>
      <c r="M106" s="7"/>
      <c r="N106" s="7"/>
      <c r="O106" s="29" t="s">
        <v>11</v>
      </c>
      <c r="P106" s="29" t="s">
        <v>11</v>
      </c>
      <c r="Q106" s="29" t="s">
        <v>11</v>
      </c>
      <c r="R106" s="29" t="s">
        <v>11</v>
      </c>
      <c r="S106" s="29" t="s">
        <v>11</v>
      </c>
      <c r="T106" s="29" t="s">
        <v>11</v>
      </c>
      <c r="U106" s="29" t="s">
        <v>11</v>
      </c>
      <c r="V106" s="29" t="s">
        <v>11</v>
      </c>
      <c r="W106" s="29" t="s">
        <v>11</v>
      </c>
      <c r="X106" s="29" t="s">
        <v>11</v>
      </c>
      <c r="Y106" s="29" t="s">
        <v>11</v>
      </c>
      <c r="Z106" s="29" t="s">
        <v>11</v>
      </c>
      <c r="AA106" s="29" t="s">
        <v>11</v>
      </c>
      <c r="AB106" s="29" t="s">
        <v>11</v>
      </c>
      <c r="AC106" s="29" t="s">
        <v>11</v>
      </c>
      <c r="AD106" s="29" t="s">
        <v>11</v>
      </c>
      <c r="AE106" s="24">
        <f t="shared" si="3"/>
        <v>0</v>
      </c>
      <c r="AF106" s="24">
        <f t="shared" si="4"/>
        <v>0</v>
      </c>
      <c r="AG106" s="24">
        <f t="shared" si="5"/>
        <v>15</v>
      </c>
      <c r="AH106" s="41" t="str" cm="1">
        <f t="array" ref="AH106">_xlfn.IFS(
$AE106=15,"Not Started",
$AG106&lt;15,"In Progress",
$AG106=15,"Completed",
SUM(AE106:AG106)&gt;15,"Error"
)</f>
        <v>Completed</v>
      </c>
    </row>
    <row r="107" spans="1:34" ht="26" x14ac:dyDescent="0.25">
      <c r="A107" s="248"/>
      <c r="B107" s="78">
        <v>104</v>
      </c>
      <c r="C107" s="7" t="s">
        <v>556</v>
      </c>
      <c r="D107" s="53" t="s">
        <v>2766</v>
      </c>
      <c r="E107" s="80" t="s">
        <v>10223</v>
      </c>
      <c r="F107" s="7" t="s">
        <v>51</v>
      </c>
      <c r="G107" s="7" t="s">
        <v>44</v>
      </c>
      <c r="H107" s="7" t="s">
        <v>3256</v>
      </c>
      <c r="I107" s="7" t="s">
        <v>3256</v>
      </c>
      <c r="J107" s="7" t="s">
        <v>3159</v>
      </c>
      <c r="K107" s="7" t="s">
        <v>3360</v>
      </c>
      <c r="L107" s="7">
        <v>10105602265</v>
      </c>
      <c r="M107" s="7"/>
      <c r="N107" s="7"/>
      <c r="O107" s="29" t="s">
        <v>11</v>
      </c>
      <c r="P107" s="29" t="s">
        <v>11</v>
      </c>
      <c r="Q107" s="29" t="s">
        <v>11</v>
      </c>
      <c r="R107" s="29" t="s">
        <v>11</v>
      </c>
      <c r="S107" s="29" t="s">
        <v>11</v>
      </c>
      <c r="T107" s="29" t="s">
        <v>11</v>
      </c>
      <c r="U107" s="29" t="s">
        <v>11</v>
      </c>
      <c r="V107" s="29" t="s">
        <v>11</v>
      </c>
      <c r="W107" s="29" t="s">
        <v>11</v>
      </c>
      <c r="X107" s="29" t="s">
        <v>11</v>
      </c>
      <c r="Y107" s="29" t="s">
        <v>11</v>
      </c>
      <c r="Z107" s="29" t="s">
        <v>11</v>
      </c>
      <c r="AA107" s="29" t="s">
        <v>11</v>
      </c>
      <c r="AB107" s="29" t="s">
        <v>11</v>
      </c>
      <c r="AC107" s="29" t="s">
        <v>11</v>
      </c>
      <c r="AD107" s="29" t="s">
        <v>11</v>
      </c>
      <c r="AE107" s="24">
        <f t="shared" si="3"/>
        <v>0</v>
      </c>
      <c r="AF107" s="24">
        <f t="shared" si="4"/>
        <v>0</v>
      </c>
      <c r="AG107" s="24">
        <f t="shared" si="5"/>
        <v>15</v>
      </c>
      <c r="AH107" s="41" t="str" cm="1">
        <f t="array" ref="AH107">_xlfn.IFS(
$AE107=15,"Not Started",
$AG107&lt;15,"In Progress",
$AG107=15,"Completed",
SUM(AE107:AG107)&gt;15,"Error"
)</f>
        <v>Completed</v>
      </c>
    </row>
    <row r="108" spans="1:34" ht="13" x14ac:dyDescent="0.25">
      <c r="A108" s="248"/>
      <c r="B108" s="78">
        <v>105</v>
      </c>
      <c r="C108" s="14" t="s">
        <v>557</v>
      </c>
      <c r="D108" s="53" t="s">
        <v>2767</v>
      </c>
      <c r="E108" s="57" t="s">
        <v>2963</v>
      </c>
      <c r="F108" s="7" t="s">
        <v>43</v>
      </c>
      <c r="G108" s="7" t="s">
        <v>48</v>
      </c>
      <c r="H108" s="7" t="s">
        <v>3256</v>
      </c>
      <c r="I108" s="7" t="s">
        <v>3256</v>
      </c>
      <c r="J108" s="7" t="s">
        <v>3160</v>
      </c>
      <c r="K108" s="7" t="s">
        <v>3361</v>
      </c>
      <c r="L108" s="7">
        <v>10053739427</v>
      </c>
      <c r="M108" s="7"/>
      <c r="N108" s="7"/>
      <c r="O108" s="29" t="s">
        <v>11</v>
      </c>
      <c r="P108" s="29" t="s">
        <v>11</v>
      </c>
      <c r="Q108" s="29" t="s">
        <v>11</v>
      </c>
      <c r="R108" s="29" t="s">
        <v>11</v>
      </c>
      <c r="S108" s="29" t="s">
        <v>11</v>
      </c>
      <c r="T108" s="29" t="s">
        <v>11</v>
      </c>
      <c r="U108" s="29" t="s">
        <v>11</v>
      </c>
      <c r="V108" s="29" t="s">
        <v>11</v>
      </c>
      <c r="W108" s="29" t="s">
        <v>11</v>
      </c>
      <c r="X108" s="29" t="s">
        <v>11</v>
      </c>
      <c r="Y108" s="29" t="s">
        <v>11</v>
      </c>
      <c r="Z108" s="29" t="s">
        <v>11</v>
      </c>
      <c r="AA108" s="29" t="s">
        <v>11</v>
      </c>
      <c r="AB108" s="29" t="s">
        <v>11</v>
      </c>
      <c r="AC108" s="29" t="s">
        <v>11</v>
      </c>
      <c r="AD108" s="29" t="s">
        <v>11</v>
      </c>
      <c r="AE108" s="24">
        <f t="shared" si="3"/>
        <v>0</v>
      </c>
      <c r="AF108" s="24">
        <f t="shared" si="4"/>
        <v>0</v>
      </c>
      <c r="AG108" s="24">
        <f t="shared" si="5"/>
        <v>15</v>
      </c>
      <c r="AH108" s="41" t="str" cm="1">
        <f t="array" ref="AH108">_xlfn.IFS(
$AE108=15,"Not Started",
$AG108&lt;15,"In Progress",
$AG108=15,"Completed",
SUM(AE108:AG108)&gt;15,"Error"
)</f>
        <v>Completed</v>
      </c>
    </row>
    <row r="109" spans="1:34" ht="13" x14ac:dyDescent="0.25">
      <c r="A109" s="248"/>
      <c r="B109" s="78">
        <v>106</v>
      </c>
      <c r="C109" s="7" t="s">
        <v>558</v>
      </c>
      <c r="D109" s="53" t="s">
        <v>2768</v>
      </c>
      <c r="E109" s="57" t="s">
        <v>2964</v>
      </c>
      <c r="F109" s="7" t="s">
        <v>43</v>
      </c>
      <c r="G109" s="7" t="s">
        <v>48</v>
      </c>
      <c r="H109" s="7" t="s">
        <v>3256</v>
      </c>
      <c r="I109" s="7" t="s">
        <v>3256</v>
      </c>
      <c r="J109" s="7" t="s">
        <v>3161</v>
      </c>
      <c r="K109" s="7" t="s">
        <v>3362</v>
      </c>
      <c r="L109" s="7">
        <v>10053821099</v>
      </c>
      <c r="M109" s="7"/>
      <c r="N109" s="7"/>
      <c r="O109" s="29" t="s">
        <v>11</v>
      </c>
      <c r="P109" s="29" t="s">
        <v>11</v>
      </c>
      <c r="Q109" s="29" t="s">
        <v>11</v>
      </c>
      <c r="R109" s="29" t="s">
        <v>11</v>
      </c>
      <c r="S109" s="29" t="s">
        <v>11</v>
      </c>
      <c r="T109" s="29" t="s">
        <v>11</v>
      </c>
      <c r="U109" s="29" t="s">
        <v>11</v>
      </c>
      <c r="V109" s="29" t="s">
        <v>11</v>
      </c>
      <c r="W109" s="29" t="s">
        <v>11</v>
      </c>
      <c r="X109" s="29" t="s">
        <v>11</v>
      </c>
      <c r="Y109" s="29" t="s">
        <v>11</v>
      </c>
      <c r="Z109" s="29" t="s">
        <v>11</v>
      </c>
      <c r="AA109" s="29" t="s">
        <v>11</v>
      </c>
      <c r="AB109" s="29" t="s">
        <v>11</v>
      </c>
      <c r="AC109" s="29" t="s">
        <v>11</v>
      </c>
      <c r="AD109" s="29" t="s">
        <v>11</v>
      </c>
      <c r="AE109" s="24">
        <f t="shared" si="3"/>
        <v>0</v>
      </c>
      <c r="AF109" s="24">
        <f t="shared" si="4"/>
        <v>0</v>
      </c>
      <c r="AG109" s="24">
        <f t="shared" si="5"/>
        <v>15</v>
      </c>
      <c r="AH109" s="41" t="str" cm="1">
        <f t="array" ref="AH109">_xlfn.IFS(
$AE109=15,"Not Started",
$AG109&lt;15,"In Progress",
$AG109=15,"Completed",
SUM(AE109:AG109)&gt;15,"Error"
)</f>
        <v>Completed</v>
      </c>
    </row>
    <row r="110" spans="1:34" ht="13" x14ac:dyDescent="0.25">
      <c r="A110" s="248"/>
      <c r="B110" s="78">
        <v>107</v>
      </c>
      <c r="C110" s="14" t="s">
        <v>559</v>
      </c>
      <c r="D110" s="53" t="s">
        <v>2769</v>
      </c>
      <c r="E110" s="57" t="s">
        <v>2965</v>
      </c>
      <c r="F110" s="7" t="s">
        <v>51</v>
      </c>
      <c r="G110" s="7" t="s">
        <v>44</v>
      </c>
      <c r="H110" s="7" t="s">
        <v>3256</v>
      </c>
      <c r="I110" s="7" t="s">
        <v>3256</v>
      </c>
      <c r="J110" s="7" t="s">
        <v>3162</v>
      </c>
      <c r="K110" s="7" t="s">
        <v>3363</v>
      </c>
      <c r="L110" s="7">
        <v>10101245754</v>
      </c>
      <c r="M110" s="7"/>
      <c r="N110" s="7"/>
      <c r="O110" s="29" t="s">
        <v>11</v>
      </c>
      <c r="P110" s="29" t="s">
        <v>11</v>
      </c>
      <c r="Q110" s="29" t="s">
        <v>11</v>
      </c>
      <c r="R110" s="29" t="s">
        <v>11</v>
      </c>
      <c r="S110" s="29" t="s">
        <v>11</v>
      </c>
      <c r="T110" s="29" t="s">
        <v>11</v>
      </c>
      <c r="U110" s="29" t="s">
        <v>11</v>
      </c>
      <c r="V110" s="29" t="s">
        <v>11</v>
      </c>
      <c r="W110" s="29" t="s">
        <v>11</v>
      </c>
      <c r="X110" s="29" t="s">
        <v>11</v>
      </c>
      <c r="Y110" s="29" t="s">
        <v>11</v>
      </c>
      <c r="Z110" s="29" t="s">
        <v>11</v>
      </c>
      <c r="AA110" s="29" t="s">
        <v>11</v>
      </c>
      <c r="AB110" s="29" t="s">
        <v>11</v>
      </c>
      <c r="AC110" s="29" t="s">
        <v>11</v>
      </c>
      <c r="AD110" s="29" t="s">
        <v>11</v>
      </c>
      <c r="AE110" s="24">
        <f t="shared" si="3"/>
        <v>0</v>
      </c>
      <c r="AF110" s="24">
        <f t="shared" si="4"/>
        <v>0</v>
      </c>
      <c r="AG110" s="24">
        <f t="shared" si="5"/>
        <v>15</v>
      </c>
      <c r="AH110" s="41" t="str" cm="1">
        <f t="array" ref="AH110">_xlfn.IFS(
$AE110=15,"Not Started",
$AG110&lt;15,"In Progress",
$AG110=15,"Completed",
SUM(AE110:AG110)&gt;15,"Error"
)</f>
        <v>Completed</v>
      </c>
    </row>
    <row r="111" spans="1:34" ht="13" x14ac:dyDescent="0.25">
      <c r="A111" s="248"/>
      <c r="B111" s="78">
        <v>108</v>
      </c>
      <c r="C111" s="7" t="s">
        <v>560</v>
      </c>
      <c r="D111" s="53" t="s">
        <v>2770</v>
      </c>
      <c r="E111" s="57" t="s">
        <v>2966</v>
      </c>
      <c r="F111" s="7" t="s">
        <v>9670</v>
      </c>
      <c r="G111" s="7" t="s">
        <v>48</v>
      </c>
      <c r="H111" s="7" t="s">
        <v>3256</v>
      </c>
      <c r="I111" s="7" t="s">
        <v>3256</v>
      </c>
      <c r="J111" s="7" t="s">
        <v>3163</v>
      </c>
      <c r="K111" s="7" t="s">
        <v>3364</v>
      </c>
      <c r="L111" s="7">
        <v>10087547571</v>
      </c>
      <c r="M111" s="7"/>
      <c r="N111" s="7"/>
      <c r="O111" s="29" t="s">
        <v>11</v>
      </c>
      <c r="P111" s="29" t="s">
        <v>11</v>
      </c>
      <c r="Q111" s="29" t="s">
        <v>11</v>
      </c>
      <c r="R111" s="29" t="s">
        <v>11</v>
      </c>
      <c r="S111" s="29" t="s">
        <v>11</v>
      </c>
      <c r="T111" s="29" t="s">
        <v>11</v>
      </c>
      <c r="U111" s="29" t="s">
        <v>11</v>
      </c>
      <c r="V111" s="29" t="s">
        <v>11</v>
      </c>
      <c r="W111" s="29" t="s">
        <v>11</v>
      </c>
      <c r="X111" s="29" t="s">
        <v>11</v>
      </c>
      <c r="Y111" s="29" t="s">
        <v>11</v>
      </c>
      <c r="Z111" s="29" t="s">
        <v>11</v>
      </c>
      <c r="AA111" s="29" t="s">
        <v>11</v>
      </c>
      <c r="AB111" s="29" t="s">
        <v>11</v>
      </c>
      <c r="AC111" s="29" t="s">
        <v>11</v>
      </c>
      <c r="AD111" s="29" t="s">
        <v>11</v>
      </c>
      <c r="AE111" s="24">
        <f t="shared" si="3"/>
        <v>0</v>
      </c>
      <c r="AF111" s="24">
        <f t="shared" si="4"/>
        <v>0</v>
      </c>
      <c r="AG111" s="24">
        <f t="shared" si="5"/>
        <v>15</v>
      </c>
      <c r="AH111" s="41" t="str" cm="1">
        <f t="array" ref="AH111">_xlfn.IFS(
$AE111=15,"Not Started",
$AG111&lt;15,"In Progress",
$AG111=15,"Completed",
SUM(AE111:AG111)&gt;15,"Error"
)</f>
        <v>Completed</v>
      </c>
    </row>
    <row r="112" spans="1:34" ht="13" x14ac:dyDescent="0.25">
      <c r="A112" s="248"/>
      <c r="B112" s="78">
        <v>109</v>
      </c>
      <c r="C112" s="14" t="s">
        <v>561</v>
      </c>
      <c r="D112" s="53" t="s">
        <v>2771</v>
      </c>
      <c r="E112" s="57" t="s">
        <v>2967</v>
      </c>
      <c r="F112" s="7" t="s">
        <v>43</v>
      </c>
      <c r="G112" s="7" t="s">
        <v>48</v>
      </c>
      <c r="H112" s="7" t="s">
        <v>3256</v>
      </c>
      <c r="I112" s="7" t="s">
        <v>3256</v>
      </c>
      <c r="J112" s="7" t="s">
        <v>3164</v>
      </c>
      <c r="K112" s="7" t="s">
        <v>3365</v>
      </c>
      <c r="L112" s="7">
        <v>10099363422</v>
      </c>
      <c r="M112" s="7"/>
      <c r="N112" s="7"/>
      <c r="O112" s="29" t="s">
        <v>11</v>
      </c>
      <c r="P112" s="29" t="s">
        <v>11</v>
      </c>
      <c r="Q112" s="29" t="s">
        <v>11</v>
      </c>
      <c r="R112" s="29" t="s">
        <v>11</v>
      </c>
      <c r="S112" s="29" t="s">
        <v>11</v>
      </c>
      <c r="T112" s="29" t="s">
        <v>11</v>
      </c>
      <c r="U112" s="29" t="s">
        <v>11</v>
      </c>
      <c r="V112" s="29" t="s">
        <v>11</v>
      </c>
      <c r="W112" s="29" t="s">
        <v>11</v>
      </c>
      <c r="X112" s="29" t="s">
        <v>11</v>
      </c>
      <c r="Y112" s="29" t="s">
        <v>11</v>
      </c>
      <c r="Z112" s="29" t="s">
        <v>11</v>
      </c>
      <c r="AA112" s="29" t="s">
        <v>11</v>
      </c>
      <c r="AB112" s="29" t="s">
        <v>11</v>
      </c>
      <c r="AC112" s="29" t="s">
        <v>11</v>
      </c>
      <c r="AD112" s="29" t="s">
        <v>11</v>
      </c>
      <c r="AE112" s="24">
        <f t="shared" si="3"/>
        <v>0</v>
      </c>
      <c r="AF112" s="24">
        <f t="shared" si="4"/>
        <v>0</v>
      </c>
      <c r="AG112" s="24">
        <f t="shared" si="5"/>
        <v>15</v>
      </c>
      <c r="AH112" s="41" t="str" cm="1">
        <f t="array" ref="AH112">_xlfn.IFS(
$AE112=15,"Not Started",
$AG112&lt;15,"In Progress",
$AG112=15,"Completed",
SUM(AE112:AG112)&gt;15,"Error"
)</f>
        <v>Completed</v>
      </c>
    </row>
    <row r="113" spans="1:34" ht="13" x14ac:dyDescent="0.25">
      <c r="A113" s="248"/>
      <c r="B113" s="78">
        <v>110</v>
      </c>
      <c r="C113" s="7" t="s">
        <v>562</v>
      </c>
      <c r="D113" s="53" t="s">
        <v>2772</v>
      </c>
      <c r="E113" s="57" t="s">
        <v>2968</v>
      </c>
      <c r="F113" s="7" t="s">
        <v>43</v>
      </c>
      <c r="G113" s="7" t="s">
        <v>44</v>
      </c>
      <c r="H113" s="7" t="s">
        <v>3256</v>
      </c>
      <c r="I113" s="7" t="s">
        <v>3256</v>
      </c>
      <c r="J113" s="7" t="s">
        <v>3165</v>
      </c>
      <c r="K113" s="7" t="s">
        <v>3366</v>
      </c>
      <c r="L113" s="7">
        <v>10102491064</v>
      </c>
      <c r="M113" s="7"/>
      <c r="N113" s="7"/>
      <c r="O113" s="29" t="s">
        <v>11</v>
      </c>
      <c r="P113" s="29" t="s">
        <v>11</v>
      </c>
      <c r="Q113" s="29" t="s">
        <v>11</v>
      </c>
      <c r="R113" s="29" t="s">
        <v>11</v>
      </c>
      <c r="S113" s="29" t="s">
        <v>11</v>
      </c>
      <c r="T113" s="29" t="s">
        <v>11</v>
      </c>
      <c r="U113" s="29" t="s">
        <v>11</v>
      </c>
      <c r="V113" s="29" t="s">
        <v>11</v>
      </c>
      <c r="W113" s="29" t="s">
        <v>11</v>
      </c>
      <c r="X113" s="29" t="s">
        <v>11</v>
      </c>
      <c r="Y113" s="29" t="s">
        <v>11</v>
      </c>
      <c r="Z113" s="29" t="s">
        <v>11</v>
      </c>
      <c r="AA113" s="29" t="s">
        <v>11</v>
      </c>
      <c r="AB113" s="29" t="s">
        <v>11</v>
      </c>
      <c r="AC113" s="29" t="s">
        <v>11</v>
      </c>
      <c r="AD113" s="29" t="s">
        <v>11</v>
      </c>
      <c r="AE113" s="24">
        <f t="shared" si="3"/>
        <v>0</v>
      </c>
      <c r="AF113" s="24">
        <f t="shared" si="4"/>
        <v>0</v>
      </c>
      <c r="AG113" s="24">
        <f t="shared" si="5"/>
        <v>15</v>
      </c>
      <c r="AH113" s="41" t="str" cm="1">
        <f t="array" ref="AH113">_xlfn.IFS(
$AE113=15,"Not Started",
$AG113&lt;15,"In Progress",
$AG113=15,"Completed",
SUM(AE113:AG113)&gt;15,"Error"
)</f>
        <v>Completed</v>
      </c>
    </row>
    <row r="114" spans="1:34" ht="13" x14ac:dyDescent="0.25">
      <c r="A114" s="248"/>
      <c r="B114" s="78">
        <v>111</v>
      </c>
      <c r="C114" s="14" t="s">
        <v>563</v>
      </c>
      <c r="D114" s="53" t="s">
        <v>2773</v>
      </c>
      <c r="E114" s="57" t="s">
        <v>2969</v>
      </c>
      <c r="F114" s="7" t="s">
        <v>43</v>
      </c>
      <c r="G114" s="7" t="s">
        <v>48</v>
      </c>
      <c r="H114" s="7" t="s">
        <v>3256</v>
      </c>
      <c r="I114" s="7" t="s">
        <v>3256</v>
      </c>
      <c r="J114" s="7" t="s">
        <v>3166</v>
      </c>
      <c r="K114" s="7" t="s">
        <v>3367</v>
      </c>
      <c r="L114" s="7">
        <v>10100476004</v>
      </c>
      <c r="M114" s="7"/>
      <c r="N114" s="7"/>
      <c r="O114" s="29" t="s">
        <v>11</v>
      </c>
      <c r="P114" s="29" t="s">
        <v>11</v>
      </c>
      <c r="Q114" s="29" t="s">
        <v>11</v>
      </c>
      <c r="R114" s="29" t="s">
        <v>11</v>
      </c>
      <c r="S114" s="29" t="s">
        <v>11</v>
      </c>
      <c r="T114" s="29" t="s">
        <v>11</v>
      </c>
      <c r="U114" s="29" t="s">
        <v>11</v>
      </c>
      <c r="V114" s="29" t="s">
        <v>11</v>
      </c>
      <c r="W114" s="29" t="s">
        <v>11</v>
      </c>
      <c r="X114" s="29" t="s">
        <v>11</v>
      </c>
      <c r="Y114" s="29" t="s">
        <v>11</v>
      </c>
      <c r="Z114" s="29" t="s">
        <v>11</v>
      </c>
      <c r="AA114" s="29" t="s">
        <v>11</v>
      </c>
      <c r="AB114" s="29" t="s">
        <v>11</v>
      </c>
      <c r="AC114" s="29" t="s">
        <v>11</v>
      </c>
      <c r="AD114" s="29" t="s">
        <v>11</v>
      </c>
      <c r="AE114" s="24">
        <f t="shared" si="3"/>
        <v>0</v>
      </c>
      <c r="AF114" s="24">
        <f t="shared" si="4"/>
        <v>0</v>
      </c>
      <c r="AG114" s="24">
        <f t="shared" si="5"/>
        <v>15</v>
      </c>
      <c r="AH114" s="41" t="str" cm="1">
        <f t="array" ref="AH114">_xlfn.IFS(
$AE114=15,"Not Started",
$AG114&lt;15,"In Progress",
$AG114=15,"Completed",
SUM(AE114:AG114)&gt;15,"Error"
)</f>
        <v>Completed</v>
      </c>
    </row>
    <row r="115" spans="1:34" ht="13" x14ac:dyDescent="0.25">
      <c r="A115" s="248"/>
      <c r="B115" s="78">
        <v>112</v>
      </c>
      <c r="C115" s="7" t="s">
        <v>564</v>
      </c>
      <c r="D115" s="53" t="s">
        <v>2774</v>
      </c>
      <c r="E115" s="57" t="s">
        <v>2970</v>
      </c>
      <c r="F115" s="7" t="s">
        <v>47</v>
      </c>
      <c r="G115" s="7" t="s">
        <v>48</v>
      </c>
      <c r="H115" s="7" t="s">
        <v>3256</v>
      </c>
      <c r="I115" s="7" t="s">
        <v>3256</v>
      </c>
      <c r="J115" s="7" t="s">
        <v>3167</v>
      </c>
      <c r="K115" s="7" t="s">
        <v>3368</v>
      </c>
      <c r="L115" s="7">
        <v>10103190664</v>
      </c>
      <c r="M115" s="7"/>
      <c r="N115" s="7"/>
      <c r="O115" s="29" t="s">
        <v>11</v>
      </c>
      <c r="P115" s="29" t="s">
        <v>11</v>
      </c>
      <c r="Q115" s="29" t="s">
        <v>11</v>
      </c>
      <c r="R115" s="29" t="s">
        <v>11</v>
      </c>
      <c r="S115" s="29" t="s">
        <v>11</v>
      </c>
      <c r="T115" s="29" t="s">
        <v>11</v>
      </c>
      <c r="U115" s="29" t="s">
        <v>11</v>
      </c>
      <c r="V115" s="29" t="s">
        <v>11</v>
      </c>
      <c r="W115" s="29" t="s">
        <v>11</v>
      </c>
      <c r="X115" s="29" t="s">
        <v>11</v>
      </c>
      <c r="Y115" s="29" t="s">
        <v>11</v>
      </c>
      <c r="Z115" s="29" t="s">
        <v>11</v>
      </c>
      <c r="AA115" s="29" t="s">
        <v>11</v>
      </c>
      <c r="AB115" s="29" t="s">
        <v>11</v>
      </c>
      <c r="AC115" s="29" t="s">
        <v>11</v>
      </c>
      <c r="AD115" s="29" t="s">
        <v>11</v>
      </c>
      <c r="AE115" s="24">
        <f t="shared" si="3"/>
        <v>0</v>
      </c>
      <c r="AF115" s="24">
        <f t="shared" si="4"/>
        <v>0</v>
      </c>
      <c r="AG115" s="24">
        <f t="shared" si="5"/>
        <v>15</v>
      </c>
      <c r="AH115" s="41" t="str" cm="1">
        <f t="array" ref="AH115">_xlfn.IFS(
$AE115=15,"Not Started",
$AG115&lt;15,"In Progress",
$AG115=15,"Completed",
SUM(AE115:AG115)&gt;15,"Error"
)</f>
        <v>Completed</v>
      </c>
    </row>
    <row r="116" spans="1:34" ht="13" x14ac:dyDescent="0.25">
      <c r="A116" s="248"/>
      <c r="B116" s="78">
        <v>113</v>
      </c>
      <c r="C116" s="14" t="s">
        <v>565</v>
      </c>
      <c r="D116" s="53" t="s">
        <v>2775</v>
      </c>
      <c r="E116" s="57" t="s">
        <v>2971</v>
      </c>
      <c r="F116" s="7" t="s">
        <v>51</v>
      </c>
      <c r="G116" s="7" t="s">
        <v>48</v>
      </c>
      <c r="H116" s="7" t="s">
        <v>3256</v>
      </c>
      <c r="I116" s="7" t="s">
        <v>3256</v>
      </c>
      <c r="J116" s="7" t="s">
        <v>3168</v>
      </c>
      <c r="K116" s="7" t="s">
        <v>3369</v>
      </c>
      <c r="L116" s="7">
        <v>10102662359</v>
      </c>
      <c r="M116" s="7"/>
      <c r="N116" s="7"/>
      <c r="O116" s="29" t="s">
        <v>11</v>
      </c>
      <c r="P116" s="29" t="s">
        <v>11</v>
      </c>
      <c r="Q116" s="29" t="s">
        <v>11</v>
      </c>
      <c r="R116" s="29" t="s">
        <v>11</v>
      </c>
      <c r="S116" s="29" t="s">
        <v>11</v>
      </c>
      <c r="T116" s="29" t="s">
        <v>11</v>
      </c>
      <c r="U116" s="29" t="s">
        <v>11</v>
      </c>
      <c r="V116" s="29" t="s">
        <v>11</v>
      </c>
      <c r="W116" s="29" t="s">
        <v>11</v>
      </c>
      <c r="X116" s="29" t="s">
        <v>11</v>
      </c>
      <c r="Y116" s="29" t="s">
        <v>11</v>
      </c>
      <c r="Z116" s="29" t="s">
        <v>11</v>
      </c>
      <c r="AA116" s="29" t="s">
        <v>11</v>
      </c>
      <c r="AB116" s="29" t="s">
        <v>11</v>
      </c>
      <c r="AC116" s="29" t="s">
        <v>11</v>
      </c>
      <c r="AD116" s="29" t="s">
        <v>11</v>
      </c>
      <c r="AE116" s="24">
        <f t="shared" si="3"/>
        <v>0</v>
      </c>
      <c r="AF116" s="24">
        <f t="shared" si="4"/>
        <v>0</v>
      </c>
      <c r="AG116" s="24">
        <f t="shared" si="5"/>
        <v>15</v>
      </c>
      <c r="AH116" s="41" t="str" cm="1">
        <f t="array" ref="AH116">_xlfn.IFS(
$AE116=15,"Not Started",
$AG116&lt;15,"In Progress",
$AG116=15,"Completed",
SUM(AE116:AG116)&gt;15,"Error"
)</f>
        <v>Completed</v>
      </c>
    </row>
    <row r="117" spans="1:34" ht="13" x14ac:dyDescent="0.25">
      <c r="A117" s="248"/>
      <c r="B117" s="78">
        <v>114</v>
      </c>
      <c r="C117" s="7" t="s">
        <v>566</v>
      </c>
      <c r="D117" s="53" t="s">
        <v>2776</v>
      </c>
      <c r="E117" s="57" t="s">
        <v>2972</v>
      </c>
      <c r="F117" s="7" t="s">
        <v>43</v>
      </c>
      <c r="G117" s="7" t="s">
        <v>48</v>
      </c>
      <c r="H117" s="7" t="s">
        <v>3256</v>
      </c>
      <c r="I117" s="7" t="s">
        <v>3256</v>
      </c>
      <c r="J117" s="7" t="s">
        <v>3169</v>
      </c>
      <c r="K117" s="7" t="s">
        <v>3370</v>
      </c>
      <c r="L117" s="7">
        <v>10053502453</v>
      </c>
      <c r="M117" s="7"/>
      <c r="N117" s="7"/>
      <c r="O117" s="29" t="s">
        <v>11</v>
      </c>
      <c r="P117" s="29" t="s">
        <v>11</v>
      </c>
      <c r="Q117" s="29" t="s">
        <v>11</v>
      </c>
      <c r="R117" s="29" t="s">
        <v>11</v>
      </c>
      <c r="S117" s="29" t="s">
        <v>11</v>
      </c>
      <c r="T117" s="29" t="s">
        <v>11</v>
      </c>
      <c r="U117" s="29" t="s">
        <v>11</v>
      </c>
      <c r="V117" s="29" t="s">
        <v>11</v>
      </c>
      <c r="W117" s="29" t="s">
        <v>11</v>
      </c>
      <c r="X117" s="29" t="s">
        <v>11</v>
      </c>
      <c r="Y117" s="29" t="s">
        <v>11</v>
      </c>
      <c r="Z117" s="29" t="s">
        <v>11</v>
      </c>
      <c r="AA117" s="29" t="s">
        <v>11</v>
      </c>
      <c r="AB117" s="29" t="s">
        <v>11</v>
      </c>
      <c r="AC117" s="29" t="s">
        <v>11</v>
      </c>
      <c r="AD117" s="29" t="s">
        <v>11</v>
      </c>
      <c r="AE117" s="24">
        <f t="shared" si="3"/>
        <v>0</v>
      </c>
      <c r="AF117" s="24">
        <f t="shared" si="4"/>
        <v>0</v>
      </c>
      <c r="AG117" s="24">
        <f t="shared" si="5"/>
        <v>15</v>
      </c>
      <c r="AH117" s="41" t="str" cm="1">
        <f t="array" ref="AH117">_xlfn.IFS(
$AE117=15,"Not Started",
$AG117&lt;15,"In Progress",
$AG117=15,"Completed",
SUM(AE117:AG117)&gt;15,"Error"
)</f>
        <v>Completed</v>
      </c>
    </row>
    <row r="118" spans="1:34" ht="13" x14ac:dyDescent="0.25">
      <c r="A118" s="248"/>
      <c r="B118" s="78">
        <v>115</v>
      </c>
      <c r="C118" s="14" t="s">
        <v>567</v>
      </c>
      <c r="D118" s="53" t="s">
        <v>2777</v>
      </c>
      <c r="E118" s="57" t="s">
        <v>2973</v>
      </c>
      <c r="F118" s="7" t="s">
        <v>51</v>
      </c>
      <c r="G118" s="7" t="s">
        <v>48</v>
      </c>
      <c r="H118" s="7" t="s">
        <v>3256</v>
      </c>
      <c r="I118" s="7" t="s">
        <v>3256</v>
      </c>
      <c r="J118" s="7" t="s">
        <v>3170</v>
      </c>
      <c r="K118" s="7" t="s">
        <v>3371</v>
      </c>
      <c r="L118" s="7">
        <v>10053558225</v>
      </c>
      <c r="M118" s="7"/>
      <c r="N118" s="7"/>
      <c r="O118" s="29" t="s">
        <v>11</v>
      </c>
      <c r="P118" s="29" t="s">
        <v>11</v>
      </c>
      <c r="Q118" s="29" t="s">
        <v>11</v>
      </c>
      <c r="R118" s="29" t="s">
        <v>11</v>
      </c>
      <c r="S118" s="29" t="s">
        <v>11</v>
      </c>
      <c r="T118" s="29" t="s">
        <v>11</v>
      </c>
      <c r="U118" s="29" t="s">
        <v>11</v>
      </c>
      <c r="V118" s="29" t="s">
        <v>11</v>
      </c>
      <c r="W118" s="29" t="s">
        <v>11</v>
      </c>
      <c r="X118" s="29" t="s">
        <v>11</v>
      </c>
      <c r="Y118" s="29" t="s">
        <v>11</v>
      </c>
      <c r="Z118" s="29" t="s">
        <v>11</v>
      </c>
      <c r="AA118" s="29" t="s">
        <v>11</v>
      </c>
      <c r="AB118" s="29" t="s">
        <v>11</v>
      </c>
      <c r="AC118" s="29" t="s">
        <v>11</v>
      </c>
      <c r="AD118" s="29" t="s">
        <v>11</v>
      </c>
      <c r="AE118" s="24">
        <f t="shared" si="3"/>
        <v>0</v>
      </c>
      <c r="AF118" s="24">
        <f t="shared" si="4"/>
        <v>0</v>
      </c>
      <c r="AG118" s="24">
        <f t="shared" si="5"/>
        <v>15</v>
      </c>
      <c r="AH118" s="41" t="str" cm="1">
        <f t="array" ref="AH118">_xlfn.IFS(
$AE118=15,"Not Started",
$AG118&lt;15,"In Progress",
$AG118=15,"Completed",
SUM(AE118:AG118)&gt;15,"Error"
)</f>
        <v>Completed</v>
      </c>
    </row>
    <row r="119" spans="1:34" ht="13" x14ac:dyDescent="0.25">
      <c r="A119" s="248"/>
      <c r="B119" s="78">
        <v>116</v>
      </c>
      <c r="C119" s="7" t="s">
        <v>568</v>
      </c>
      <c r="D119" s="53" t="s">
        <v>2778</v>
      </c>
      <c r="E119" s="57" t="s">
        <v>2974</v>
      </c>
      <c r="F119" s="7" t="s">
        <v>47</v>
      </c>
      <c r="G119" s="7" t="s">
        <v>48</v>
      </c>
      <c r="H119" s="7" t="s">
        <v>3256</v>
      </c>
      <c r="I119" s="7" t="s">
        <v>3256</v>
      </c>
      <c r="J119" s="7" t="s">
        <v>3171</v>
      </c>
      <c r="K119" s="7" t="s">
        <v>3372</v>
      </c>
      <c r="L119" s="7">
        <v>10053821311</v>
      </c>
      <c r="M119" s="7"/>
      <c r="N119" s="7"/>
      <c r="O119" s="29" t="s">
        <v>11</v>
      </c>
      <c r="P119" s="29" t="s">
        <v>11</v>
      </c>
      <c r="Q119" s="29" t="s">
        <v>11</v>
      </c>
      <c r="R119" s="29" t="s">
        <v>11</v>
      </c>
      <c r="S119" s="29" t="s">
        <v>11</v>
      </c>
      <c r="T119" s="29" t="s">
        <v>11</v>
      </c>
      <c r="U119" s="29" t="s">
        <v>11</v>
      </c>
      <c r="V119" s="29" t="s">
        <v>11</v>
      </c>
      <c r="W119" s="29" t="s">
        <v>11</v>
      </c>
      <c r="X119" s="29" t="s">
        <v>11</v>
      </c>
      <c r="Y119" s="29" t="s">
        <v>11</v>
      </c>
      <c r="Z119" s="29" t="s">
        <v>11</v>
      </c>
      <c r="AA119" s="29" t="s">
        <v>11</v>
      </c>
      <c r="AB119" s="29" t="s">
        <v>11</v>
      </c>
      <c r="AC119" s="29" t="s">
        <v>11</v>
      </c>
      <c r="AD119" s="29" t="s">
        <v>11</v>
      </c>
      <c r="AE119" s="24">
        <f t="shared" si="3"/>
        <v>0</v>
      </c>
      <c r="AF119" s="24">
        <f t="shared" si="4"/>
        <v>0</v>
      </c>
      <c r="AG119" s="24">
        <f t="shared" si="5"/>
        <v>15</v>
      </c>
      <c r="AH119" s="41" t="str" cm="1">
        <f t="array" ref="AH119">_xlfn.IFS(
$AE119=15,"Not Started",
$AG119&lt;15,"In Progress",
$AG119=15,"Completed",
SUM(AE119:AG119)&gt;15,"Error"
)</f>
        <v>Completed</v>
      </c>
    </row>
    <row r="120" spans="1:34" ht="13" x14ac:dyDescent="0.25">
      <c r="A120" s="248"/>
      <c r="B120" s="78">
        <v>117</v>
      </c>
      <c r="C120" s="14" t="s">
        <v>569</v>
      </c>
      <c r="D120" s="53" t="s">
        <v>2779</v>
      </c>
      <c r="E120" s="57" t="s">
        <v>2975</v>
      </c>
      <c r="F120" s="7" t="s">
        <v>43</v>
      </c>
      <c r="G120" s="7" t="s">
        <v>48</v>
      </c>
      <c r="H120" s="7" t="s">
        <v>3256</v>
      </c>
      <c r="I120" s="7" t="s">
        <v>3256</v>
      </c>
      <c r="J120" s="7" t="s">
        <v>3172</v>
      </c>
      <c r="K120" s="7" t="s">
        <v>3373</v>
      </c>
      <c r="L120" s="7">
        <v>10053794090</v>
      </c>
      <c r="M120" s="7"/>
      <c r="N120" s="7"/>
      <c r="O120" s="29" t="s">
        <v>11</v>
      </c>
      <c r="P120" s="29" t="s">
        <v>11</v>
      </c>
      <c r="Q120" s="29" t="s">
        <v>11</v>
      </c>
      <c r="R120" s="29" t="s">
        <v>11</v>
      </c>
      <c r="S120" s="29" t="s">
        <v>11</v>
      </c>
      <c r="T120" s="29" t="s">
        <v>11</v>
      </c>
      <c r="U120" s="29" t="s">
        <v>11</v>
      </c>
      <c r="V120" s="29" t="s">
        <v>11</v>
      </c>
      <c r="W120" s="29" t="s">
        <v>11</v>
      </c>
      <c r="X120" s="29" t="s">
        <v>11</v>
      </c>
      <c r="Y120" s="29" t="s">
        <v>11</v>
      </c>
      <c r="Z120" s="29" t="s">
        <v>11</v>
      </c>
      <c r="AA120" s="29" t="s">
        <v>11</v>
      </c>
      <c r="AB120" s="29" t="s">
        <v>11</v>
      </c>
      <c r="AC120" s="29" t="s">
        <v>11</v>
      </c>
      <c r="AD120" s="29" t="s">
        <v>11</v>
      </c>
      <c r="AE120" s="24">
        <f t="shared" si="3"/>
        <v>0</v>
      </c>
      <c r="AF120" s="24">
        <f t="shared" si="4"/>
        <v>0</v>
      </c>
      <c r="AG120" s="24">
        <f t="shared" si="5"/>
        <v>15</v>
      </c>
      <c r="AH120" s="41" t="str" cm="1">
        <f t="array" ref="AH120">_xlfn.IFS(
$AE120=15,"Not Started",
$AG120&lt;15,"In Progress",
$AG120=15,"Completed",
SUM(AE120:AG120)&gt;15,"Error"
)</f>
        <v>Completed</v>
      </c>
    </row>
    <row r="121" spans="1:34" ht="13" x14ac:dyDescent="0.25">
      <c r="A121" s="248"/>
      <c r="B121" s="78">
        <v>118</v>
      </c>
      <c r="C121" s="7" t="s">
        <v>570</v>
      </c>
      <c r="D121" s="53" t="s">
        <v>2780</v>
      </c>
      <c r="E121" s="57" t="s">
        <v>2976</v>
      </c>
      <c r="F121" s="7" t="s">
        <v>43</v>
      </c>
      <c r="G121" s="7" t="s">
        <v>48</v>
      </c>
      <c r="H121" s="7" t="s">
        <v>3256</v>
      </c>
      <c r="I121" s="7" t="s">
        <v>3256</v>
      </c>
      <c r="J121" s="7" t="s">
        <v>3173</v>
      </c>
      <c r="K121" s="7" t="s">
        <v>3374</v>
      </c>
      <c r="L121" s="7">
        <v>10071285851</v>
      </c>
      <c r="M121" s="7"/>
      <c r="N121" s="7"/>
      <c r="O121" s="29" t="s">
        <v>11</v>
      </c>
      <c r="P121" s="29" t="s">
        <v>11</v>
      </c>
      <c r="Q121" s="29" t="s">
        <v>11</v>
      </c>
      <c r="R121" s="29" t="s">
        <v>11</v>
      </c>
      <c r="S121" s="29" t="s">
        <v>11</v>
      </c>
      <c r="T121" s="29" t="s">
        <v>11</v>
      </c>
      <c r="U121" s="29" t="s">
        <v>11</v>
      </c>
      <c r="V121" s="29" t="s">
        <v>11</v>
      </c>
      <c r="W121" s="29" t="s">
        <v>11</v>
      </c>
      <c r="X121" s="29" t="s">
        <v>11</v>
      </c>
      <c r="Y121" s="29" t="s">
        <v>11</v>
      </c>
      <c r="Z121" s="29" t="s">
        <v>11</v>
      </c>
      <c r="AA121" s="29" t="s">
        <v>11</v>
      </c>
      <c r="AB121" s="29" t="s">
        <v>11</v>
      </c>
      <c r="AC121" s="29" t="s">
        <v>11</v>
      </c>
      <c r="AD121" s="29" t="s">
        <v>11</v>
      </c>
      <c r="AE121" s="24">
        <f t="shared" si="3"/>
        <v>0</v>
      </c>
      <c r="AF121" s="24">
        <f t="shared" si="4"/>
        <v>0</v>
      </c>
      <c r="AG121" s="24">
        <f t="shared" si="5"/>
        <v>15</v>
      </c>
      <c r="AH121" s="41" t="str" cm="1">
        <f t="array" ref="AH121">_xlfn.IFS(
$AE121=15,"Not Started",
$AG121&lt;15,"In Progress",
$AG121=15,"Completed",
SUM(AE121:AG121)&gt;15,"Error"
)</f>
        <v>Completed</v>
      </c>
    </row>
    <row r="122" spans="1:34" ht="13" x14ac:dyDescent="0.25">
      <c r="A122" s="248"/>
      <c r="B122" s="78">
        <v>119</v>
      </c>
      <c r="C122" s="14" t="s">
        <v>571</v>
      </c>
      <c r="D122" s="53" t="s">
        <v>2781</v>
      </c>
      <c r="E122" s="57" t="s">
        <v>2977</v>
      </c>
      <c r="F122" s="7" t="s">
        <v>43</v>
      </c>
      <c r="G122" s="7" t="s">
        <v>48</v>
      </c>
      <c r="H122" s="7" t="s">
        <v>3256</v>
      </c>
      <c r="I122" s="7" t="s">
        <v>3256</v>
      </c>
      <c r="J122" s="7" t="s">
        <v>3174</v>
      </c>
      <c r="K122" s="7" t="s">
        <v>3375</v>
      </c>
      <c r="L122" s="7">
        <v>10053561436</v>
      </c>
      <c r="M122" s="7"/>
      <c r="N122" s="7"/>
      <c r="O122" s="29" t="s">
        <v>11</v>
      </c>
      <c r="P122" s="29" t="s">
        <v>11</v>
      </c>
      <c r="Q122" s="29" t="s">
        <v>11</v>
      </c>
      <c r="R122" s="29" t="s">
        <v>11</v>
      </c>
      <c r="S122" s="29" t="s">
        <v>11</v>
      </c>
      <c r="T122" s="29" t="s">
        <v>11</v>
      </c>
      <c r="U122" s="29" t="s">
        <v>11</v>
      </c>
      <c r="V122" s="29" t="s">
        <v>11</v>
      </c>
      <c r="W122" s="29" t="s">
        <v>11</v>
      </c>
      <c r="X122" s="29" t="s">
        <v>11</v>
      </c>
      <c r="Y122" s="29" t="s">
        <v>11</v>
      </c>
      <c r="Z122" s="29" t="s">
        <v>11</v>
      </c>
      <c r="AA122" s="29" t="s">
        <v>11</v>
      </c>
      <c r="AB122" s="29" t="s">
        <v>11</v>
      </c>
      <c r="AC122" s="29" t="s">
        <v>11</v>
      </c>
      <c r="AD122" s="29" t="s">
        <v>11</v>
      </c>
      <c r="AE122" s="24">
        <f t="shared" si="3"/>
        <v>0</v>
      </c>
      <c r="AF122" s="24">
        <f t="shared" si="4"/>
        <v>0</v>
      </c>
      <c r="AG122" s="24">
        <f t="shared" si="5"/>
        <v>15</v>
      </c>
      <c r="AH122" s="41" t="str" cm="1">
        <f t="array" ref="AH122">_xlfn.IFS(
$AE122=15,"Not Started",
$AG122&lt;15,"In Progress",
$AG122=15,"Completed",
SUM(AE122:AG122)&gt;15,"Error"
)</f>
        <v>Completed</v>
      </c>
    </row>
    <row r="123" spans="1:34" ht="13" x14ac:dyDescent="0.25">
      <c r="A123" s="248"/>
      <c r="B123" s="78">
        <v>120</v>
      </c>
      <c r="C123" s="7" t="s">
        <v>572</v>
      </c>
      <c r="D123" s="53" t="s">
        <v>2782</v>
      </c>
      <c r="E123" s="57" t="s">
        <v>2978</v>
      </c>
      <c r="F123" s="7" t="s">
        <v>43</v>
      </c>
      <c r="G123" s="7" t="s">
        <v>48</v>
      </c>
      <c r="H123" s="7" t="s">
        <v>3256</v>
      </c>
      <c r="I123" s="7" t="s">
        <v>3256</v>
      </c>
      <c r="J123" s="7" t="s">
        <v>3175</v>
      </c>
      <c r="K123" s="7" t="s">
        <v>3376</v>
      </c>
      <c r="L123" s="7">
        <v>10053619438</v>
      </c>
      <c r="M123" s="7"/>
      <c r="N123" s="7"/>
      <c r="O123" s="29" t="s">
        <v>11</v>
      </c>
      <c r="P123" s="29" t="s">
        <v>11</v>
      </c>
      <c r="Q123" s="29" t="s">
        <v>11</v>
      </c>
      <c r="R123" s="29" t="s">
        <v>11</v>
      </c>
      <c r="S123" s="29" t="s">
        <v>11</v>
      </c>
      <c r="T123" s="29" t="s">
        <v>11</v>
      </c>
      <c r="U123" s="29" t="s">
        <v>11</v>
      </c>
      <c r="V123" s="29" t="s">
        <v>11</v>
      </c>
      <c r="W123" s="29" t="s">
        <v>11</v>
      </c>
      <c r="X123" s="29" t="s">
        <v>11</v>
      </c>
      <c r="Y123" s="29" t="s">
        <v>11</v>
      </c>
      <c r="Z123" s="29" t="s">
        <v>11</v>
      </c>
      <c r="AA123" s="29" t="s">
        <v>11</v>
      </c>
      <c r="AB123" s="29" t="s">
        <v>11</v>
      </c>
      <c r="AC123" s="29" t="s">
        <v>11</v>
      </c>
      <c r="AD123" s="29" t="s">
        <v>11</v>
      </c>
      <c r="AE123" s="24">
        <f t="shared" si="3"/>
        <v>0</v>
      </c>
      <c r="AF123" s="24">
        <f t="shared" si="4"/>
        <v>0</v>
      </c>
      <c r="AG123" s="24">
        <f t="shared" si="5"/>
        <v>15</v>
      </c>
      <c r="AH123" s="41" t="str" cm="1">
        <f t="array" ref="AH123">_xlfn.IFS(
$AE123=15,"Not Started",
$AG123&lt;15,"In Progress",
$AG123=15,"Completed",
SUM(AE123:AG123)&gt;15,"Error"
)</f>
        <v>Completed</v>
      </c>
    </row>
    <row r="124" spans="1:34" ht="13" x14ac:dyDescent="0.25">
      <c r="A124" s="248"/>
      <c r="B124" s="78">
        <v>121</v>
      </c>
      <c r="C124" s="14" t="s">
        <v>573</v>
      </c>
      <c r="D124" s="53" t="s">
        <v>2783</v>
      </c>
      <c r="E124" s="57" t="s">
        <v>2979</v>
      </c>
      <c r="F124" s="7" t="s">
        <v>43</v>
      </c>
      <c r="G124" s="7" t="s">
        <v>48</v>
      </c>
      <c r="H124" s="7" t="s">
        <v>3256</v>
      </c>
      <c r="I124" s="7" t="s">
        <v>3256</v>
      </c>
      <c r="J124" s="7" t="s">
        <v>3176</v>
      </c>
      <c r="K124" s="7" t="s">
        <v>3377</v>
      </c>
      <c r="L124" s="7">
        <v>10053373006</v>
      </c>
      <c r="M124" s="7"/>
      <c r="N124" s="7"/>
      <c r="O124" s="29" t="s">
        <v>11</v>
      </c>
      <c r="P124" s="29" t="s">
        <v>11</v>
      </c>
      <c r="Q124" s="29" t="s">
        <v>11</v>
      </c>
      <c r="R124" s="29" t="s">
        <v>11</v>
      </c>
      <c r="S124" s="29" t="s">
        <v>11</v>
      </c>
      <c r="T124" s="29" t="s">
        <v>11</v>
      </c>
      <c r="U124" s="29" t="s">
        <v>11</v>
      </c>
      <c r="V124" s="29" t="s">
        <v>11</v>
      </c>
      <c r="W124" s="29" t="s">
        <v>11</v>
      </c>
      <c r="X124" s="29" t="s">
        <v>11</v>
      </c>
      <c r="Y124" s="29" t="s">
        <v>11</v>
      </c>
      <c r="Z124" s="29" t="s">
        <v>11</v>
      </c>
      <c r="AA124" s="29" t="s">
        <v>11</v>
      </c>
      <c r="AB124" s="29" t="s">
        <v>11</v>
      </c>
      <c r="AC124" s="29" t="s">
        <v>11</v>
      </c>
      <c r="AD124" s="29" t="s">
        <v>11</v>
      </c>
      <c r="AE124" s="24">
        <f t="shared" si="3"/>
        <v>0</v>
      </c>
      <c r="AF124" s="24">
        <f t="shared" si="4"/>
        <v>0</v>
      </c>
      <c r="AG124" s="24">
        <f t="shared" si="5"/>
        <v>15</v>
      </c>
      <c r="AH124" s="41" t="str" cm="1">
        <f t="array" ref="AH124">_xlfn.IFS(
$AE124=15,"Not Started",
$AG124&lt;15,"In Progress",
$AG124=15,"Completed",
SUM(AE124:AG124)&gt;15,"Error"
)</f>
        <v>Completed</v>
      </c>
    </row>
    <row r="125" spans="1:34" ht="13" x14ac:dyDescent="0.25">
      <c r="A125" s="248"/>
      <c r="B125" s="78">
        <v>122</v>
      </c>
      <c r="C125" s="7" t="s">
        <v>574</v>
      </c>
      <c r="D125" s="53" t="s">
        <v>2784</v>
      </c>
      <c r="E125" s="57" t="s">
        <v>2980</v>
      </c>
      <c r="F125" s="7" t="s">
        <v>43</v>
      </c>
      <c r="G125" s="7" t="s">
        <v>44</v>
      </c>
      <c r="H125" s="7" t="s">
        <v>3256</v>
      </c>
      <c r="I125" s="7" t="s">
        <v>3256</v>
      </c>
      <c r="J125" s="7" t="s">
        <v>3177</v>
      </c>
      <c r="K125" s="7" t="s">
        <v>3378</v>
      </c>
      <c r="L125" s="7">
        <v>10053355591</v>
      </c>
      <c r="M125" s="7"/>
      <c r="N125" s="7"/>
      <c r="O125" s="29" t="s">
        <v>11</v>
      </c>
      <c r="P125" s="29" t="s">
        <v>11</v>
      </c>
      <c r="Q125" s="29" t="s">
        <v>11</v>
      </c>
      <c r="R125" s="29" t="s">
        <v>11</v>
      </c>
      <c r="S125" s="29" t="s">
        <v>11</v>
      </c>
      <c r="T125" s="29" t="s">
        <v>11</v>
      </c>
      <c r="U125" s="29" t="s">
        <v>11</v>
      </c>
      <c r="V125" s="29" t="s">
        <v>11</v>
      </c>
      <c r="W125" s="29" t="s">
        <v>11</v>
      </c>
      <c r="X125" s="29" t="s">
        <v>11</v>
      </c>
      <c r="Y125" s="29" t="s">
        <v>11</v>
      </c>
      <c r="Z125" s="29" t="s">
        <v>11</v>
      </c>
      <c r="AA125" s="29" t="s">
        <v>11</v>
      </c>
      <c r="AB125" s="29" t="s">
        <v>11</v>
      </c>
      <c r="AC125" s="29" t="s">
        <v>11</v>
      </c>
      <c r="AD125" s="29" t="s">
        <v>11</v>
      </c>
      <c r="AE125" s="24">
        <f t="shared" si="3"/>
        <v>0</v>
      </c>
      <c r="AF125" s="24">
        <f t="shared" si="4"/>
        <v>0</v>
      </c>
      <c r="AG125" s="24">
        <f t="shared" si="5"/>
        <v>15</v>
      </c>
      <c r="AH125" s="41" t="str" cm="1">
        <f t="array" ref="AH125">_xlfn.IFS(
$AE125=15,"Not Started",
$AG125&lt;15,"In Progress",
$AG125=15,"Completed",
SUM(AE125:AG125)&gt;15,"Error"
)</f>
        <v>Completed</v>
      </c>
    </row>
    <row r="126" spans="1:34" ht="13" x14ac:dyDescent="0.25">
      <c r="A126" s="248"/>
      <c r="B126" s="78">
        <v>123</v>
      </c>
      <c r="C126" s="14" t="s">
        <v>575</v>
      </c>
      <c r="D126" s="53" t="s">
        <v>2785</v>
      </c>
      <c r="E126" s="57" t="s">
        <v>2981</v>
      </c>
      <c r="F126" s="7" t="s">
        <v>43</v>
      </c>
      <c r="G126" s="7" t="s">
        <v>44</v>
      </c>
      <c r="H126" s="7" t="s">
        <v>3256</v>
      </c>
      <c r="I126" s="7" t="s">
        <v>3256</v>
      </c>
      <c r="J126" s="7" t="s">
        <v>3178</v>
      </c>
      <c r="K126" s="7" t="s">
        <v>3379</v>
      </c>
      <c r="L126" s="7">
        <v>10053313198</v>
      </c>
      <c r="M126" s="7"/>
      <c r="N126" s="7"/>
      <c r="O126" s="29" t="s">
        <v>11</v>
      </c>
      <c r="P126" s="29" t="s">
        <v>11</v>
      </c>
      <c r="Q126" s="29" t="s">
        <v>11</v>
      </c>
      <c r="R126" s="29" t="s">
        <v>11</v>
      </c>
      <c r="S126" s="29" t="s">
        <v>11</v>
      </c>
      <c r="T126" s="29" t="s">
        <v>11</v>
      </c>
      <c r="U126" s="29" t="s">
        <v>11</v>
      </c>
      <c r="V126" s="29" t="s">
        <v>11</v>
      </c>
      <c r="W126" s="29" t="s">
        <v>11</v>
      </c>
      <c r="X126" s="29" t="s">
        <v>11</v>
      </c>
      <c r="Y126" s="29" t="s">
        <v>11</v>
      </c>
      <c r="Z126" s="29" t="s">
        <v>11</v>
      </c>
      <c r="AA126" s="29" t="s">
        <v>11</v>
      </c>
      <c r="AB126" s="29" t="s">
        <v>11</v>
      </c>
      <c r="AC126" s="29" t="s">
        <v>11</v>
      </c>
      <c r="AD126" s="29" t="s">
        <v>11</v>
      </c>
      <c r="AE126" s="24">
        <f t="shared" si="3"/>
        <v>0</v>
      </c>
      <c r="AF126" s="24">
        <f t="shared" si="4"/>
        <v>0</v>
      </c>
      <c r="AG126" s="24">
        <f t="shared" si="5"/>
        <v>15</v>
      </c>
      <c r="AH126" s="41" t="str" cm="1">
        <f t="array" ref="AH126">_xlfn.IFS(
$AE126=15,"Not Started",
$AG126&lt;15,"In Progress",
$AG126=15,"Completed",
SUM(AE126:AG126)&gt;15,"Error"
)</f>
        <v>Completed</v>
      </c>
    </row>
    <row r="127" spans="1:34" ht="13" x14ac:dyDescent="0.25">
      <c r="A127" s="248"/>
      <c r="B127" s="78">
        <v>124</v>
      </c>
      <c r="C127" s="7" t="s">
        <v>576</v>
      </c>
      <c r="D127" s="53" t="s">
        <v>2786</v>
      </c>
      <c r="E127" s="57" t="s">
        <v>2982</v>
      </c>
      <c r="F127" s="7" t="s">
        <v>43</v>
      </c>
      <c r="G127" s="7" t="s">
        <v>48</v>
      </c>
      <c r="H127" s="7" t="s">
        <v>3256</v>
      </c>
      <c r="I127" s="7" t="s">
        <v>3256</v>
      </c>
      <c r="J127" s="7" t="s">
        <v>3179</v>
      </c>
      <c r="K127" s="7" t="s">
        <v>3380</v>
      </c>
      <c r="L127" s="7">
        <v>10053743312</v>
      </c>
      <c r="M127" s="7"/>
      <c r="N127" s="7"/>
      <c r="O127" s="29" t="s">
        <v>11</v>
      </c>
      <c r="P127" s="29" t="s">
        <v>11</v>
      </c>
      <c r="Q127" s="29" t="s">
        <v>11</v>
      </c>
      <c r="R127" s="29" t="s">
        <v>11</v>
      </c>
      <c r="S127" s="29" t="s">
        <v>11</v>
      </c>
      <c r="T127" s="29" t="s">
        <v>11</v>
      </c>
      <c r="U127" s="29" t="s">
        <v>11</v>
      </c>
      <c r="V127" s="29" t="s">
        <v>11</v>
      </c>
      <c r="W127" s="29" t="s">
        <v>11</v>
      </c>
      <c r="X127" s="29" t="s">
        <v>11</v>
      </c>
      <c r="Y127" s="29" t="s">
        <v>11</v>
      </c>
      <c r="Z127" s="29" t="s">
        <v>11</v>
      </c>
      <c r="AA127" s="29" t="s">
        <v>11</v>
      </c>
      <c r="AB127" s="29" t="s">
        <v>11</v>
      </c>
      <c r="AC127" s="29" t="s">
        <v>11</v>
      </c>
      <c r="AD127" s="29" t="s">
        <v>11</v>
      </c>
      <c r="AE127" s="24">
        <f t="shared" si="3"/>
        <v>0</v>
      </c>
      <c r="AF127" s="24">
        <f t="shared" si="4"/>
        <v>0</v>
      </c>
      <c r="AG127" s="24">
        <f t="shared" si="5"/>
        <v>15</v>
      </c>
      <c r="AH127" s="41" t="str" cm="1">
        <f t="array" ref="AH127">_xlfn.IFS(
$AE127=15,"Not Started",
$AG127&lt;15,"In Progress",
$AG127=15,"Completed",
SUM(AE127:AG127)&gt;15,"Error"
)</f>
        <v>Completed</v>
      </c>
    </row>
    <row r="128" spans="1:34" ht="13" x14ac:dyDescent="0.25">
      <c r="A128" s="248"/>
      <c r="B128" s="78">
        <v>125</v>
      </c>
      <c r="C128" s="14" t="s">
        <v>577</v>
      </c>
      <c r="D128" s="53" t="s">
        <v>2787</v>
      </c>
      <c r="E128" s="57" t="s">
        <v>2983</v>
      </c>
      <c r="F128" s="7" t="s">
        <v>47</v>
      </c>
      <c r="G128" s="7" t="s">
        <v>48</v>
      </c>
      <c r="H128" s="7" t="s">
        <v>3256</v>
      </c>
      <c r="I128" s="7" t="s">
        <v>3256</v>
      </c>
      <c r="J128" s="7" t="s">
        <v>3180</v>
      </c>
      <c r="K128" s="7" t="s">
        <v>3381</v>
      </c>
      <c r="L128" s="7">
        <v>10053789296</v>
      </c>
      <c r="M128" s="7"/>
      <c r="N128" s="7"/>
      <c r="O128" s="29" t="s">
        <v>11</v>
      </c>
      <c r="P128" s="29" t="s">
        <v>11</v>
      </c>
      <c r="Q128" s="29" t="s">
        <v>11</v>
      </c>
      <c r="R128" s="29" t="s">
        <v>11</v>
      </c>
      <c r="S128" s="29" t="s">
        <v>11</v>
      </c>
      <c r="T128" s="29" t="s">
        <v>11</v>
      </c>
      <c r="U128" s="29" t="s">
        <v>11</v>
      </c>
      <c r="V128" s="29" t="s">
        <v>11</v>
      </c>
      <c r="W128" s="29" t="s">
        <v>11</v>
      </c>
      <c r="X128" s="29" t="s">
        <v>11</v>
      </c>
      <c r="Y128" s="29" t="s">
        <v>11</v>
      </c>
      <c r="Z128" s="29" t="s">
        <v>11</v>
      </c>
      <c r="AA128" s="29" t="s">
        <v>11</v>
      </c>
      <c r="AB128" s="29" t="s">
        <v>11</v>
      </c>
      <c r="AC128" s="29" t="s">
        <v>11</v>
      </c>
      <c r="AD128" s="29" t="s">
        <v>11</v>
      </c>
      <c r="AE128" s="24">
        <f t="shared" si="3"/>
        <v>0</v>
      </c>
      <c r="AF128" s="24">
        <f t="shared" si="4"/>
        <v>0</v>
      </c>
      <c r="AG128" s="24">
        <f t="shared" si="5"/>
        <v>15</v>
      </c>
      <c r="AH128" s="41" t="str" cm="1">
        <f t="array" ref="AH128">_xlfn.IFS(
$AE128=15,"Not Started",
$AG128&lt;15,"In Progress",
$AG128=15,"Completed",
SUM(AE128:AG128)&gt;15,"Error"
)</f>
        <v>Completed</v>
      </c>
    </row>
    <row r="129" spans="1:34" ht="13" x14ac:dyDescent="0.25">
      <c r="A129" s="248"/>
      <c r="B129" s="78">
        <v>126</v>
      </c>
      <c r="C129" s="7" t="s">
        <v>578</v>
      </c>
      <c r="D129" s="53" t="s">
        <v>2788</v>
      </c>
      <c r="E129" s="57" t="s">
        <v>2984</v>
      </c>
      <c r="F129" s="7" t="s">
        <v>47</v>
      </c>
      <c r="G129" s="7" t="s">
        <v>44</v>
      </c>
      <c r="H129" s="7" t="s">
        <v>3256</v>
      </c>
      <c r="I129" s="7" t="s">
        <v>3256</v>
      </c>
      <c r="J129" s="7" t="s">
        <v>3181</v>
      </c>
      <c r="K129" s="7" t="s">
        <v>3382</v>
      </c>
      <c r="L129" s="7">
        <v>10053821141</v>
      </c>
      <c r="M129" s="7"/>
      <c r="N129" s="7"/>
      <c r="O129" s="29" t="s">
        <v>11</v>
      </c>
      <c r="P129" s="29" t="s">
        <v>11</v>
      </c>
      <c r="Q129" s="29" t="s">
        <v>11</v>
      </c>
      <c r="R129" s="29" t="s">
        <v>11</v>
      </c>
      <c r="S129" s="29" t="s">
        <v>11</v>
      </c>
      <c r="T129" s="29" t="s">
        <v>11</v>
      </c>
      <c r="U129" s="29" t="s">
        <v>11</v>
      </c>
      <c r="V129" s="29" t="s">
        <v>11</v>
      </c>
      <c r="W129" s="29" t="s">
        <v>11</v>
      </c>
      <c r="X129" s="29" t="s">
        <v>11</v>
      </c>
      <c r="Y129" s="29" t="s">
        <v>11</v>
      </c>
      <c r="Z129" s="29" t="s">
        <v>11</v>
      </c>
      <c r="AA129" s="29" t="s">
        <v>11</v>
      </c>
      <c r="AB129" s="29" t="s">
        <v>11</v>
      </c>
      <c r="AC129" s="29" t="s">
        <v>11</v>
      </c>
      <c r="AD129" s="29" t="s">
        <v>11</v>
      </c>
      <c r="AE129" s="24">
        <f t="shared" si="3"/>
        <v>0</v>
      </c>
      <c r="AF129" s="24">
        <f t="shared" si="4"/>
        <v>0</v>
      </c>
      <c r="AG129" s="24">
        <f t="shared" si="5"/>
        <v>15</v>
      </c>
      <c r="AH129" s="41" t="str" cm="1">
        <f t="array" ref="AH129">_xlfn.IFS(
$AE129=15,"Not Started",
$AG129&lt;15,"In Progress",
$AG129=15,"Completed",
SUM(AE129:AG129)&gt;15,"Error"
)</f>
        <v>Completed</v>
      </c>
    </row>
    <row r="130" spans="1:34" ht="13" x14ac:dyDescent="0.25">
      <c r="A130" s="248"/>
      <c r="B130" s="78">
        <v>127</v>
      </c>
      <c r="C130" s="14" t="s">
        <v>579</v>
      </c>
      <c r="D130" s="53" t="s">
        <v>2789</v>
      </c>
      <c r="E130" s="57" t="s">
        <v>2985</v>
      </c>
      <c r="F130" s="7" t="s">
        <v>43</v>
      </c>
      <c r="G130" s="7" t="s">
        <v>44</v>
      </c>
      <c r="H130" s="7" t="s">
        <v>3256</v>
      </c>
      <c r="I130" s="7" t="s">
        <v>3256</v>
      </c>
      <c r="J130" s="7" t="s">
        <v>3182</v>
      </c>
      <c r="K130" s="7" t="s">
        <v>3383</v>
      </c>
      <c r="L130" s="7">
        <v>10053442159</v>
      </c>
      <c r="M130" s="7"/>
      <c r="N130" s="7"/>
      <c r="O130" s="29" t="s">
        <v>11</v>
      </c>
      <c r="P130" s="29" t="s">
        <v>11</v>
      </c>
      <c r="Q130" s="29" t="s">
        <v>11</v>
      </c>
      <c r="R130" s="29" t="s">
        <v>11</v>
      </c>
      <c r="S130" s="29" t="s">
        <v>11</v>
      </c>
      <c r="T130" s="29" t="s">
        <v>11</v>
      </c>
      <c r="U130" s="29" t="s">
        <v>11</v>
      </c>
      <c r="V130" s="29" t="s">
        <v>11</v>
      </c>
      <c r="W130" s="29" t="s">
        <v>11</v>
      </c>
      <c r="X130" s="29" t="s">
        <v>11</v>
      </c>
      <c r="Y130" s="29" t="s">
        <v>11</v>
      </c>
      <c r="Z130" s="29" t="s">
        <v>11</v>
      </c>
      <c r="AA130" s="29" t="s">
        <v>11</v>
      </c>
      <c r="AB130" s="29" t="s">
        <v>11</v>
      </c>
      <c r="AC130" s="29" t="s">
        <v>11</v>
      </c>
      <c r="AD130" s="29" t="s">
        <v>11</v>
      </c>
      <c r="AE130" s="24">
        <f t="shared" si="3"/>
        <v>0</v>
      </c>
      <c r="AF130" s="24">
        <f t="shared" si="4"/>
        <v>0</v>
      </c>
      <c r="AG130" s="24">
        <f t="shared" si="5"/>
        <v>15</v>
      </c>
      <c r="AH130" s="41" t="str" cm="1">
        <f t="array" ref="AH130">_xlfn.IFS(
$AE130=15,"Not Started",
$AG130&lt;15,"In Progress",
$AG130=15,"Completed",
SUM(AE130:AG130)&gt;15,"Error"
)</f>
        <v>Completed</v>
      </c>
    </row>
    <row r="131" spans="1:34" ht="13" x14ac:dyDescent="0.25">
      <c r="A131" s="248"/>
      <c r="B131" s="78">
        <v>128</v>
      </c>
      <c r="C131" s="7" t="s">
        <v>580</v>
      </c>
      <c r="D131" s="53" t="s">
        <v>2790</v>
      </c>
      <c r="E131" s="57" t="s">
        <v>2986</v>
      </c>
      <c r="F131" s="7" t="s">
        <v>47</v>
      </c>
      <c r="G131" s="7" t="s">
        <v>48</v>
      </c>
      <c r="H131" s="7" t="s">
        <v>3256</v>
      </c>
      <c r="I131" s="7" t="s">
        <v>3256</v>
      </c>
      <c r="J131" s="7" t="s">
        <v>3183</v>
      </c>
      <c r="K131" s="7" t="s">
        <v>3384</v>
      </c>
      <c r="L131" s="7">
        <v>10053845538</v>
      </c>
      <c r="M131" s="7"/>
      <c r="N131" s="7"/>
      <c r="O131" s="29" t="s">
        <v>11</v>
      </c>
      <c r="P131" s="29" t="s">
        <v>11</v>
      </c>
      <c r="Q131" s="29" t="s">
        <v>11</v>
      </c>
      <c r="R131" s="29" t="s">
        <v>11</v>
      </c>
      <c r="S131" s="29" t="s">
        <v>11</v>
      </c>
      <c r="T131" s="29" t="s">
        <v>11</v>
      </c>
      <c r="U131" s="29" t="s">
        <v>11</v>
      </c>
      <c r="V131" s="29" t="s">
        <v>11</v>
      </c>
      <c r="W131" s="29" t="s">
        <v>11</v>
      </c>
      <c r="X131" s="29" t="s">
        <v>11</v>
      </c>
      <c r="Y131" s="29" t="s">
        <v>11</v>
      </c>
      <c r="Z131" s="29" t="s">
        <v>11</v>
      </c>
      <c r="AA131" s="29" t="s">
        <v>11</v>
      </c>
      <c r="AB131" s="29" t="s">
        <v>11</v>
      </c>
      <c r="AC131" s="29" t="s">
        <v>11</v>
      </c>
      <c r="AD131" s="29" t="s">
        <v>11</v>
      </c>
      <c r="AE131" s="24">
        <f t="shared" si="3"/>
        <v>0</v>
      </c>
      <c r="AF131" s="24">
        <f t="shared" si="4"/>
        <v>0</v>
      </c>
      <c r="AG131" s="24">
        <f t="shared" si="5"/>
        <v>15</v>
      </c>
      <c r="AH131" s="41" t="str" cm="1">
        <f t="array" ref="AH131">_xlfn.IFS(
$AE131=15,"Not Started",
$AG131&lt;15,"In Progress",
$AG131=15,"Completed",
SUM(AE131:AG131)&gt;15,"Error"
)</f>
        <v>Completed</v>
      </c>
    </row>
    <row r="132" spans="1:34" ht="13" x14ac:dyDescent="0.25">
      <c r="A132" s="248"/>
      <c r="B132" s="78">
        <v>129</v>
      </c>
      <c r="C132" s="14" t="s">
        <v>581</v>
      </c>
      <c r="D132" s="53" t="s">
        <v>2791</v>
      </c>
      <c r="E132" s="57" t="s">
        <v>2987</v>
      </c>
      <c r="F132" s="7" t="s">
        <v>43</v>
      </c>
      <c r="G132" s="7" t="s">
        <v>48</v>
      </c>
      <c r="H132" s="7" t="s">
        <v>3256</v>
      </c>
      <c r="I132" s="7" t="s">
        <v>3256</v>
      </c>
      <c r="J132" s="7" t="s">
        <v>3184</v>
      </c>
      <c r="K132" s="7" t="s">
        <v>3385</v>
      </c>
      <c r="L132" s="7">
        <v>10053246139</v>
      </c>
      <c r="M132" s="7"/>
      <c r="N132" s="7"/>
      <c r="O132" s="29" t="s">
        <v>11</v>
      </c>
      <c r="P132" s="29" t="s">
        <v>11</v>
      </c>
      <c r="Q132" s="29" t="s">
        <v>11</v>
      </c>
      <c r="R132" s="29" t="s">
        <v>11</v>
      </c>
      <c r="S132" s="29" t="s">
        <v>11</v>
      </c>
      <c r="T132" s="29" t="s">
        <v>11</v>
      </c>
      <c r="U132" s="29" t="s">
        <v>11</v>
      </c>
      <c r="V132" s="29" t="s">
        <v>11</v>
      </c>
      <c r="W132" s="29" t="s">
        <v>11</v>
      </c>
      <c r="X132" s="29" t="s">
        <v>11</v>
      </c>
      <c r="Y132" s="29" t="s">
        <v>11</v>
      </c>
      <c r="Z132" s="29" t="s">
        <v>11</v>
      </c>
      <c r="AA132" s="29" t="s">
        <v>11</v>
      </c>
      <c r="AB132" s="29" t="s">
        <v>11</v>
      </c>
      <c r="AC132" s="29" t="s">
        <v>11</v>
      </c>
      <c r="AD132" s="29" t="s">
        <v>11</v>
      </c>
      <c r="AE132" s="24">
        <f t="shared" ref="AE132:AE195" si="6">COUNTIF(O132:AC132,$AE$2)</f>
        <v>0</v>
      </c>
      <c r="AF132" s="24">
        <f t="shared" ref="AF132:AF195" si="7">COUNTIF(O132:AC132,$AF$2)</f>
        <v>0</v>
      </c>
      <c r="AG132" s="24">
        <f t="shared" ref="AG132:AG195" si="8">COUNTIF(O132:AC132,$AG$2)</f>
        <v>15</v>
      </c>
      <c r="AH132" s="41" t="str" cm="1">
        <f t="array" ref="AH132">_xlfn.IFS(
$AE132=15,"Not Started",
$AG132&lt;15,"In Progress",
$AG132=15,"Completed",
SUM(AE132:AG132)&gt;15,"Error"
)</f>
        <v>Completed</v>
      </c>
    </row>
    <row r="133" spans="1:34" ht="13" x14ac:dyDescent="0.25">
      <c r="A133" s="248"/>
      <c r="B133" s="78">
        <v>130</v>
      </c>
      <c r="C133" s="7" t="s">
        <v>582</v>
      </c>
      <c r="D133" s="53" t="s">
        <v>2792</v>
      </c>
      <c r="E133" s="57" t="s">
        <v>2988</v>
      </c>
      <c r="F133" s="7" t="s">
        <v>51</v>
      </c>
      <c r="G133" s="7" t="s">
        <v>44</v>
      </c>
      <c r="H133" s="7" t="s">
        <v>3256</v>
      </c>
      <c r="I133" s="7" t="s">
        <v>3256</v>
      </c>
      <c r="J133" s="7" t="s">
        <v>3185</v>
      </c>
      <c r="K133" s="7" t="s">
        <v>3386</v>
      </c>
      <c r="L133" s="7">
        <v>10053821419</v>
      </c>
      <c r="M133" s="7"/>
      <c r="N133" s="7"/>
      <c r="O133" s="29" t="s">
        <v>11</v>
      </c>
      <c r="P133" s="29" t="s">
        <v>11</v>
      </c>
      <c r="Q133" s="29" t="s">
        <v>11</v>
      </c>
      <c r="R133" s="29" t="s">
        <v>11</v>
      </c>
      <c r="S133" s="29" t="s">
        <v>11</v>
      </c>
      <c r="T133" s="29" t="s">
        <v>11</v>
      </c>
      <c r="U133" s="29" t="s">
        <v>11</v>
      </c>
      <c r="V133" s="29" t="s">
        <v>11</v>
      </c>
      <c r="W133" s="29" t="s">
        <v>11</v>
      </c>
      <c r="X133" s="29" t="s">
        <v>11</v>
      </c>
      <c r="Y133" s="29" t="s">
        <v>11</v>
      </c>
      <c r="Z133" s="29" t="s">
        <v>11</v>
      </c>
      <c r="AA133" s="29" t="s">
        <v>11</v>
      </c>
      <c r="AB133" s="29" t="s">
        <v>11</v>
      </c>
      <c r="AC133" s="29" t="s">
        <v>11</v>
      </c>
      <c r="AD133" s="29" t="s">
        <v>11</v>
      </c>
      <c r="AE133" s="24">
        <f t="shared" si="6"/>
        <v>0</v>
      </c>
      <c r="AF133" s="24">
        <f t="shared" si="7"/>
        <v>0</v>
      </c>
      <c r="AG133" s="24">
        <f t="shared" si="8"/>
        <v>15</v>
      </c>
      <c r="AH133" s="41" t="str" cm="1">
        <f t="array" ref="AH133">_xlfn.IFS(
$AE133=15,"Not Started",
$AG133&lt;15,"In Progress",
$AG133=15,"Completed",
SUM(AE133:AG133)&gt;15,"Error"
)</f>
        <v>Completed</v>
      </c>
    </row>
    <row r="134" spans="1:34" ht="13" x14ac:dyDescent="0.25">
      <c r="A134" s="248"/>
      <c r="B134" s="78">
        <v>131</v>
      </c>
      <c r="C134" s="14" t="s">
        <v>583</v>
      </c>
      <c r="D134" s="53" t="s">
        <v>2793</v>
      </c>
      <c r="E134" s="57" t="s">
        <v>2989</v>
      </c>
      <c r="F134" s="7" t="s">
        <v>43</v>
      </c>
      <c r="G134" s="7" t="s">
        <v>48</v>
      </c>
      <c r="H134" s="7" t="s">
        <v>3256</v>
      </c>
      <c r="I134" s="7" t="s">
        <v>3256</v>
      </c>
      <c r="J134" s="7" t="s">
        <v>3186</v>
      </c>
      <c r="K134" s="7" t="s">
        <v>3387</v>
      </c>
      <c r="L134" s="7">
        <v>10101667619</v>
      </c>
      <c r="M134" s="7"/>
      <c r="N134" s="7"/>
      <c r="O134" s="29" t="s">
        <v>11</v>
      </c>
      <c r="P134" s="29" t="s">
        <v>11</v>
      </c>
      <c r="Q134" s="29" t="s">
        <v>11</v>
      </c>
      <c r="R134" s="29" t="s">
        <v>11</v>
      </c>
      <c r="S134" s="29" t="s">
        <v>11</v>
      </c>
      <c r="T134" s="29" t="s">
        <v>11</v>
      </c>
      <c r="U134" s="29" t="s">
        <v>11</v>
      </c>
      <c r="V134" s="29" t="s">
        <v>11</v>
      </c>
      <c r="W134" s="29" t="s">
        <v>11</v>
      </c>
      <c r="X134" s="29" t="s">
        <v>11</v>
      </c>
      <c r="Y134" s="29" t="s">
        <v>11</v>
      </c>
      <c r="Z134" s="29" t="s">
        <v>11</v>
      </c>
      <c r="AA134" s="29" t="s">
        <v>11</v>
      </c>
      <c r="AB134" s="29" t="s">
        <v>11</v>
      </c>
      <c r="AC134" s="29" t="s">
        <v>11</v>
      </c>
      <c r="AD134" s="29" t="s">
        <v>11</v>
      </c>
      <c r="AE134" s="24">
        <f t="shared" si="6"/>
        <v>0</v>
      </c>
      <c r="AF134" s="24">
        <f t="shared" si="7"/>
        <v>0</v>
      </c>
      <c r="AG134" s="24">
        <f t="shared" si="8"/>
        <v>15</v>
      </c>
      <c r="AH134" s="41" t="str" cm="1">
        <f t="array" ref="AH134">_xlfn.IFS(
$AE134=15,"Not Started",
$AG134&lt;15,"In Progress",
$AG134=15,"Completed",
SUM(AE134:AG134)&gt;15,"Error"
)</f>
        <v>Completed</v>
      </c>
    </row>
    <row r="135" spans="1:34" ht="13" x14ac:dyDescent="0.25">
      <c r="A135" s="248"/>
      <c r="B135" s="78">
        <v>132</v>
      </c>
      <c r="C135" s="7" t="s">
        <v>584</v>
      </c>
      <c r="D135" s="53" t="s">
        <v>2794</v>
      </c>
      <c r="E135" s="57" t="s">
        <v>2990</v>
      </c>
      <c r="F135" s="7" t="s">
        <v>47</v>
      </c>
      <c r="G135" s="7" t="s">
        <v>48</v>
      </c>
      <c r="H135" s="7" t="s">
        <v>3256</v>
      </c>
      <c r="I135" s="7" t="s">
        <v>3256</v>
      </c>
      <c r="J135" s="7" t="s">
        <v>3187</v>
      </c>
      <c r="K135" s="7" t="s">
        <v>3388</v>
      </c>
      <c r="L135" s="7">
        <v>10053792415</v>
      </c>
      <c r="M135" s="7"/>
      <c r="N135" s="7"/>
      <c r="O135" s="29" t="s">
        <v>11</v>
      </c>
      <c r="P135" s="29" t="s">
        <v>11</v>
      </c>
      <c r="Q135" s="29" t="s">
        <v>11</v>
      </c>
      <c r="R135" s="29" t="s">
        <v>11</v>
      </c>
      <c r="S135" s="29" t="s">
        <v>11</v>
      </c>
      <c r="T135" s="29" t="s">
        <v>11</v>
      </c>
      <c r="U135" s="29" t="s">
        <v>11</v>
      </c>
      <c r="V135" s="29" t="s">
        <v>11</v>
      </c>
      <c r="W135" s="29" t="s">
        <v>11</v>
      </c>
      <c r="X135" s="29" t="s">
        <v>11</v>
      </c>
      <c r="Y135" s="29" t="s">
        <v>11</v>
      </c>
      <c r="Z135" s="29" t="s">
        <v>11</v>
      </c>
      <c r="AA135" s="29" t="s">
        <v>11</v>
      </c>
      <c r="AB135" s="29" t="s">
        <v>11</v>
      </c>
      <c r="AC135" s="29" t="s">
        <v>11</v>
      </c>
      <c r="AD135" s="29" t="s">
        <v>11</v>
      </c>
      <c r="AE135" s="24">
        <f t="shared" si="6"/>
        <v>0</v>
      </c>
      <c r="AF135" s="24">
        <f t="shared" si="7"/>
        <v>0</v>
      </c>
      <c r="AG135" s="24">
        <f t="shared" si="8"/>
        <v>15</v>
      </c>
      <c r="AH135" s="41" t="str" cm="1">
        <f t="array" ref="AH135">_xlfn.IFS(
$AE135=15,"Not Started",
$AG135&lt;15,"In Progress",
$AG135=15,"Completed",
SUM(AE135:AG135)&gt;15,"Error"
)</f>
        <v>Completed</v>
      </c>
    </row>
    <row r="136" spans="1:34" ht="13" x14ac:dyDescent="0.25">
      <c r="A136" s="248"/>
      <c r="B136" s="78">
        <v>133</v>
      </c>
      <c r="C136" s="14" t="s">
        <v>585</v>
      </c>
      <c r="D136" s="53" t="s">
        <v>2795</v>
      </c>
      <c r="E136" s="57" t="s">
        <v>2991</v>
      </c>
      <c r="F136" s="7" t="s">
        <v>43</v>
      </c>
      <c r="G136" s="7" t="s">
        <v>44</v>
      </c>
      <c r="H136" s="7" t="s">
        <v>3256</v>
      </c>
      <c r="I136" s="7" t="s">
        <v>3256</v>
      </c>
      <c r="J136" s="7" t="s">
        <v>3188</v>
      </c>
      <c r="K136" s="7" t="s">
        <v>3389</v>
      </c>
      <c r="L136" s="7">
        <v>10053311999</v>
      </c>
      <c r="M136" s="7"/>
      <c r="N136" s="7"/>
      <c r="O136" s="29" t="s">
        <v>11</v>
      </c>
      <c r="P136" s="29" t="s">
        <v>11</v>
      </c>
      <c r="Q136" s="29" t="s">
        <v>11</v>
      </c>
      <c r="R136" s="29" t="s">
        <v>11</v>
      </c>
      <c r="S136" s="29" t="s">
        <v>11</v>
      </c>
      <c r="T136" s="29" t="s">
        <v>11</v>
      </c>
      <c r="U136" s="29" t="s">
        <v>11</v>
      </c>
      <c r="V136" s="29" t="s">
        <v>11</v>
      </c>
      <c r="W136" s="29" t="s">
        <v>11</v>
      </c>
      <c r="X136" s="29" t="s">
        <v>11</v>
      </c>
      <c r="Y136" s="29" t="s">
        <v>11</v>
      </c>
      <c r="Z136" s="29" t="s">
        <v>11</v>
      </c>
      <c r="AA136" s="29" t="s">
        <v>11</v>
      </c>
      <c r="AB136" s="29" t="s">
        <v>11</v>
      </c>
      <c r="AC136" s="29" t="s">
        <v>11</v>
      </c>
      <c r="AD136" s="29" t="s">
        <v>11</v>
      </c>
      <c r="AE136" s="24">
        <f t="shared" si="6"/>
        <v>0</v>
      </c>
      <c r="AF136" s="24">
        <f t="shared" si="7"/>
        <v>0</v>
      </c>
      <c r="AG136" s="24">
        <f t="shared" si="8"/>
        <v>15</v>
      </c>
      <c r="AH136" s="41" t="str" cm="1">
        <f t="array" ref="AH136">_xlfn.IFS(
$AE136=15,"Not Started",
$AG136&lt;15,"In Progress",
$AG136=15,"Completed",
SUM(AE136:AG136)&gt;15,"Error"
)</f>
        <v>Completed</v>
      </c>
    </row>
    <row r="137" spans="1:34" ht="13" x14ac:dyDescent="0.25">
      <c r="A137" s="248"/>
      <c r="B137" s="78">
        <v>134</v>
      </c>
      <c r="C137" s="7" t="s">
        <v>586</v>
      </c>
      <c r="D137" s="53" t="s">
        <v>2796</v>
      </c>
      <c r="E137" s="57" t="s">
        <v>2992</v>
      </c>
      <c r="F137" s="7" t="s">
        <v>51</v>
      </c>
      <c r="G137" s="7" t="s">
        <v>48</v>
      </c>
      <c r="H137" s="7" t="s">
        <v>3256</v>
      </c>
      <c r="I137" s="7" t="s">
        <v>3256</v>
      </c>
      <c r="J137" s="7" t="s">
        <v>3189</v>
      </c>
      <c r="K137" s="7" t="s">
        <v>3390</v>
      </c>
      <c r="L137" s="7">
        <v>10053851884</v>
      </c>
      <c r="M137" s="7"/>
      <c r="N137" s="7"/>
      <c r="O137" s="29" t="s">
        <v>11</v>
      </c>
      <c r="P137" s="29" t="s">
        <v>11</v>
      </c>
      <c r="Q137" s="29" t="s">
        <v>11</v>
      </c>
      <c r="R137" s="29" t="s">
        <v>11</v>
      </c>
      <c r="S137" s="29" t="s">
        <v>11</v>
      </c>
      <c r="T137" s="29" t="s">
        <v>11</v>
      </c>
      <c r="U137" s="29" t="s">
        <v>11</v>
      </c>
      <c r="V137" s="29" t="s">
        <v>11</v>
      </c>
      <c r="W137" s="29" t="s">
        <v>11</v>
      </c>
      <c r="X137" s="29" t="s">
        <v>11</v>
      </c>
      <c r="Y137" s="29" t="s">
        <v>11</v>
      </c>
      <c r="Z137" s="29" t="s">
        <v>11</v>
      </c>
      <c r="AA137" s="29" t="s">
        <v>11</v>
      </c>
      <c r="AB137" s="29" t="s">
        <v>11</v>
      </c>
      <c r="AC137" s="29" t="s">
        <v>11</v>
      </c>
      <c r="AD137" s="29" t="s">
        <v>11</v>
      </c>
      <c r="AE137" s="24">
        <f t="shared" si="6"/>
        <v>0</v>
      </c>
      <c r="AF137" s="24">
        <f t="shared" si="7"/>
        <v>0</v>
      </c>
      <c r="AG137" s="24">
        <f t="shared" si="8"/>
        <v>15</v>
      </c>
      <c r="AH137" s="41" t="str" cm="1">
        <f t="array" ref="AH137">_xlfn.IFS(
$AE137=15,"Not Started",
$AG137&lt;15,"In Progress",
$AG137=15,"Completed",
SUM(AE137:AG137)&gt;15,"Error"
)</f>
        <v>Completed</v>
      </c>
    </row>
    <row r="138" spans="1:34" ht="13" x14ac:dyDescent="0.25">
      <c r="A138" s="248"/>
      <c r="B138" s="78">
        <v>135</v>
      </c>
      <c r="C138" s="14" t="s">
        <v>587</v>
      </c>
      <c r="D138" s="53" t="s">
        <v>2797</v>
      </c>
      <c r="E138" s="57" t="s">
        <v>2993</v>
      </c>
      <c r="F138" s="7" t="s">
        <v>51</v>
      </c>
      <c r="G138" s="7" t="s">
        <v>44</v>
      </c>
      <c r="H138" s="7" t="s">
        <v>3256</v>
      </c>
      <c r="I138" s="7" t="s">
        <v>3256</v>
      </c>
      <c r="J138" s="7" t="s">
        <v>3190</v>
      </c>
      <c r="K138" s="7" t="s">
        <v>3391</v>
      </c>
      <c r="L138" s="7">
        <v>10053812204</v>
      </c>
      <c r="M138" s="7"/>
      <c r="N138" s="7"/>
      <c r="O138" s="29" t="s">
        <v>11</v>
      </c>
      <c r="P138" s="29" t="s">
        <v>11</v>
      </c>
      <c r="Q138" s="29" t="s">
        <v>11</v>
      </c>
      <c r="R138" s="29" t="s">
        <v>11</v>
      </c>
      <c r="S138" s="29" t="s">
        <v>11</v>
      </c>
      <c r="T138" s="29" t="s">
        <v>11</v>
      </c>
      <c r="U138" s="29" t="s">
        <v>11</v>
      </c>
      <c r="V138" s="29" t="s">
        <v>11</v>
      </c>
      <c r="W138" s="29" t="s">
        <v>11</v>
      </c>
      <c r="X138" s="29" t="s">
        <v>11</v>
      </c>
      <c r="Y138" s="29" t="s">
        <v>11</v>
      </c>
      <c r="Z138" s="29" t="s">
        <v>11</v>
      </c>
      <c r="AA138" s="29" t="s">
        <v>11</v>
      </c>
      <c r="AB138" s="29" t="s">
        <v>11</v>
      </c>
      <c r="AC138" s="29" t="s">
        <v>11</v>
      </c>
      <c r="AD138" s="29" t="s">
        <v>11</v>
      </c>
      <c r="AE138" s="24">
        <f t="shared" si="6"/>
        <v>0</v>
      </c>
      <c r="AF138" s="24">
        <f t="shared" si="7"/>
        <v>0</v>
      </c>
      <c r="AG138" s="24">
        <f t="shared" si="8"/>
        <v>15</v>
      </c>
      <c r="AH138" s="41" t="str" cm="1">
        <f t="array" ref="AH138">_xlfn.IFS(
$AE138=15,"Not Started",
$AG138&lt;15,"In Progress",
$AG138=15,"Completed",
SUM(AE138:AG138)&gt;15,"Error"
)</f>
        <v>Completed</v>
      </c>
    </row>
    <row r="139" spans="1:34" ht="13" x14ac:dyDescent="0.25">
      <c r="A139" s="248"/>
      <c r="B139" s="78">
        <v>136</v>
      </c>
      <c r="C139" s="7" t="s">
        <v>588</v>
      </c>
      <c r="D139" s="53" t="s">
        <v>2798</v>
      </c>
      <c r="E139" s="57" t="s">
        <v>2994</v>
      </c>
      <c r="F139" s="7" t="s">
        <v>47</v>
      </c>
      <c r="G139" s="7" t="s">
        <v>48</v>
      </c>
      <c r="H139" s="7" t="s">
        <v>3256</v>
      </c>
      <c r="I139" s="7" t="s">
        <v>3256</v>
      </c>
      <c r="J139" s="7" t="s">
        <v>3191</v>
      </c>
      <c r="K139" s="7" t="s">
        <v>3392</v>
      </c>
      <c r="L139" s="7">
        <v>10101098855</v>
      </c>
      <c r="M139" s="7"/>
      <c r="N139" s="7"/>
      <c r="O139" s="29" t="s">
        <v>11</v>
      </c>
      <c r="P139" s="29" t="s">
        <v>11</v>
      </c>
      <c r="Q139" s="29" t="s">
        <v>11</v>
      </c>
      <c r="R139" s="29" t="s">
        <v>11</v>
      </c>
      <c r="S139" s="29" t="s">
        <v>11</v>
      </c>
      <c r="T139" s="29" t="s">
        <v>11</v>
      </c>
      <c r="U139" s="29" t="s">
        <v>11</v>
      </c>
      <c r="V139" s="29" t="s">
        <v>11</v>
      </c>
      <c r="W139" s="29" t="s">
        <v>11</v>
      </c>
      <c r="X139" s="29" t="s">
        <v>11</v>
      </c>
      <c r="Y139" s="29" t="s">
        <v>11</v>
      </c>
      <c r="Z139" s="29" t="s">
        <v>11</v>
      </c>
      <c r="AA139" s="29" t="s">
        <v>11</v>
      </c>
      <c r="AB139" s="29" t="s">
        <v>11</v>
      </c>
      <c r="AC139" s="29" t="s">
        <v>11</v>
      </c>
      <c r="AD139" s="29" t="s">
        <v>11</v>
      </c>
      <c r="AE139" s="24">
        <f t="shared" si="6"/>
        <v>0</v>
      </c>
      <c r="AF139" s="24">
        <f t="shared" si="7"/>
        <v>0</v>
      </c>
      <c r="AG139" s="24">
        <f t="shared" si="8"/>
        <v>15</v>
      </c>
      <c r="AH139" s="41" t="str" cm="1">
        <f t="array" ref="AH139">_xlfn.IFS(
$AE139=15,"Not Started",
$AG139&lt;15,"In Progress",
$AG139=15,"Completed",
SUM(AE139:AG139)&gt;15,"Error"
)</f>
        <v>Completed</v>
      </c>
    </row>
    <row r="140" spans="1:34" ht="13" x14ac:dyDescent="0.25">
      <c r="A140" s="248"/>
      <c r="B140" s="78">
        <v>137</v>
      </c>
      <c r="C140" s="14" t="s">
        <v>589</v>
      </c>
      <c r="D140" s="53" t="s">
        <v>2799</v>
      </c>
      <c r="E140" s="57" t="s">
        <v>2995</v>
      </c>
      <c r="F140" s="7" t="s">
        <v>51</v>
      </c>
      <c r="G140" s="7" t="s">
        <v>48</v>
      </c>
      <c r="H140" s="7" t="s">
        <v>3256</v>
      </c>
      <c r="I140" s="7" t="s">
        <v>3256</v>
      </c>
      <c r="J140" s="7" t="s">
        <v>3192</v>
      </c>
      <c r="K140" s="7" t="s">
        <v>3393</v>
      </c>
      <c r="L140" s="7">
        <v>10053725593</v>
      </c>
      <c r="M140" s="7"/>
      <c r="N140" s="7"/>
      <c r="O140" s="29" t="s">
        <v>11</v>
      </c>
      <c r="P140" s="29" t="s">
        <v>11</v>
      </c>
      <c r="Q140" s="29" t="s">
        <v>11</v>
      </c>
      <c r="R140" s="29" t="s">
        <v>11</v>
      </c>
      <c r="S140" s="29" t="s">
        <v>11</v>
      </c>
      <c r="T140" s="29" t="s">
        <v>11</v>
      </c>
      <c r="U140" s="29" t="s">
        <v>11</v>
      </c>
      <c r="V140" s="29" t="s">
        <v>11</v>
      </c>
      <c r="W140" s="29" t="s">
        <v>11</v>
      </c>
      <c r="X140" s="29" t="s">
        <v>11</v>
      </c>
      <c r="Y140" s="29" t="s">
        <v>11</v>
      </c>
      <c r="Z140" s="29" t="s">
        <v>11</v>
      </c>
      <c r="AA140" s="29" t="s">
        <v>11</v>
      </c>
      <c r="AB140" s="29" t="s">
        <v>11</v>
      </c>
      <c r="AC140" s="29" t="s">
        <v>11</v>
      </c>
      <c r="AD140" s="29" t="s">
        <v>11</v>
      </c>
      <c r="AE140" s="24">
        <f t="shared" si="6"/>
        <v>0</v>
      </c>
      <c r="AF140" s="24">
        <f t="shared" si="7"/>
        <v>0</v>
      </c>
      <c r="AG140" s="24">
        <f t="shared" si="8"/>
        <v>15</v>
      </c>
      <c r="AH140" s="41" t="str" cm="1">
        <f t="array" ref="AH140">_xlfn.IFS(
$AE140=15,"Not Started",
$AG140&lt;15,"In Progress",
$AG140=15,"Completed",
SUM(AE140:AG140)&gt;15,"Error"
)</f>
        <v>Completed</v>
      </c>
    </row>
    <row r="141" spans="1:34" ht="13" x14ac:dyDescent="0.25">
      <c r="A141" s="248"/>
      <c r="B141" s="78">
        <v>138</v>
      </c>
      <c r="C141" s="7" t="s">
        <v>590</v>
      </c>
      <c r="D141" s="53" t="s">
        <v>2800</v>
      </c>
      <c r="E141" s="57" t="s">
        <v>2996</v>
      </c>
      <c r="F141" s="7" t="s">
        <v>47</v>
      </c>
      <c r="G141" s="7" t="s">
        <v>44</v>
      </c>
      <c r="H141" s="7" t="s">
        <v>3256</v>
      </c>
      <c r="I141" s="7" t="s">
        <v>3256</v>
      </c>
      <c r="J141" s="7" t="s">
        <v>3193</v>
      </c>
      <c r="K141" s="7" t="s">
        <v>3394</v>
      </c>
      <c r="L141" s="7">
        <v>10099637705</v>
      </c>
      <c r="M141" s="7"/>
      <c r="N141" s="7"/>
      <c r="O141" s="29" t="s">
        <v>11</v>
      </c>
      <c r="P141" s="29" t="s">
        <v>11</v>
      </c>
      <c r="Q141" s="29" t="s">
        <v>11</v>
      </c>
      <c r="R141" s="29" t="s">
        <v>11</v>
      </c>
      <c r="S141" s="29" t="s">
        <v>11</v>
      </c>
      <c r="T141" s="29" t="s">
        <v>11</v>
      </c>
      <c r="U141" s="29" t="s">
        <v>11</v>
      </c>
      <c r="V141" s="29" t="s">
        <v>11</v>
      </c>
      <c r="W141" s="29" t="s">
        <v>11</v>
      </c>
      <c r="X141" s="29" t="s">
        <v>11</v>
      </c>
      <c r="Y141" s="29" t="s">
        <v>11</v>
      </c>
      <c r="Z141" s="29" t="s">
        <v>11</v>
      </c>
      <c r="AA141" s="29" t="s">
        <v>11</v>
      </c>
      <c r="AB141" s="29" t="s">
        <v>11</v>
      </c>
      <c r="AC141" s="29" t="s">
        <v>11</v>
      </c>
      <c r="AD141" s="29" t="s">
        <v>11</v>
      </c>
      <c r="AE141" s="24">
        <f t="shared" si="6"/>
        <v>0</v>
      </c>
      <c r="AF141" s="24">
        <f t="shared" si="7"/>
        <v>0</v>
      </c>
      <c r="AG141" s="24">
        <f t="shared" si="8"/>
        <v>15</v>
      </c>
      <c r="AH141" s="41" t="str" cm="1">
        <f t="array" ref="AH141">_xlfn.IFS(
$AE141=15,"Not Started",
$AG141&lt;15,"In Progress",
$AG141=15,"Completed",
SUM(AE141:AG141)&gt;15,"Error"
)</f>
        <v>Completed</v>
      </c>
    </row>
    <row r="142" spans="1:34" ht="13" x14ac:dyDescent="0.25">
      <c r="A142" s="248"/>
      <c r="B142" s="78">
        <v>139</v>
      </c>
      <c r="C142" s="14" t="s">
        <v>591</v>
      </c>
      <c r="D142" s="53" t="s">
        <v>2801</v>
      </c>
      <c r="E142" s="57" t="s">
        <v>2997</v>
      </c>
      <c r="F142" s="7" t="s">
        <v>43</v>
      </c>
      <c r="G142" s="7" t="s">
        <v>48</v>
      </c>
      <c r="H142" s="7" t="s">
        <v>3256</v>
      </c>
      <c r="I142" s="7" t="s">
        <v>3256</v>
      </c>
      <c r="J142" s="7" t="s">
        <v>3194</v>
      </c>
      <c r="K142" s="7" t="s">
        <v>3395</v>
      </c>
      <c r="L142" s="7">
        <v>10053847531</v>
      </c>
      <c r="M142" s="7"/>
      <c r="N142" s="7"/>
      <c r="O142" s="29" t="s">
        <v>11</v>
      </c>
      <c r="P142" s="29" t="s">
        <v>11</v>
      </c>
      <c r="Q142" s="29" t="s">
        <v>11</v>
      </c>
      <c r="R142" s="29" t="s">
        <v>11</v>
      </c>
      <c r="S142" s="29" t="s">
        <v>11</v>
      </c>
      <c r="T142" s="29" t="s">
        <v>11</v>
      </c>
      <c r="U142" s="29" t="s">
        <v>11</v>
      </c>
      <c r="V142" s="29" t="s">
        <v>11</v>
      </c>
      <c r="W142" s="29" t="s">
        <v>11</v>
      </c>
      <c r="X142" s="29" t="s">
        <v>11</v>
      </c>
      <c r="Y142" s="29" t="s">
        <v>11</v>
      </c>
      <c r="Z142" s="29" t="s">
        <v>11</v>
      </c>
      <c r="AA142" s="29" t="s">
        <v>11</v>
      </c>
      <c r="AB142" s="29" t="s">
        <v>11</v>
      </c>
      <c r="AC142" s="29" t="s">
        <v>11</v>
      </c>
      <c r="AD142" s="29" t="s">
        <v>11</v>
      </c>
      <c r="AE142" s="24">
        <f t="shared" si="6"/>
        <v>0</v>
      </c>
      <c r="AF142" s="24">
        <f t="shared" si="7"/>
        <v>0</v>
      </c>
      <c r="AG142" s="24">
        <f t="shared" si="8"/>
        <v>15</v>
      </c>
      <c r="AH142" s="41" t="str" cm="1">
        <f t="array" ref="AH142">_xlfn.IFS(
$AE142=15,"Not Started",
$AG142&lt;15,"In Progress",
$AG142=15,"Completed",
SUM(AE142:AG142)&gt;15,"Error"
)</f>
        <v>Completed</v>
      </c>
    </row>
    <row r="143" spans="1:34" ht="13" x14ac:dyDescent="0.25">
      <c r="A143" s="248"/>
      <c r="B143" s="78">
        <v>140</v>
      </c>
      <c r="C143" s="7" t="s">
        <v>592</v>
      </c>
      <c r="D143" s="53" t="s">
        <v>2802</v>
      </c>
      <c r="E143" s="57" t="s">
        <v>2998</v>
      </c>
      <c r="F143" s="7" t="s">
        <v>43</v>
      </c>
      <c r="G143" s="7" t="s">
        <v>44</v>
      </c>
      <c r="H143" s="7" t="s">
        <v>3256</v>
      </c>
      <c r="I143" s="7" t="s">
        <v>3256</v>
      </c>
      <c r="J143" s="7" t="s">
        <v>3195</v>
      </c>
      <c r="K143" s="7" t="s">
        <v>3396</v>
      </c>
      <c r="L143" s="7">
        <v>10053813542</v>
      </c>
      <c r="M143" s="7"/>
      <c r="N143" s="7"/>
      <c r="O143" s="29" t="s">
        <v>11</v>
      </c>
      <c r="P143" s="29" t="s">
        <v>11</v>
      </c>
      <c r="Q143" s="29" t="s">
        <v>11</v>
      </c>
      <c r="R143" s="29" t="s">
        <v>11</v>
      </c>
      <c r="S143" s="29" t="s">
        <v>11</v>
      </c>
      <c r="T143" s="29" t="s">
        <v>11</v>
      </c>
      <c r="U143" s="29" t="s">
        <v>11</v>
      </c>
      <c r="V143" s="29" t="s">
        <v>11</v>
      </c>
      <c r="W143" s="29" t="s">
        <v>11</v>
      </c>
      <c r="X143" s="29" t="s">
        <v>11</v>
      </c>
      <c r="Y143" s="29" t="s">
        <v>11</v>
      </c>
      <c r="Z143" s="29" t="s">
        <v>11</v>
      </c>
      <c r="AA143" s="29" t="s">
        <v>11</v>
      </c>
      <c r="AB143" s="29" t="s">
        <v>11</v>
      </c>
      <c r="AC143" s="29" t="s">
        <v>11</v>
      </c>
      <c r="AD143" s="29" t="s">
        <v>11</v>
      </c>
      <c r="AE143" s="24">
        <f t="shared" si="6"/>
        <v>0</v>
      </c>
      <c r="AF143" s="24">
        <f t="shared" si="7"/>
        <v>0</v>
      </c>
      <c r="AG143" s="24">
        <f t="shared" si="8"/>
        <v>15</v>
      </c>
      <c r="AH143" s="41" t="str" cm="1">
        <f t="array" ref="AH143">_xlfn.IFS(
$AE143=15,"Not Started",
$AG143&lt;15,"In Progress",
$AG143=15,"Completed",
SUM(AE143:AG143)&gt;15,"Error"
)</f>
        <v>Completed</v>
      </c>
    </row>
    <row r="144" spans="1:34" ht="13" x14ac:dyDescent="0.25">
      <c r="A144" s="248"/>
      <c r="B144" s="78">
        <v>141</v>
      </c>
      <c r="C144" s="14" t="s">
        <v>593</v>
      </c>
      <c r="D144" s="53" t="s">
        <v>2803</v>
      </c>
      <c r="E144" s="57" t="s">
        <v>2999</v>
      </c>
      <c r="F144" s="7" t="s">
        <v>51</v>
      </c>
      <c r="G144" s="7" t="s">
        <v>44</v>
      </c>
      <c r="H144" s="7" t="s">
        <v>3256</v>
      </c>
      <c r="I144" s="7" t="s">
        <v>3256</v>
      </c>
      <c r="J144" s="7" t="s">
        <v>3196</v>
      </c>
      <c r="K144" s="7" t="s">
        <v>3397</v>
      </c>
      <c r="L144" s="7">
        <v>10053618904</v>
      </c>
      <c r="M144" s="7"/>
      <c r="N144" s="7"/>
      <c r="O144" s="29" t="s">
        <v>11</v>
      </c>
      <c r="P144" s="29" t="s">
        <v>11</v>
      </c>
      <c r="Q144" s="29" t="s">
        <v>11</v>
      </c>
      <c r="R144" s="29" t="s">
        <v>11</v>
      </c>
      <c r="S144" s="29" t="s">
        <v>11</v>
      </c>
      <c r="T144" s="29" t="s">
        <v>11</v>
      </c>
      <c r="U144" s="29" t="s">
        <v>11</v>
      </c>
      <c r="V144" s="29" t="s">
        <v>11</v>
      </c>
      <c r="W144" s="29" t="s">
        <v>11</v>
      </c>
      <c r="X144" s="29" t="s">
        <v>11</v>
      </c>
      <c r="Y144" s="29" t="s">
        <v>11</v>
      </c>
      <c r="Z144" s="29" t="s">
        <v>11</v>
      </c>
      <c r="AA144" s="29" t="s">
        <v>11</v>
      </c>
      <c r="AB144" s="29" t="s">
        <v>11</v>
      </c>
      <c r="AC144" s="29" t="s">
        <v>11</v>
      </c>
      <c r="AD144" s="29" t="s">
        <v>11</v>
      </c>
      <c r="AE144" s="24">
        <f t="shared" si="6"/>
        <v>0</v>
      </c>
      <c r="AF144" s="24">
        <f t="shared" si="7"/>
        <v>0</v>
      </c>
      <c r="AG144" s="24">
        <f t="shared" si="8"/>
        <v>15</v>
      </c>
      <c r="AH144" s="41" t="str" cm="1">
        <f t="array" ref="AH144">_xlfn.IFS(
$AE144=15,"Not Started",
$AG144&lt;15,"In Progress",
$AG144=15,"Completed",
SUM(AE144:AG144)&gt;15,"Error"
)</f>
        <v>Completed</v>
      </c>
    </row>
    <row r="145" spans="1:34" ht="13" x14ac:dyDescent="0.25">
      <c r="A145" s="248"/>
      <c r="B145" s="78">
        <v>142</v>
      </c>
      <c r="C145" s="7" t="s">
        <v>594</v>
      </c>
      <c r="D145" s="53" t="s">
        <v>2804</v>
      </c>
      <c r="E145" s="57" t="s">
        <v>3000</v>
      </c>
      <c r="F145" s="7" t="s">
        <v>43</v>
      </c>
      <c r="G145" s="7" t="s">
        <v>44</v>
      </c>
      <c r="H145" s="7" t="s">
        <v>3256</v>
      </c>
      <c r="I145" s="7" t="s">
        <v>3256</v>
      </c>
      <c r="J145" s="7" t="s">
        <v>3197</v>
      </c>
      <c r="K145" s="7" t="s">
        <v>3398</v>
      </c>
      <c r="L145" s="7">
        <v>10053498421</v>
      </c>
      <c r="M145" s="7"/>
      <c r="N145" s="7"/>
      <c r="O145" s="29" t="s">
        <v>11</v>
      </c>
      <c r="P145" s="29" t="s">
        <v>11</v>
      </c>
      <c r="Q145" s="29" t="s">
        <v>11</v>
      </c>
      <c r="R145" s="29" t="s">
        <v>11</v>
      </c>
      <c r="S145" s="29" t="s">
        <v>11</v>
      </c>
      <c r="T145" s="29" t="s">
        <v>11</v>
      </c>
      <c r="U145" s="29" t="s">
        <v>11</v>
      </c>
      <c r="V145" s="29" t="s">
        <v>11</v>
      </c>
      <c r="W145" s="29" t="s">
        <v>11</v>
      </c>
      <c r="X145" s="29" t="s">
        <v>11</v>
      </c>
      <c r="Y145" s="29" t="s">
        <v>11</v>
      </c>
      <c r="Z145" s="29" t="s">
        <v>11</v>
      </c>
      <c r="AA145" s="29" t="s">
        <v>11</v>
      </c>
      <c r="AB145" s="29" t="s">
        <v>11</v>
      </c>
      <c r="AC145" s="29" t="s">
        <v>11</v>
      </c>
      <c r="AD145" s="29" t="s">
        <v>11</v>
      </c>
      <c r="AE145" s="24">
        <f t="shared" si="6"/>
        <v>0</v>
      </c>
      <c r="AF145" s="24">
        <f t="shared" si="7"/>
        <v>0</v>
      </c>
      <c r="AG145" s="24">
        <f t="shared" si="8"/>
        <v>15</v>
      </c>
      <c r="AH145" s="41" t="str" cm="1">
        <f t="array" ref="AH145">_xlfn.IFS(
$AE145=15,"Not Started",
$AG145&lt;15,"In Progress",
$AG145=15,"Completed",
SUM(AE145:AG145)&gt;15,"Error"
)</f>
        <v>Completed</v>
      </c>
    </row>
    <row r="146" spans="1:34" ht="13" x14ac:dyDescent="0.25">
      <c r="A146" s="248"/>
      <c r="B146" s="78">
        <v>143</v>
      </c>
      <c r="C146" s="14" t="s">
        <v>595</v>
      </c>
      <c r="D146" s="53" t="s">
        <v>2805</v>
      </c>
      <c r="E146" s="57" t="s">
        <v>3001</v>
      </c>
      <c r="F146" s="7" t="s">
        <v>43</v>
      </c>
      <c r="G146" s="7" t="s">
        <v>48</v>
      </c>
      <c r="H146" s="7" t="s">
        <v>3256</v>
      </c>
      <c r="I146" s="7" t="s">
        <v>3256</v>
      </c>
      <c r="J146" s="7" t="s">
        <v>3198</v>
      </c>
      <c r="K146" s="7" t="s">
        <v>3399</v>
      </c>
      <c r="L146" s="7">
        <v>10053725360</v>
      </c>
      <c r="M146" s="7"/>
      <c r="N146" s="7"/>
      <c r="O146" s="29" t="s">
        <v>11</v>
      </c>
      <c r="P146" s="29" t="s">
        <v>11</v>
      </c>
      <c r="Q146" s="29" t="s">
        <v>11</v>
      </c>
      <c r="R146" s="29" t="s">
        <v>11</v>
      </c>
      <c r="S146" s="29" t="s">
        <v>11</v>
      </c>
      <c r="T146" s="29" t="s">
        <v>11</v>
      </c>
      <c r="U146" s="29" t="s">
        <v>11</v>
      </c>
      <c r="V146" s="29" t="s">
        <v>11</v>
      </c>
      <c r="W146" s="29" t="s">
        <v>11</v>
      </c>
      <c r="X146" s="29" t="s">
        <v>11</v>
      </c>
      <c r="Y146" s="29" t="s">
        <v>11</v>
      </c>
      <c r="Z146" s="29" t="s">
        <v>11</v>
      </c>
      <c r="AA146" s="29" t="s">
        <v>11</v>
      </c>
      <c r="AB146" s="29" t="s">
        <v>11</v>
      </c>
      <c r="AC146" s="29" t="s">
        <v>11</v>
      </c>
      <c r="AD146" s="29" t="s">
        <v>11</v>
      </c>
      <c r="AE146" s="24">
        <f t="shared" si="6"/>
        <v>0</v>
      </c>
      <c r="AF146" s="24">
        <f t="shared" si="7"/>
        <v>0</v>
      </c>
      <c r="AG146" s="24">
        <f t="shared" si="8"/>
        <v>15</v>
      </c>
      <c r="AH146" s="41" t="str" cm="1">
        <f t="array" ref="AH146">_xlfn.IFS(
$AE146=15,"Not Started",
$AG146&lt;15,"In Progress",
$AG146=15,"Completed",
SUM(AE146:AG146)&gt;15,"Error"
)</f>
        <v>Completed</v>
      </c>
    </row>
    <row r="147" spans="1:34" ht="13" x14ac:dyDescent="0.25">
      <c r="A147" s="248"/>
      <c r="B147" s="78">
        <v>144</v>
      </c>
      <c r="C147" s="7" t="s">
        <v>596</v>
      </c>
      <c r="D147" s="53" t="s">
        <v>2806</v>
      </c>
      <c r="E147" s="57" t="s">
        <v>3002</v>
      </c>
      <c r="F147" s="7" t="s">
        <v>47</v>
      </c>
      <c r="G147" s="7" t="s">
        <v>48</v>
      </c>
      <c r="H147" s="7" t="s">
        <v>3256</v>
      </c>
      <c r="I147" s="7" t="s">
        <v>3256</v>
      </c>
      <c r="J147" s="7" t="s">
        <v>3199</v>
      </c>
      <c r="K147" s="7" t="s">
        <v>3400</v>
      </c>
      <c r="L147" s="7">
        <v>10086125521</v>
      </c>
      <c r="M147" s="7"/>
      <c r="N147" s="7"/>
      <c r="O147" s="29" t="s">
        <v>11</v>
      </c>
      <c r="P147" s="29" t="s">
        <v>11</v>
      </c>
      <c r="Q147" s="29" t="s">
        <v>11</v>
      </c>
      <c r="R147" s="29" t="s">
        <v>11</v>
      </c>
      <c r="S147" s="29" t="s">
        <v>11</v>
      </c>
      <c r="T147" s="29" t="s">
        <v>11</v>
      </c>
      <c r="U147" s="29" t="s">
        <v>11</v>
      </c>
      <c r="V147" s="29" t="s">
        <v>11</v>
      </c>
      <c r="W147" s="29" t="s">
        <v>11</v>
      </c>
      <c r="X147" s="29" t="s">
        <v>11</v>
      </c>
      <c r="Y147" s="29" t="s">
        <v>11</v>
      </c>
      <c r="Z147" s="29" t="s">
        <v>11</v>
      </c>
      <c r="AA147" s="29" t="s">
        <v>11</v>
      </c>
      <c r="AB147" s="29" t="s">
        <v>11</v>
      </c>
      <c r="AC147" s="29" t="s">
        <v>11</v>
      </c>
      <c r="AD147" s="29" t="s">
        <v>11</v>
      </c>
      <c r="AE147" s="24">
        <f t="shared" si="6"/>
        <v>0</v>
      </c>
      <c r="AF147" s="24">
        <f t="shared" si="7"/>
        <v>0</v>
      </c>
      <c r="AG147" s="24">
        <f t="shared" si="8"/>
        <v>15</v>
      </c>
      <c r="AH147" s="41" t="str" cm="1">
        <f t="array" ref="AH147">_xlfn.IFS(
$AE147=15,"Not Started",
$AG147&lt;15,"In Progress",
$AG147=15,"Completed",
SUM(AE147:AG147)&gt;15,"Error"
)</f>
        <v>Completed</v>
      </c>
    </row>
    <row r="148" spans="1:34" ht="13" x14ac:dyDescent="0.25">
      <c r="A148" s="248"/>
      <c r="B148" s="78">
        <v>145</v>
      </c>
      <c r="C148" s="14" t="s">
        <v>597</v>
      </c>
      <c r="D148" s="53" t="s">
        <v>2807</v>
      </c>
      <c r="E148" s="57" t="s">
        <v>3003</v>
      </c>
      <c r="F148" s="7" t="s">
        <v>43</v>
      </c>
      <c r="G148" s="7" t="s">
        <v>44</v>
      </c>
      <c r="H148" s="7" t="s">
        <v>3256</v>
      </c>
      <c r="I148" s="7" t="s">
        <v>3256</v>
      </c>
      <c r="J148" s="7" t="s">
        <v>3200</v>
      </c>
      <c r="K148" s="7" t="s">
        <v>3401</v>
      </c>
      <c r="L148" s="7">
        <v>10053860032</v>
      </c>
      <c r="M148" s="7"/>
      <c r="N148" s="7"/>
      <c r="O148" s="29" t="s">
        <v>11</v>
      </c>
      <c r="P148" s="29" t="s">
        <v>11</v>
      </c>
      <c r="Q148" s="29" t="s">
        <v>11</v>
      </c>
      <c r="R148" s="29" t="s">
        <v>11</v>
      </c>
      <c r="S148" s="29" t="s">
        <v>11</v>
      </c>
      <c r="T148" s="29" t="s">
        <v>11</v>
      </c>
      <c r="U148" s="29" t="s">
        <v>11</v>
      </c>
      <c r="V148" s="29" t="s">
        <v>11</v>
      </c>
      <c r="W148" s="29" t="s">
        <v>11</v>
      </c>
      <c r="X148" s="29" t="s">
        <v>11</v>
      </c>
      <c r="Y148" s="29" t="s">
        <v>11</v>
      </c>
      <c r="Z148" s="29" t="s">
        <v>11</v>
      </c>
      <c r="AA148" s="29" t="s">
        <v>11</v>
      </c>
      <c r="AB148" s="29" t="s">
        <v>11</v>
      </c>
      <c r="AC148" s="29" t="s">
        <v>11</v>
      </c>
      <c r="AD148" s="29" t="s">
        <v>11</v>
      </c>
      <c r="AE148" s="24">
        <f t="shared" si="6"/>
        <v>0</v>
      </c>
      <c r="AF148" s="24">
        <f t="shared" si="7"/>
        <v>0</v>
      </c>
      <c r="AG148" s="24">
        <f t="shared" si="8"/>
        <v>15</v>
      </c>
      <c r="AH148" s="41" t="str" cm="1">
        <f t="array" ref="AH148">_xlfn.IFS(
$AE148=15,"Not Started",
$AG148&lt;15,"In Progress",
$AG148=15,"Completed",
SUM(AE148:AG148)&gt;15,"Error"
)</f>
        <v>Completed</v>
      </c>
    </row>
    <row r="149" spans="1:34" ht="13" x14ac:dyDescent="0.25">
      <c r="A149" s="248"/>
      <c r="B149" s="78">
        <v>146</v>
      </c>
      <c r="C149" s="7" t="s">
        <v>598</v>
      </c>
      <c r="D149" s="53" t="s">
        <v>2808</v>
      </c>
      <c r="E149" s="57" t="s">
        <v>3004</v>
      </c>
      <c r="F149" s="7" t="s">
        <v>51</v>
      </c>
      <c r="G149" s="7" t="s">
        <v>44</v>
      </c>
      <c r="H149" s="7" t="s">
        <v>3256</v>
      </c>
      <c r="I149" s="7" t="s">
        <v>3256</v>
      </c>
      <c r="J149" s="7" t="s">
        <v>3201</v>
      </c>
      <c r="K149" s="7" t="s">
        <v>3402</v>
      </c>
      <c r="L149" s="7">
        <v>10053608560</v>
      </c>
      <c r="M149" s="7"/>
      <c r="N149" s="7"/>
      <c r="O149" s="29" t="s">
        <v>11</v>
      </c>
      <c r="P149" s="29" t="s">
        <v>11</v>
      </c>
      <c r="Q149" s="29" t="s">
        <v>11</v>
      </c>
      <c r="R149" s="29" t="s">
        <v>11</v>
      </c>
      <c r="S149" s="29" t="s">
        <v>11</v>
      </c>
      <c r="T149" s="29" t="s">
        <v>11</v>
      </c>
      <c r="U149" s="29" t="s">
        <v>11</v>
      </c>
      <c r="V149" s="29" t="s">
        <v>11</v>
      </c>
      <c r="W149" s="29" t="s">
        <v>11</v>
      </c>
      <c r="X149" s="29" t="s">
        <v>11</v>
      </c>
      <c r="Y149" s="29" t="s">
        <v>11</v>
      </c>
      <c r="Z149" s="29" t="s">
        <v>11</v>
      </c>
      <c r="AA149" s="29" t="s">
        <v>11</v>
      </c>
      <c r="AB149" s="29" t="s">
        <v>11</v>
      </c>
      <c r="AC149" s="29" t="s">
        <v>11</v>
      </c>
      <c r="AD149" s="29" t="s">
        <v>11</v>
      </c>
      <c r="AE149" s="24">
        <f t="shared" si="6"/>
        <v>0</v>
      </c>
      <c r="AF149" s="24">
        <f t="shared" si="7"/>
        <v>0</v>
      </c>
      <c r="AG149" s="24">
        <f t="shared" si="8"/>
        <v>15</v>
      </c>
      <c r="AH149" s="41" t="str" cm="1">
        <f t="array" ref="AH149">_xlfn.IFS(
$AE149=15,"Not Started",
$AG149&lt;15,"In Progress",
$AG149=15,"Completed",
SUM(AE149:AG149)&gt;15,"Error"
)</f>
        <v>Completed</v>
      </c>
    </row>
    <row r="150" spans="1:34" ht="13" x14ac:dyDescent="0.25">
      <c r="A150" s="248"/>
      <c r="B150" s="78">
        <v>147</v>
      </c>
      <c r="C150" s="14" t="s">
        <v>599</v>
      </c>
      <c r="D150" s="53" t="s">
        <v>2809</v>
      </c>
      <c r="E150" s="57" t="s">
        <v>3005</v>
      </c>
      <c r="F150" s="7" t="s">
        <v>47</v>
      </c>
      <c r="G150" s="7" t="s">
        <v>44</v>
      </c>
      <c r="H150" s="7" t="s">
        <v>3256</v>
      </c>
      <c r="I150" s="7" t="s">
        <v>3256</v>
      </c>
      <c r="J150" s="7" t="s">
        <v>3202</v>
      </c>
      <c r="K150" s="7" t="s">
        <v>3403</v>
      </c>
      <c r="L150" s="7">
        <v>10053608318</v>
      </c>
      <c r="M150" s="7"/>
      <c r="N150" s="7"/>
      <c r="O150" s="29" t="s">
        <v>11</v>
      </c>
      <c r="P150" s="29" t="s">
        <v>11</v>
      </c>
      <c r="Q150" s="29" t="s">
        <v>11</v>
      </c>
      <c r="R150" s="29" t="s">
        <v>11</v>
      </c>
      <c r="S150" s="29" t="s">
        <v>11</v>
      </c>
      <c r="T150" s="29" t="s">
        <v>11</v>
      </c>
      <c r="U150" s="29" t="s">
        <v>11</v>
      </c>
      <c r="V150" s="29" t="s">
        <v>11</v>
      </c>
      <c r="W150" s="29" t="s">
        <v>11</v>
      </c>
      <c r="X150" s="29" t="s">
        <v>11</v>
      </c>
      <c r="Y150" s="29" t="s">
        <v>11</v>
      </c>
      <c r="Z150" s="29" t="s">
        <v>11</v>
      </c>
      <c r="AA150" s="29" t="s">
        <v>11</v>
      </c>
      <c r="AB150" s="29" t="s">
        <v>11</v>
      </c>
      <c r="AC150" s="29" t="s">
        <v>11</v>
      </c>
      <c r="AD150" s="29" t="s">
        <v>11</v>
      </c>
      <c r="AE150" s="24">
        <f t="shared" si="6"/>
        <v>0</v>
      </c>
      <c r="AF150" s="24">
        <f t="shared" si="7"/>
        <v>0</v>
      </c>
      <c r="AG150" s="24">
        <f t="shared" si="8"/>
        <v>15</v>
      </c>
      <c r="AH150" s="41" t="str" cm="1">
        <f t="array" ref="AH150">_xlfn.IFS(
$AE150=15,"Not Started",
$AG150&lt;15,"In Progress",
$AG150=15,"Completed",
SUM(AE150:AG150)&gt;15,"Error"
)</f>
        <v>Completed</v>
      </c>
    </row>
    <row r="151" spans="1:34" ht="13" x14ac:dyDescent="0.25">
      <c r="A151" s="248"/>
      <c r="B151" s="78">
        <v>148</v>
      </c>
      <c r="C151" s="7" t="s">
        <v>600</v>
      </c>
      <c r="D151" s="53" t="s">
        <v>2810</v>
      </c>
      <c r="E151" s="57" t="s">
        <v>3006</v>
      </c>
      <c r="F151" s="7" t="s">
        <v>43</v>
      </c>
      <c r="G151" s="7" t="s">
        <v>48</v>
      </c>
      <c r="H151" s="7" t="s">
        <v>3256</v>
      </c>
      <c r="I151" s="7" t="s">
        <v>3256</v>
      </c>
      <c r="J151" s="7" t="s">
        <v>3203</v>
      </c>
      <c r="K151" s="7" t="s">
        <v>3404</v>
      </c>
      <c r="L151" s="7">
        <v>10053441518</v>
      </c>
      <c r="M151" s="7"/>
      <c r="N151" s="7"/>
      <c r="O151" s="29" t="s">
        <v>11</v>
      </c>
      <c r="P151" s="29" t="s">
        <v>11</v>
      </c>
      <c r="Q151" s="29" t="s">
        <v>11</v>
      </c>
      <c r="R151" s="29" t="s">
        <v>11</v>
      </c>
      <c r="S151" s="29" t="s">
        <v>11</v>
      </c>
      <c r="T151" s="29" t="s">
        <v>11</v>
      </c>
      <c r="U151" s="29" t="s">
        <v>11</v>
      </c>
      <c r="V151" s="29" t="s">
        <v>11</v>
      </c>
      <c r="W151" s="29" t="s">
        <v>11</v>
      </c>
      <c r="X151" s="29" t="s">
        <v>11</v>
      </c>
      <c r="Y151" s="29" t="s">
        <v>11</v>
      </c>
      <c r="Z151" s="29" t="s">
        <v>11</v>
      </c>
      <c r="AA151" s="29" t="s">
        <v>11</v>
      </c>
      <c r="AB151" s="29" t="s">
        <v>11</v>
      </c>
      <c r="AC151" s="29" t="s">
        <v>11</v>
      </c>
      <c r="AD151" s="29" t="s">
        <v>11</v>
      </c>
      <c r="AE151" s="24">
        <f t="shared" si="6"/>
        <v>0</v>
      </c>
      <c r="AF151" s="24">
        <f t="shared" si="7"/>
        <v>0</v>
      </c>
      <c r="AG151" s="24">
        <f t="shared" si="8"/>
        <v>15</v>
      </c>
      <c r="AH151" s="41" t="str" cm="1">
        <f t="array" ref="AH151">_xlfn.IFS(
$AE151=15,"Not Started",
$AG151&lt;15,"In Progress",
$AG151=15,"Completed",
SUM(AE151:AG151)&gt;15,"Error"
)</f>
        <v>Completed</v>
      </c>
    </row>
    <row r="152" spans="1:34" ht="13" x14ac:dyDescent="0.25">
      <c r="A152" s="248"/>
      <c r="B152" s="78">
        <v>149</v>
      </c>
      <c r="C152" s="14" t="s">
        <v>601</v>
      </c>
      <c r="D152" s="53" t="s">
        <v>2811</v>
      </c>
      <c r="E152" s="57" t="s">
        <v>3007</v>
      </c>
      <c r="F152" s="7" t="s">
        <v>47</v>
      </c>
      <c r="G152" s="7" t="s">
        <v>44</v>
      </c>
      <c r="H152" s="7" t="s">
        <v>3256</v>
      </c>
      <c r="I152" s="7" t="s">
        <v>3256</v>
      </c>
      <c r="J152" s="7" t="s">
        <v>3204</v>
      </c>
      <c r="K152" s="7" t="s">
        <v>3405</v>
      </c>
      <c r="L152" s="7">
        <v>10053624591</v>
      </c>
      <c r="M152" s="7"/>
      <c r="N152" s="7"/>
      <c r="O152" s="29" t="s">
        <v>11</v>
      </c>
      <c r="P152" s="29" t="s">
        <v>11</v>
      </c>
      <c r="Q152" s="29" t="s">
        <v>11</v>
      </c>
      <c r="R152" s="29" t="s">
        <v>11</v>
      </c>
      <c r="S152" s="29" t="s">
        <v>11</v>
      </c>
      <c r="T152" s="29" t="s">
        <v>11</v>
      </c>
      <c r="U152" s="29" t="s">
        <v>11</v>
      </c>
      <c r="V152" s="29" t="s">
        <v>11</v>
      </c>
      <c r="W152" s="29" t="s">
        <v>11</v>
      </c>
      <c r="X152" s="29" t="s">
        <v>11</v>
      </c>
      <c r="Y152" s="29" t="s">
        <v>11</v>
      </c>
      <c r="Z152" s="29" t="s">
        <v>11</v>
      </c>
      <c r="AA152" s="29" t="s">
        <v>11</v>
      </c>
      <c r="AB152" s="29" t="s">
        <v>11</v>
      </c>
      <c r="AC152" s="29" t="s">
        <v>11</v>
      </c>
      <c r="AD152" s="29" t="s">
        <v>11</v>
      </c>
      <c r="AE152" s="24">
        <f t="shared" si="6"/>
        <v>0</v>
      </c>
      <c r="AF152" s="24">
        <f t="shared" si="7"/>
        <v>0</v>
      </c>
      <c r="AG152" s="24">
        <f t="shared" si="8"/>
        <v>15</v>
      </c>
      <c r="AH152" s="41" t="str" cm="1">
        <f t="array" ref="AH152">_xlfn.IFS(
$AE152=15,"Not Started",
$AG152&lt;15,"In Progress",
$AG152=15,"Completed",
SUM(AE152:AG152)&gt;15,"Error"
)</f>
        <v>Completed</v>
      </c>
    </row>
    <row r="153" spans="1:34" ht="13" x14ac:dyDescent="0.25">
      <c r="A153" s="248"/>
      <c r="B153" s="78">
        <v>150</v>
      </c>
      <c r="C153" s="7" t="s">
        <v>602</v>
      </c>
      <c r="D153" s="53" t="s">
        <v>2812</v>
      </c>
      <c r="E153" s="57" t="s">
        <v>3008</v>
      </c>
      <c r="F153" s="7" t="s">
        <v>9670</v>
      </c>
      <c r="G153" s="7" t="s">
        <v>48</v>
      </c>
      <c r="H153" s="7" t="s">
        <v>3256</v>
      </c>
      <c r="I153" s="7" t="s">
        <v>3256</v>
      </c>
      <c r="J153" s="7" t="s">
        <v>3205</v>
      </c>
      <c r="K153" s="7" t="s">
        <v>3406</v>
      </c>
      <c r="L153" s="7">
        <v>10053295831</v>
      </c>
      <c r="M153" s="7"/>
      <c r="N153" s="7"/>
      <c r="O153" s="29" t="s">
        <v>11</v>
      </c>
      <c r="P153" s="29" t="s">
        <v>11</v>
      </c>
      <c r="Q153" s="29" t="s">
        <v>11</v>
      </c>
      <c r="R153" s="29" t="s">
        <v>11</v>
      </c>
      <c r="S153" s="29" t="s">
        <v>11</v>
      </c>
      <c r="T153" s="29" t="s">
        <v>11</v>
      </c>
      <c r="U153" s="29" t="s">
        <v>11</v>
      </c>
      <c r="V153" s="29" t="s">
        <v>11</v>
      </c>
      <c r="W153" s="29" t="s">
        <v>11</v>
      </c>
      <c r="X153" s="29" t="s">
        <v>11</v>
      </c>
      <c r="Y153" s="29" t="s">
        <v>11</v>
      </c>
      <c r="Z153" s="29" t="s">
        <v>11</v>
      </c>
      <c r="AA153" s="29" t="s">
        <v>11</v>
      </c>
      <c r="AB153" s="29" t="s">
        <v>11</v>
      </c>
      <c r="AC153" s="29" t="s">
        <v>11</v>
      </c>
      <c r="AD153" s="29" t="s">
        <v>11</v>
      </c>
      <c r="AE153" s="24">
        <f t="shared" si="6"/>
        <v>0</v>
      </c>
      <c r="AF153" s="24">
        <f t="shared" si="7"/>
        <v>0</v>
      </c>
      <c r="AG153" s="24">
        <f t="shared" si="8"/>
        <v>15</v>
      </c>
      <c r="AH153" s="41" t="str" cm="1">
        <f t="array" ref="AH153">_xlfn.IFS(
$AE153=15,"Not Started",
$AG153&lt;15,"In Progress",
$AG153=15,"Completed",
SUM(AE153:AG153)&gt;15,"Error"
)</f>
        <v>Completed</v>
      </c>
    </row>
    <row r="154" spans="1:34" ht="13" x14ac:dyDescent="0.25">
      <c r="A154" s="248"/>
      <c r="B154" s="78">
        <v>151</v>
      </c>
      <c r="C154" s="14" t="s">
        <v>603</v>
      </c>
      <c r="D154" s="53" t="s">
        <v>2813</v>
      </c>
      <c r="E154" s="57" t="s">
        <v>3009</v>
      </c>
      <c r="F154" s="7" t="s">
        <v>43</v>
      </c>
      <c r="G154" s="7" t="s">
        <v>48</v>
      </c>
      <c r="H154" s="7" t="s">
        <v>3256</v>
      </c>
      <c r="I154" s="7" t="s">
        <v>3256</v>
      </c>
      <c r="J154" s="7" t="s">
        <v>3206</v>
      </c>
      <c r="K154" s="7" t="s">
        <v>3407</v>
      </c>
      <c r="L154" s="7">
        <v>10053442669</v>
      </c>
      <c r="M154" s="7"/>
      <c r="N154" s="7"/>
      <c r="O154" s="29" t="s">
        <v>11</v>
      </c>
      <c r="P154" s="29" t="s">
        <v>11</v>
      </c>
      <c r="Q154" s="29" t="s">
        <v>11</v>
      </c>
      <c r="R154" s="29" t="s">
        <v>11</v>
      </c>
      <c r="S154" s="29" t="s">
        <v>11</v>
      </c>
      <c r="T154" s="29" t="s">
        <v>11</v>
      </c>
      <c r="U154" s="29" t="s">
        <v>11</v>
      </c>
      <c r="V154" s="29" t="s">
        <v>11</v>
      </c>
      <c r="W154" s="29" t="s">
        <v>11</v>
      </c>
      <c r="X154" s="29" t="s">
        <v>11</v>
      </c>
      <c r="Y154" s="29" t="s">
        <v>11</v>
      </c>
      <c r="Z154" s="29" t="s">
        <v>11</v>
      </c>
      <c r="AA154" s="29" t="s">
        <v>11</v>
      </c>
      <c r="AB154" s="29" t="s">
        <v>11</v>
      </c>
      <c r="AC154" s="29" t="s">
        <v>11</v>
      </c>
      <c r="AD154" s="29" t="s">
        <v>11</v>
      </c>
      <c r="AE154" s="24">
        <f t="shared" si="6"/>
        <v>0</v>
      </c>
      <c r="AF154" s="24">
        <f t="shared" si="7"/>
        <v>0</v>
      </c>
      <c r="AG154" s="24">
        <f t="shared" si="8"/>
        <v>15</v>
      </c>
      <c r="AH154" s="41" t="str" cm="1">
        <f t="array" ref="AH154">_xlfn.IFS(
$AE154=15,"Not Started",
$AG154&lt;15,"In Progress",
$AG154=15,"Completed",
SUM(AE154:AG154)&gt;15,"Error"
)</f>
        <v>Completed</v>
      </c>
    </row>
    <row r="155" spans="1:34" ht="13" x14ac:dyDescent="0.25">
      <c r="A155" s="248"/>
      <c r="B155" s="78">
        <v>152</v>
      </c>
      <c r="C155" s="7" t="s">
        <v>604</v>
      </c>
      <c r="D155" s="53" t="s">
        <v>2814</v>
      </c>
      <c r="E155" s="57" t="s">
        <v>3010</v>
      </c>
      <c r="F155" s="7" t="s">
        <v>43</v>
      </c>
      <c r="G155" s="7" t="s">
        <v>48</v>
      </c>
      <c r="H155" s="7" t="s">
        <v>3256</v>
      </c>
      <c r="I155" s="7" t="s">
        <v>3256</v>
      </c>
      <c r="J155" s="7" t="s">
        <v>3207</v>
      </c>
      <c r="K155" s="7" t="s">
        <v>3408</v>
      </c>
      <c r="L155" s="7">
        <v>10053562710</v>
      </c>
      <c r="M155" s="7"/>
      <c r="N155" s="7"/>
      <c r="O155" s="29" t="s">
        <v>11</v>
      </c>
      <c r="P155" s="29" t="s">
        <v>11</v>
      </c>
      <c r="Q155" s="29" t="s">
        <v>11</v>
      </c>
      <c r="R155" s="29" t="s">
        <v>11</v>
      </c>
      <c r="S155" s="29" t="s">
        <v>11</v>
      </c>
      <c r="T155" s="29" t="s">
        <v>11</v>
      </c>
      <c r="U155" s="29" t="s">
        <v>11</v>
      </c>
      <c r="V155" s="29" t="s">
        <v>11</v>
      </c>
      <c r="W155" s="29" t="s">
        <v>11</v>
      </c>
      <c r="X155" s="29" t="s">
        <v>11</v>
      </c>
      <c r="Y155" s="29" t="s">
        <v>11</v>
      </c>
      <c r="Z155" s="29" t="s">
        <v>11</v>
      </c>
      <c r="AA155" s="29" t="s">
        <v>11</v>
      </c>
      <c r="AB155" s="29" t="s">
        <v>11</v>
      </c>
      <c r="AC155" s="29" t="s">
        <v>11</v>
      </c>
      <c r="AD155" s="29" t="s">
        <v>11</v>
      </c>
      <c r="AE155" s="24">
        <f t="shared" si="6"/>
        <v>0</v>
      </c>
      <c r="AF155" s="24">
        <f t="shared" si="7"/>
        <v>0</v>
      </c>
      <c r="AG155" s="24">
        <f t="shared" si="8"/>
        <v>15</v>
      </c>
      <c r="AH155" s="41" t="str" cm="1">
        <f t="array" ref="AH155">_xlfn.IFS(
$AE155=15,"Not Started",
$AG155&lt;15,"In Progress",
$AG155=15,"Completed",
SUM(AE155:AG155)&gt;15,"Error"
)</f>
        <v>Completed</v>
      </c>
    </row>
    <row r="156" spans="1:34" ht="13" x14ac:dyDescent="0.25">
      <c r="A156" s="248"/>
      <c r="B156" s="78">
        <v>153</v>
      </c>
      <c r="C156" s="14" t="s">
        <v>605</v>
      </c>
      <c r="D156" s="53" t="s">
        <v>2815</v>
      </c>
      <c r="E156" s="57" t="s">
        <v>3011</v>
      </c>
      <c r="F156" s="7" t="s">
        <v>43</v>
      </c>
      <c r="G156" s="7" t="s">
        <v>44</v>
      </c>
      <c r="H156" s="7" t="s">
        <v>3256</v>
      </c>
      <c r="I156" s="7" t="s">
        <v>3256</v>
      </c>
      <c r="J156" s="7" t="s">
        <v>3208</v>
      </c>
      <c r="K156" s="7" t="s">
        <v>3409</v>
      </c>
      <c r="L156" s="7">
        <v>10053679338</v>
      </c>
      <c r="M156" s="7"/>
      <c r="N156" s="7"/>
      <c r="O156" s="29" t="s">
        <v>11</v>
      </c>
      <c r="P156" s="29" t="s">
        <v>11</v>
      </c>
      <c r="Q156" s="29" t="s">
        <v>11</v>
      </c>
      <c r="R156" s="29" t="s">
        <v>11</v>
      </c>
      <c r="S156" s="29" t="s">
        <v>11</v>
      </c>
      <c r="T156" s="29" t="s">
        <v>11</v>
      </c>
      <c r="U156" s="29" t="s">
        <v>11</v>
      </c>
      <c r="V156" s="29" t="s">
        <v>11</v>
      </c>
      <c r="W156" s="29" t="s">
        <v>11</v>
      </c>
      <c r="X156" s="29" t="s">
        <v>11</v>
      </c>
      <c r="Y156" s="29" t="s">
        <v>11</v>
      </c>
      <c r="Z156" s="29" t="s">
        <v>11</v>
      </c>
      <c r="AA156" s="29" t="s">
        <v>11</v>
      </c>
      <c r="AB156" s="29" t="s">
        <v>11</v>
      </c>
      <c r="AC156" s="29" t="s">
        <v>11</v>
      </c>
      <c r="AD156" s="29" t="s">
        <v>11</v>
      </c>
      <c r="AE156" s="24">
        <f t="shared" si="6"/>
        <v>0</v>
      </c>
      <c r="AF156" s="24">
        <f t="shared" si="7"/>
        <v>0</v>
      </c>
      <c r="AG156" s="24">
        <f t="shared" si="8"/>
        <v>15</v>
      </c>
      <c r="AH156" s="41" t="str" cm="1">
        <f t="array" ref="AH156">_xlfn.IFS(
$AE156=15,"Not Started",
$AG156&lt;15,"In Progress",
$AG156=15,"Completed",
SUM(AE156:AG156)&gt;15,"Error"
)</f>
        <v>Completed</v>
      </c>
    </row>
    <row r="157" spans="1:34" ht="13" x14ac:dyDescent="0.25">
      <c r="A157" s="248"/>
      <c r="B157" s="78">
        <v>154</v>
      </c>
      <c r="C157" s="7" t="s">
        <v>606</v>
      </c>
      <c r="D157" s="53" t="s">
        <v>2816</v>
      </c>
      <c r="E157" s="57" t="s">
        <v>3012</v>
      </c>
      <c r="F157" s="7" t="s">
        <v>47</v>
      </c>
      <c r="G157" s="7" t="s">
        <v>48</v>
      </c>
      <c r="H157" s="7" t="s">
        <v>3256</v>
      </c>
      <c r="I157" s="7" t="s">
        <v>3256</v>
      </c>
      <c r="J157" s="7" t="s">
        <v>3209</v>
      </c>
      <c r="K157" s="7" t="s">
        <v>3410</v>
      </c>
      <c r="L157" s="7">
        <v>10053496731</v>
      </c>
      <c r="M157" s="7"/>
      <c r="N157" s="7"/>
      <c r="O157" s="29" t="s">
        <v>11</v>
      </c>
      <c r="P157" s="29" t="s">
        <v>11</v>
      </c>
      <c r="Q157" s="29" t="s">
        <v>11</v>
      </c>
      <c r="R157" s="29" t="s">
        <v>11</v>
      </c>
      <c r="S157" s="29" t="s">
        <v>11</v>
      </c>
      <c r="T157" s="29" t="s">
        <v>11</v>
      </c>
      <c r="U157" s="29" t="s">
        <v>11</v>
      </c>
      <c r="V157" s="29" t="s">
        <v>11</v>
      </c>
      <c r="W157" s="29" t="s">
        <v>11</v>
      </c>
      <c r="X157" s="29" t="s">
        <v>11</v>
      </c>
      <c r="Y157" s="29" t="s">
        <v>11</v>
      </c>
      <c r="Z157" s="29" t="s">
        <v>11</v>
      </c>
      <c r="AA157" s="29" t="s">
        <v>11</v>
      </c>
      <c r="AB157" s="29" t="s">
        <v>11</v>
      </c>
      <c r="AC157" s="29" t="s">
        <v>11</v>
      </c>
      <c r="AD157" s="29" t="s">
        <v>11</v>
      </c>
      <c r="AE157" s="24">
        <f t="shared" si="6"/>
        <v>0</v>
      </c>
      <c r="AF157" s="24">
        <f t="shared" si="7"/>
        <v>0</v>
      </c>
      <c r="AG157" s="24">
        <f t="shared" si="8"/>
        <v>15</v>
      </c>
      <c r="AH157" s="41" t="str" cm="1">
        <f t="array" ref="AH157">_xlfn.IFS(
$AE157=15,"Not Started",
$AG157&lt;15,"In Progress",
$AG157=15,"Completed",
SUM(AE157:AG157)&gt;15,"Error"
)</f>
        <v>Completed</v>
      </c>
    </row>
    <row r="158" spans="1:34" ht="13" x14ac:dyDescent="0.25">
      <c r="A158" s="248"/>
      <c r="B158" s="78">
        <v>155</v>
      </c>
      <c r="C158" s="14" t="s">
        <v>607</v>
      </c>
      <c r="D158" s="53" t="s">
        <v>2817</v>
      </c>
      <c r="E158" s="57" t="s">
        <v>3013</v>
      </c>
      <c r="F158" s="7" t="s">
        <v>51</v>
      </c>
      <c r="G158" s="7" t="s">
        <v>44</v>
      </c>
      <c r="H158" s="7" t="s">
        <v>3256</v>
      </c>
      <c r="I158" s="7" t="s">
        <v>3256</v>
      </c>
      <c r="J158" s="7" t="s">
        <v>3210</v>
      </c>
      <c r="K158" s="7" t="s">
        <v>3411</v>
      </c>
      <c r="L158" s="7">
        <v>10053368712</v>
      </c>
      <c r="M158" s="7"/>
      <c r="N158" s="7"/>
      <c r="O158" s="29" t="s">
        <v>11</v>
      </c>
      <c r="P158" s="29" t="s">
        <v>11</v>
      </c>
      <c r="Q158" s="29" t="s">
        <v>11</v>
      </c>
      <c r="R158" s="29" t="s">
        <v>11</v>
      </c>
      <c r="S158" s="29" t="s">
        <v>11</v>
      </c>
      <c r="T158" s="29" t="s">
        <v>11</v>
      </c>
      <c r="U158" s="29" t="s">
        <v>11</v>
      </c>
      <c r="V158" s="29" t="s">
        <v>11</v>
      </c>
      <c r="W158" s="29" t="s">
        <v>11</v>
      </c>
      <c r="X158" s="29" t="s">
        <v>11</v>
      </c>
      <c r="Y158" s="29" t="s">
        <v>11</v>
      </c>
      <c r="Z158" s="29" t="s">
        <v>11</v>
      </c>
      <c r="AA158" s="29" t="s">
        <v>11</v>
      </c>
      <c r="AB158" s="29" t="s">
        <v>11</v>
      </c>
      <c r="AC158" s="29" t="s">
        <v>11</v>
      </c>
      <c r="AD158" s="29" t="s">
        <v>11</v>
      </c>
      <c r="AE158" s="24">
        <f t="shared" si="6"/>
        <v>0</v>
      </c>
      <c r="AF158" s="24">
        <f t="shared" si="7"/>
        <v>0</v>
      </c>
      <c r="AG158" s="24">
        <f t="shared" si="8"/>
        <v>15</v>
      </c>
      <c r="AH158" s="41" t="str" cm="1">
        <f t="array" ref="AH158">_xlfn.IFS(
$AE158=15,"Not Started",
$AG158&lt;15,"In Progress",
$AG158=15,"Completed",
SUM(AE158:AG158)&gt;15,"Error"
)</f>
        <v>Completed</v>
      </c>
    </row>
    <row r="159" spans="1:34" ht="13" x14ac:dyDescent="0.25">
      <c r="A159" s="248"/>
      <c r="B159" s="78">
        <v>156</v>
      </c>
      <c r="C159" s="7" t="s">
        <v>608</v>
      </c>
      <c r="D159" s="53" t="s">
        <v>2818</v>
      </c>
      <c r="E159" s="57" t="s">
        <v>3014</v>
      </c>
      <c r="F159" s="7" t="s">
        <v>43</v>
      </c>
      <c r="G159" s="7" t="s">
        <v>44</v>
      </c>
      <c r="H159" s="7" t="s">
        <v>3256</v>
      </c>
      <c r="I159" s="7" t="s">
        <v>3256</v>
      </c>
      <c r="J159" s="7" t="s">
        <v>3211</v>
      </c>
      <c r="K159" s="7" t="s">
        <v>3412</v>
      </c>
      <c r="L159" s="7">
        <v>10053312243</v>
      </c>
      <c r="M159" s="7"/>
      <c r="N159" s="7"/>
      <c r="O159" s="29" t="s">
        <v>11</v>
      </c>
      <c r="P159" s="29" t="s">
        <v>11</v>
      </c>
      <c r="Q159" s="29" t="s">
        <v>11</v>
      </c>
      <c r="R159" s="29" t="s">
        <v>11</v>
      </c>
      <c r="S159" s="29" t="s">
        <v>11</v>
      </c>
      <c r="T159" s="29" t="s">
        <v>11</v>
      </c>
      <c r="U159" s="29" t="s">
        <v>11</v>
      </c>
      <c r="V159" s="29" t="s">
        <v>11</v>
      </c>
      <c r="W159" s="29" t="s">
        <v>11</v>
      </c>
      <c r="X159" s="29" t="s">
        <v>11</v>
      </c>
      <c r="Y159" s="29" t="s">
        <v>11</v>
      </c>
      <c r="Z159" s="29" t="s">
        <v>11</v>
      </c>
      <c r="AA159" s="29" t="s">
        <v>11</v>
      </c>
      <c r="AB159" s="29" t="s">
        <v>11</v>
      </c>
      <c r="AC159" s="29" t="s">
        <v>11</v>
      </c>
      <c r="AD159" s="29" t="s">
        <v>11</v>
      </c>
      <c r="AE159" s="24">
        <f t="shared" si="6"/>
        <v>0</v>
      </c>
      <c r="AF159" s="24">
        <f t="shared" si="7"/>
        <v>0</v>
      </c>
      <c r="AG159" s="24">
        <f t="shared" si="8"/>
        <v>15</v>
      </c>
      <c r="AH159" s="41" t="str" cm="1">
        <f t="array" ref="AH159">_xlfn.IFS(
$AE159=15,"Not Started",
$AG159&lt;15,"In Progress",
$AG159=15,"Completed",
SUM(AE159:AG159)&gt;15,"Error"
)</f>
        <v>Completed</v>
      </c>
    </row>
    <row r="160" spans="1:34" ht="26" x14ac:dyDescent="0.25">
      <c r="A160" s="248"/>
      <c r="B160" s="78">
        <v>157</v>
      </c>
      <c r="C160" s="14" t="s">
        <v>609</v>
      </c>
      <c r="D160" s="53" t="s">
        <v>2819</v>
      </c>
      <c r="E160" s="80" t="s">
        <v>10224</v>
      </c>
      <c r="F160" s="7" t="s">
        <v>43</v>
      </c>
      <c r="G160" s="7" t="s">
        <v>44</v>
      </c>
      <c r="H160" s="7" t="s">
        <v>3256</v>
      </c>
      <c r="I160" s="7" t="s">
        <v>3256</v>
      </c>
      <c r="J160" s="7" t="s">
        <v>3212</v>
      </c>
      <c r="K160" s="7" t="s">
        <v>3413</v>
      </c>
      <c r="L160" s="7">
        <v>10053372171</v>
      </c>
      <c r="M160" s="7"/>
      <c r="N160" s="7"/>
      <c r="O160" s="29" t="s">
        <v>11</v>
      </c>
      <c r="P160" s="29" t="s">
        <v>11</v>
      </c>
      <c r="Q160" s="29" t="s">
        <v>11</v>
      </c>
      <c r="R160" s="29" t="s">
        <v>11</v>
      </c>
      <c r="S160" s="29" t="s">
        <v>11</v>
      </c>
      <c r="T160" s="29" t="s">
        <v>11</v>
      </c>
      <c r="U160" s="29" t="s">
        <v>11</v>
      </c>
      <c r="V160" s="29" t="s">
        <v>11</v>
      </c>
      <c r="W160" s="29" t="s">
        <v>11</v>
      </c>
      <c r="X160" s="29" t="s">
        <v>11</v>
      </c>
      <c r="Y160" s="29" t="s">
        <v>11</v>
      </c>
      <c r="Z160" s="29" t="s">
        <v>11</v>
      </c>
      <c r="AA160" s="29" t="s">
        <v>11</v>
      </c>
      <c r="AB160" s="29" t="s">
        <v>11</v>
      </c>
      <c r="AC160" s="29" t="s">
        <v>11</v>
      </c>
      <c r="AD160" s="29" t="s">
        <v>11</v>
      </c>
      <c r="AE160" s="24">
        <f t="shared" si="6"/>
        <v>0</v>
      </c>
      <c r="AF160" s="24">
        <f t="shared" si="7"/>
        <v>0</v>
      </c>
      <c r="AG160" s="24">
        <f t="shared" si="8"/>
        <v>15</v>
      </c>
      <c r="AH160" s="41" t="str" cm="1">
        <f t="array" ref="AH160">_xlfn.IFS(
$AE160=15,"Not Started",
$AG160&lt;15,"In Progress",
$AG160=15,"Completed",
SUM(AE160:AG160)&gt;15,"Error"
)</f>
        <v>Completed</v>
      </c>
    </row>
    <row r="161" spans="1:34" ht="13" x14ac:dyDescent="0.25">
      <c r="A161" s="248"/>
      <c r="B161" s="78">
        <v>158</v>
      </c>
      <c r="C161" s="7" t="s">
        <v>610</v>
      </c>
      <c r="D161" s="53" t="s">
        <v>2820</v>
      </c>
      <c r="E161" s="57" t="s">
        <v>3015</v>
      </c>
      <c r="F161" s="7" t="s">
        <v>47</v>
      </c>
      <c r="G161" s="7" t="s">
        <v>48</v>
      </c>
      <c r="H161" s="7" t="s">
        <v>3256</v>
      </c>
      <c r="I161" s="7" t="s">
        <v>3256</v>
      </c>
      <c r="J161" s="7" t="s">
        <v>3213</v>
      </c>
      <c r="K161" s="7" t="s">
        <v>3414</v>
      </c>
      <c r="L161" s="7">
        <v>10053684221</v>
      </c>
      <c r="M161" s="7"/>
      <c r="N161" s="7"/>
      <c r="O161" s="29" t="s">
        <v>11</v>
      </c>
      <c r="P161" s="29" t="s">
        <v>11</v>
      </c>
      <c r="Q161" s="29" t="s">
        <v>11</v>
      </c>
      <c r="R161" s="29" t="s">
        <v>11</v>
      </c>
      <c r="S161" s="29" t="s">
        <v>11</v>
      </c>
      <c r="T161" s="29" t="s">
        <v>11</v>
      </c>
      <c r="U161" s="29" t="s">
        <v>11</v>
      </c>
      <c r="V161" s="29" t="s">
        <v>11</v>
      </c>
      <c r="W161" s="29" t="s">
        <v>11</v>
      </c>
      <c r="X161" s="29" t="s">
        <v>11</v>
      </c>
      <c r="Y161" s="29" t="s">
        <v>11</v>
      </c>
      <c r="Z161" s="29" t="s">
        <v>11</v>
      </c>
      <c r="AA161" s="29" t="s">
        <v>11</v>
      </c>
      <c r="AB161" s="29" t="s">
        <v>11</v>
      </c>
      <c r="AC161" s="29" t="s">
        <v>11</v>
      </c>
      <c r="AD161" s="29" t="s">
        <v>11</v>
      </c>
      <c r="AE161" s="24">
        <f t="shared" si="6"/>
        <v>0</v>
      </c>
      <c r="AF161" s="24">
        <f t="shared" si="7"/>
        <v>0</v>
      </c>
      <c r="AG161" s="24">
        <f t="shared" si="8"/>
        <v>15</v>
      </c>
      <c r="AH161" s="41" t="str" cm="1">
        <f t="array" ref="AH161">_xlfn.IFS(
$AE161=15,"Not Started",
$AG161&lt;15,"In Progress",
$AG161=15,"Completed",
SUM(AE161:AG161)&gt;15,"Error"
)</f>
        <v>Completed</v>
      </c>
    </row>
    <row r="162" spans="1:34" ht="13" x14ac:dyDescent="0.25">
      <c r="A162" s="248"/>
      <c r="B162" s="78">
        <v>159</v>
      </c>
      <c r="C162" s="14" t="s">
        <v>611</v>
      </c>
      <c r="D162" s="53" t="s">
        <v>2821</v>
      </c>
      <c r="E162" s="57" t="s">
        <v>3016</v>
      </c>
      <c r="F162" s="7" t="s">
        <v>43</v>
      </c>
      <c r="G162" s="7" t="s">
        <v>44</v>
      </c>
      <c r="H162" s="7" t="s">
        <v>3256</v>
      </c>
      <c r="I162" s="7" t="s">
        <v>3256</v>
      </c>
      <c r="J162" s="7" t="s">
        <v>3214</v>
      </c>
      <c r="K162" s="7" t="s">
        <v>3415</v>
      </c>
      <c r="L162" s="7">
        <v>10088065235</v>
      </c>
      <c r="M162" s="7"/>
      <c r="N162" s="7"/>
      <c r="O162" s="29" t="s">
        <v>11</v>
      </c>
      <c r="P162" s="29" t="s">
        <v>11</v>
      </c>
      <c r="Q162" s="29" t="s">
        <v>11</v>
      </c>
      <c r="R162" s="29" t="s">
        <v>11</v>
      </c>
      <c r="S162" s="29" t="s">
        <v>11</v>
      </c>
      <c r="T162" s="29" t="s">
        <v>11</v>
      </c>
      <c r="U162" s="29" t="s">
        <v>11</v>
      </c>
      <c r="V162" s="29" t="s">
        <v>11</v>
      </c>
      <c r="W162" s="29" t="s">
        <v>11</v>
      </c>
      <c r="X162" s="29" t="s">
        <v>11</v>
      </c>
      <c r="Y162" s="29" t="s">
        <v>11</v>
      </c>
      <c r="Z162" s="29" t="s">
        <v>11</v>
      </c>
      <c r="AA162" s="29" t="s">
        <v>11</v>
      </c>
      <c r="AB162" s="29" t="s">
        <v>11</v>
      </c>
      <c r="AC162" s="29" t="s">
        <v>11</v>
      </c>
      <c r="AD162" s="29" t="s">
        <v>11</v>
      </c>
      <c r="AE162" s="24">
        <f t="shared" si="6"/>
        <v>0</v>
      </c>
      <c r="AF162" s="24">
        <f t="shared" si="7"/>
        <v>0</v>
      </c>
      <c r="AG162" s="24">
        <f t="shared" si="8"/>
        <v>15</v>
      </c>
      <c r="AH162" s="41" t="str" cm="1">
        <f t="array" ref="AH162">_xlfn.IFS(
$AE162=15,"Not Started",
$AG162&lt;15,"In Progress",
$AG162=15,"Completed",
SUM(AE162:AG162)&gt;15,"Error"
)</f>
        <v>Completed</v>
      </c>
    </row>
    <row r="163" spans="1:34" ht="13" x14ac:dyDescent="0.25">
      <c r="A163" s="248"/>
      <c r="B163" s="78">
        <v>160</v>
      </c>
      <c r="C163" s="7" t="s">
        <v>612</v>
      </c>
      <c r="D163" s="53" t="s">
        <v>2822</v>
      </c>
      <c r="E163" s="57" t="s">
        <v>3017</v>
      </c>
      <c r="F163" s="7" t="s">
        <v>9670</v>
      </c>
      <c r="G163" s="7" t="s">
        <v>48</v>
      </c>
      <c r="H163" s="7" t="s">
        <v>3256</v>
      </c>
      <c r="I163" s="7" t="s">
        <v>3256</v>
      </c>
      <c r="J163" s="7" t="s">
        <v>3215</v>
      </c>
      <c r="K163" s="7" t="s">
        <v>3416</v>
      </c>
      <c r="L163" s="7">
        <v>10105656373</v>
      </c>
      <c r="M163" s="7"/>
      <c r="N163" s="7"/>
      <c r="O163" s="29" t="s">
        <v>11</v>
      </c>
      <c r="P163" s="29" t="s">
        <v>11</v>
      </c>
      <c r="Q163" s="29" t="s">
        <v>11</v>
      </c>
      <c r="R163" s="29" t="s">
        <v>11</v>
      </c>
      <c r="S163" s="29" t="s">
        <v>11</v>
      </c>
      <c r="T163" s="29" t="s">
        <v>11</v>
      </c>
      <c r="U163" s="29" t="s">
        <v>11</v>
      </c>
      <c r="V163" s="29" t="s">
        <v>11</v>
      </c>
      <c r="W163" s="29" t="s">
        <v>11</v>
      </c>
      <c r="X163" s="29" t="s">
        <v>11</v>
      </c>
      <c r="Y163" s="29" t="s">
        <v>11</v>
      </c>
      <c r="Z163" s="29" t="s">
        <v>11</v>
      </c>
      <c r="AA163" s="29" t="s">
        <v>11</v>
      </c>
      <c r="AB163" s="29" t="s">
        <v>11</v>
      </c>
      <c r="AC163" s="29" t="s">
        <v>11</v>
      </c>
      <c r="AD163" s="29" t="s">
        <v>11</v>
      </c>
      <c r="AE163" s="24">
        <f t="shared" si="6"/>
        <v>0</v>
      </c>
      <c r="AF163" s="24">
        <f t="shared" si="7"/>
        <v>0</v>
      </c>
      <c r="AG163" s="24">
        <f t="shared" si="8"/>
        <v>15</v>
      </c>
      <c r="AH163" s="41" t="str" cm="1">
        <f t="array" ref="AH163">_xlfn.IFS(
$AE163=15,"Not Started",
$AG163&lt;15,"In Progress",
$AG163=15,"Completed",
SUM(AE163:AG163)&gt;15,"Error"
)</f>
        <v>Completed</v>
      </c>
    </row>
    <row r="164" spans="1:34" ht="13" x14ac:dyDescent="0.25">
      <c r="A164" s="248"/>
      <c r="B164" s="78">
        <v>161</v>
      </c>
      <c r="C164" s="14" t="s">
        <v>613</v>
      </c>
      <c r="D164" s="53" t="s">
        <v>2823</v>
      </c>
      <c r="E164" s="57" t="s">
        <v>3018</v>
      </c>
      <c r="F164" s="7" t="s">
        <v>43</v>
      </c>
      <c r="G164" s="7" t="s">
        <v>44</v>
      </c>
      <c r="H164" s="7" t="s">
        <v>3256</v>
      </c>
      <c r="I164" s="7" t="s">
        <v>3256</v>
      </c>
      <c r="J164" s="7" t="s">
        <v>3216</v>
      </c>
      <c r="K164" s="7" t="s">
        <v>3417</v>
      </c>
      <c r="L164" s="7">
        <v>10101245727</v>
      </c>
      <c r="M164" s="7"/>
      <c r="N164" s="7"/>
      <c r="O164" s="29" t="s">
        <v>11</v>
      </c>
      <c r="P164" s="29" t="s">
        <v>11</v>
      </c>
      <c r="Q164" s="29" t="s">
        <v>11</v>
      </c>
      <c r="R164" s="29" t="s">
        <v>11</v>
      </c>
      <c r="S164" s="29" t="s">
        <v>11</v>
      </c>
      <c r="T164" s="29" t="s">
        <v>11</v>
      </c>
      <c r="U164" s="29" t="s">
        <v>11</v>
      </c>
      <c r="V164" s="29" t="s">
        <v>11</v>
      </c>
      <c r="W164" s="29" t="s">
        <v>11</v>
      </c>
      <c r="X164" s="29" t="s">
        <v>11</v>
      </c>
      <c r="Y164" s="29" t="s">
        <v>11</v>
      </c>
      <c r="Z164" s="29" t="s">
        <v>11</v>
      </c>
      <c r="AA164" s="29" t="s">
        <v>11</v>
      </c>
      <c r="AB164" s="29" t="s">
        <v>11</v>
      </c>
      <c r="AC164" s="29" t="s">
        <v>11</v>
      </c>
      <c r="AD164" s="29" t="s">
        <v>11</v>
      </c>
      <c r="AE164" s="24">
        <f t="shared" si="6"/>
        <v>0</v>
      </c>
      <c r="AF164" s="24">
        <f t="shared" si="7"/>
        <v>0</v>
      </c>
      <c r="AG164" s="24">
        <f t="shared" si="8"/>
        <v>15</v>
      </c>
      <c r="AH164" s="41" t="str" cm="1">
        <f t="array" ref="AH164">_xlfn.IFS(
$AE164=15,"Not Started",
$AG164&lt;15,"In Progress",
$AG164=15,"Completed",
SUM(AE164:AG164)&gt;15,"Error"
)</f>
        <v>Completed</v>
      </c>
    </row>
    <row r="165" spans="1:34" ht="13" x14ac:dyDescent="0.25">
      <c r="A165" s="248"/>
      <c r="B165" s="78">
        <v>162</v>
      </c>
      <c r="C165" s="7" t="s">
        <v>614</v>
      </c>
      <c r="D165" s="53" t="s">
        <v>2824</v>
      </c>
      <c r="E165" s="57" t="s">
        <v>3019</v>
      </c>
      <c r="F165" s="7" t="s">
        <v>51</v>
      </c>
      <c r="G165" s="7" t="s">
        <v>48</v>
      </c>
      <c r="H165" s="7" t="s">
        <v>3256</v>
      </c>
      <c r="I165" s="7" t="s">
        <v>3256</v>
      </c>
      <c r="J165" s="7" t="s">
        <v>3217</v>
      </c>
      <c r="K165" s="7" t="s">
        <v>3418</v>
      </c>
      <c r="L165" s="7">
        <v>10053684955</v>
      </c>
      <c r="M165" s="7"/>
      <c r="N165" s="7"/>
      <c r="O165" s="29" t="s">
        <v>11</v>
      </c>
      <c r="P165" s="29" t="s">
        <v>11</v>
      </c>
      <c r="Q165" s="29" t="s">
        <v>11</v>
      </c>
      <c r="R165" s="29" t="s">
        <v>11</v>
      </c>
      <c r="S165" s="29" t="s">
        <v>11</v>
      </c>
      <c r="T165" s="29" t="s">
        <v>11</v>
      </c>
      <c r="U165" s="29" t="s">
        <v>11</v>
      </c>
      <c r="V165" s="29" t="s">
        <v>11</v>
      </c>
      <c r="W165" s="29" t="s">
        <v>11</v>
      </c>
      <c r="X165" s="29" t="s">
        <v>11</v>
      </c>
      <c r="Y165" s="29" t="s">
        <v>11</v>
      </c>
      <c r="Z165" s="29" t="s">
        <v>11</v>
      </c>
      <c r="AA165" s="29" t="s">
        <v>11</v>
      </c>
      <c r="AB165" s="29" t="s">
        <v>11</v>
      </c>
      <c r="AC165" s="29" t="s">
        <v>11</v>
      </c>
      <c r="AD165" s="29" t="s">
        <v>11</v>
      </c>
      <c r="AE165" s="24">
        <f t="shared" si="6"/>
        <v>0</v>
      </c>
      <c r="AF165" s="24">
        <f t="shared" si="7"/>
        <v>0</v>
      </c>
      <c r="AG165" s="24">
        <f t="shared" si="8"/>
        <v>15</v>
      </c>
      <c r="AH165" s="41" t="str" cm="1">
        <f t="array" ref="AH165">_xlfn.IFS(
$AE165=15,"Not Started",
$AG165&lt;15,"In Progress",
$AG165=15,"Completed",
SUM(AE165:AG165)&gt;15,"Error"
)</f>
        <v>Completed</v>
      </c>
    </row>
    <row r="166" spans="1:34" ht="13" x14ac:dyDescent="0.25">
      <c r="A166" s="248"/>
      <c r="B166" s="78">
        <v>163</v>
      </c>
      <c r="C166" s="14" t="s">
        <v>615</v>
      </c>
      <c r="D166" s="53" t="s">
        <v>2825</v>
      </c>
      <c r="E166" s="57" t="s">
        <v>3020</v>
      </c>
      <c r="F166" s="7" t="s">
        <v>47</v>
      </c>
      <c r="G166" s="7" t="s">
        <v>44</v>
      </c>
      <c r="H166" s="7" t="s">
        <v>3256</v>
      </c>
      <c r="I166" s="7" t="s">
        <v>3256</v>
      </c>
      <c r="J166" s="7" t="s">
        <v>3218</v>
      </c>
      <c r="K166" s="7" t="s">
        <v>3419</v>
      </c>
      <c r="L166" s="7">
        <v>10053848889</v>
      </c>
      <c r="M166" s="7"/>
      <c r="N166" s="7"/>
      <c r="O166" s="29" t="s">
        <v>11</v>
      </c>
      <c r="P166" s="29" t="s">
        <v>11</v>
      </c>
      <c r="Q166" s="29" t="s">
        <v>11</v>
      </c>
      <c r="R166" s="29" t="s">
        <v>11</v>
      </c>
      <c r="S166" s="29" t="s">
        <v>11</v>
      </c>
      <c r="T166" s="29" t="s">
        <v>11</v>
      </c>
      <c r="U166" s="29" t="s">
        <v>11</v>
      </c>
      <c r="V166" s="29" t="s">
        <v>11</v>
      </c>
      <c r="W166" s="29" t="s">
        <v>11</v>
      </c>
      <c r="X166" s="29" t="s">
        <v>11</v>
      </c>
      <c r="Y166" s="29" t="s">
        <v>11</v>
      </c>
      <c r="Z166" s="29" t="s">
        <v>11</v>
      </c>
      <c r="AA166" s="29" t="s">
        <v>11</v>
      </c>
      <c r="AB166" s="29" t="s">
        <v>11</v>
      </c>
      <c r="AC166" s="29" t="s">
        <v>11</v>
      </c>
      <c r="AD166" s="29" t="s">
        <v>11</v>
      </c>
      <c r="AE166" s="24">
        <f t="shared" si="6"/>
        <v>0</v>
      </c>
      <c r="AF166" s="24">
        <f t="shared" si="7"/>
        <v>0</v>
      </c>
      <c r="AG166" s="24">
        <f t="shared" si="8"/>
        <v>15</v>
      </c>
      <c r="AH166" s="41" t="str" cm="1">
        <f t="array" ref="AH166">_xlfn.IFS(
$AE166=15,"Not Started",
$AG166&lt;15,"In Progress",
$AG166=15,"Completed",
SUM(AE166:AG166)&gt;15,"Error"
)</f>
        <v>Completed</v>
      </c>
    </row>
    <row r="167" spans="1:34" ht="13" x14ac:dyDescent="0.25">
      <c r="A167" s="248"/>
      <c r="B167" s="78">
        <v>164</v>
      </c>
      <c r="C167" s="7" t="s">
        <v>616</v>
      </c>
      <c r="D167" s="53" t="s">
        <v>2826</v>
      </c>
      <c r="E167" s="57" t="s">
        <v>3021</v>
      </c>
      <c r="F167" s="7" t="s">
        <v>43</v>
      </c>
      <c r="G167" s="7" t="s">
        <v>48</v>
      </c>
      <c r="H167" s="7" t="s">
        <v>3256</v>
      </c>
      <c r="I167" s="7" t="s">
        <v>3256</v>
      </c>
      <c r="J167" s="7" t="s">
        <v>3219</v>
      </c>
      <c r="K167" s="7" t="s">
        <v>3420</v>
      </c>
      <c r="L167" s="7">
        <v>10053821428</v>
      </c>
      <c r="M167" s="7"/>
      <c r="N167" s="7"/>
      <c r="O167" s="29" t="s">
        <v>11</v>
      </c>
      <c r="P167" s="29" t="s">
        <v>11</v>
      </c>
      <c r="Q167" s="29" t="s">
        <v>11</v>
      </c>
      <c r="R167" s="29" t="s">
        <v>11</v>
      </c>
      <c r="S167" s="29" t="s">
        <v>11</v>
      </c>
      <c r="T167" s="29" t="s">
        <v>11</v>
      </c>
      <c r="U167" s="29" t="s">
        <v>11</v>
      </c>
      <c r="V167" s="29" t="s">
        <v>11</v>
      </c>
      <c r="W167" s="29" t="s">
        <v>11</v>
      </c>
      <c r="X167" s="29" t="s">
        <v>11</v>
      </c>
      <c r="Y167" s="29" t="s">
        <v>11</v>
      </c>
      <c r="Z167" s="29" t="s">
        <v>11</v>
      </c>
      <c r="AA167" s="29" t="s">
        <v>11</v>
      </c>
      <c r="AB167" s="29" t="s">
        <v>11</v>
      </c>
      <c r="AC167" s="29" t="s">
        <v>11</v>
      </c>
      <c r="AD167" s="29" t="s">
        <v>11</v>
      </c>
      <c r="AE167" s="24">
        <f t="shared" si="6"/>
        <v>0</v>
      </c>
      <c r="AF167" s="24">
        <f t="shared" si="7"/>
        <v>0</v>
      </c>
      <c r="AG167" s="24">
        <f t="shared" si="8"/>
        <v>15</v>
      </c>
      <c r="AH167" s="41" t="str" cm="1">
        <f t="array" ref="AH167">_xlfn.IFS(
$AE167=15,"Not Started",
$AG167&lt;15,"In Progress",
$AG167=15,"Completed",
SUM(AE167:AG167)&gt;15,"Error"
)</f>
        <v>Completed</v>
      </c>
    </row>
    <row r="168" spans="1:34" ht="13" x14ac:dyDescent="0.25">
      <c r="A168" s="248"/>
      <c r="B168" s="78">
        <v>165</v>
      </c>
      <c r="C168" s="14" t="s">
        <v>617</v>
      </c>
      <c r="D168" s="53" t="s">
        <v>2827</v>
      </c>
      <c r="E168" s="57" t="s">
        <v>3022</v>
      </c>
      <c r="F168" s="7" t="s">
        <v>47</v>
      </c>
      <c r="G168" s="7" t="s">
        <v>48</v>
      </c>
      <c r="H168" s="7" t="s">
        <v>3256</v>
      </c>
      <c r="I168" s="7" t="s">
        <v>3256</v>
      </c>
      <c r="J168" s="7" t="s">
        <v>3220</v>
      </c>
      <c r="K168" s="7" t="s">
        <v>3421</v>
      </c>
      <c r="L168" s="7">
        <v>10053254669</v>
      </c>
      <c r="M168" s="7"/>
      <c r="N168" s="7"/>
      <c r="O168" s="29" t="s">
        <v>11</v>
      </c>
      <c r="P168" s="29" t="s">
        <v>11</v>
      </c>
      <c r="Q168" s="29" t="s">
        <v>11</v>
      </c>
      <c r="R168" s="29" t="s">
        <v>11</v>
      </c>
      <c r="S168" s="29" t="s">
        <v>11</v>
      </c>
      <c r="T168" s="29" t="s">
        <v>11</v>
      </c>
      <c r="U168" s="29" t="s">
        <v>11</v>
      </c>
      <c r="V168" s="29" t="s">
        <v>11</v>
      </c>
      <c r="W168" s="29" t="s">
        <v>11</v>
      </c>
      <c r="X168" s="29" t="s">
        <v>11</v>
      </c>
      <c r="Y168" s="29" t="s">
        <v>11</v>
      </c>
      <c r="Z168" s="29" t="s">
        <v>11</v>
      </c>
      <c r="AA168" s="29" t="s">
        <v>11</v>
      </c>
      <c r="AB168" s="29" t="s">
        <v>11</v>
      </c>
      <c r="AC168" s="29" t="s">
        <v>11</v>
      </c>
      <c r="AD168" s="29" t="s">
        <v>11</v>
      </c>
      <c r="AE168" s="24">
        <f t="shared" si="6"/>
        <v>0</v>
      </c>
      <c r="AF168" s="24">
        <f t="shared" si="7"/>
        <v>0</v>
      </c>
      <c r="AG168" s="24">
        <f t="shared" si="8"/>
        <v>15</v>
      </c>
      <c r="AH168" s="41" t="str" cm="1">
        <f t="array" ref="AH168">_xlfn.IFS(
$AE168=15,"Not Started",
$AG168&lt;15,"In Progress",
$AG168=15,"Completed",
SUM(AE168:AG168)&gt;15,"Error"
)</f>
        <v>Completed</v>
      </c>
    </row>
    <row r="169" spans="1:34" ht="13" x14ac:dyDescent="0.25">
      <c r="A169" s="248"/>
      <c r="B169" s="78">
        <v>166</v>
      </c>
      <c r="C169" s="7" t="s">
        <v>618</v>
      </c>
      <c r="D169" s="53" t="s">
        <v>2828</v>
      </c>
      <c r="E169" s="57" t="s">
        <v>3023</v>
      </c>
      <c r="F169" s="7" t="s">
        <v>51</v>
      </c>
      <c r="G169" s="7" t="s">
        <v>48</v>
      </c>
      <c r="H169" s="7" t="s">
        <v>3256</v>
      </c>
      <c r="I169" s="7" t="s">
        <v>3256</v>
      </c>
      <c r="J169" s="7" t="s">
        <v>3221</v>
      </c>
      <c r="K169" s="7" t="s">
        <v>3422</v>
      </c>
      <c r="L169" s="7">
        <v>10053374148</v>
      </c>
      <c r="M169" s="7"/>
      <c r="N169" s="7"/>
      <c r="O169" s="29" t="s">
        <v>11</v>
      </c>
      <c r="P169" s="29" t="s">
        <v>11</v>
      </c>
      <c r="Q169" s="29" t="s">
        <v>11</v>
      </c>
      <c r="R169" s="29" t="s">
        <v>11</v>
      </c>
      <c r="S169" s="29" t="s">
        <v>11</v>
      </c>
      <c r="T169" s="29" t="s">
        <v>11</v>
      </c>
      <c r="U169" s="29" t="s">
        <v>11</v>
      </c>
      <c r="V169" s="29" t="s">
        <v>11</v>
      </c>
      <c r="W169" s="29" t="s">
        <v>11</v>
      </c>
      <c r="X169" s="29" t="s">
        <v>11</v>
      </c>
      <c r="Y169" s="29" t="s">
        <v>11</v>
      </c>
      <c r="Z169" s="29" t="s">
        <v>11</v>
      </c>
      <c r="AA169" s="29" t="s">
        <v>11</v>
      </c>
      <c r="AB169" s="29" t="s">
        <v>11</v>
      </c>
      <c r="AC169" s="29" t="s">
        <v>11</v>
      </c>
      <c r="AD169" s="29" t="s">
        <v>11</v>
      </c>
      <c r="AE169" s="24">
        <f t="shared" si="6"/>
        <v>0</v>
      </c>
      <c r="AF169" s="24">
        <f t="shared" si="7"/>
        <v>0</v>
      </c>
      <c r="AG169" s="24">
        <f t="shared" si="8"/>
        <v>15</v>
      </c>
      <c r="AH169" s="41" t="str" cm="1">
        <f t="array" ref="AH169">_xlfn.IFS(
$AE169=15,"Not Started",
$AG169&lt;15,"In Progress",
$AG169=15,"Completed",
SUM(AE169:AG169)&gt;15,"Error"
)</f>
        <v>Completed</v>
      </c>
    </row>
    <row r="170" spans="1:34" ht="13" x14ac:dyDescent="0.25">
      <c r="A170" s="248"/>
      <c r="B170" s="78">
        <v>167</v>
      </c>
      <c r="C170" s="14" t="s">
        <v>619</v>
      </c>
      <c r="D170" s="53" t="s">
        <v>2829</v>
      </c>
      <c r="E170" s="57" t="s">
        <v>3024</v>
      </c>
      <c r="F170" s="7" t="s">
        <v>43</v>
      </c>
      <c r="G170" s="7" t="s">
        <v>44</v>
      </c>
      <c r="H170" s="7" t="s">
        <v>3256</v>
      </c>
      <c r="I170" s="7" t="s">
        <v>3256</v>
      </c>
      <c r="J170" s="7" t="s">
        <v>3222</v>
      </c>
      <c r="K170" s="7" t="s">
        <v>3423</v>
      </c>
      <c r="L170" s="7">
        <v>10053442426</v>
      </c>
      <c r="M170" s="7"/>
      <c r="N170" s="7"/>
      <c r="O170" s="29" t="s">
        <v>11</v>
      </c>
      <c r="P170" s="29" t="s">
        <v>11</v>
      </c>
      <c r="Q170" s="29" t="s">
        <v>11</v>
      </c>
      <c r="R170" s="29" t="s">
        <v>11</v>
      </c>
      <c r="S170" s="29" t="s">
        <v>11</v>
      </c>
      <c r="T170" s="29" t="s">
        <v>11</v>
      </c>
      <c r="U170" s="29" t="s">
        <v>11</v>
      </c>
      <c r="V170" s="29" t="s">
        <v>11</v>
      </c>
      <c r="W170" s="29" t="s">
        <v>11</v>
      </c>
      <c r="X170" s="29" t="s">
        <v>11</v>
      </c>
      <c r="Y170" s="29" t="s">
        <v>11</v>
      </c>
      <c r="Z170" s="29" t="s">
        <v>11</v>
      </c>
      <c r="AA170" s="29" t="s">
        <v>11</v>
      </c>
      <c r="AB170" s="29" t="s">
        <v>11</v>
      </c>
      <c r="AC170" s="29" t="s">
        <v>11</v>
      </c>
      <c r="AD170" s="29" t="s">
        <v>11</v>
      </c>
      <c r="AE170" s="24">
        <f t="shared" si="6"/>
        <v>0</v>
      </c>
      <c r="AF170" s="24">
        <f t="shared" si="7"/>
        <v>0</v>
      </c>
      <c r="AG170" s="24">
        <f t="shared" si="8"/>
        <v>15</v>
      </c>
      <c r="AH170" s="41" t="str" cm="1">
        <f t="array" ref="AH170">_xlfn.IFS(
$AE170=15,"Not Started",
$AG170&lt;15,"In Progress",
$AG170=15,"Completed",
SUM(AE170:AG170)&gt;15,"Error"
)</f>
        <v>Completed</v>
      </c>
    </row>
    <row r="171" spans="1:34" ht="13" x14ac:dyDescent="0.25">
      <c r="A171" s="248"/>
      <c r="B171" s="78">
        <v>168</v>
      </c>
      <c r="C171" s="7" t="s">
        <v>620</v>
      </c>
      <c r="D171" s="53" t="s">
        <v>2830</v>
      </c>
      <c r="E171" s="57" t="s">
        <v>3025</v>
      </c>
      <c r="F171" s="7" t="s">
        <v>51</v>
      </c>
      <c r="G171" s="7" t="s">
        <v>48</v>
      </c>
      <c r="H171" s="7" t="s">
        <v>3256</v>
      </c>
      <c r="I171" s="7" t="s">
        <v>3256</v>
      </c>
      <c r="J171" s="7" t="s">
        <v>3223</v>
      </c>
      <c r="K171" s="7" t="s">
        <v>3424</v>
      </c>
      <c r="L171" s="7">
        <v>10053498403</v>
      </c>
      <c r="M171" s="7"/>
      <c r="N171" s="7"/>
      <c r="O171" s="29" t="s">
        <v>11</v>
      </c>
      <c r="P171" s="29" t="s">
        <v>11</v>
      </c>
      <c r="Q171" s="29" t="s">
        <v>11</v>
      </c>
      <c r="R171" s="29" t="s">
        <v>11</v>
      </c>
      <c r="S171" s="29" t="s">
        <v>11</v>
      </c>
      <c r="T171" s="29" t="s">
        <v>11</v>
      </c>
      <c r="U171" s="29" t="s">
        <v>11</v>
      </c>
      <c r="V171" s="29" t="s">
        <v>11</v>
      </c>
      <c r="W171" s="29" t="s">
        <v>11</v>
      </c>
      <c r="X171" s="29" t="s">
        <v>11</v>
      </c>
      <c r="Y171" s="29" t="s">
        <v>11</v>
      </c>
      <c r="Z171" s="29" t="s">
        <v>11</v>
      </c>
      <c r="AA171" s="29" t="s">
        <v>11</v>
      </c>
      <c r="AB171" s="29" t="s">
        <v>11</v>
      </c>
      <c r="AC171" s="29" t="s">
        <v>11</v>
      </c>
      <c r="AD171" s="29" t="s">
        <v>11</v>
      </c>
      <c r="AE171" s="24">
        <f t="shared" si="6"/>
        <v>0</v>
      </c>
      <c r="AF171" s="24">
        <f t="shared" si="7"/>
        <v>0</v>
      </c>
      <c r="AG171" s="24">
        <f t="shared" si="8"/>
        <v>15</v>
      </c>
      <c r="AH171" s="41" t="str" cm="1">
        <f t="array" ref="AH171">_xlfn.IFS(
$AE171=15,"Not Started",
$AG171&lt;15,"In Progress",
$AG171=15,"Completed",
SUM(AE171:AG171)&gt;15,"Error"
)</f>
        <v>Completed</v>
      </c>
    </row>
    <row r="172" spans="1:34" ht="13" x14ac:dyDescent="0.25">
      <c r="A172" s="248"/>
      <c r="B172" s="78">
        <v>169</v>
      </c>
      <c r="C172" s="14" t="s">
        <v>621</v>
      </c>
      <c r="D172" s="53" t="s">
        <v>2831</v>
      </c>
      <c r="E172" s="57" t="s">
        <v>3026</v>
      </c>
      <c r="F172" s="7" t="s">
        <v>51</v>
      </c>
      <c r="G172" s="7" t="s">
        <v>48</v>
      </c>
      <c r="H172" s="7" t="s">
        <v>3256</v>
      </c>
      <c r="I172" s="7" t="s">
        <v>3256</v>
      </c>
      <c r="J172" s="7" t="s">
        <v>3224</v>
      </c>
      <c r="K172" s="7" t="s">
        <v>3425</v>
      </c>
      <c r="L172" s="7">
        <v>10053502598</v>
      </c>
      <c r="M172" s="7"/>
      <c r="N172" s="7"/>
      <c r="O172" s="29" t="s">
        <v>11</v>
      </c>
      <c r="P172" s="29" t="s">
        <v>11</v>
      </c>
      <c r="Q172" s="29" t="s">
        <v>11</v>
      </c>
      <c r="R172" s="29" t="s">
        <v>11</v>
      </c>
      <c r="S172" s="29" t="s">
        <v>11</v>
      </c>
      <c r="T172" s="29" t="s">
        <v>11</v>
      </c>
      <c r="U172" s="29" t="s">
        <v>11</v>
      </c>
      <c r="V172" s="29" t="s">
        <v>11</v>
      </c>
      <c r="W172" s="29" t="s">
        <v>11</v>
      </c>
      <c r="X172" s="29" t="s">
        <v>11</v>
      </c>
      <c r="Y172" s="29" t="s">
        <v>11</v>
      </c>
      <c r="Z172" s="29" t="s">
        <v>11</v>
      </c>
      <c r="AA172" s="29" t="s">
        <v>11</v>
      </c>
      <c r="AB172" s="29" t="s">
        <v>11</v>
      </c>
      <c r="AC172" s="29" t="s">
        <v>11</v>
      </c>
      <c r="AD172" s="29" t="s">
        <v>11</v>
      </c>
      <c r="AE172" s="24">
        <f t="shared" si="6"/>
        <v>0</v>
      </c>
      <c r="AF172" s="24">
        <f t="shared" si="7"/>
        <v>0</v>
      </c>
      <c r="AG172" s="24">
        <f t="shared" si="8"/>
        <v>15</v>
      </c>
      <c r="AH172" s="41" t="str" cm="1">
        <f t="array" ref="AH172">_xlfn.IFS(
$AE172=15,"Not Started",
$AG172&lt;15,"In Progress",
$AG172=15,"Completed",
SUM(AE172:AG172)&gt;15,"Error"
)</f>
        <v>Completed</v>
      </c>
    </row>
    <row r="173" spans="1:34" ht="13" x14ac:dyDescent="0.25">
      <c r="A173" s="248"/>
      <c r="B173" s="78">
        <v>170</v>
      </c>
      <c r="C173" s="7" t="s">
        <v>622</v>
      </c>
      <c r="D173" s="53" t="s">
        <v>2832</v>
      </c>
      <c r="E173" s="57" t="s">
        <v>3027</v>
      </c>
      <c r="F173" s="7" t="s">
        <v>43</v>
      </c>
      <c r="G173" s="7" t="s">
        <v>48</v>
      </c>
      <c r="H173" s="7" t="s">
        <v>3256</v>
      </c>
      <c r="I173" s="7" t="s">
        <v>3256</v>
      </c>
      <c r="J173" s="7" t="s">
        <v>3225</v>
      </c>
      <c r="K173" s="7" t="s">
        <v>3426</v>
      </c>
      <c r="L173" s="7">
        <v>10053562086</v>
      </c>
      <c r="M173" s="7"/>
      <c r="N173" s="7"/>
      <c r="O173" s="29" t="s">
        <v>11</v>
      </c>
      <c r="P173" s="29" t="s">
        <v>11</v>
      </c>
      <c r="Q173" s="29" t="s">
        <v>11</v>
      </c>
      <c r="R173" s="29" t="s">
        <v>11</v>
      </c>
      <c r="S173" s="29" t="s">
        <v>11</v>
      </c>
      <c r="T173" s="29" t="s">
        <v>11</v>
      </c>
      <c r="U173" s="29" t="s">
        <v>11</v>
      </c>
      <c r="V173" s="29" t="s">
        <v>11</v>
      </c>
      <c r="W173" s="29" t="s">
        <v>11</v>
      </c>
      <c r="X173" s="29" t="s">
        <v>11</v>
      </c>
      <c r="Y173" s="29" t="s">
        <v>11</v>
      </c>
      <c r="Z173" s="29" t="s">
        <v>11</v>
      </c>
      <c r="AA173" s="29" t="s">
        <v>11</v>
      </c>
      <c r="AB173" s="29" t="s">
        <v>11</v>
      </c>
      <c r="AC173" s="29" t="s">
        <v>11</v>
      </c>
      <c r="AD173" s="29" t="s">
        <v>11</v>
      </c>
      <c r="AE173" s="24">
        <f t="shared" si="6"/>
        <v>0</v>
      </c>
      <c r="AF173" s="24">
        <f t="shared" si="7"/>
        <v>0</v>
      </c>
      <c r="AG173" s="24">
        <f t="shared" si="8"/>
        <v>15</v>
      </c>
      <c r="AH173" s="41" t="str" cm="1">
        <f t="array" ref="AH173">_xlfn.IFS(
$AE173=15,"Not Started",
$AG173&lt;15,"In Progress",
$AG173=15,"Completed",
SUM(AE173:AG173)&gt;15,"Error"
)</f>
        <v>Completed</v>
      </c>
    </row>
    <row r="174" spans="1:34" ht="13" x14ac:dyDescent="0.25">
      <c r="A174" s="248"/>
      <c r="B174" s="78">
        <v>171</v>
      </c>
      <c r="C174" s="14" t="s">
        <v>623</v>
      </c>
      <c r="D174" s="53" t="s">
        <v>2833</v>
      </c>
      <c r="E174" s="57" t="s">
        <v>3028</v>
      </c>
      <c r="F174" s="7" t="s">
        <v>47</v>
      </c>
      <c r="G174" s="7" t="s">
        <v>48</v>
      </c>
      <c r="H174" s="7" t="s">
        <v>3256</v>
      </c>
      <c r="I174" s="7" t="s">
        <v>3256</v>
      </c>
      <c r="J174" s="7" t="s">
        <v>3226</v>
      </c>
      <c r="K174" s="7" t="s">
        <v>3427</v>
      </c>
      <c r="L174" s="7">
        <v>10053617317</v>
      </c>
      <c r="M174" s="7"/>
      <c r="N174" s="7"/>
      <c r="O174" s="29" t="s">
        <v>11</v>
      </c>
      <c r="P174" s="29" t="s">
        <v>11</v>
      </c>
      <c r="Q174" s="29" t="s">
        <v>11</v>
      </c>
      <c r="R174" s="29" t="s">
        <v>11</v>
      </c>
      <c r="S174" s="29" t="s">
        <v>11</v>
      </c>
      <c r="T174" s="29" t="s">
        <v>11</v>
      </c>
      <c r="U174" s="29" t="s">
        <v>11</v>
      </c>
      <c r="V174" s="29" t="s">
        <v>11</v>
      </c>
      <c r="W174" s="29" t="s">
        <v>11</v>
      </c>
      <c r="X174" s="29" t="s">
        <v>11</v>
      </c>
      <c r="Y174" s="29" t="s">
        <v>11</v>
      </c>
      <c r="Z174" s="29" t="s">
        <v>11</v>
      </c>
      <c r="AA174" s="29" t="s">
        <v>11</v>
      </c>
      <c r="AB174" s="29" t="s">
        <v>11</v>
      </c>
      <c r="AC174" s="29" t="s">
        <v>11</v>
      </c>
      <c r="AD174" s="29" t="s">
        <v>11</v>
      </c>
      <c r="AE174" s="24">
        <f t="shared" si="6"/>
        <v>0</v>
      </c>
      <c r="AF174" s="24">
        <f t="shared" si="7"/>
        <v>0</v>
      </c>
      <c r="AG174" s="24">
        <f t="shared" si="8"/>
        <v>15</v>
      </c>
      <c r="AH174" s="41" t="str" cm="1">
        <f t="array" ref="AH174">_xlfn.IFS(
$AE174=15,"Not Started",
$AG174&lt;15,"In Progress",
$AG174=15,"Completed",
SUM(AE174:AG174)&gt;15,"Error"
)</f>
        <v>Completed</v>
      </c>
    </row>
    <row r="175" spans="1:34" ht="13" x14ac:dyDescent="0.25">
      <c r="A175" s="248"/>
      <c r="B175" s="78">
        <v>172</v>
      </c>
      <c r="C175" s="7" t="s">
        <v>624</v>
      </c>
      <c r="D175" s="53" t="s">
        <v>2834</v>
      </c>
      <c r="E175" s="57" t="s">
        <v>3029</v>
      </c>
      <c r="F175" s="7" t="s">
        <v>9670</v>
      </c>
      <c r="G175" s="7" t="s">
        <v>48</v>
      </c>
      <c r="H175" s="7" t="s">
        <v>3256</v>
      </c>
      <c r="I175" s="7" t="s">
        <v>3256</v>
      </c>
      <c r="J175" s="7" t="s">
        <v>3227</v>
      </c>
      <c r="K175" s="7" t="s">
        <v>3428</v>
      </c>
      <c r="L175" s="7">
        <v>10053501106</v>
      </c>
      <c r="M175" s="7"/>
      <c r="N175" s="7"/>
      <c r="O175" s="29" t="s">
        <v>11</v>
      </c>
      <c r="P175" s="29" t="s">
        <v>11</v>
      </c>
      <c r="Q175" s="29" t="s">
        <v>11</v>
      </c>
      <c r="R175" s="29" t="s">
        <v>11</v>
      </c>
      <c r="S175" s="29" t="s">
        <v>11</v>
      </c>
      <c r="T175" s="29" t="s">
        <v>11</v>
      </c>
      <c r="U175" s="29" t="s">
        <v>11</v>
      </c>
      <c r="V175" s="29" t="s">
        <v>11</v>
      </c>
      <c r="W175" s="29" t="s">
        <v>11</v>
      </c>
      <c r="X175" s="29" t="s">
        <v>11</v>
      </c>
      <c r="Y175" s="29" t="s">
        <v>9</v>
      </c>
      <c r="Z175" s="29" t="s">
        <v>11</v>
      </c>
      <c r="AA175" s="29" t="s">
        <v>9</v>
      </c>
      <c r="AB175" s="29" t="s">
        <v>11</v>
      </c>
      <c r="AC175" s="29" t="s">
        <v>11</v>
      </c>
      <c r="AD175" s="29" t="s">
        <v>11</v>
      </c>
      <c r="AE175" s="24">
        <f t="shared" si="6"/>
        <v>2</v>
      </c>
      <c r="AF175" s="24">
        <f t="shared" si="7"/>
        <v>0</v>
      </c>
      <c r="AG175" s="24">
        <f t="shared" si="8"/>
        <v>13</v>
      </c>
      <c r="AH175" s="41" t="str" cm="1">
        <f t="array" ref="AH175">_xlfn.IFS(
$AE175=15,"Not Started",
$AG175&lt;15,"In Progress",
$AG175=15,"Completed",
SUM(AE175:AG175)&gt;15,"Error"
)</f>
        <v>In Progress</v>
      </c>
    </row>
    <row r="176" spans="1:34" ht="13" x14ac:dyDescent="0.25">
      <c r="A176" s="248"/>
      <c r="B176" s="78">
        <v>173</v>
      </c>
      <c r="C176" s="14" t="s">
        <v>625</v>
      </c>
      <c r="D176" s="53" t="s">
        <v>2835</v>
      </c>
      <c r="E176" s="57" t="s">
        <v>3030</v>
      </c>
      <c r="F176" s="7" t="s">
        <v>47</v>
      </c>
      <c r="G176" s="7" t="s">
        <v>44</v>
      </c>
      <c r="H176" s="7" t="s">
        <v>3256</v>
      </c>
      <c r="I176" s="7" t="s">
        <v>3256</v>
      </c>
      <c r="J176" s="7" t="s">
        <v>3228</v>
      </c>
      <c r="K176" s="7" t="s">
        <v>3429</v>
      </c>
      <c r="L176" s="7">
        <v>10053476952</v>
      </c>
      <c r="M176" s="7"/>
      <c r="N176" s="7"/>
      <c r="O176" s="29" t="s">
        <v>11</v>
      </c>
      <c r="P176" s="29" t="s">
        <v>11</v>
      </c>
      <c r="Q176" s="29" t="s">
        <v>11</v>
      </c>
      <c r="R176" s="29" t="s">
        <v>11</v>
      </c>
      <c r="S176" s="29" t="s">
        <v>11</v>
      </c>
      <c r="T176" s="29" t="s">
        <v>11</v>
      </c>
      <c r="U176" s="29" t="s">
        <v>11</v>
      </c>
      <c r="V176" s="29" t="s">
        <v>11</v>
      </c>
      <c r="W176" s="29" t="s">
        <v>11</v>
      </c>
      <c r="X176" s="29" t="s">
        <v>11</v>
      </c>
      <c r="Y176" s="29" t="s">
        <v>11</v>
      </c>
      <c r="Z176" s="29" t="s">
        <v>11</v>
      </c>
      <c r="AA176" s="29" t="s">
        <v>11</v>
      </c>
      <c r="AB176" s="29" t="s">
        <v>11</v>
      </c>
      <c r="AC176" s="29" t="s">
        <v>11</v>
      </c>
      <c r="AD176" s="29" t="s">
        <v>11</v>
      </c>
      <c r="AE176" s="24">
        <f t="shared" si="6"/>
        <v>0</v>
      </c>
      <c r="AF176" s="24">
        <f t="shared" si="7"/>
        <v>0</v>
      </c>
      <c r="AG176" s="24">
        <f t="shared" si="8"/>
        <v>15</v>
      </c>
      <c r="AH176" s="41" t="str" cm="1">
        <f t="array" ref="AH176">_xlfn.IFS(
$AE176=15,"Not Started",
$AG176&lt;15,"In Progress",
$AG176=15,"Completed",
SUM(AE176:AG176)&gt;15,"Error"
)</f>
        <v>Completed</v>
      </c>
    </row>
    <row r="177" spans="1:34" ht="13" x14ac:dyDescent="0.25">
      <c r="A177" s="248"/>
      <c r="B177" s="78">
        <v>174</v>
      </c>
      <c r="C177" s="7" t="s">
        <v>626</v>
      </c>
      <c r="D177" s="53" t="s">
        <v>2836</v>
      </c>
      <c r="E177" s="57" t="s">
        <v>3031</v>
      </c>
      <c r="F177" s="7" t="s">
        <v>51</v>
      </c>
      <c r="G177" s="7" t="s">
        <v>44</v>
      </c>
      <c r="H177" s="7" t="s">
        <v>3256</v>
      </c>
      <c r="I177" s="7" t="s">
        <v>3256</v>
      </c>
      <c r="J177" s="7" t="s">
        <v>3229</v>
      </c>
      <c r="K177" s="7" t="s">
        <v>3430</v>
      </c>
      <c r="L177" s="7">
        <v>10053847630</v>
      </c>
      <c r="M177" s="7"/>
      <c r="N177" s="7"/>
      <c r="O177" s="29" t="s">
        <v>11</v>
      </c>
      <c r="P177" s="29" t="s">
        <v>11</v>
      </c>
      <c r="Q177" s="29" t="s">
        <v>11</v>
      </c>
      <c r="R177" s="29" t="s">
        <v>11</v>
      </c>
      <c r="S177" s="29" t="s">
        <v>11</v>
      </c>
      <c r="T177" s="29" t="s">
        <v>11</v>
      </c>
      <c r="U177" s="29" t="s">
        <v>11</v>
      </c>
      <c r="V177" s="29" t="s">
        <v>11</v>
      </c>
      <c r="W177" s="29" t="s">
        <v>11</v>
      </c>
      <c r="X177" s="29" t="s">
        <v>11</v>
      </c>
      <c r="Y177" s="29" t="s">
        <v>11</v>
      </c>
      <c r="Z177" s="29" t="s">
        <v>11</v>
      </c>
      <c r="AA177" s="29" t="s">
        <v>11</v>
      </c>
      <c r="AB177" s="29" t="s">
        <v>11</v>
      </c>
      <c r="AC177" s="29" t="s">
        <v>11</v>
      </c>
      <c r="AD177" s="29" t="s">
        <v>11</v>
      </c>
      <c r="AE177" s="24">
        <f t="shared" si="6"/>
        <v>0</v>
      </c>
      <c r="AF177" s="24">
        <f t="shared" si="7"/>
        <v>0</v>
      </c>
      <c r="AG177" s="24">
        <f t="shared" si="8"/>
        <v>15</v>
      </c>
      <c r="AH177" s="41" t="str" cm="1">
        <f t="array" ref="AH177">_xlfn.IFS(
$AE177=15,"Not Started",
$AG177&lt;15,"In Progress",
$AG177=15,"Completed",
SUM(AE177:AG177)&gt;15,"Error"
)</f>
        <v>Completed</v>
      </c>
    </row>
    <row r="178" spans="1:34" ht="13" x14ac:dyDescent="0.25">
      <c r="A178" s="248"/>
      <c r="B178" s="78">
        <v>175</v>
      </c>
      <c r="C178" s="14" t="s">
        <v>627</v>
      </c>
      <c r="D178" s="53" t="s">
        <v>2837</v>
      </c>
      <c r="E178" s="57" t="s">
        <v>3032</v>
      </c>
      <c r="F178" s="7" t="s">
        <v>51</v>
      </c>
      <c r="G178" s="7" t="s">
        <v>44</v>
      </c>
      <c r="H178" s="7" t="s">
        <v>3256</v>
      </c>
      <c r="I178" s="7" t="s">
        <v>3256</v>
      </c>
      <c r="J178" s="7" t="s">
        <v>3230</v>
      </c>
      <c r="K178" s="7" t="s">
        <v>3431</v>
      </c>
      <c r="L178" s="7">
        <v>10053546055</v>
      </c>
      <c r="M178" s="7"/>
      <c r="N178" s="7"/>
      <c r="O178" s="29" t="s">
        <v>11</v>
      </c>
      <c r="P178" s="29" t="s">
        <v>11</v>
      </c>
      <c r="Q178" s="29" t="s">
        <v>11</v>
      </c>
      <c r="R178" s="29" t="s">
        <v>11</v>
      </c>
      <c r="S178" s="29" t="s">
        <v>11</v>
      </c>
      <c r="T178" s="29" t="s">
        <v>11</v>
      </c>
      <c r="U178" s="29" t="s">
        <v>11</v>
      </c>
      <c r="V178" s="29" t="s">
        <v>11</v>
      </c>
      <c r="W178" s="29" t="s">
        <v>11</v>
      </c>
      <c r="X178" s="29" t="s">
        <v>11</v>
      </c>
      <c r="Y178" s="29" t="s">
        <v>11</v>
      </c>
      <c r="Z178" s="29" t="s">
        <v>11</v>
      </c>
      <c r="AA178" s="29" t="s">
        <v>11</v>
      </c>
      <c r="AB178" s="29" t="s">
        <v>11</v>
      </c>
      <c r="AC178" s="29" t="s">
        <v>11</v>
      </c>
      <c r="AD178" s="29" t="s">
        <v>11</v>
      </c>
      <c r="AE178" s="24">
        <f t="shared" si="6"/>
        <v>0</v>
      </c>
      <c r="AF178" s="24">
        <f t="shared" si="7"/>
        <v>0</v>
      </c>
      <c r="AG178" s="24">
        <f t="shared" si="8"/>
        <v>15</v>
      </c>
      <c r="AH178" s="41" t="str" cm="1">
        <f t="array" ref="AH178">_xlfn.IFS(
$AE178=15,"Not Started",
$AG178&lt;15,"In Progress",
$AG178=15,"Completed",
SUM(AE178:AG178)&gt;15,"Error"
)</f>
        <v>Completed</v>
      </c>
    </row>
    <row r="179" spans="1:34" ht="13" x14ac:dyDescent="0.25">
      <c r="A179" s="248"/>
      <c r="B179" s="78">
        <v>176</v>
      </c>
      <c r="C179" s="7" t="s">
        <v>628</v>
      </c>
      <c r="D179" s="53" t="s">
        <v>2838</v>
      </c>
      <c r="E179" s="57" t="s">
        <v>3033</v>
      </c>
      <c r="F179" s="7" t="s">
        <v>43</v>
      </c>
      <c r="G179" s="7" t="s">
        <v>44</v>
      </c>
      <c r="H179" s="7" t="s">
        <v>3256</v>
      </c>
      <c r="I179" s="7" t="s">
        <v>3256</v>
      </c>
      <c r="J179" s="7" t="s">
        <v>3231</v>
      </c>
      <c r="K179" s="7" t="s">
        <v>3432</v>
      </c>
      <c r="L179" s="7">
        <v>10053500486</v>
      </c>
      <c r="M179" s="7"/>
      <c r="N179" s="7"/>
      <c r="O179" s="29" t="s">
        <v>11</v>
      </c>
      <c r="P179" s="29" t="s">
        <v>11</v>
      </c>
      <c r="Q179" s="29" t="s">
        <v>11</v>
      </c>
      <c r="R179" s="29" t="s">
        <v>11</v>
      </c>
      <c r="S179" s="29" t="s">
        <v>11</v>
      </c>
      <c r="T179" s="29" t="s">
        <v>11</v>
      </c>
      <c r="U179" s="29" t="s">
        <v>11</v>
      </c>
      <c r="V179" s="29" t="s">
        <v>11</v>
      </c>
      <c r="W179" s="29" t="s">
        <v>11</v>
      </c>
      <c r="X179" s="29" t="s">
        <v>11</v>
      </c>
      <c r="Y179" s="29" t="s">
        <v>11</v>
      </c>
      <c r="Z179" s="29" t="s">
        <v>11</v>
      </c>
      <c r="AA179" s="29" t="s">
        <v>11</v>
      </c>
      <c r="AB179" s="29" t="s">
        <v>11</v>
      </c>
      <c r="AC179" s="29" t="s">
        <v>11</v>
      </c>
      <c r="AD179" s="29" t="s">
        <v>11</v>
      </c>
      <c r="AE179" s="24">
        <f t="shared" si="6"/>
        <v>0</v>
      </c>
      <c r="AF179" s="24">
        <f t="shared" si="7"/>
        <v>0</v>
      </c>
      <c r="AG179" s="24">
        <f t="shared" si="8"/>
        <v>15</v>
      </c>
      <c r="AH179" s="41" t="str" cm="1">
        <f t="array" ref="AH179">_xlfn.IFS(
$AE179=15,"Not Started",
$AG179&lt;15,"In Progress",
$AG179=15,"Completed",
SUM(AE179:AG179)&gt;15,"Error"
)</f>
        <v>Completed</v>
      </c>
    </row>
    <row r="180" spans="1:34" ht="13" x14ac:dyDescent="0.25">
      <c r="A180" s="248"/>
      <c r="B180" s="78">
        <v>177</v>
      </c>
      <c r="C180" s="14" t="s">
        <v>629</v>
      </c>
      <c r="D180" s="53" t="s">
        <v>2839</v>
      </c>
      <c r="E180" s="57" t="s">
        <v>3034</v>
      </c>
      <c r="F180" s="7" t="s">
        <v>43</v>
      </c>
      <c r="G180" s="7" t="s">
        <v>48</v>
      </c>
      <c r="H180" s="7" t="s">
        <v>3256</v>
      </c>
      <c r="I180" s="7" t="s">
        <v>3256</v>
      </c>
      <c r="J180" s="7" t="s">
        <v>3232</v>
      </c>
      <c r="K180" s="7" t="s">
        <v>3433</v>
      </c>
      <c r="L180" s="7">
        <v>10053438325</v>
      </c>
      <c r="M180" s="7"/>
      <c r="N180" s="7"/>
      <c r="O180" s="29" t="s">
        <v>11</v>
      </c>
      <c r="P180" s="29" t="s">
        <v>11</v>
      </c>
      <c r="Q180" s="29" t="s">
        <v>11</v>
      </c>
      <c r="R180" s="29" t="s">
        <v>11</v>
      </c>
      <c r="S180" s="29" t="s">
        <v>11</v>
      </c>
      <c r="T180" s="29" t="s">
        <v>11</v>
      </c>
      <c r="U180" s="29" t="s">
        <v>11</v>
      </c>
      <c r="V180" s="29" t="s">
        <v>11</v>
      </c>
      <c r="W180" s="29" t="s">
        <v>11</v>
      </c>
      <c r="X180" s="29" t="s">
        <v>11</v>
      </c>
      <c r="Y180" s="29" t="s">
        <v>11</v>
      </c>
      <c r="Z180" s="29" t="s">
        <v>11</v>
      </c>
      <c r="AA180" s="29" t="s">
        <v>11</v>
      </c>
      <c r="AB180" s="29" t="s">
        <v>11</v>
      </c>
      <c r="AC180" s="29" t="s">
        <v>11</v>
      </c>
      <c r="AD180" s="29" t="s">
        <v>11</v>
      </c>
      <c r="AE180" s="24">
        <f t="shared" si="6"/>
        <v>0</v>
      </c>
      <c r="AF180" s="24">
        <f t="shared" si="7"/>
        <v>0</v>
      </c>
      <c r="AG180" s="24">
        <f t="shared" si="8"/>
        <v>15</v>
      </c>
      <c r="AH180" s="41" t="str" cm="1">
        <f t="array" ref="AH180">_xlfn.IFS(
$AE180=15,"Not Started",
$AG180&lt;15,"In Progress",
$AG180=15,"Completed",
SUM(AE180:AG180)&gt;15,"Error"
)</f>
        <v>Completed</v>
      </c>
    </row>
    <row r="181" spans="1:34" ht="13" x14ac:dyDescent="0.25">
      <c r="A181" s="248"/>
      <c r="B181" s="78">
        <v>178</v>
      </c>
      <c r="C181" s="7" t="s">
        <v>630</v>
      </c>
      <c r="D181" s="53" t="s">
        <v>2840</v>
      </c>
      <c r="E181" s="57" t="s">
        <v>3035</v>
      </c>
      <c r="F181" s="7" t="s">
        <v>43</v>
      </c>
      <c r="G181" s="7" t="s">
        <v>48</v>
      </c>
      <c r="H181" s="7" t="s">
        <v>3256</v>
      </c>
      <c r="I181" s="7" t="s">
        <v>3256</v>
      </c>
      <c r="J181" s="7" t="s">
        <v>3233</v>
      </c>
      <c r="K181" s="7" t="s">
        <v>3434</v>
      </c>
      <c r="L181" s="7">
        <v>10053296088</v>
      </c>
      <c r="M181" s="7"/>
      <c r="N181" s="7"/>
      <c r="O181" s="29" t="s">
        <v>11</v>
      </c>
      <c r="P181" s="29" t="s">
        <v>11</v>
      </c>
      <c r="Q181" s="29" t="s">
        <v>11</v>
      </c>
      <c r="R181" s="29" t="s">
        <v>11</v>
      </c>
      <c r="S181" s="29" t="s">
        <v>11</v>
      </c>
      <c r="T181" s="29" t="s">
        <v>11</v>
      </c>
      <c r="U181" s="29" t="s">
        <v>11</v>
      </c>
      <c r="V181" s="29" t="s">
        <v>11</v>
      </c>
      <c r="W181" s="29" t="s">
        <v>11</v>
      </c>
      <c r="X181" s="29" t="s">
        <v>11</v>
      </c>
      <c r="Y181" s="29" t="s">
        <v>11</v>
      </c>
      <c r="Z181" s="29" t="s">
        <v>11</v>
      </c>
      <c r="AA181" s="29" t="s">
        <v>11</v>
      </c>
      <c r="AB181" s="29" t="s">
        <v>11</v>
      </c>
      <c r="AC181" s="29" t="s">
        <v>11</v>
      </c>
      <c r="AD181" s="29" t="s">
        <v>11</v>
      </c>
      <c r="AE181" s="24">
        <f t="shared" si="6"/>
        <v>0</v>
      </c>
      <c r="AF181" s="24">
        <f t="shared" si="7"/>
        <v>0</v>
      </c>
      <c r="AG181" s="24">
        <f t="shared" si="8"/>
        <v>15</v>
      </c>
      <c r="AH181" s="41" t="str" cm="1">
        <f t="array" ref="AH181">_xlfn.IFS(
$AE181=15,"Not Started",
$AG181&lt;15,"In Progress",
$AG181=15,"Completed",
SUM(AE181:AG181)&gt;15,"Error"
)</f>
        <v>Completed</v>
      </c>
    </row>
    <row r="182" spans="1:34" ht="13" x14ac:dyDescent="0.25">
      <c r="A182" s="248"/>
      <c r="B182" s="78">
        <v>179</v>
      </c>
      <c r="C182" s="14" t="s">
        <v>631</v>
      </c>
      <c r="D182" s="53" t="s">
        <v>2841</v>
      </c>
      <c r="E182" s="57" t="s">
        <v>3036</v>
      </c>
      <c r="F182" s="7" t="s">
        <v>47</v>
      </c>
      <c r="G182" s="7" t="s">
        <v>48</v>
      </c>
      <c r="H182" s="7" t="s">
        <v>3256</v>
      </c>
      <c r="I182" s="7" t="s">
        <v>3256</v>
      </c>
      <c r="J182" s="7" t="s">
        <v>3234</v>
      </c>
      <c r="K182" s="7" t="s">
        <v>3435</v>
      </c>
      <c r="L182" s="7">
        <v>10053369040</v>
      </c>
      <c r="M182" s="7"/>
      <c r="N182" s="7"/>
      <c r="O182" s="29" t="s">
        <v>11</v>
      </c>
      <c r="P182" s="29" t="s">
        <v>11</v>
      </c>
      <c r="Q182" s="29" t="s">
        <v>11</v>
      </c>
      <c r="R182" s="29" t="s">
        <v>11</v>
      </c>
      <c r="S182" s="29" t="s">
        <v>11</v>
      </c>
      <c r="T182" s="29" t="s">
        <v>11</v>
      </c>
      <c r="U182" s="29" t="s">
        <v>11</v>
      </c>
      <c r="V182" s="29" t="s">
        <v>11</v>
      </c>
      <c r="W182" s="29" t="s">
        <v>11</v>
      </c>
      <c r="X182" s="29" t="s">
        <v>11</v>
      </c>
      <c r="Y182" s="29" t="s">
        <v>11</v>
      </c>
      <c r="Z182" s="29" t="s">
        <v>11</v>
      </c>
      <c r="AA182" s="29" t="s">
        <v>11</v>
      </c>
      <c r="AB182" s="29" t="s">
        <v>11</v>
      </c>
      <c r="AC182" s="29" t="s">
        <v>11</v>
      </c>
      <c r="AD182" s="29" t="s">
        <v>11</v>
      </c>
      <c r="AE182" s="24">
        <f t="shared" si="6"/>
        <v>0</v>
      </c>
      <c r="AF182" s="24">
        <f t="shared" si="7"/>
        <v>0</v>
      </c>
      <c r="AG182" s="24">
        <f t="shared" si="8"/>
        <v>15</v>
      </c>
      <c r="AH182" s="41" t="str" cm="1">
        <f t="array" ref="AH182">_xlfn.IFS(
$AE182=15,"Not Started",
$AG182&lt;15,"In Progress",
$AG182=15,"Completed",
SUM(AE182:AG182)&gt;15,"Error"
)</f>
        <v>Completed</v>
      </c>
    </row>
    <row r="183" spans="1:34" ht="26" x14ac:dyDescent="0.25">
      <c r="A183" s="248"/>
      <c r="B183" s="78">
        <v>180</v>
      </c>
      <c r="C183" s="7" t="s">
        <v>632</v>
      </c>
      <c r="D183" s="53" t="s">
        <v>2842</v>
      </c>
      <c r="E183" s="57" t="s">
        <v>3037</v>
      </c>
      <c r="F183" s="7" t="s">
        <v>43</v>
      </c>
      <c r="G183" s="7" t="s">
        <v>48</v>
      </c>
      <c r="H183" s="7" t="s">
        <v>3256</v>
      </c>
      <c r="I183" s="7" t="s">
        <v>3256</v>
      </c>
      <c r="J183" s="7" t="s">
        <v>3235</v>
      </c>
      <c r="K183" s="7" t="s">
        <v>3436</v>
      </c>
      <c r="L183" s="48" t="s">
        <v>10293</v>
      </c>
      <c r="M183" s="7"/>
      <c r="N183" s="7"/>
      <c r="O183" s="29" t="s">
        <v>11</v>
      </c>
      <c r="P183" s="29" t="s">
        <v>11</v>
      </c>
      <c r="Q183" s="29" t="s">
        <v>11</v>
      </c>
      <c r="R183" s="29" t="s">
        <v>11</v>
      </c>
      <c r="S183" s="29" t="s">
        <v>11</v>
      </c>
      <c r="T183" s="29" t="s">
        <v>11</v>
      </c>
      <c r="U183" s="29" t="s">
        <v>11</v>
      </c>
      <c r="V183" s="29" t="s">
        <v>11</v>
      </c>
      <c r="W183" s="29" t="s">
        <v>11</v>
      </c>
      <c r="X183" s="29" t="s">
        <v>11</v>
      </c>
      <c r="Y183" s="29" t="s">
        <v>11</v>
      </c>
      <c r="Z183" s="29" t="s">
        <v>11</v>
      </c>
      <c r="AA183" s="29" t="s">
        <v>11</v>
      </c>
      <c r="AB183" s="29" t="s">
        <v>11</v>
      </c>
      <c r="AC183" s="29" t="s">
        <v>11</v>
      </c>
      <c r="AD183" s="29" t="s">
        <v>11</v>
      </c>
      <c r="AE183" s="24">
        <f t="shared" si="6"/>
        <v>0</v>
      </c>
      <c r="AF183" s="24">
        <f t="shared" si="7"/>
        <v>0</v>
      </c>
      <c r="AG183" s="24">
        <f t="shared" si="8"/>
        <v>15</v>
      </c>
      <c r="AH183" s="41" t="str" cm="1">
        <f t="array" ref="AH183">_xlfn.IFS(
$AE183=15,"Not Started",
$AG183&lt;15,"In Progress",
$AG183=15,"Completed",
SUM(AE183:AG183)&gt;15,"Error"
)</f>
        <v>Completed</v>
      </c>
    </row>
    <row r="184" spans="1:34" ht="13" x14ac:dyDescent="0.25">
      <c r="A184" s="248"/>
      <c r="B184" s="78">
        <v>181</v>
      </c>
      <c r="C184" s="14" t="s">
        <v>633</v>
      </c>
      <c r="D184" s="53" t="s">
        <v>2843</v>
      </c>
      <c r="E184" s="57" t="s">
        <v>3038</v>
      </c>
      <c r="F184" s="7" t="s">
        <v>9671</v>
      </c>
      <c r="G184" s="7" t="s">
        <v>48</v>
      </c>
      <c r="H184" s="7" t="s">
        <v>3256</v>
      </c>
      <c r="I184" s="7" t="s">
        <v>3256</v>
      </c>
      <c r="J184" s="7" t="s">
        <v>3236</v>
      </c>
      <c r="K184" s="7" t="s">
        <v>3437</v>
      </c>
      <c r="L184" s="7">
        <v>10053435691</v>
      </c>
      <c r="M184" s="7"/>
      <c r="N184" s="7"/>
      <c r="O184" s="29" t="s">
        <v>11</v>
      </c>
      <c r="P184" s="29" t="s">
        <v>11</v>
      </c>
      <c r="Q184" s="29" t="s">
        <v>11</v>
      </c>
      <c r="R184" s="29" t="s">
        <v>11</v>
      </c>
      <c r="S184" s="29" t="s">
        <v>11</v>
      </c>
      <c r="T184" s="29" t="s">
        <v>11</v>
      </c>
      <c r="U184" s="29" t="s">
        <v>11</v>
      </c>
      <c r="V184" s="29" t="s">
        <v>11</v>
      </c>
      <c r="W184" s="29" t="s">
        <v>11</v>
      </c>
      <c r="X184" s="29" t="s">
        <v>11</v>
      </c>
      <c r="Y184" s="29" t="s">
        <v>11</v>
      </c>
      <c r="Z184" s="29" t="s">
        <v>11</v>
      </c>
      <c r="AA184" s="29" t="s">
        <v>11</v>
      </c>
      <c r="AB184" s="29" t="s">
        <v>11</v>
      </c>
      <c r="AC184" s="29" t="s">
        <v>11</v>
      </c>
      <c r="AD184" s="29" t="s">
        <v>11</v>
      </c>
      <c r="AE184" s="24">
        <f t="shared" si="6"/>
        <v>0</v>
      </c>
      <c r="AF184" s="24">
        <f t="shared" si="7"/>
        <v>0</v>
      </c>
      <c r="AG184" s="24">
        <f t="shared" si="8"/>
        <v>15</v>
      </c>
      <c r="AH184" s="41" t="str" cm="1">
        <f t="array" ref="AH184">_xlfn.IFS(
$AE184=15,"Not Started",
$AG184&lt;15,"In Progress",
$AG184=15,"Completed",
SUM(AE184:AG184)&gt;15,"Error"
)</f>
        <v>Completed</v>
      </c>
    </row>
    <row r="185" spans="1:34" ht="26" x14ac:dyDescent="0.25">
      <c r="A185" s="248"/>
      <c r="B185" s="78">
        <v>182</v>
      </c>
      <c r="C185" s="7" t="s">
        <v>634</v>
      </c>
      <c r="D185" s="53" t="s">
        <v>2844</v>
      </c>
      <c r="E185" s="57" t="s">
        <v>3039</v>
      </c>
      <c r="F185" s="7" t="s">
        <v>47</v>
      </c>
      <c r="G185" s="7" t="s">
        <v>44</v>
      </c>
      <c r="H185" s="7" t="s">
        <v>3256</v>
      </c>
      <c r="I185" s="7" t="s">
        <v>3256</v>
      </c>
      <c r="J185" s="7" t="s">
        <v>3237</v>
      </c>
      <c r="K185" s="7" t="s">
        <v>3438</v>
      </c>
      <c r="L185" s="48" t="s">
        <v>10292</v>
      </c>
      <c r="M185" s="7"/>
      <c r="N185" s="7"/>
      <c r="O185" s="29" t="s">
        <v>11</v>
      </c>
      <c r="P185" s="29" t="s">
        <v>11</v>
      </c>
      <c r="Q185" s="29" t="s">
        <v>11</v>
      </c>
      <c r="R185" s="29" t="s">
        <v>11</v>
      </c>
      <c r="S185" s="29" t="s">
        <v>11</v>
      </c>
      <c r="T185" s="29" t="s">
        <v>11</v>
      </c>
      <c r="U185" s="29" t="s">
        <v>11</v>
      </c>
      <c r="V185" s="29" t="s">
        <v>11</v>
      </c>
      <c r="W185" s="29" t="s">
        <v>11</v>
      </c>
      <c r="X185" s="29" t="s">
        <v>11</v>
      </c>
      <c r="Y185" s="29" t="s">
        <v>11</v>
      </c>
      <c r="Z185" s="29" t="s">
        <v>11</v>
      </c>
      <c r="AA185" s="29" t="s">
        <v>11</v>
      </c>
      <c r="AB185" s="29" t="s">
        <v>11</v>
      </c>
      <c r="AC185" s="29" t="s">
        <v>11</v>
      </c>
      <c r="AD185" s="29" t="s">
        <v>11</v>
      </c>
      <c r="AE185" s="24">
        <f t="shared" si="6"/>
        <v>0</v>
      </c>
      <c r="AF185" s="24">
        <f t="shared" si="7"/>
        <v>0</v>
      </c>
      <c r="AG185" s="24">
        <f t="shared" si="8"/>
        <v>15</v>
      </c>
      <c r="AH185" s="41" t="str" cm="1">
        <f t="array" ref="AH185">_xlfn.IFS(
$AE185=15,"Not Started",
$AG185&lt;15,"In Progress",
$AG185=15,"Completed",
SUM(AE185:AG185)&gt;15,"Error"
)</f>
        <v>Completed</v>
      </c>
    </row>
    <row r="186" spans="1:34" ht="13" x14ac:dyDescent="0.25">
      <c r="A186" s="248"/>
      <c r="B186" s="78">
        <v>183</v>
      </c>
      <c r="C186" s="14" t="s">
        <v>635</v>
      </c>
      <c r="D186" s="53" t="s">
        <v>2845</v>
      </c>
      <c r="E186" s="57" t="s">
        <v>3040</v>
      </c>
      <c r="F186" s="7" t="s">
        <v>43</v>
      </c>
      <c r="G186" s="7" t="s">
        <v>48</v>
      </c>
      <c r="H186" s="7" t="s">
        <v>3256</v>
      </c>
      <c r="I186" s="7" t="s">
        <v>3256</v>
      </c>
      <c r="J186" s="7" t="s">
        <v>3238</v>
      </c>
      <c r="K186" s="7" t="s">
        <v>3439</v>
      </c>
      <c r="L186" s="7">
        <v>10053787569</v>
      </c>
      <c r="M186" s="7"/>
      <c r="N186" s="7"/>
      <c r="O186" s="29" t="s">
        <v>11</v>
      </c>
      <c r="P186" s="29" t="s">
        <v>11</v>
      </c>
      <c r="Q186" s="29" t="s">
        <v>11</v>
      </c>
      <c r="R186" s="29" t="s">
        <v>11</v>
      </c>
      <c r="S186" s="29" t="s">
        <v>11</v>
      </c>
      <c r="T186" s="29" t="s">
        <v>11</v>
      </c>
      <c r="U186" s="29" t="s">
        <v>11</v>
      </c>
      <c r="V186" s="29" t="s">
        <v>11</v>
      </c>
      <c r="W186" s="29" t="s">
        <v>11</v>
      </c>
      <c r="X186" s="29" t="s">
        <v>11</v>
      </c>
      <c r="Y186" s="29" t="s">
        <v>11</v>
      </c>
      <c r="Z186" s="29" t="s">
        <v>11</v>
      </c>
      <c r="AA186" s="29" t="s">
        <v>11</v>
      </c>
      <c r="AB186" s="29" t="s">
        <v>11</v>
      </c>
      <c r="AC186" s="29" t="s">
        <v>11</v>
      </c>
      <c r="AD186" s="29" t="s">
        <v>11</v>
      </c>
      <c r="AE186" s="24">
        <f t="shared" si="6"/>
        <v>0</v>
      </c>
      <c r="AF186" s="24">
        <f t="shared" si="7"/>
        <v>0</v>
      </c>
      <c r="AG186" s="24">
        <f t="shared" si="8"/>
        <v>15</v>
      </c>
      <c r="AH186" s="41" t="str" cm="1">
        <f t="array" ref="AH186">_xlfn.IFS(
$AE186=15,"Not Started",
$AG186&lt;15,"In Progress",
$AG186=15,"Completed",
SUM(AE186:AG186)&gt;15,"Error"
)</f>
        <v>Completed</v>
      </c>
    </row>
    <row r="187" spans="1:34" ht="13" x14ac:dyDescent="0.25">
      <c r="A187" s="248"/>
      <c r="B187" s="78">
        <v>184</v>
      </c>
      <c r="C187" s="7" t="s">
        <v>636</v>
      </c>
      <c r="D187" s="53" t="s">
        <v>2846</v>
      </c>
      <c r="E187" s="57" t="s">
        <v>3041</v>
      </c>
      <c r="F187" s="7" t="s">
        <v>51</v>
      </c>
      <c r="G187" s="7" t="s">
        <v>48</v>
      </c>
      <c r="H187" s="7" t="s">
        <v>3256</v>
      </c>
      <c r="I187" s="7" t="s">
        <v>3256</v>
      </c>
      <c r="J187" s="7" t="s">
        <v>3239</v>
      </c>
      <c r="K187" s="7" t="s">
        <v>3440</v>
      </c>
      <c r="L187" s="7">
        <v>10053311406</v>
      </c>
      <c r="M187" s="7"/>
      <c r="N187" s="7"/>
      <c r="O187" s="29" t="s">
        <v>11</v>
      </c>
      <c r="P187" s="29" t="s">
        <v>11</v>
      </c>
      <c r="Q187" s="29" t="s">
        <v>11</v>
      </c>
      <c r="R187" s="29" t="s">
        <v>11</v>
      </c>
      <c r="S187" s="29" t="s">
        <v>11</v>
      </c>
      <c r="T187" s="29" t="s">
        <v>11</v>
      </c>
      <c r="U187" s="29" t="s">
        <v>11</v>
      </c>
      <c r="V187" s="29" t="s">
        <v>11</v>
      </c>
      <c r="W187" s="29" t="s">
        <v>11</v>
      </c>
      <c r="X187" s="29" t="s">
        <v>11</v>
      </c>
      <c r="Y187" s="29" t="s">
        <v>11</v>
      </c>
      <c r="Z187" s="29" t="s">
        <v>11</v>
      </c>
      <c r="AA187" s="29" t="s">
        <v>11</v>
      </c>
      <c r="AB187" s="29" t="s">
        <v>11</v>
      </c>
      <c r="AC187" s="29" t="s">
        <v>11</v>
      </c>
      <c r="AD187" s="29" t="s">
        <v>11</v>
      </c>
      <c r="AE187" s="24">
        <f t="shared" si="6"/>
        <v>0</v>
      </c>
      <c r="AF187" s="24">
        <f t="shared" si="7"/>
        <v>0</v>
      </c>
      <c r="AG187" s="24">
        <f t="shared" si="8"/>
        <v>15</v>
      </c>
      <c r="AH187" s="41" t="str" cm="1">
        <f t="array" ref="AH187">_xlfn.IFS(
$AE187=15,"Not Started",
$AG187&lt;15,"In Progress",
$AG187=15,"Completed",
SUM(AE187:AG187)&gt;15,"Error"
)</f>
        <v>Completed</v>
      </c>
    </row>
    <row r="188" spans="1:34" ht="13" x14ac:dyDescent="0.25">
      <c r="A188" s="248"/>
      <c r="B188" s="78">
        <v>185</v>
      </c>
      <c r="C188" s="14" t="s">
        <v>637</v>
      </c>
      <c r="D188" s="53" t="s">
        <v>2847</v>
      </c>
      <c r="E188" s="57" t="s">
        <v>3042</v>
      </c>
      <c r="F188" s="7" t="s">
        <v>47</v>
      </c>
      <c r="G188" s="7" t="s">
        <v>48</v>
      </c>
      <c r="H188" s="7" t="s">
        <v>3256</v>
      </c>
      <c r="I188" s="7" t="s">
        <v>3256</v>
      </c>
      <c r="J188" s="7" t="s">
        <v>3240</v>
      </c>
      <c r="K188" s="7" t="s">
        <v>3441</v>
      </c>
      <c r="L188" s="7">
        <v>10053735787</v>
      </c>
      <c r="M188" s="7"/>
      <c r="N188" s="7"/>
      <c r="O188" s="29" t="s">
        <v>11</v>
      </c>
      <c r="P188" s="29" t="s">
        <v>11</v>
      </c>
      <c r="Q188" s="29" t="s">
        <v>11</v>
      </c>
      <c r="R188" s="29" t="s">
        <v>11</v>
      </c>
      <c r="S188" s="29" t="s">
        <v>11</v>
      </c>
      <c r="T188" s="29" t="s">
        <v>11</v>
      </c>
      <c r="U188" s="29" t="s">
        <v>11</v>
      </c>
      <c r="V188" s="29" t="s">
        <v>11</v>
      </c>
      <c r="W188" s="29" t="s">
        <v>11</v>
      </c>
      <c r="X188" s="29" t="s">
        <v>11</v>
      </c>
      <c r="Y188" s="29" t="s">
        <v>11</v>
      </c>
      <c r="Z188" s="29" t="s">
        <v>11</v>
      </c>
      <c r="AA188" s="29" t="s">
        <v>11</v>
      </c>
      <c r="AB188" s="29" t="s">
        <v>11</v>
      </c>
      <c r="AC188" s="29" t="s">
        <v>11</v>
      </c>
      <c r="AD188" s="29" t="s">
        <v>11</v>
      </c>
      <c r="AE188" s="24">
        <f t="shared" si="6"/>
        <v>0</v>
      </c>
      <c r="AF188" s="24">
        <f t="shared" si="7"/>
        <v>0</v>
      </c>
      <c r="AG188" s="24">
        <f t="shared" si="8"/>
        <v>15</v>
      </c>
      <c r="AH188" s="41" t="str" cm="1">
        <f t="array" ref="AH188">_xlfn.IFS(
$AE188=15,"Not Started",
$AG188&lt;15,"In Progress",
$AG188=15,"Completed",
SUM(AE188:AG188)&gt;15,"Error"
)</f>
        <v>Completed</v>
      </c>
    </row>
    <row r="189" spans="1:34" ht="13" x14ac:dyDescent="0.25">
      <c r="A189" s="248"/>
      <c r="B189" s="78">
        <v>186</v>
      </c>
      <c r="C189" s="7" t="s">
        <v>638</v>
      </c>
      <c r="D189" s="53" t="s">
        <v>2848</v>
      </c>
      <c r="E189" s="57" t="s">
        <v>3043</v>
      </c>
      <c r="F189" s="7" t="s">
        <v>47</v>
      </c>
      <c r="G189" s="7" t="s">
        <v>48</v>
      </c>
      <c r="H189" s="7" t="s">
        <v>3256</v>
      </c>
      <c r="I189" s="7" t="s">
        <v>3256</v>
      </c>
      <c r="J189" s="7" t="s">
        <v>3241</v>
      </c>
      <c r="K189" s="7" t="s">
        <v>3320</v>
      </c>
      <c r="L189" s="7">
        <v>10053367715</v>
      </c>
      <c r="M189" s="7"/>
      <c r="N189" s="7"/>
      <c r="O189" s="29" t="s">
        <v>11</v>
      </c>
      <c r="P189" s="29" t="s">
        <v>11</v>
      </c>
      <c r="Q189" s="29" t="s">
        <v>11</v>
      </c>
      <c r="R189" s="29" t="s">
        <v>11</v>
      </c>
      <c r="S189" s="29" t="s">
        <v>11</v>
      </c>
      <c r="T189" s="29" t="s">
        <v>11</v>
      </c>
      <c r="U189" s="29" t="s">
        <v>11</v>
      </c>
      <c r="V189" s="29" t="s">
        <v>11</v>
      </c>
      <c r="W189" s="29" t="s">
        <v>11</v>
      </c>
      <c r="X189" s="29" t="s">
        <v>11</v>
      </c>
      <c r="Y189" s="29" t="s">
        <v>11</v>
      </c>
      <c r="Z189" s="29" t="s">
        <v>11</v>
      </c>
      <c r="AA189" s="29" t="s">
        <v>11</v>
      </c>
      <c r="AB189" s="29" t="s">
        <v>11</v>
      </c>
      <c r="AC189" s="29" t="s">
        <v>11</v>
      </c>
      <c r="AD189" s="29" t="s">
        <v>11</v>
      </c>
      <c r="AE189" s="24">
        <f t="shared" si="6"/>
        <v>0</v>
      </c>
      <c r="AF189" s="24">
        <f t="shared" si="7"/>
        <v>0</v>
      </c>
      <c r="AG189" s="24">
        <f t="shared" si="8"/>
        <v>15</v>
      </c>
      <c r="AH189" s="41" t="str" cm="1">
        <f t="array" ref="AH189">_xlfn.IFS(
$AE189=15,"Not Started",
$AG189&lt;15,"In Progress",
$AG189=15,"Completed",
SUM(AE189:AG189)&gt;15,"Error"
)</f>
        <v>Completed</v>
      </c>
    </row>
    <row r="190" spans="1:34" ht="26" x14ac:dyDescent="0.25">
      <c r="A190" s="248"/>
      <c r="B190" s="78">
        <v>187</v>
      </c>
      <c r="C190" s="14" t="s">
        <v>639</v>
      </c>
      <c r="D190" s="53" t="s">
        <v>2849</v>
      </c>
      <c r="E190" s="80" t="s">
        <v>10225</v>
      </c>
      <c r="F190" s="7" t="s">
        <v>43</v>
      </c>
      <c r="G190" s="7" t="s">
        <v>44</v>
      </c>
      <c r="H190" s="7" t="s">
        <v>3256</v>
      </c>
      <c r="I190" s="7" t="s">
        <v>3256</v>
      </c>
      <c r="J190" s="7" t="s">
        <v>3242</v>
      </c>
      <c r="K190" s="7" t="s">
        <v>3442</v>
      </c>
      <c r="L190" s="48" t="s">
        <v>10291</v>
      </c>
      <c r="M190" s="7"/>
      <c r="N190" s="7"/>
      <c r="O190" s="29" t="s">
        <v>11</v>
      </c>
      <c r="P190" s="29" t="s">
        <v>11</v>
      </c>
      <c r="Q190" s="29" t="s">
        <v>11</v>
      </c>
      <c r="R190" s="29" t="s">
        <v>11</v>
      </c>
      <c r="S190" s="29" t="s">
        <v>11</v>
      </c>
      <c r="T190" s="29" t="s">
        <v>11</v>
      </c>
      <c r="U190" s="29" t="s">
        <v>11</v>
      </c>
      <c r="V190" s="29" t="s">
        <v>11</v>
      </c>
      <c r="W190" s="29" t="s">
        <v>11</v>
      </c>
      <c r="X190" s="29" t="s">
        <v>11</v>
      </c>
      <c r="Y190" s="29" t="s">
        <v>11</v>
      </c>
      <c r="Z190" s="29" t="s">
        <v>11</v>
      </c>
      <c r="AA190" s="29" t="s">
        <v>11</v>
      </c>
      <c r="AB190" s="29" t="s">
        <v>11</v>
      </c>
      <c r="AC190" s="29" t="s">
        <v>11</v>
      </c>
      <c r="AD190" s="29" t="s">
        <v>11</v>
      </c>
      <c r="AE190" s="24">
        <f t="shared" si="6"/>
        <v>0</v>
      </c>
      <c r="AF190" s="24">
        <f t="shared" si="7"/>
        <v>0</v>
      </c>
      <c r="AG190" s="24">
        <f t="shared" si="8"/>
        <v>15</v>
      </c>
      <c r="AH190" s="41" t="str" cm="1">
        <f t="array" ref="AH190">_xlfn.IFS(
$AE190=15,"Not Started",
$AG190&lt;15,"In Progress",
$AG190=15,"Completed",
SUM(AE190:AG190)&gt;15,"Error"
)</f>
        <v>Completed</v>
      </c>
    </row>
    <row r="191" spans="1:34" ht="13" x14ac:dyDescent="0.25">
      <c r="A191" s="248"/>
      <c r="B191" s="78">
        <v>188</v>
      </c>
      <c r="C191" s="7" t="s">
        <v>640</v>
      </c>
      <c r="D191" s="53" t="s">
        <v>2850</v>
      </c>
      <c r="E191" s="57" t="s">
        <v>3044</v>
      </c>
      <c r="F191" s="7" t="s">
        <v>43</v>
      </c>
      <c r="G191" s="7" t="s">
        <v>48</v>
      </c>
      <c r="H191" s="7" t="s">
        <v>3256</v>
      </c>
      <c r="I191" s="7" t="s">
        <v>3256</v>
      </c>
      <c r="J191" s="7" t="s">
        <v>3243</v>
      </c>
      <c r="K191" s="7" t="s">
        <v>3443</v>
      </c>
      <c r="L191" s="7">
        <v>10083103001</v>
      </c>
      <c r="M191" s="7"/>
      <c r="N191" s="7"/>
      <c r="O191" s="29" t="s">
        <v>11</v>
      </c>
      <c r="P191" s="29" t="s">
        <v>11</v>
      </c>
      <c r="Q191" s="29" t="s">
        <v>11</v>
      </c>
      <c r="R191" s="29" t="s">
        <v>11</v>
      </c>
      <c r="S191" s="29" t="s">
        <v>11</v>
      </c>
      <c r="T191" s="29" t="s">
        <v>11</v>
      </c>
      <c r="U191" s="29" t="s">
        <v>11</v>
      </c>
      <c r="V191" s="29" t="s">
        <v>11</v>
      </c>
      <c r="W191" s="29" t="s">
        <v>11</v>
      </c>
      <c r="X191" s="29" t="s">
        <v>11</v>
      </c>
      <c r="Y191" s="29" t="s">
        <v>11</v>
      </c>
      <c r="Z191" s="29" t="s">
        <v>11</v>
      </c>
      <c r="AA191" s="29" t="s">
        <v>11</v>
      </c>
      <c r="AB191" s="29" t="s">
        <v>11</v>
      </c>
      <c r="AC191" s="29" t="s">
        <v>11</v>
      </c>
      <c r="AD191" s="29" t="s">
        <v>11</v>
      </c>
      <c r="AE191" s="24">
        <f t="shared" si="6"/>
        <v>0</v>
      </c>
      <c r="AF191" s="24">
        <f t="shared" si="7"/>
        <v>0</v>
      </c>
      <c r="AG191" s="24">
        <f t="shared" si="8"/>
        <v>15</v>
      </c>
      <c r="AH191" s="41" t="str" cm="1">
        <f t="array" ref="AH191">_xlfn.IFS(
$AE191=15,"Not Started",
$AG191&lt;15,"In Progress",
$AG191=15,"Completed",
SUM(AE191:AG191)&gt;15,"Error"
)</f>
        <v>Completed</v>
      </c>
    </row>
    <row r="192" spans="1:34" ht="13" x14ac:dyDescent="0.25">
      <c r="A192" s="248"/>
      <c r="B192" s="78">
        <v>189</v>
      </c>
      <c r="C192" s="14" t="s">
        <v>641</v>
      </c>
      <c r="D192" s="53" t="s">
        <v>2851</v>
      </c>
      <c r="E192" s="57" t="s">
        <v>3045</v>
      </c>
      <c r="F192" s="7" t="s">
        <v>47</v>
      </c>
      <c r="G192" s="7" t="s">
        <v>48</v>
      </c>
      <c r="H192" s="7" t="s">
        <v>3256</v>
      </c>
      <c r="I192" s="7" t="s">
        <v>3256</v>
      </c>
      <c r="J192" s="7" t="s">
        <v>3244</v>
      </c>
      <c r="K192" s="7" t="s">
        <v>3444</v>
      </c>
      <c r="L192" s="7">
        <v>10052292191</v>
      </c>
      <c r="M192" s="7"/>
      <c r="N192" s="7"/>
      <c r="O192" s="29" t="s">
        <v>11</v>
      </c>
      <c r="P192" s="29" t="s">
        <v>11</v>
      </c>
      <c r="Q192" s="29" t="s">
        <v>11</v>
      </c>
      <c r="R192" s="29" t="s">
        <v>11</v>
      </c>
      <c r="S192" s="29" t="s">
        <v>11</v>
      </c>
      <c r="T192" s="29" t="s">
        <v>11</v>
      </c>
      <c r="U192" s="29" t="s">
        <v>11</v>
      </c>
      <c r="V192" s="29" t="s">
        <v>11</v>
      </c>
      <c r="W192" s="29" t="s">
        <v>11</v>
      </c>
      <c r="X192" s="29" t="s">
        <v>11</v>
      </c>
      <c r="Y192" s="29" t="s">
        <v>11</v>
      </c>
      <c r="Z192" s="29" t="s">
        <v>11</v>
      </c>
      <c r="AA192" s="29" t="s">
        <v>11</v>
      </c>
      <c r="AB192" s="29" t="s">
        <v>11</v>
      </c>
      <c r="AC192" s="29" t="s">
        <v>11</v>
      </c>
      <c r="AD192" s="29" t="s">
        <v>11</v>
      </c>
      <c r="AE192" s="24">
        <f t="shared" si="6"/>
        <v>0</v>
      </c>
      <c r="AF192" s="24">
        <f t="shared" si="7"/>
        <v>0</v>
      </c>
      <c r="AG192" s="24">
        <f t="shared" si="8"/>
        <v>15</v>
      </c>
      <c r="AH192" s="41" t="str" cm="1">
        <f t="array" ref="AH192">_xlfn.IFS(
$AE192=15,"Not Started",
$AG192&lt;15,"In Progress",
$AG192=15,"Completed",
SUM(AE192:AG192)&gt;15,"Error"
)</f>
        <v>Completed</v>
      </c>
    </row>
    <row r="193" spans="1:34" ht="13" x14ac:dyDescent="0.25">
      <c r="A193" s="248"/>
      <c r="B193" s="78">
        <v>190</v>
      </c>
      <c r="C193" s="7" t="s">
        <v>642</v>
      </c>
      <c r="D193" s="53" t="s">
        <v>2852</v>
      </c>
      <c r="E193" s="57" t="s">
        <v>3046</v>
      </c>
      <c r="F193" s="7" t="s">
        <v>43</v>
      </c>
      <c r="G193" s="7" t="s">
        <v>44</v>
      </c>
      <c r="H193" s="7" t="s">
        <v>3256</v>
      </c>
      <c r="I193" s="7" t="s">
        <v>3256</v>
      </c>
      <c r="J193" s="7" t="s">
        <v>3245</v>
      </c>
      <c r="K193" s="7" t="s">
        <v>3445</v>
      </c>
      <c r="L193" s="7">
        <v>10053819214</v>
      </c>
      <c r="M193" s="7"/>
      <c r="N193" s="7"/>
      <c r="O193" s="29" t="s">
        <v>11</v>
      </c>
      <c r="P193" s="29" t="s">
        <v>11</v>
      </c>
      <c r="Q193" s="29" t="s">
        <v>11</v>
      </c>
      <c r="R193" s="29" t="s">
        <v>11</v>
      </c>
      <c r="S193" s="29" t="s">
        <v>11</v>
      </c>
      <c r="T193" s="29" t="s">
        <v>11</v>
      </c>
      <c r="U193" s="29" t="s">
        <v>11</v>
      </c>
      <c r="V193" s="29" t="s">
        <v>11</v>
      </c>
      <c r="W193" s="29" t="s">
        <v>11</v>
      </c>
      <c r="X193" s="29" t="s">
        <v>11</v>
      </c>
      <c r="Y193" s="29" t="s">
        <v>11</v>
      </c>
      <c r="Z193" s="29" t="s">
        <v>11</v>
      </c>
      <c r="AA193" s="29" t="s">
        <v>11</v>
      </c>
      <c r="AB193" s="29" t="s">
        <v>11</v>
      </c>
      <c r="AC193" s="29" t="s">
        <v>11</v>
      </c>
      <c r="AD193" s="29" t="s">
        <v>11</v>
      </c>
      <c r="AE193" s="24">
        <f t="shared" si="6"/>
        <v>0</v>
      </c>
      <c r="AF193" s="24">
        <f t="shared" si="7"/>
        <v>0</v>
      </c>
      <c r="AG193" s="24">
        <f t="shared" si="8"/>
        <v>15</v>
      </c>
      <c r="AH193" s="41" t="str" cm="1">
        <f t="array" ref="AH193">_xlfn.IFS(
$AE193=15,"Not Started",
$AG193&lt;15,"In Progress",
$AG193=15,"Completed",
SUM(AE193:AG193)&gt;15,"Error"
)</f>
        <v>Completed</v>
      </c>
    </row>
    <row r="194" spans="1:34" ht="13" x14ac:dyDescent="0.25">
      <c r="A194" s="248"/>
      <c r="B194" s="78">
        <v>191</v>
      </c>
      <c r="C194" s="14" t="s">
        <v>643</v>
      </c>
      <c r="D194" s="53" t="s">
        <v>2853</v>
      </c>
      <c r="E194" s="57" t="s">
        <v>3047</v>
      </c>
      <c r="F194" s="7" t="s">
        <v>51</v>
      </c>
      <c r="G194" s="7" t="s">
        <v>48</v>
      </c>
      <c r="H194" s="7" t="s">
        <v>3256</v>
      </c>
      <c r="I194" s="7" t="s">
        <v>3256</v>
      </c>
      <c r="J194" s="7" t="s">
        <v>3246</v>
      </c>
      <c r="K194" s="7" t="s">
        <v>3446</v>
      </c>
      <c r="L194" s="7">
        <v>10101245763</v>
      </c>
      <c r="M194" s="7"/>
      <c r="N194" s="7"/>
      <c r="O194" s="29" t="s">
        <v>11</v>
      </c>
      <c r="P194" s="29" t="s">
        <v>11</v>
      </c>
      <c r="Q194" s="29" t="s">
        <v>11</v>
      </c>
      <c r="R194" s="29" t="s">
        <v>11</v>
      </c>
      <c r="S194" s="29" t="s">
        <v>11</v>
      </c>
      <c r="T194" s="29" t="s">
        <v>11</v>
      </c>
      <c r="U194" s="29" t="s">
        <v>11</v>
      </c>
      <c r="V194" s="29" t="s">
        <v>11</v>
      </c>
      <c r="W194" s="29" t="s">
        <v>11</v>
      </c>
      <c r="X194" s="29" t="s">
        <v>11</v>
      </c>
      <c r="Y194" s="29" t="s">
        <v>11</v>
      </c>
      <c r="Z194" s="29" t="s">
        <v>11</v>
      </c>
      <c r="AA194" s="29" t="s">
        <v>11</v>
      </c>
      <c r="AB194" s="29" t="s">
        <v>11</v>
      </c>
      <c r="AC194" s="29" t="s">
        <v>11</v>
      </c>
      <c r="AD194" s="29" t="s">
        <v>11</v>
      </c>
      <c r="AE194" s="24">
        <f t="shared" si="6"/>
        <v>0</v>
      </c>
      <c r="AF194" s="24">
        <f t="shared" si="7"/>
        <v>0</v>
      </c>
      <c r="AG194" s="24">
        <f t="shared" si="8"/>
        <v>15</v>
      </c>
      <c r="AH194" s="41" t="str" cm="1">
        <f t="array" ref="AH194">_xlfn.IFS(
$AE194=15,"Not Started",
$AG194&lt;15,"In Progress",
$AG194=15,"Completed",
SUM(AE194:AG194)&gt;15,"Error"
)</f>
        <v>Completed</v>
      </c>
    </row>
    <row r="195" spans="1:34" ht="13" x14ac:dyDescent="0.25">
      <c r="A195" s="248"/>
      <c r="B195" s="78">
        <v>192</v>
      </c>
      <c r="C195" s="7" t="s">
        <v>644</v>
      </c>
      <c r="D195" s="53" t="s">
        <v>2854</v>
      </c>
      <c r="E195" s="57" t="s">
        <v>3048</v>
      </c>
      <c r="F195" s="7" t="s">
        <v>43</v>
      </c>
      <c r="G195" s="7" t="s">
        <v>44</v>
      </c>
      <c r="H195" s="7" t="s">
        <v>3256</v>
      </c>
      <c r="I195" s="7" t="s">
        <v>3256</v>
      </c>
      <c r="J195" s="7" t="s">
        <v>3247</v>
      </c>
      <c r="K195" s="7" t="s">
        <v>3447</v>
      </c>
      <c r="L195" s="7">
        <v>10053441831</v>
      </c>
      <c r="M195" s="7"/>
      <c r="N195" s="7"/>
      <c r="O195" s="29" t="s">
        <v>11</v>
      </c>
      <c r="P195" s="29" t="s">
        <v>11</v>
      </c>
      <c r="Q195" s="29" t="s">
        <v>11</v>
      </c>
      <c r="R195" s="29" t="s">
        <v>11</v>
      </c>
      <c r="S195" s="29" t="s">
        <v>11</v>
      </c>
      <c r="T195" s="29" t="s">
        <v>11</v>
      </c>
      <c r="U195" s="29" t="s">
        <v>11</v>
      </c>
      <c r="V195" s="29" t="s">
        <v>11</v>
      </c>
      <c r="W195" s="29" t="s">
        <v>11</v>
      </c>
      <c r="X195" s="29" t="s">
        <v>11</v>
      </c>
      <c r="Y195" s="29" t="s">
        <v>11</v>
      </c>
      <c r="Z195" s="29" t="s">
        <v>11</v>
      </c>
      <c r="AA195" s="29" t="s">
        <v>11</v>
      </c>
      <c r="AB195" s="29" t="s">
        <v>11</v>
      </c>
      <c r="AC195" s="29" t="s">
        <v>11</v>
      </c>
      <c r="AD195" s="29" t="s">
        <v>11</v>
      </c>
      <c r="AE195" s="24">
        <f t="shared" si="6"/>
        <v>0</v>
      </c>
      <c r="AF195" s="24">
        <f t="shared" si="7"/>
        <v>0</v>
      </c>
      <c r="AG195" s="24">
        <f t="shared" si="8"/>
        <v>15</v>
      </c>
      <c r="AH195" s="41" t="str" cm="1">
        <f t="array" ref="AH195">_xlfn.IFS(
$AE195=15,"Not Started",
$AG195&lt;15,"In Progress",
$AG195=15,"Completed",
SUM(AE195:AG195)&gt;15,"Error"
)</f>
        <v>Completed</v>
      </c>
    </row>
    <row r="196" spans="1:34" ht="65" x14ac:dyDescent="0.25">
      <c r="A196" s="248"/>
      <c r="B196" s="78">
        <v>193</v>
      </c>
      <c r="C196" s="14" t="s">
        <v>645</v>
      </c>
      <c r="D196" s="53" t="s">
        <v>2855</v>
      </c>
      <c r="E196" s="57" t="s">
        <v>3049</v>
      </c>
      <c r="F196" s="7" t="s">
        <v>51</v>
      </c>
      <c r="G196" s="7" t="s">
        <v>48</v>
      </c>
      <c r="H196" s="7" t="s">
        <v>3256</v>
      </c>
      <c r="I196" s="7" t="s">
        <v>3256</v>
      </c>
      <c r="J196" s="7" t="s">
        <v>3248</v>
      </c>
      <c r="K196" s="7" t="s">
        <v>3448</v>
      </c>
      <c r="L196" s="48" t="s">
        <v>3456</v>
      </c>
      <c r="M196" s="7"/>
      <c r="N196" s="7"/>
      <c r="O196" s="29" t="s">
        <v>11</v>
      </c>
      <c r="P196" s="29" t="s">
        <v>11</v>
      </c>
      <c r="Q196" s="29" t="s">
        <v>11</v>
      </c>
      <c r="R196" s="29" t="s">
        <v>11</v>
      </c>
      <c r="S196" s="29" t="s">
        <v>11</v>
      </c>
      <c r="T196" s="29" t="s">
        <v>11</v>
      </c>
      <c r="U196" s="29" t="s">
        <v>11</v>
      </c>
      <c r="V196" s="29" t="s">
        <v>11</v>
      </c>
      <c r="W196" s="29" t="s">
        <v>11</v>
      </c>
      <c r="X196" s="29" t="s">
        <v>11</v>
      </c>
      <c r="Y196" s="29" t="s">
        <v>11</v>
      </c>
      <c r="Z196" s="29" t="s">
        <v>11</v>
      </c>
      <c r="AA196" s="29" t="s">
        <v>11</v>
      </c>
      <c r="AB196" s="29" t="s">
        <v>11</v>
      </c>
      <c r="AC196" s="29" t="s">
        <v>11</v>
      </c>
      <c r="AD196" s="29" t="s">
        <v>11</v>
      </c>
      <c r="AE196" s="24">
        <f t="shared" ref="AE196:AE203" si="9">COUNTIF(O196:AC196,$AE$2)</f>
        <v>0</v>
      </c>
      <c r="AF196" s="24">
        <f t="shared" ref="AF196:AF203" si="10">COUNTIF(O196:AC196,$AF$2)</f>
        <v>0</v>
      </c>
      <c r="AG196" s="24">
        <f t="shared" ref="AG196:AG203" si="11">COUNTIF(O196:AC196,$AG$2)</f>
        <v>15</v>
      </c>
      <c r="AH196" s="41" t="str" cm="1">
        <f t="array" ref="AH196">_xlfn.IFS(
$AE196=15,"Not Started",
$AG196&lt;15,"In Progress",
$AG196=15,"Completed",
SUM(AE196:AG196)&gt;15,"Error"
)</f>
        <v>Completed</v>
      </c>
    </row>
    <row r="197" spans="1:34" ht="13" x14ac:dyDescent="0.25">
      <c r="A197" s="248"/>
      <c r="B197" s="78">
        <v>194</v>
      </c>
      <c r="C197" s="7" t="s">
        <v>646</v>
      </c>
      <c r="D197" s="53" t="s">
        <v>2856</v>
      </c>
      <c r="E197" s="57" t="s">
        <v>3050</v>
      </c>
      <c r="F197" s="7" t="s">
        <v>47</v>
      </c>
      <c r="G197" s="7" t="s">
        <v>48</v>
      </c>
      <c r="H197" s="7" t="s">
        <v>3256</v>
      </c>
      <c r="I197" s="7" t="s">
        <v>3256</v>
      </c>
      <c r="J197" s="7" t="s">
        <v>3249</v>
      </c>
      <c r="K197" s="7" t="s">
        <v>3449</v>
      </c>
      <c r="L197" s="7">
        <v>10053373061</v>
      </c>
      <c r="M197" s="7"/>
      <c r="N197" s="7"/>
      <c r="O197" s="29" t="s">
        <v>11</v>
      </c>
      <c r="P197" s="29" t="s">
        <v>11</v>
      </c>
      <c r="Q197" s="29" t="s">
        <v>11</v>
      </c>
      <c r="R197" s="29" t="s">
        <v>11</v>
      </c>
      <c r="S197" s="29" t="s">
        <v>11</v>
      </c>
      <c r="T197" s="29" t="s">
        <v>11</v>
      </c>
      <c r="U197" s="29" t="s">
        <v>11</v>
      </c>
      <c r="V197" s="29" t="s">
        <v>11</v>
      </c>
      <c r="W197" s="29" t="s">
        <v>11</v>
      </c>
      <c r="X197" s="29" t="s">
        <v>11</v>
      </c>
      <c r="Y197" s="29" t="s">
        <v>11</v>
      </c>
      <c r="Z197" s="29" t="s">
        <v>11</v>
      </c>
      <c r="AA197" s="29" t="s">
        <v>11</v>
      </c>
      <c r="AB197" s="29" t="s">
        <v>11</v>
      </c>
      <c r="AC197" s="29" t="s">
        <v>11</v>
      </c>
      <c r="AD197" s="29" t="s">
        <v>11</v>
      </c>
      <c r="AE197" s="24">
        <f t="shared" si="9"/>
        <v>0</v>
      </c>
      <c r="AF197" s="24">
        <f t="shared" si="10"/>
        <v>0</v>
      </c>
      <c r="AG197" s="24">
        <f t="shared" si="11"/>
        <v>15</v>
      </c>
      <c r="AH197" s="41" t="str" cm="1">
        <f t="array" ref="AH197">_xlfn.IFS(
$AE197=15,"Not Started",
$AG197&lt;15,"In Progress",
$AG197=15,"Completed",
SUM(AE197:AG197)&gt;15,"Error"
)</f>
        <v>Completed</v>
      </c>
    </row>
    <row r="198" spans="1:34" ht="39" x14ac:dyDescent="0.25">
      <c r="A198" s="248"/>
      <c r="B198" s="78">
        <v>195</v>
      </c>
      <c r="C198" s="14" t="s">
        <v>647</v>
      </c>
      <c r="D198" s="53" t="s">
        <v>2857</v>
      </c>
      <c r="E198" s="57" t="s">
        <v>3051</v>
      </c>
      <c r="F198" s="7" t="s">
        <v>43</v>
      </c>
      <c r="G198" s="7" t="s">
        <v>48</v>
      </c>
      <c r="H198" s="7" t="s">
        <v>3256</v>
      </c>
      <c r="I198" s="7" t="s">
        <v>3256</v>
      </c>
      <c r="J198" s="7" t="s">
        <v>3250</v>
      </c>
      <c r="K198" s="7" t="s">
        <v>3450</v>
      </c>
      <c r="L198" s="48" t="s">
        <v>3457</v>
      </c>
      <c r="M198" s="7"/>
      <c r="N198" s="7"/>
      <c r="O198" s="29" t="s">
        <v>11</v>
      </c>
      <c r="P198" s="29" t="s">
        <v>11</v>
      </c>
      <c r="Q198" s="29" t="s">
        <v>11</v>
      </c>
      <c r="R198" s="29" t="s">
        <v>11</v>
      </c>
      <c r="S198" s="29" t="s">
        <v>11</v>
      </c>
      <c r="T198" s="29" t="s">
        <v>11</v>
      </c>
      <c r="U198" s="29" t="s">
        <v>11</v>
      </c>
      <c r="V198" s="29" t="s">
        <v>11</v>
      </c>
      <c r="W198" s="29" t="s">
        <v>11</v>
      </c>
      <c r="X198" s="29" t="s">
        <v>11</v>
      </c>
      <c r="Y198" s="29" t="s">
        <v>11</v>
      </c>
      <c r="Z198" s="29" t="s">
        <v>11</v>
      </c>
      <c r="AA198" s="29" t="s">
        <v>11</v>
      </c>
      <c r="AB198" s="29" t="s">
        <v>11</v>
      </c>
      <c r="AC198" s="29" t="s">
        <v>11</v>
      </c>
      <c r="AD198" s="29" t="s">
        <v>11</v>
      </c>
      <c r="AE198" s="24">
        <f t="shared" si="9"/>
        <v>0</v>
      </c>
      <c r="AF198" s="24">
        <f t="shared" si="10"/>
        <v>0</v>
      </c>
      <c r="AG198" s="24">
        <f t="shared" si="11"/>
        <v>15</v>
      </c>
      <c r="AH198" s="41" t="str" cm="1">
        <f t="array" ref="AH198">_xlfn.IFS(
$AE198=15,"Not Started",
$AG198&lt;15,"In Progress",
$AG198=15,"Completed",
SUM(AE198:AG198)&gt;15,"Error"
)</f>
        <v>Completed</v>
      </c>
    </row>
    <row r="199" spans="1:34" ht="13" x14ac:dyDescent="0.25">
      <c r="A199" s="248"/>
      <c r="B199" s="78">
        <v>196</v>
      </c>
      <c r="C199" s="7" t="s">
        <v>648</v>
      </c>
      <c r="D199" s="53" t="s">
        <v>2858</v>
      </c>
      <c r="E199" s="57" t="s">
        <v>3052</v>
      </c>
      <c r="F199" s="7" t="s">
        <v>51</v>
      </c>
      <c r="G199" s="7" t="s">
        <v>44</v>
      </c>
      <c r="H199" s="7" t="s">
        <v>3256</v>
      </c>
      <c r="I199" s="7" t="s">
        <v>3256</v>
      </c>
      <c r="J199" s="7" t="s">
        <v>3251</v>
      </c>
      <c r="K199" s="7" t="s">
        <v>3451</v>
      </c>
      <c r="L199" s="7">
        <v>10052039783</v>
      </c>
      <c r="M199" s="7"/>
      <c r="N199" s="7"/>
      <c r="O199" s="29" t="s">
        <v>11</v>
      </c>
      <c r="P199" s="29" t="s">
        <v>11</v>
      </c>
      <c r="Q199" s="29" t="s">
        <v>11</v>
      </c>
      <c r="R199" s="29" t="s">
        <v>11</v>
      </c>
      <c r="S199" s="29" t="s">
        <v>11</v>
      </c>
      <c r="T199" s="29" t="s">
        <v>11</v>
      </c>
      <c r="U199" s="29" t="s">
        <v>11</v>
      </c>
      <c r="V199" s="29" t="s">
        <v>11</v>
      </c>
      <c r="W199" s="29" t="s">
        <v>11</v>
      </c>
      <c r="X199" s="29" t="s">
        <v>11</v>
      </c>
      <c r="Y199" s="29" t="s">
        <v>11</v>
      </c>
      <c r="Z199" s="29" t="s">
        <v>11</v>
      </c>
      <c r="AA199" s="29" t="s">
        <v>11</v>
      </c>
      <c r="AB199" s="29" t="s">
        <v>11</v>
      </c>
      <c r="AC199" s="29" t="s">
        <v>11</v>
      </c>
      <c r="AD199" s="29" t="s">
        <v>11</v>
      </c>
      <c r="AE199" s="24">
        <f t="shared" si="9"/>
        <v>0</v>
      </c>
      <c r="AF199" s="24">
        <f t="shared" si="10"/>
        <v>0</v>
      </c>
      <c r="AG199" s="24">
        <f t="shared" si="11"/>
        <v>15</v>
      </c>
      <c r="AH199" s="41" t="str" cm="1">
        <f t="array" ref="AH199">_xlfn.IFS(
$AE199=15,"Not Started",
$AG199&lt;15,"In Progress",
$AG199=15,"Completed",
SUM(AE199:AG199)&gt;15,"Error"
)</f>
        <v>Completed</v>
      </c>
    </row>
    <row r="200" spans="1:34" ht="26" x14ac:dyDescent="0.25">
      <c r="A200" s="248"/>
      <c r="B200" s="78">
        <v>197</v>
      </c>
      <c r="C200" s="14" t="s">
        <v>649</v>
      </c>
      <c r="D200" s="53" t="s">
        <v>2859</v>
      </c>
      <c r="E200" s="57" t="s">
        <v>3053</v>
      </c>
      <c r="F200" s="7" t="s">
        <v>51</v>
      </c>
      <c r="G200" s="7" t="s">
        <v>44</v>
      </c>
      <c r="H200" s="7" t="s">
        <v>3256</v>
      </c>
      <c r="I200" s="7" t="s">
        <v>3256</v>
      </c>
      <c r="J200" s="7" t="s">
        <v>3252</v>
      </c>
      <c r="K200" s="7" t="s">
        <v>3452</v>
      </c>
      <c r="L200" s="48" t="s">
        <v>3458</v>
      </c>
      <c r="M200" s="7"/>
      <c r="N200" s="7"/>
      <c r="O200" s="29" t="s">
        <v>11</v>
      </c>
      <c r="P200" s="29" t="s">
        <v>11</v>
      </c>
      <c r="Q200" s="29" t="s">
        <v>11</v>
      </c>
      <c r="R200" s="29" t="s">
        <v>11</v>
      </c>
      <c r="S200" s="29" t="s">
        <v>11</v>
      </c>
      <c r="T200" s="29" t="s">
        <v>11</v>
      </c>
      <c r="U200" s="29" t="s">
        <v>11</v>
      </c>
      <c r="V200" s="29" t="s">
        <v>11</v>
      </c>
      <c r="W200" s="29" t="s">
        <v>11</v>
      </c>
      <c r="X200" s="29" t="s">
        <v>11</v>
      </c>
      <c r="Y200" s="29" t="s">
        <v>11</v>
      </c>
      <c r="Z200" s="29" t="s">
        <v>11</v>
      </c>
      <c r="AA200" s="29" t="s">
        <v>11</v>
      </c>
      <c r="AB200" s="29" t="s">
        <v>11</v>
      </c>
      <c r="AC200" s="29" t="s">
        <v>11</v>
      </c>
      <c r="AD200" s="29" t="s">
        <v>11</v>
      </c>
      <c r="AE200" s="24">
        <f t="shared" si="9"/>
        <v>0</v>
      </c>
      <c r="AF200" s="24">
        <f t="shared" si="10"/>
        <v>0</v>
      </c>
      <c r="AG200" s="24">
        <f t="shared" si="11"/>
        <v>15</v>
      </c>
      <c r="AH200" s="41" t="str" cm="1">
        <f t="array" ref="AH200">_xlfn.IFS(
$AE200=15,"Not Started",
$AG200&lt;15,"In Progress",
$AG200=15,"Completed",
SUM(AE200:AG200)&gt;15,"Error"
)</f>
        <v>Completed</v>
      </c>
    </row>
    <row r="201" spans="1:34" ht="13" x14ac:dyDescent="0.25">
      <c r="A201" s="248"/>
      <c r="B201" s="78">
        <v>198</v>
      </c>
      <c r="C201" s="7" t="s">
        <v>650</v>
      </c>
      <c r="D201" s="53" t="s">
        <v>2860</v>
      </c>
      <c r="E201" s="57" t="s">
        <v>3054</v>
      </c>
      <c r="F201" s="7" t="s">
        <v>51</v>
      </c>
      <c r="G201" s="7" t="s">
        <v>44</v>
      </c>
      <c r="H201" s="7" t="s">
        <v>3256</v>
      </c>
      <c r="I201" s="7" t="s">
        <v>3256</v>
      </c>
      <c r="J201" s="7" t="s">
        <v>3253</v>
      </c>
      <c r="K201" s="7" t="s">
        <v>3453</v>
      </c>
      <c r="L201" s="7">
        <v>10053435735</v>
      </c>
      <c r="M201" s="7"/>
      <c r="N201" s="7"/>
      <c r="O201" s="29" t="s">
        <v>11</v>
      </c>
      <c r="P201" s="29" t="s">
        <v>11</v>
      </c>
      <c r="Q201" s="29" t="s">
        <v>11</v>
      </c>
      <c r="R201" s="29" t="s">
        <v>11</v>
      </c>
      <c r="S201" s="29" t="s">
        <v>11</v>
      </c>
      <c r="T201" s="29" t="s">
        <v>11</v>
      </c>
      <c r="U201" s="29" t="s">
        <v>11</v>
      </c>
      <c r="V201" s="29" t="s">
        <v>11</v>
      </c>
      <c r="W201" s="29" t="s">
        <v>11</v>
      </c>
      <c r="X201" s="29" t="s">
        <v>11</v>
      </c>
      <c r="Y201" s="29" t="s">
        <v>11</v>
      </c>
      <c r="Z201" s="29" t="s">
        <v>11</v>
      </c>
      <c r="AA201" s="29" t="s">
        <v>11</v>
      </c>
      <c r="AB201" s="29" t="s">
        <v>11</v>
      </c>
      <c r="AC201" s="29" t="s">
        <v>11</v>
      </c>
      <c r="AD201" s="29" t="s">
        <v>11</v>
      </c>
      <c r="AE201" s="24">
        <f t="shared" si="9"/>
        <v>0</v>
      </c>
      <c r="AF201" s="24">
        <f t="shared" si="10"/>
        <v>0</v>
      </c>
      <c r="AG201" s="24">
        <f t="shared" si="11"/>
        <v>15</v>
      </c>
      <c r="AH201" s="41" t="str" cm="1">
        <f t="array" ref="AH201">_xlfn.IFS(
$AE201=15,"Not Started",
$AG201&lt;15,"In Progress",
$AG201=15,"Completed",
SUM(AE201:AG201)&gt;15,"Error"
)</f>
        <v>Completed</v>
      </c>
    </row>
    <row r="202" spans="1:34" ht="13" x14ac:dyDescent="0.25">
      <c r="A202" s="248"/>
      <c r="B202" s="78">
        <v>199</v>
      </c>
      <c r="C202" s="14" t="s">
        <v>651</v>
      </c>
      <c r="D202" s="53" t="s">
        <v>2861</v>
      </c>
      <c r="E202" s="57" t="s">
        <v>3055</v>
      </c>
      <c r="F202" s="7" t="s">
        <v>51</v>
      </c>
      <c r="G202" s="7" t="s">
        <v>44</v>
      </c>
      <c r="H202" s="7" t="s">
        <v>3256</v>
      </c>
      <c r="I202" s="7" t="s">
        <v>3256</v>
      </c>
      <c r="J202" s="7" t="s">
        <v>3254</v>
      </c>
      <c r="K202" s="7" t="s">
        <v>3454</v>
      </c>
      <c r="L202" s="7">
        <v>10053816141</v>
      </c>
      <c r="M202" s="7"/>
      <c r="N202" s="7"/>
      <c r="O202" s="29" t="s">
        <v>11</v>
      </c>
      <c r="P202" s="29" t="s">
        <v>11</v>
      </c>
      <c r="Q202" s="29" t="s">
        <v>11</v>
      </c>
      <c r="R202" s="29" t="s">
        <v>11</v>
      </c>
      <c r="S202" s="29" t="s">
        <v>11</v>
      </c>
      <c r="T202" s="29" t="s">
        <v>11</v>
      </c>
      <c r="U202" s="29" t="s">
        <v>11</v>
      </c>
      <c r="V202" s="29" t="s">
        <v>11</v>
      </c>
      <c r="W202" s="29" t="s">
        <v>11</v>
      </c>
      <c r="X202" s="29" t="s">
        <v>11</v>
      </c>
      <c r="Y202" s="29" t="s">
        <v>11</v>
      </c>
      <c r="Z202" s="29" t="s">
        <v>11</v>
      </c>
      <c r="AA202" s="29" t="s">
        <v>11</v>
      </c>
      <c r="AB202" s="29" t="s">
        <v>11</v>
      </c>
      <c r="AC202" s="29" t="s">
        <v>11</v>
      </c>
      <c r="AD202" s="29" t="s">
        <v>11</v>
      </c>
      <c r="AE202" s="24">
        <f t="shared" si="9"/>
        <v>0</v>
      </c>
      <c r="AF202" s="24">
        <f t="shared" si="10"/>
        <v>0</v>
      </c>
      <c r="AG202" s="24">
        <f t="shared" si="11"/>
        <v>15</v>
      </c>
      <c r="AH202" s="41" t="str" cm="1">
        <f t="array" ref="AH202">_xlfn.IFS(
$AE202=15,"Not Started",
$AG202&lt;15,"In Progress",
$AG202=15,"Completed",
SUM(AE202:AG202)&gt;15,"Error"
)</f>
        <v>Completed</v>
      </c>
    </row>
    <row r="203" spans="1:34" ht="13" x14ac:dyDescent="0.25">
      <c r="A203" s="249"/>
      <c r="B203" s="78">
        <v>200</v>
      </c>
      <c r="C203" s="7" t="s">
        <v>652</v>
      </c>
      <c r="D203" s="53" t="s">
        <v>2862</v>
      </c>
      <c r="E203" s="57" t="s">
        <v>3056</v>
      </c>
      <c r="F203" s="7" t="s">
        <v>43</v>
      </c>
      <c r="G203" s="7" t="s">
        <v>44</v>
      </c>
      <c r="H203" s="7" t="s">
        <v>3256</v>
      </c>
      <c r="I203" s="7" t="s">
        <v>3256</v>
      </c>
      <c r="J203" s="7" t="s">
        <v>3255</v>
      </c>
      <c r="K203" s="7" t="s">
        <v>3455</v>
      </c>
      <c r="L203" s="7">
        <v>10053817102</v>
      </c>
      <c r="M203" s="7"/>
      <c r="N203" s="7"/>
      <c r="O203" s="29" t="s">
        <v>11</v>
      </c>
      <c r="P203" s="29" t="s">
        <v>11</v>
      </c>
      <c r="Q203" s="29" t="s">
        <v>11</v>
      </c>
      <c r="R203" s="29" t="s">
        <v>11</v>
      </c>
      <c r="S203" s="29" t="s">
        <v>11</v>
      </c>
      <c r="T203" s="29" t="s">
        <v>11</v>
      </c>
      <c r="U203" s="29" t="s">
        <v>11</v>
      </c>
      <c r="V203" s="29" t="s">
        <v>11</v>
      </c>
      <c r="W203" s="29" t="s">
        <v>11</v>
      </c>
      <c r="X203" s="29" t="s">
        <v>11</v>
      </c>
      <c r="Y203" s="29" t="s">
        <v>11</v>
      </c>
      <c r="Z203" s="29" t="s">
        <v>11</v>
      </c>
      <c r="AA203" s="29" t="s">
        <v>11</v>
      </c>
      <c r="AB203" s="29" t="s">
        <v>11</v>
      </c>
      <c r="AC203" s="29" t="s">
        <v>11</v>
      </c>
      <c r="AD203" s="29" t="s">
        <v>11</v>
      </c>
      <c r="AE203" s="24">
        <f t="shared" si="9"/>
        <v>0</v>
      </c>
      <c r="AF203" s="24">
        <f t="shared" si="10"/>
        <v>0</v>
      </c>
      <c r="AG203" s="24">
        <f t="shared" si="11"/>
        <v>15</v>
      </c>
      <c r="AH203" s="41" t="str" cm="1">
        <f t="array" ref="AH203">_xlfn.IFS(
$AE203=15,"Not Started",
$AG203&lt;15,"In Progress",
$AG203=15,"Completed",
SUM(AE203:AG203)&gt;15,"Error"
)</f>
        <v>Completed</v>
      </c>
    </row>
    <row r="204" spans="1:34" ht="15.75" customHeight="1" x14ac:dyDescent="0.25">
      <c r="A204" s="81" t="s">
        <v>251</v>
      </c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257" t="s">
        <v>251</v>
      </c>
      <c r="N204" s="67" t="s">
        <v>11</v>
      </c>
      <c r="O204" s="72">
        <f t="shared" ref="O204:AA204" si="12">COUNTIF(O$3:O$203,"Completed")</f>
        <v>200</v>
      </c>
      <c r="P204" s="72">
        <f t="shared" si="12"/>
        <v>200</v>
      </c>
      <c r="Q204" s="72">
        <f t="shared" si="12"/>
        <v>200</v>
      </c>
      <c r="R204" s="72">
        <f t="shared" si="12"/>
        <v>200</v>
      </c>
      <c r="S204" s="72">
        <f t="shared" si="12"/>
        <v>200</v>
      </c>
      <c r="T204" s="72">
        <f t="shared" si="12"/>
        <v>200</v>
      </c>
      <c r="U204" s="72">
        <f t="shared" si="12"/>
        <v>200</v>
      </c>
      <c r="V204" s="72">
        <f t="shared" si="12"/>
        <v>200</v>
      </c>
      <c r="W204" s="72">
        <f t="shared" si="12"/>
        <v>200</v>
      </c>
      <c r="X204" s="72">
        <f t="shared" si="12"/>
        <v>200</v>
      </c>
      <c r="Y204" s="72">
        <f t="shared" si="12"/>
        <v>198</v>
      </c>
      <c r="Z204" s="72">
        <f t="shared" si="12"/>
        <v>200</v>
      </c>
      <c r="AA204" s="72">
        <f t="shared" si="12"/>
        <v>198</v>
      </c>
      <c r="AB204" s="72">
        <f>COUNTIF(AB$2:AB$203,"Completed")</f>
        <v>200</v>
      </c>
      <c r="AC204" s="72">
        <f>COUNTIF(AC$2:AC$203,"Completed")</f>
        <v>200</v>
      </c>
      <c r="AD204" s="72">
        <f>COUNTIF(AD$2:AD$203,"Completed")</f>
        <v>200</v>
      </c>
      <c r="AE204" s="24"/>
      <c r="AF204" s="24"/>
      <c r="AG204" s="24"/>
      <c r="AH204" s="96" cm="1">
        <f t="array" ref="AH204">SUM(O204:AC204/15)</f>
        <v>199.73333333333332</v>
      </c>
    </row>
    <row r="205" spans="1:34" ht="15.75" customHeight="1" x14ac:dyDescent="0.25">
      <c r="M205" s="258"/>
      <c r="N205" s="67" t="s">
        <v>10</v>
      </c>
      <c r="O205" s="73">
        <f t="shared" ref="O205:AA205" si="13">COUNTIF(O$3:O$203,"In Progress")</f>
        <v>0</v>
      </c>
      <c r="P205" s="73">
        <f t="shared" si="13"/>
        <v>0</v>
      </c>
      <c r="Q205" s="73">
        <f t="shared" si="13"/>
        <v>0</v>
      </c>
      <c r="R205" s="73">
        <f t="shared" si="13"/>
        <v>0</v>
      </c>
      <c r="S205" s="73">
        <f t="shared" si="13"/>
        <v>0</v>
      </c>
      <c r="T205" s="73">
        <f t="shared" si="13"/>
        <v>0</v>
      </c>
      <c r="U205" s="73">
        <f t="shared" si="13"/>
        <v>0</v>
      </c>
      <c r="V205" s="73">
        <f t="shared" si="13"/>
        <v>0</v>
      </c>
      <c r="W205" s="73">
        <f t="shared" si="13"/>
        <v>0</v>
      </c>
      <c r="X205" s="73">
        <f t="shared" si="13"/>
        <v>0</v>
      </c>
      <c r="Y205" s="73">
        <f t="shared" si="13"/>
        <v>0</v>
      </c>
      <c r="Z205" s="73">
        <f t="shared" si="13"/>
        <v>0</v>
      </c>
      <c r="AA205" s="73">
        <f t="shared" si="13"/>
        <v>0</v>
      </c>
      <c r="AB205" s="73">
        <f>COUNTIF(AB$2:AB$203,"In Progress")</f>
        <v>0</v>
      </c>
      <c r="AC205" s="73">
        <f>COUNTIF(AC$2:AC$203,"In Progress")</f>
        <v>0</v>
      </c>
      <c r="AD205" s="73">
        <f>COUNTIF(AD$2:AD$203,"In Progress")</f>
        <v>0</v>
      </c>
    </row>
    <row r="206" spans="1:34" ht="15.75" customHeight="1" x14ac:dyDescent="0.25">
      <c r="M206" s="259"/>
      <c r="N206" s="67" t="s">
        <v>9</v>
      </c>
      <c r="O206" s="74">
        <f t="shared" ref="O206:AA206" si="14">COUNTIF(O$3:O$203,"Not Started")</f>
        <v>0</v>
      </c>
      <c r="P206" s="74">
        <f t="shared" si="14"/>
        <v>0</v>
      </c>
      <c r="Q206" s="74">
        <f t="shared" si="14"/>
        <v>0</v>
      </c>
      <c r="R206" s="74">
        <f t="shared" si="14"/>
        <v>0</v>
      </c>
      <c r="S206" s="74">
        <f t="shared" si="14"/>
        <v>0</v>
      </c>
      <c r="T206" s="74">
        <f t="shared" si="14"/>
        <v>0</v>
      </c>
      <c r="U206" s="74">
        <f t="shared" si="14"/>
        <v>0</v>
      </c>
      <c r="V206" s="74">
        <f t="shared" si="14"/>
        <v>0</v>
      </c>
      <c r="W206" s="74">
        <f t="shared" si="14"/>
        <v>0</v>
      </c>
      <c r="X206" s="74">
        <f t="shared" si="14"/>
        <v>0</v>
      </c>
      <c r="Y206" s="74">
        <f t="shared" si="14"/>
        <v>2</v>
      </c>
      <c r="Z206" s="74">
        <f t="shared" si="14"/>
        <v>0</v>
      </c>
      <c r="AA206" s="74">
        <f t="shared" si="14"/>
        <v>2</v>
      </c>
      <c r="AB206" s="74">
        <f>COUNTIF(AB$2:AB$203,"Not Started")</f>
        <v>0</v>
      </c>
      <c r="AC206" s="74">
        <f>COUNTIF(AC$2:AC$203,"Not Started")</f>
        <v>0</v>
      </c>
      <c r="AD206" s="74">
        <f>COUNTIF(AD$2:AD$203,"Not Started")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C4:AD203" name="Range1"/>
  </protectedRanges>
  <autoFilter ref="B3:L206" xr:uid="{77CCD2CA-7992-4AA4-9F84-F35D1418F0AE}"/>
  <mergeCells count="14">
    <mergeCell ref="A4:A203"/>
    <mergeCell ref="M204:M206"/>
    <mergeCell ref="AC2:AC3"/>
    <mergeCell ref="AD2:AD3"/>
    <mergeCell ref="AE2:AE3"/>
    <mergeCell ref="AF2:AF3"/>
    <mergeCell ref="AG2:AG3"/>
    <mergeCell ref="AH2:AH3"/>
    <mergeCell ref="A2:A3"/>
    <mergeCell ref="C2:M2"/>
    <mergeCell ref="N2:N3"/>
    <mergeCell ref="O2:S2"/>
    <mergeCell ref="T2:AA2"/>
    <mergeCell ref="AB2:AB3"/>
  </mergeCells>
  <conditionalFormatting sqref="C4:C203 AE204:AF204 O4:AG203">
    <cfRule type="cellIs" dxfId="1941" priority="11" operator="equal">
      <formula>"In Progress"</formula>
    </cfRule>
    <cfRule type="cellIs" dxfId="1940" priority="12" operator="equal">
      <formula>"Completed"</formula>
    </cfRule>
  </conditionalFormatting>
  <conditionalFormatting sqref="O4:AD203">
    <cfRule type="cellIs" dxfId="1939" priority="7" operator="equal">
      <formula>"Not Started"</formula>
    </cfRule>
  </conditionalFormatting>
  <conditionalFormatting sqref="AH4:AH203">
    <cfRule type="cellIs" dxfId="1938" priority="8" operator="equal">
      <formula>"In Progress"</formula>
    </cfRule>
    <cfRule type="cellIs" dxfId="1937" priority="9" operator="equal">
      <formula>"Completed"</formula>
    </cfRule>
    <cfRule type="cellIs" dxfId="1936" priority="10" operator="equal">
      <formula>"Not Started"</formula>
    </cfRule>
  </conditionalFormatting>
  <conditionalFormatting sqref="D4:J203 L4:N203">
    <cfRule type="cellIs" dxfId="1935" priority="5" operator="equal">
      <formula>"In Progress"</formula>
    </cfRule>
    <cfRule type="cellIs" dxfId="1934" priority="6" operator="equal">
      <formula>"Completed"</formula>
    </cfRule>
  </conditionalFormatting>
  <conditionalFormatting sqref="G4:G1048576 G1">
    <cfRule type="containsText" dxfId="1933" priority="4" operator="containsText" text="Boys">
      <formula>NOT(ISERROR(SEARCH("Boys",G1)))</formula>
    </cfRule>
  </conditionalFormatting>
  <conditionalFormatting sqref="G4:G1048576 G1">
    <cfRule type="containsText" dxfId="1932" priority="3" operator="containsText" text="Girls">
      <formula>NOT(ISERROR(SEARCH("Girls",G1)))</formula>
    </cfRule>
  </conditionalFormatting>
  <conditionalFormatting sqref="AG204">
    <cfRule type="cellIs" dxfId="1931" priority="1" operator="equal">
      <formula>"In Progress"</formula>
    </cfRule>
    <cfRule type="cellIs" dxfId="1930" priority="2" operator="equal">
      <formula>"Completed"</formula>
    </cfRule>
  </conditionalFormatting>
  <dataValidations count="3">
    <dataValidation type="list" allowBlank="1" showInputMessage="1" showErrorMessage="1" sqref="O4:AD203" xr:uid="{839895F2-BA0A-43AB-AEBD-53AD71C51538}">
      <formula1>$AM$4:$AM$9</formula1>
    </dataValidation>
    <dataValidation type="list" allowBlank="1" showInputMessage="1" showErrorMessage="1" sqref="G4:G203" xr:uid="{01090775-AE4E-4FAB-B0A3-F13371C3EDE6}">
      <formula1>$AL$4:$AL$6</formula1>
    </dataValidation>
    <dataValidation type="list" allowBlank="1" showInputMessage="1" showErrorMessage="1" sqref="F4:F203" xr:uid="{55D82BCA-7D87-42A0-B0F8-3C86E2DEFDF2}">
      <formula1>$AK$4:$AK$9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3C71-6271-47E3-9128-618C31F95629}">
  <sheetPr>
    <outlinePr summaryBelow="0" summaryRight="0"/>
  </sheetPr>
  <dimension ref="A1:AL207"/>
  <sheetViews>
    <sheetView showGridLines="0" topLeftCell="F184" zoomScale="81" zoomScaleNormal="81" workbookViewId="0">
      <selection activeCell="L199" sqref="L199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49.54296875" style="1" bestFit="1" customWidth="1"/>
    <col min="4" max="4" width="89.1796875" style="1" bestFit="1" customWidth="1"/>
    <col min="5" max="6" width="32.453125" style="1" customWidth="1"/>
    <col min="7" max="7" width="7.7265625" style="1" bestFit="1" customWidth="1"/>
    <col min="8" max="8" width="9" style="1" bestFit="1" customWidth="1"/>
    <col min="9" max="9" width="37.54296875" style="1" bestFit="1" customWidth="1"/>
    <col min="10" max="10" width="22.08984375" style="1" bestFit="1" customWidth="1"/>
    <col min="11" max="11" width="18.54296875" style="1" customWidth="1"/>
    <col min="12" max="13" width="12.54296875" style="1"/>
    <col min="14" max="14" width="18.26953125" style="1" bestFit="1" customWidth="1"/>
    <col min="15" max="16" width="12.54296875" style="1"/>
    <col min="17" max="17" width="14.81640625" style="1" customWidth="1"/>
    <col min="18" max="18" width="14.7265625" style="1" customWidth="1"/>
    <col min="19" max="19" width="12.54296875" style="1"/>
    <col min="20" max="20" width="15.81640625" style="1" customWidth="1"/>
    <col min="21" max="21" width="20.1796875" style="1" customWidth="1"/>
    <col min="22" max="35" width="12.54296875" style="1"/>
    <col min="36" max="36" width="37.81640625" style="1" hidden="1" customWidth="1"/>
    <col min="37" max="37" width="18.453125" style="1" hidden="1" customWidth="1"/>
    <col min="38" max="38" width="0" style="1" hidden="1" customWidth="1"/>
    <col min="39" max="16384" width="12.54296875" style="1"/>
  </cols>
  <sheetData>
    <row r="1" spans="1:38" ht="37" customHeight="1" x14ac:dyDescent="0.25">
      <c r="A1" s="114"/>
      <c r="B1" s="114"/>
      <c r="C1" s="115" t="s">
        <v>0</v>
      </c>
      <c r="D1" s="116">
        <v>46076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</row>
    <row r="2" spans="1:38" ht="13" customHeight="1" x14ac:dyDescent="0.25">
      <c r="A2" s="261" t="s">
        <v>1</v>
      </c>
      <c r="B2" s="262" t="s">
        <v>2</v>
      </c>
      <c r="C2" s="262"/>
      <c r="D2" s="263"/>
      <c r="E2" s="263"/>
      <c r="F2" s="263"/>
      <c r="G2" s="263"/>
      <c r="H2" s="263"/>
      <c r="I2" s="263"/>
      <c r="J2" s="263"/>
      <c r="K2" s="263"/>
      <c r="L2" s="263"/>
      <c r="M2" s="264" t="s">
        <v>3</v>
      </c>
      <c r="N2" s="265" t="s">
        <v>4</v>
      </c>
      <c r="O2" s="266"/>
      <c r="P2" s="266"/>
      <c r="Q2" s="266"/>
      <c r="R2" s="267" t="s">
        <v>5</v>
      </c>
      <c r="S2" s="267"/>
      <c r="T2" s="267"/>
      <c r="U2" s="267"/>
      <c r="V2" s="267"/>
      <c r="W2" s="267"/>
      <c r="X2" s="267"/>
      <c r="Y2" s="267"/>
      <c r="Z2" s="267"/>
      <c r="AA2" s="268" t="s">
        <v>6</v>
      </c>
      <c r="AB2" s="272" t="s">
        <v>7</v>
      </c>
      <c r="AC2" s="273" t="s">
        <v>8</v>
      </c>
      <c r="AD2" s="260" t="s">
        <v>9</v>
      </c>
      <c r="AE2" s="260" t="s">
        <v>10</v>
      </c>
      <c r="AF2" s="260" t="s">
        <v>11</v>
      </c>
      <c r="AG2" s="260" t="s">
        <v>12</v>
      </c>
    </row>
    <row r="3" spans="1:38" s="2" customFormat="1" ht="46.5" x14ac:dyDescent="0.25">
      <c r="A3" s="261"/>
      <c r="B3" s="117" t="s">
        <v>13</v>
      </c>
      <c r="C3" s="117" t="s">
        <v>14</v>
      </c>
      <c r="D3" s="117" t="s">
        <v>15</v>
      </c>
      <c r="E3" s="117" t="s">
        <v>9477</v>
      </c>
      <c r="F3" s="117" t="s">
        <v>10359</v>
      </c>
      <c r="G3" s="117" t="s">
        <v>18</v>
      </c>
      <c r="H3" s="117" t="s">
        <v>19</v>
      </c>
      <c r="I3" s="136" t="s">
        <v>20</v>
      </c>
      <c r="J3" s="117" t="s">
        <v>21</v>
      </c>
      <c r="K3" s="117" t="s">
        <v>22</v>
      </c>
      <c r="L3" s="117" t="s">
        <v>23</v>
      </c>
      <c r="M3" s="264"/>
      <c r="N3" s="118" t="s">
        <v>24</v>
      </c>
      <c r="O3" s="118" t="s">
        <v>25</v>
      </c>
      <c r="P3" s="118" t="s">
        <v>26</v>
      </c>
      <c r="Q3" s="118" t="s">
        <v>27</v>
      </c>
      <c r="R3" s="119" t="s">
        <v>28</v>
      </c>
      <c r="S3" s="119" t="s">
        <v>29</v>
      </c>
      <c r="T3" s="119" t="s">
        <v>30</v>
      </c>
      <c r="U3" s="119" t="s">
        <v>31</v>
      </c>
      <c r="V3" s="119" t="s">
        <v>32</v>
      </c>
      <c r="W3" s="119" t="s">
        <v>33</v>
      </c>
      <c r="X3" s="119" t="s">
        <v>34</v>
      </c>
      <c r="Y3" s="119" t="s">
        <v>35</v>
      </c>
      <c r="Z3" s="119" t="s">
        <v>36</v>
      </c>
      <c r="AA3" s="268"/>
      <c r="AB3" s="272"/>
      <c r="AC3" s="273"/>
      <c r="AD3" s="260"/>
      <c r="AE3" s="260"/>
      <c r="AF3" s="260"/>
      <c r="AG3" s="260"/>
      <c r="AJ3" s="5" t="s">
        <v>16</v>
      </c>
      <c r="AK3" s="5" t="s">
        <v>17</v>
      </c>
      <c r="AL3" s="5" t="s">
        <v>37</v>
      </c>
    </row>
    <row r="4" spans="1:38" ht="15.75" customHeight="1" x14ac:dyDescent="0.25">
      <c r="A4" s="269" t="s">
        <v>38</v>
      </c>
      <c r="B4" s="120" t="s">
        <v>39</v>
      </c>
      <c r="C4" s="121" t="s">
        <v>4197</v>
      </c>
      <c r="D4" s="11" t="s">
        <v>4669</v>
      </c>
      <c r="E4" s="11" t="s">
        <v>47</v>
      </c>
      <c r="F4" s="122" t="s">
        <v>44</v>
      </c>
      <c r="G4" s="121" t="s">
        <v>40</v>
      </c>
      <c r="H4" s="121" t="s">
        <v>41</v>
      </c>
      <c r="I4" s="14" t="s">
        <v>10363</v>
      </c>
      <c r="J4" s="122" t="s">
        <v>4397</v>
      </c>
      <c r="K4" s="122">
        <v>10091788928</v>
      </c>
      <c r="L4" s="123"/>
      <c r="M4" s="124"/>
      <c r="N4" s="125" t="s">
        <v>11</v>
      </c>
      <c r="O4" s="125" t="s">
        <v>11</v>
      </c>
      <c r="P4" s="125" t="s">
        <v>11</v>
      </c>
      <c r="Q4" s="125" t="s">
        <v>11</v>
      </c>
      <c r="R4" s="125" t="s">
        <v>11</v>
      </c>
      <c r="S4" s="125" t="s">
        <v>11</v>
      </c>
      <c r="T4" s="125" t="s">
        <v>11</v>
      </c>
      <c r="U4" s="125" t="s">
        <v>11</v>
      </c>
      <c r="V4" s="125" t="s">
        <v>11</v>
      </c>
      <c r="W4" s="125" t="s">
        <v>11</v>
      </c>
      <c r="X4" s="125" t="s">
        <v>11</v>
      </c>
      <c r="Y4" s="125" t="s">
        <v>11</v>
      </c>
      <c r="Z4" s="125" t="s">
        <v>11</v>
      </c>
      <c r="AA4" s="125" t="s">
        <v>11</v>
      </c>
      <c r="AB4" s="125" t="s">
        <v>11</v>
      </c>
      <c r="AC4" s="126"/>
      <c r="AD4" s="127">
        <f>COUNTIF(N4:AB4,$AD$2)</f>
        <v>0</v>
      </c>
      <c r="AE4" s="127">
        <f>COUNTIF(N4:AB4,$AE$2)</f>
        <v>0</v>
      </c>
      <c r="AF4" s="127">
        <f>COUNTIF(N4:AB4,$AF$2)</f>
        <v>15</v>
      </c>
      <c r="AG4" s="128" t="str" cm="1">
        <f t="array" ref="AG4">_xlfn.IFS(
SUM(AD4:AF4)=0,"Not Started",
SUM(AD4:AF4)&lt;15,"In Progress",
SUM(AD4:AF4)=15,"Completed",
SUM(AD4:AF4)&gt;15,"Error"
)</f>
        <v>Completed</v>
      </c>
      <c r="AJ4" s="3" t="s">
        <v>43</v>
      </c>
      <c r="AK4" s="3" t="s">
        <v>44</v>
      </c>
      <c r="AL4" s="3" t="s">
        <v>9</v>
      </c>
    </row>
    <row r="5" spans="1:38" ht="15.5" x14ac:dyDescent="0.25">
      <c r="A5" s="270"/>
      <c r="B5" s="120" t="s">
        <v>45</v>
      </c>
      <c r="C5" s="11" t="s">
        <v>4198</v>
      </c>
      <c r="D5" s="11" t="s">
        <v>4670</v>
      </c>
      <c r="E5" s="11" t="s">
        <v>51</v>
      </c>
      <c r="F5" s="129" t="s">
        <v>44</v>
      </c>
      <c r="G5" s="121" t="s">
        <v>40</v>
      </c>
      <c r="H5" s="121" t="s">
        <v>41</v>
      </c>
      <c r="I5" s="7" t="s">
        <v>10364</v>
      </c>
      <c r="J5" s="129" t="s">
        <v>4398</v>
      </c>
      <c r="K5" s="129">
        <v>10041261615</v>
      </c>
      <c r="L5" s="130"/>
      <c r="M5" s="131"/>
      <c r="N5" s="125" t="s">
        <v>11</v>
      </c>
      <c r="O5" s="125" t="s">
        <v>11</v>
      </c>
      <c r="P5" s="125" t="s">
        <v>11</v>
      </c>
      <c r="Q5" s="125" t="s">
        <v>11</v>
      </c>
      <c r="R5" s="125" t="s">
        <v>11</v>
      </c>
      <c r="S5" s="125" t="s">
        <v>11</v>
      </c>
      <c r="T5" s="125" t="s">
        <v>11</v>
      </c>
      <c r="U5" s="125" t="s">
        <v>11</v>
      </c>
      <c r="V5" s="125" t="s">
        <v>11</v>
      </c>
      <c r="W5" s="125" t="s">
        <v>11</v>
      </c>
      <c r="X5" s="125" t="s">
        <v>11</v>
      </c>
      <c r="Y5" s="125" t="s">
        <v>11</v>
      </c>
      <c r="Z5" s="125" t="s">
        <v>11</v>
      </c>
      <c r="AA5" s="125" t="s">
        <v>11</v>
      </c>
      <c r="AB5" s="125" t="s">
        <v>11</v>
      </c>
      <c r="AC5" s="132"/>
      <c r="AD5" s="127">
        <f t="shared" ref="AD5:AD68" si="0">COUNTIF(N5:AB5,$AD$2)</f>
        <v>0</v>
      </c>
      <c r="AE5" s="127">
        <f t="shared" ref="AE5:AE68" si="1">COUNTIF(N5:AB5,$AE$2)</f>
        <v>0</v>
      </c>
      <c r="AF5" s="127">
        <f t="shared" ref="AF5:AF68" si="2">COUNTIF(N5:AB5,$AF$2)</f>
        <v>15</v>
      </c>
      <c r="AG5" s="128" t="str" cm="1">
        <f t="array" ref="AG5">_xlfn.IFS(
SUM(AD5:AF5)=0,"Not Started",
SUM(AD5:AF5)&lt;15,"In Progress",
SUM(AD5:AF5)=15,"Completed",
SUM(AD5:AF5)&gt;15,"Error"
)</f>
        <v>Completed</v>
      </c>
      <c r="AJ5" s="3" t="s">
        <v>47</v>
      </c>
      <c r="AK5" s="3" t="s">
        <v>48</v>
      </c>
      <c r="AL5" s="3" t="s">
        <v>10</v>
      </c>
    </row>
    <row r="6" spans="1:38" ht="15.5" x14ac:dyDescent="0.25">
      <c r="A6" s="270"/>
      <c r="B6" s="120" t="s">
        <v>49</v>
      </c>
      <c r="C6" s="11" t="s">
        <v>4199</v>
      </c>
      <c r="D6" s="11" t="s">
        <v>4671</v>
      </c>
      <c r="E6" s="11" t="s">
        <v>43</v>
      </c>
      <c r="F6" s="129" t="s">
        <v>44</v>
      </c>
      <c r="G6" s="121" t="s">
        <v>40</v>
      </c>
      <c r="H6" s="121" t="s">
        <v>41</v>
      </c>
      <c r="I6" s="7" t="s">
        <v>10365</v>
      </c>
      <c r="J6" s="129" t="s">
        <v>46</v>
      </c>
      <c r="K6" s="129">
        <v>10041839321</v>
      </c>
      <c r="L6" s="130"/>
      <c r="M6" s="131"/>
      <c r="N6" s="125" t="s">
        <v>11</v>
      </c>
      <c r="O6" s="125" t="s">
        <v>11</v>
      </c>
      <c r="P6" s="125" t="s">
        <v>11</v>
      </c>
      <c r="Q6" s="125" t="s">
        <v>11</v>
      </c>
      <c r="R6" s="125" t="s">
        <v>11</v>
      </c>
      <c r="S6" s="125" t="s">
        <v>11</v>
      </c>
      <c r="T6" s="125" t="s">
        <v>11</v>
      </c>
      <c r="U6" s="125" t="s">
        <v>11</v>
      </c>
      <c r="V6" s="125" t="s">
        <v>11</v>
      </c>
      <c r="W6" s="125" t="s">
        <v>11</v>
      </c>
      <c r="X6" s="125" t="s">
        <v>11</v>
      </c>
      <c r="Y6" s="125" t="s">
        <v>11</v>
      </c>
      <c r="Z6" s="125" t="s">
        <v>11</v>
      </c>
      <c r="AA6" s="125" t="s">
        <v>11</v>
      </c>
      <c r="AB6" s="125" t="s">
        <v>11</v>
      </c>
      <c r="AC6" s="132"/>
      <c r="AD6" s="127">
        <f t="shared" si="0"/>
        <v>0</v>
      </c>
      <c r="AE6" s="127">
        <f t="shared" si="1"/>
        <v>0</v>
      </c>
      <c r="AF6" s="127">
        <f t="shared" si="2"/>
        <v>15</v>
      </c>
      <c r="AG6" s="128" t="str" cm="1">
        <f t="array" ref="AG6">_xlfn.IFS(
SUM(AD6:AF6)=0,"Not Started",
SUM(AD6:AF6)&lt;15,"In Progress",
SUM(AD6:AF6)=15,"Completed",
SUM(AD6:AF6)&gt;15,"Error"
)</f>
        <v>Completed</v>
      </c>
      <c r="AJ6" s="3" t="s">
        <v>51</v>
      </c>
      <c r="AK6" s="3" t="s">
        <v>52</v>
      </c>
      <c r="AL6" s="3" t="s">
        <v>11</v>
      </c>
    </row>
    <row r="7" spans="1:38" ht="15.5" x14ac:dyDescent="0.25">
      <c r="A7" s="270"/>
      <c r="B7" s="120" t="s">
        <v>53</v>
      </c>
      <c r="C7" s="11" t="s">
        <v>4200</v>
      </c>
      <c r="D7" s="11" t="s">
        <v>4672</v>
      </c>
      <c r="E7" s="11" t="s">
        <v>43</v>
      </c>
      <c r="F7" s="129" t="s">
        <v>44</v>
      </c>
      <c r="G7" s="121" t="s">
        <v>40</v>
      </c>
      <c r="H7" s="121" t="s">
        <v>41</v>
      </c>
      <c r="I7" s="7" t="s">
        <v>10366</v>
      </c>
      <c r="J7" s="129" t="s">
        <v>4399</v>
      </c>
      <c r="K7" s="129">
        <v>10041458147</v>
      </c>
      <c r="L7" s="130"/>
      <c r="M7" s="131"/>
      <c r="N7" s="125" t="s">
        <v>11</v>
      </c>
      <c r="O7" s="125" t="s">
        <v>11</v>
      </c>
      <c r="P7" s="125" t="s">
        <v>11</v>
      </c>
      <c r="Q7" s="125" t="s">
        <v>11</v>
      </c>
      <c r="R7" s="125" t="s">
        <v>11</v>
      </c>
      <c r="S7" s="125" t="s">
        <v>11</v>
      </c>
      <c r="T7" s="125" t="s">
        <v>11</v>
      </c>
      <c r="U7" s="125" t="s">
        <v>11</v>
      </c>
      <c r="V7" s="125" t="s">
        <v>11</v>
      </c>
      <c r="W7" s="125" t="s">
        <v>11</v>
      </c>
      <c r="X7" s="125" t="s">
        <v>11</v>
      </c>
      <c r="Y7" s="125" t="s">
        <v>11</v>
      </c>
      <c r="Z7" s="125" t="s">
        <v>11</v>
      </c>
      <c r="AA7" s="125" t="s">
        <v>11</v>
      </c>
      <c r="AB7" s="125" t="s">
        <v>11</v>
      </c>
      <c r="AC7" s="132"/>
      <c r="AD7" s="127">
        <f t="shared" si="0"/>
        <v>0</v>
      </c>
      <c r="AE7" s="127">
        <f t="shared" si="1"/>
        <v>0</v>
      </c>
      <c r="AF7" s="127">
        <f t="shared" si="2"/>
        <v>15</v>
      </c>
      <c r="AG7" s="128" t="str" cm="1">
        <f t="array" ref="AG7">_xlfn.IFS(
SUM(AD7:AF7)=0,"Not Started",
SUM(AD7:AF7)&lt;15,"In Progress",
SUM(AD7:AF7)=15,"Completed",
SUM(AD7:AF7)&gt;15,"Error"
)</f>
        <v>Completed</v>
      </c>
      <c r="AJ7" s="3" t="s">
        <v>52</v>
      </c>
      <c r="AK7" s="3"/>
      <c r="AL7" s="3" t="s">
        <v>52</v>
      </c>
    </row>
    <row r="8" spans="1:38" ht="15.5" x14ac:dyDescent="0.25">
      <c r="A8" s="270"/>
      <c r="B8" s="120" t="s">
        <v>55</v>
      </c>
      <c r="C8" s="11" t="s">
        <v>4201</v>
      </c>
      <c r="D8" s="11" t="s">
        <v>4673</v>
      </c>
      <c r="E8" s="11" t="s">
        <v>43</v>
      </c>
      <c r="F8" s="129" t="s">
        <v>44</v>
      </c>
      <c r="G8" s="121" t="s">
        <v>40</v>
      </c>
      <c r="H8" s="121" t="s">
        <v>41</v>
      </c>
      <c r="I8" s="7" t="s">
        <v>10367</v>
      </c>
      <c r="J8" s="129" t="s">
        <v>4400</v>
      </c>
      <c r="K8" s="129">
        <v>10041394424</v>
      </c>
      <c r="L8" s="130"/>
      <c r="M8" s="131"/>
      <c r="N8" s="125" t="s">
        <v>11</v>
      </c>
      <c r="O8" s="125" t="s">
        <v>11</v>
      </c>
      <c r="P8" s="125" t="s">
        <v>11</v>
      </c>
      <c r="Q8" s="125" t="s">
        <v>11</v>
      </c>
      <c r="R8" s="125" t="s">
        <v>11</v>
      </c>
      <c r="S8" s="125" t="s">
        <v>11</v>
      </c>
      <c r="T8" s="125" t="s">
        <v>11</v>
      </c>
      <c r="U8" s="125" t="s">
        <v>11</v>
      </c>
      <c r="V8" s="125" t="s">
        <v>11</v>
      </c>
      <c r="W8" s="125" t="s">
        <v>11</v>
      </c>
      <c r="X8" s="125" t="s">
        <v>11</v>
      </c>
      <c r="Y8" s="125" t="s">
        <v>11</v>
      </c>
      <c r="Z8" s="125" t="s">
        <v>11</v>
      </c>
      <c r="AA8" s="125" t="s">
        <v>11</v>
      </c>
      <c r="AB8" s="125" t="s">
        <v>11</v>
      </c>
      <c r="AC8" s="132"/>
      <c r="AD8" s="127">
        <f t="shared" si="0"/>
        <v>0</v>
      </c>
      <c r="AE8" s="127">
        <f t="shared" si="1"/>
        <v>0</v>
      </c>
      <c r="AF8" s="127">
        <f t="shared" si="2"/>
        <v>15</v>
      </c>
      <c r="AG8" s="128" t="str" cm="1">
        <f t="array" ref="AG8">_xlfn.IFS(
SUM(AD8:AF8)=0,"Not Started",
SUM(AD8:AF8)&lt;15,"In Progress",
SUM(AD8:AF8)=15,"Completed",
SUM(AD8:AF8)&gt;15,"Error"
)</f>
        <v>Completed</v>
      </c>
    </row>
    <row r="9" spans="1:38" ht="15.5" x14ac:dyDescent="0.25">
      <c r="A9" s="270"/>
      <c r="B9" s="120" t="s">
        <v>56</v>
      </c>
      <c r="C9" s="11" t="s">
        <v>4202</v>
      </c>
      <c r="D9" s="11" t="s">
        <v>4674</v>
      </c>
      <c r="E9" s="11" t="s">
        <v>47</v>
      </c>
      <c r="F9" s="129" t="s">
        <v>44</v>
      </c>
      <c r="G9" s="121" t="s">
        <v>40</v>
      </c>
      <c r="H9" s="121" t="s">
        <v>41</v>
      </c>
      <c r="I9" s="7" t="s">
        <v>10368</v>
      </c>
      <c r="J9" s="129" t="s">
        <v>4401</v>
      </c>
      <c r="K9" s="129">
        <v>10093142685</v>
      </c>
      <c r="L9" s="130"/>
      <c r="M9" s="131"/>
      <c r="N9" s="125" t="s">
        <v>11</v>
      </c>
      <c r="O9" s="125" t="s">
        <v>11</v>
      </c>
      <c r="P9" s="125" t="s">
        <v>11</v>
      </c>
      <c r="Q9" s="125" t="s">
        <v>11</v>
      </c>
      <c r="R9" s="125" t="s">
        <v>11</v>
      </c>
      <c r="S9" s="125" t="s">
        <v>11</v>
      </c>
      <c r="T9" s="125" t="s">
        <v>11</v>
      </c>
      <c r="U9" s="125" t="s">
        <v>11</v>
      </c>
      <c r="V9" s="125" t="s">
        <v>11</v>
      </c>
      <c r="W9" s="125" t="s">
        <v>11</v>
      </c>
      <c r="X9" s="125" t="s">
        <v>11</v>
      </c>
      <c r="Y9" s="125" t="s">
        <v>11</v>
      </c>
      <c r="Z9" s="125" t="s">
        <v>11</v>
      </c>
      <c r="AA9" s="125" t="s">
        <v>11</v>
      </c>
      <c r="AB9" s="125" t="s">
        <v>11</v>
      </c>
      <c r="AC9" s="132"/>
      <c r="AD9" s="127">
        <f t="shared" si="0"/>
        <v>0</v>
      </c>
      <c r="AE9" s="127">
        <f t="shared" si="1"/>
        <v>0</v>
      </c>
      <c r="AF9" s="127">
        <f t="shared" si="2"/>
        <v>15</v>
      </c>
      <c r="AG9" s="128" t="str" cm="1">
        <f t="array" ref="AG9">_xlfn.IFS(
SUM(AD9:AF9)=0,"Not Started",
SUM(AD9:AF9)&lt;15,"In Progress",
SUM(AD9:AF9)=15,"Completed",
SUM(AD9:AF9)&gt;15,"Error"
)</f>
        <v>Completed</v>
      </c>
    </row>
    <row r="10" spans="1:38" ht="15.5" x14ac:dyDescent="0.25">
      <c r="A10" s="270"/>
      <c r="B10" s="120" t="s">
        <v>57</v>
      </c>
      <c r="C10" s="11" t="s">
        <v>4203</v>
      </c>
      <c r="D10" s="11" t="s">
        <v>4675</v>
      </c>
      <c r="E10" s="11" t="s">
        <v>47</v>
      </c>
      <c r="F10" s="129" t="s">
        <v>48</v>
      </c>
      <c r="G10" s="121" t="s">
        <v>40</v>
      </c>
      <c r="H10" s="121" t="s">
        <v>41</v>
      </c>
      <c r="I10" s="7" t="s">
        <v>10369</v>
      </c>
      <c r="J10" s="129" t="s">
        <v>4402</v>
      </c>
      <c r="K10" s="129">
        <v>10105752709</v>
      </c>
      <c r="L10" s="130"/>
      <c r="M10" s="131"/>
      <c r="N10" s="125" t="s">
        <v>11</v>
      </c>
      <c r="O10" s="125" t="s">
        <v>11</v>
      </c>
      <c r="P10" s="125" t="s">
        <v>11</v>
      </c>
      <c r="Q10" s="125" t="s">
        <v>11</v>
      </c>
      <c r="R10" s="125" t="s">
        <v>11</v>
      </c>
      <c r="S10" s="125" t="s">
        <v>11</v>
      </c>
      <c r="T10" s="125" t="s">
        <v>11</v>
      </c>
      <c r="U10" s="125" t="s">
        <v>11</v>
      </c>
      <c r="V10" s="125" t="s">
        <v>11</v>
      </c>
      <c r="W10" s="125" t="s">
        <v>11</v>
      </c>
      <c r="X10" s="125" t="s">
        <v>11</v>
      </c>
      <c r="Y10" s="125" t="s">
        <v>11</v>
      </c>
      <c r="Z10" s="125" t="s">
        <v>11</v>
      </c>
      <c r="AA10" s="125" t="s">
        <v>11</v>
      </c>
      <c r="AB10" s="125" t="s">
        <v>11</v>
      </c>
      <c r="AC10" s="132"/>
      <c r="AD10" s="127">
        <f t="shared" si="0"/>
        <v>0</v>
      </c>
      <c r="AE10" s="127">
        <f t="shared" si="1"/>
        <v>0</v>
      </c>
      <c r="AF10" s="127">
        <f t="shared" si="2"/>
        <v>15</v>
      </c>
      <c r="AG10" s="128" t="str" cm="1">
        <f t="array" ref="AG10">_xlfn.IFS(
SUM(AD10:AF10)=0,"Not Started",
SUM(AD10:AF10)&lt;15,"In Progress",
SUM(AD10:AF10)=15,"Completed",
SUM(AD10:AF10)&gt;15,"Error"
)</f>
        <v>Completed</v>
      </c>
    </row>
    <row r="11" spans="1:38" ht="15.5" x14ac:dyDescent="0.25">
      <c r="A11" s="270"/>
      <c r="B11" s="120" t="s">
        <v>58</v>
      </c>
      <c r="C11" s="11" t="s">
        <v>4204</v>
      </c>
      <c r="D11" s="11" t="s">
        <v>4676</v>
      </c>
      <c r="E11" s="11" t="s">
        <v>51</v>
      </c>
      <c r="F11" s="129" t="s">
        <v>44</v>
      </c>
      <c r="G11" s="121" t="s">
        <v>40</v>
      </c>
      <c r="H11" s="121" t="s">
        <v>41</v>
      </c>
      <c r="I11" s="7" t="s">
        <v>10370</v>
      </c>
      <c r="J11" s="129" t="s">
        <v>4403</v>
      </c>
      <c r="K11" s="129">
        <v>10093149041</v>
      </c>
      <c r="L11" s="130"/>
      <c r="M11" s="131"/>
      <c r="N11" s="125" t="s">
        <v>11</v>
      </c>
      <c r="O11" s="125" t="s">
        <v>11</v>
      </c>
      <c r="P11" s="125" t="s">
        <v>11</v>
      </c>
      <c r="Q11" s="125" t="s">
        <v>11</v>
      </c>
      <c r="R11" s="125" t="s">
        <v>11</v>
      </c>
      <c r="S11" s="125" t="s">
        <v>11</v>
      </c>
      <c r="T11" s="125" t="s">
        <v>11</v>
      </c>
      <c r="U11" s="125" t="s">
        <v>11</v>
      </c>
      <c r="V11" s="125" t="s">
        <v>11</v>
      </c>
      <c r="W11" s="125" t="s">
        <v>11</v>
      </c>
      <c r="X11" s="125" t="s">
        <v>11</v>
      </c>
      <c r="Y11" s="125" t="s">
        <v>11</v>
      </c>
      <c r="Z11" s="125" t="s">
        <v>11</v>
      </c>
      <c r="AA11" s="125" t="s">
        <v>11</v>
      </c>
      <c r="AB11" s="125" t="s">
        <v>11</v>
      </c>
      <c r="AC11" s="132"/>
      <c r="AD11" s="127">
        <f t="shared" si="0"/>
        <v>0</v>
      </c>
      <c r="AE11" s="127">
        <f t="shared" si="1"/>
        <v>0</v>
      </c>
      <c r="AF11" s="127">
        <f t="shared" si="2"/>
        <v>15</v>
      </c>
      <c r="AG11" s="128" t="str" cm="1">
        <f t="array" ref="AG11">_xlfn.IFS(
SUM(AD11:AF11)=0,"Not Started",
SUM(AD11:AF11)&lt;15,"In Progress",
SUM(AD11:AF11)=15,"Completed",
SUM(AD11:AF11)&gt;15,"Error"
)</f>
        <v>Completed</v>
      </c>
    </row>
    <row r="12" spans="1:38" ht="15.5" x14ac:dyDescent="0.25">
      <c r="A12" s="270"/>
      <c r="B12" s="120" t="s">
        <v>59</v>
      </c>
      <c r="C12" s="11" t="s">
        <v>4205</v>
      </c>
      <c r="D12" s="11" t="s">
        <v>4677</v>
      </c>
      <c r="E12" s="11" t="s">
        <v>51</v>
      </c>
      <c r="F12" s="129" t="s">
        <v>48</v>
      </c>
      <c r="G12" s="121" t="s">
        <v>40</v>
      </c>
      <c r="H12" s="121" t="s">
        <v>41</v>
      </c>
      <c r="I12" s="7" t="s">
        <v>10371</v>
      </c>
      <c r="J12" s="129" t="s">
        <v>4404</v>
      </c>
      <c r="K12" s="129">
        <v>10041713114</v>
      </c>
      <c r="L12" s="130"/>
      <c r="M12" s="131"/>
      <c r="N12" s="125" t="s">
        <v>11</v>
      </c>
      <c r="O12" s="125" t="s">
        <v>11</v>
      </c>
      <c r="P12" s="125" t="s">
        <v>11</v>
      </c>
      <c r="Q12" s="125" t="s">
        <v>11</v>
      </c>
      <c r="R12" s="125" t="s">
        <v>11</v>
      </c>
      <c r="S12" s="125" t="s">
        <v>11</v>
      </c>
      <c r="T12" s="125" t="s">
        <v>11</v>
      </c>
      <c r="U12" s="125" t="s">
        <v>11</v>
      </c>
      <c r="V12" s="125" t="s">
        <v>11</v>
      </c>
      <c r="W12" s="125" t="s">
        <v>11</v>
      </c>
      <c r="X12" s="125" t="s">
        <v>11</v>
      </c>
      <c r="Y12" s="125" t="s">
        <v>11</v>
      </c>
      <c r="Z12" s="125" t="s">
        <v>11</v>
      </c>
      <c r="AA12" s="125" t="s">
        <v>11</v>
      </c>
      <c r="AB12" s="125" t="s">
        <v>11</v>
      </c>
      <c r="AC12" s="132"/>
      <c r="AD12" s="127">
        <f t="shared" si="0"/>
        <v>0</v>
      </c>
      <c r="AE12" s="127">
        <f t="shared" si="1"/>
        <v>0</v>
      </c>
      <c r="AF12" s="127">
        <f t="shared" si="2"/>
        <v>15</v>
      </c>
      <c r="AG12" s="128" t="str" cm="1">
        <f t="array" ref="AG12">_xlfn.IFS(
SUM(AD12:AF12)=0,"Not Started",
SUM(AD12:AF12)&lt;15,"In Progress",
SUM(AD12:AF12)=15,"Completed",
SUM(AD12:AF12)&gt;15,"Error"
)</f>
        <v>Completed</v>
      </c>
    </row>
    <row r="13" spans="1:38" ht="15.5" x14ac:dyDescent="0.25">
      <c r="A13" s="270"/>
      <c r="B13" s="120" t="s">
        <v>60</v>
      </c>
      <c r="C13" s="11" t="s">
        <v>4206</v>
      </c>
      <c r="D13" s="11" t="s">
        <v>4678</v>
      </c>
      <c r="E13" s="11" t="s">
        <v>43</v>
      </c>
      <c r="F13" s="129" t="s">
        <v>48</v>
      </c>
      <c r="G13" s="121" t="s">
        <v>40</v>
      </c>
      <c r="H13" s="121" t="s">
        <v>41</v>
      </c>
      <c r="I13" s="7" t="s">
        <v>10372</v>
      </c>
      <c r="J13" s="129" t="s">
        <v>4405</v>
      </c>
      <c r="K13" s="129" t="s">
        <v>4406</v>
      </c>
      <c r="L13" s="130"/>
      <c r="M13" s="131"/>
      <c r="N13" s="125" t="s">
        <v>11</v>
      </c>
      <c r="O13" s="125" t="s">
        <v>11</v>
      </c>
      <c r="P13" s="125" t="s">
        <v>11</v>
      </c>
      <c r="Q13" s="125" t="s">
        <v>11</v>
      </c>
      <c r="R13" s="125" t="s">
        <v>11</v>
      </c>
      <c r="S13" s="125" t="s">
        <v>11</v>
      </c>
      <c r="T13" s="125" t="s">
        <v>11</v>
      </c>
      <c r="U13" s="125" t="s">
        <v>11</v>
      </c>
      <c r="V13" s="125" t="s">
        <v>11</v>
      </c>
      <c r="W13" s="125" t="s">
        <v>11</v>
      </c>
      <c r="X13" s="125" t="s">
        <v>11</v>
      </c>
      <c r="Y13" s="125" t="s">
        <v>11</v>
      </c>
      <c r="Z13" s="125" t="s">
        <v>11</v>
      </c>
      <c r="AA13" s="125" t="s">
        <v>11</v>
      </c>
      <c r="AB13" s="125" t="s">
        <v>11</v>
      </c>
      <c r="AC13" s="132"/>
      <c r="AD13" s="127">
        <f t="shared" si="0"/>
        <v>0</v>
      </c>
      <c r="AE13" s="127">
        <f t="shared" si="1"/>
        <v>0</v>
      </c>
      <c r="AF13" s="127">
        <f t="shared" si="2"/>
        <v>15</v>
      </c>
      <c r="AG13" s="128" t="str" cm="1">
        <f t="array" ref="AG13">_xlfn.IFS(
SUM(AD13:AF13)=0,"Not Started",
SUM(AD13:AF13)&lt;15,"In Progress",
SUM(AD13:AF13)=15,"Completed",
SUM(AD13:AF13)&gt;15,"Error"
)</f>
        <v>Completed</v>
      </c>
    </row>
    <row r="14" spans="1:38" ht="15.75" customHeight="1" x14ac:dyDescent="0.25">
      <c r="A14" s="270"/>
      <c r="B14" s="120" t="s">
        <v>61</v>
      </c>
      <c r="C14" s="11" t="s">
        <v>4207</v>
      </c>
      <c r="D14" s="11" t="s">
        <v>4679</v>
      </c>
      <c r="E14" s="11" t="s">
        <v>43</v>
      </c>
      <c r="F14" s="129" t="s">
        <v>48</v>
      </c>
      <c r="G14" s="121" t="s">
        <v>40</v>
      </c>
      <c r="H14" s="121" t="s">
        <v>41</v>
      </c>
      <c r="I14" s="7" t="s">
        <v>10373</v>
      </c>
      <c r="J14" s="129" t="s">
        <v>4407</v>
      </c>
      <c r="K14" s="129" t="s">
        <v>4408</v>
      </c>
      <c r="L14" s="130"/>
      <c r="M14" s="131"/>
      <c r="N14" s="125" t="s">
        <v>11</v>
      </c>
      <c r="O14" s="125" t="s">
        <v>11</v>
      </c>
      <c r="P14" s="125" t="s">
        <v>11</v>
      </c>
      <c r="Q14" s="125" t="s">
        <v>11</v>
      </c>
      <c r="R14" s="125" t="s">
        <v>11</v>
      </c>
      <c r="S14" s="125" t="s">
        <v>11</v>
      </c>
      <c r="T14" s="125" t="s">
        <v>11</v>
      </c>
      <c r="U14" s="125" t="s">
        <v>11</v>
      </c>
      <c r="V14" s="125" t="s">
        <v>11</v>
      </c>
      <c r="W14" s="125" t="s">
        <v>11</v>
      </c>
      <c r="X14" s="125" t="s">
        <v>11</v>
      </c>
      <c r="Y14" s="125" t="s">
        <v>11</v>
      </c>
      <c r="Z14" s="125" t="s">
        <v>11</v>
      </c>
      <c r="AA14" s="125" t="s">
        <v>11</v>
      </c>
      <c r="AB14" s="125" t="s">
        <v>11</v>
      </c>
      <c r="AC14" s="132"/>
      <c r="AD14" s="127">
        <f t="shared" si="0"/>
        <v>0</v>
      </c>
      <c r="AE14" s="127">
        <f t="shared" si="1"/>
        <v>0</v>
      </c>
      <c r="AF14" s="127">
        <f t="shared" si="2"/>
        <v>15</v>
      </c>
      <c r="AG14" s="128" t="str" cm="1">
        <f t="array" ref="AG14">_xlfn.IFS(
SUM(AD14:AF14)=0,"Not Started",
SUM(AD14:AF14)&lt;15,"In Progress",
SUM(AD14:AF14)=15,"Completed",
SUM(AD14:AF14)&gt;15,"Error"
)</f>
        <v>Completed</v>
      </c>
    </row>
    <row r="15" spans="1:38" ht="15.75" customHeight="1" x14ac:dyDescent="0.25">
      <c r="A15" s="270"/>
      <c r="B15" s="120" t="s">
        <v>62</v>
      </c>
      <c r="C15" s="11" t="s">
        <v>4208</v>
      </c>
      <c r="D15" s="11" t="s">
        <v>4680</v>
      </c>
      <c r="E15" s="11" t="s">
        <v>43</v>
      </c>
      <c r="F15" s="129" t="s">
        <v>48</v>
      </c>
      <c r="G15" s="121" t="s">
        <v>40</v>
      </c>
      <c r="H15" s="121" t="s">
        <v>41</v>
      </c>
      <c r="I15" s="7" t="s">
        <v>10374</v>
      </c>
      <c r="J15" s="129" t="s">
        <v>4409</v>
      </c>
      <c r="K15" s="129" t="s">
        <v>4410</v>
      </c>
      <c r="L15" s="130"/>
      <c r="M15" s="131"/>
      <c r="N15" s="125" t="s">
        <v>11</v>
      </c>
      <c r="O15" s="125" t="s">
        <v>11</v>
      </c>
      <c r="P15" s="125" t="s">
        <v>11</v>
      </c>
      <c r="Q15" s="125" t="s">
        <v>11</v>
      </c>
      <c r="R15" s="125" t="s">
        <v>11</v>
      </c>
      <c r="S15" s="125" t="s">
        <v>11</v>
      </c>
      <c r="T15" s="125" t="s">
        <v>11</v>
      </c>
      <c r="U15" s="125" t="s">
        <v>11</v>
      </c>
      <c r="V15" s="125" t="s">
        <v>11</v>
      </c>
      <c r="W15" s="125" t="s">
        <v>11</v>
      </c>
      <c r="X15" s="125" t="s">
        <v>11</v>
      </c>
      <c r="Y15" s="125" t="s">
        <v>11</v>
      </c>
      <c r="Z15" s="125" t="s">
        <v>11</v>
      </c>
      <c r="AA15" s="125" t="s">
        <v>11</v>
      </c>
      <c r="AB15" s="125" t="s">
        <v>11</v>
      </c>
      <c r="AC15" s="132"/>
      <c r="AD15" s="127">
        <f t="shared" si="0"/>
        <v>0</v>
      </c>
      <c r="AE15" s="127">
        <f t="shared" si="1"/>
        <v>0</v>
      </c>
      <c r="AF15" s="127">
        <f t="shared" si="2"/>
        <v>15</v>
      </c>
      <c r="AG15" s="128" t="str" cm="1">
        <f t="array" ref="AG15">_xlfn.IFS(
SUM(AD15:AF15)=0,"Not Started",
SUM(AD15:AF15)&lt;15,"In Progress",
SUM(AD15:AF15)=15,"Completed",
SUM(AD15:AF15)&gt;15,"Error"
)</f>
        <v>Completed</v>
      </c>
    </row>
    <row r="16" spans="1:38" ht="15.75" customHeight="1" x14ac:dyDescent="0.25">
      <c r="A16" s="270"/>
      <c r="B16" s="120" t="s">
        <v>63</v>
      </c>
      <c r="C16" s="11" t="s">
        <v>4209</v>
      </c>
      <c r="D16" s="11" t="s">
        <v>4681</v>
      </c>
      <c r="E16" s="11" t="s">
        <v>43</v>
      </c>
      <c r="F16" s="129" t="s">
        <v>48</v>
      </c>
      <c r="G16" s="121" t="s">
        <v>40</v>
      </c>
      <c r="H16" s="121" t="s">
        <v>41</v>
      </c>
      <c r="I16" s="7" t="s">
        <v>10375</v>
      </c>
      <c r="J16" s="129" t="s">
        <v>4411</v>
      </c>
      <c r="K16" s="129" t="s">
        <v>4412</v>
      </c>
      <c r="L16" s="130"/>
      <c r="M16" s="131"/>
      <c r="N16" s="125" t="s">
        <v>11</v>
      </c>
      <c r="O16" s="125" t="s">
        <v>11</v>
      </c>
      <c r="P16" s="125" t="s">
        <v>11</v>
      </c>
      <c r="Q16" s="125" t="s">
        <v>11</v>
      </c>
      <c r="R16" s="125" t="s">
        <v>11</v>
      </c>
      <c r="S16" s="125" t="s">
        <v>11</v>
      </c>
      <c r="T16" s="125" t="s">
        <v>11</v>
      </c>
      <c r="U16" s="125" t="s">
        <v>11</v>
      </c>
      <c r="V16" s="125" t="s">
        <v>11</v>
      </c>
      <c r="W16" s="125" t="s">
        <v>11</v>
      </c>
      <c r="X16" s="125" t="s">
        <v>11</v>
      </c>
      <c r="Y16" s="125" t="s">
        <v>11</v>
      </c>
      <c r="Z16" s="125" t="s">
        <v>11</v>
      </c>
      <c r="AA16" s="125" t="s">
        <v>11</v>
      </c>
      <c r="AB16" s="125" t="s">
        <v>11</v>
      </c>
      <c r="AC16" s="132"/>
      <c r="AD16" s="127">
        <f t="shared" si="0"/>
        <v>0</v>
      </c>
      <c r="AE16" s="127">
        <f t="shared" si="1"/>
        <v>0</v>
      </c>
      <c r="AF16" s="127">
        <f t="shared" si="2"/>
        <v>15</v>
      </c>
      <c r="AG16" s="128" t="str" cm="1">
        <f t="array" ref="AG16">_xlfn.IFS(
SUM(AD16:AF16)=0,"Not Started",
SUM(AD16:AF16)&lt;15,"In Progress",
SUM(AD16:AF16)=15,"Completed",
SUM(AD16:AF16)&gt;15,"Error"
)</f>
        <v>Completed</v>
      </c>
    </row>
    <row r="17" spans="1:33" ht="15.75" customHeight="1" x14ac:dyDescent="0.25">
      <c r="A17" s="270"/>
      <c r="B17" s="120" t="s">
        <v>64</v>
      </c>
      <c r="C17" s="11" t="s">
        <v>4210</v>
      </c>
      <c r="D17" s="11" t="s">
        <v>4682</v>
      </c>
      <c r="E17" s="11" t="s">
        <v>47</v>
      </c>
      <c r="F17" s="129" t="s">
        <v>48</v>
      </c>
      <c r="G17" s="121" t="s">
        <v>40</v>
      </c>
      <c r="H17" s="121" t="s">
        <v>41</v>
      </c>
      <c r="I17" s="7" t="s">
        <v>10376</v>
      </c>
      <c r="J17" s="129" t="s">
        <v>4413</v>
      </c>
      <c r="K17" s="129" t="s">
        <v>4414</v>
      </c>
      <c r="L17" s="130"/>
      <c r="M17" s="131"/>
      <c r="N17" s="125" t="s">
        <v>11</v>
      </c>
      <c r="O17" s="125" t="s">
        <v>11</v>
      </c>
      <c r="P17" s="125" t="s">
        <v>11</v>
      </c>
      <c r="Q17" s="125" t="s">
        <v>11</v>
      </c>
      <c r="R17" s="125" t="s">
        <v>11</v>
      </c>
      <c r="S17" s="125" t="s">
        <v>11</v>
      </c>
      <c r="T17" s="125" t="s">
        <v>11</v>
      </c>
      <c r="U17" s="125" t="s">
        <v>11</v>
      </c>
      <c r="V17" s="125" t="s">
        <v>11</v>
      </c>
      <c r="W17" s="125" t="s">
        <v>11</v>
      </c>
      <c r="X17" s="125" t="s">
        <v>11</v>
      </c>
      <c r="Y17" s="125" t="s">
        <v>11</v>
      </c>
      <c r="Z17" s="125" t="s">
        <v>11</v>
      </c>
      <c r="AA17" s="125" t="s">
        <v>11</v>
      </c>
      <c r="AB17" s="125" t="s">
        <v>11</v>
      </c>
      <c r="AC17" s="132"/>
      <c r="AD17" s="127">
        <f t="shared" si="0"/>
        <v>0</v>
      </c>
      <c r="AE17" s="127">
        <f t="shared" si="1"/>
        <v>0</v>
      </c>
      <c r="AF17" s="127">
        <f t="shared" si="2"/>
        <v>15</v>
      </c>
      <c r="AG17" s="128" t="str" cm="1">
        <f t="array" ref="AG17">_xlfn.IFS(
SUM(AD17:AF17)=0,"Not Started",
SUM(AD17:AF17)&lt;15,"In Progress",
SUM(AD17:AF17)=15,"Completed",
SUM(AD17:AF17)&gt;15,"Error"
)</f>
        <v>Completed</v>
      </c>
    </row>
    <row r="18" spans="1:33" ht="15.75" customHeight="1" x14ac:dyDescent="0.25">
      <c r="A18" s="270"/>
      <c r="B18" s="120" t="s">
        <v>65</v>
      </c>
      <c r="C18" s="11" t="s">
        <v>4211</v>
      </c>
      <c r="D18" s="11" t="s">
        <v>4683</v>
      </c>
      <c r="E18" s="11" t="s">
        <v>43</v>
      </c>
      <c r="F18" s="129" t="s">
        <v>48</v>
      </c>
      <c r="G18" s="121" t="s">
        <v>40</v>
      </c>
      <c r="H18" s="121" t="s">
        <v>41</v>
      </c>
      <c r="I18" s="7" t="s">
        <v>10377</v>
      </c>
      <c r="J18" s="129" t="s">
        <v>4415</v>
      </c>
      <c r="K18" s="129" t="s">
        <v>4416</v>
      </c>
      <c r="L18" s="130"/>
      <c r="M18" s="131"/>
      <c r="N18" s="125" t="s">
        <v>11</v>
      </c>
      <c r="O18" s="125" t="s">
        <v>11</v>
      </c>
      <c r="P18" s="125" t="s">
        <v>11</v>
      </c>
      <c r="Q18" s="125" t="s">
        <v>11</v>
      </c>
      <c r="R18" s="125" t="s">
        <v>11</v>
      </c>
      <c r="S18" s="125" t="s">
        <v>11</v>
      </c>
      <c r="T18" s="125" t="s">
        <v>11</v>
      </c>
      <c r="U18" s="125" t="s">
        <v>11</v>
      </c>
      <c r="V18" s="125" t="s">
        <v>11</v>
      </c>
      <c r="W18" s="125" t="s">
        <v>11</v>
      </c>
      <c r="X18" s="125" t="s">
        <v>11</v>
      </c>
      <c r="Y18" s="125" t="s">
        <v>11</v>
      </c>
      <c r="Z18" s="125" t="s">
        <v>11</v>
      </c>
      <c r="AA18" s="125" t="s">
        <v>11</v>
      </c>
      <c r="AB18" s="125" t="s">
        <v>11</v>
      </c>
      <c r="AC18" s="132"/>
      <c r="AD18" s="127">
        <f t="shared" si="0"/>
        <v>0</v>
      </c>
      <c r="AE18" s="127">
        <f t="shared" si="1"/>
        <v>0</v>
      </c>
      <c r="AF18" s="127">
        <f t="shared" si="2"/>
        <v>15</v>
      </c>
      <c r="AG18" s="128" t="str" cm="1">
        <f t="array" ref="AG18">_xlfn.IFS(
SUM(AD18:AF18)=0,"Not Started",
SUM(AD18:AF18)&lt;15,"In Progress",
SUM(AD18:AF18)=15,"Completed",
SUM(AD18:AF18)&gt;15,"Error"
)</f>
        <v>Completed</v>
      </c>
    </row>
    <row r="19" spans="1:33" ht="15.75" customHeight="1" x14ac:dyDescent="0.25">
      <c r="A19" s="270"/>
      <c r="B19" s="120" t="s">
        <v>66</v>
      </c>
      <c r="C19" s="11" t="s">
        <v>4212</v>
      </c>
      <c r="D19" s="11" t="s">
        <v>4684</v>
      </c>
      <c r="E19" s="11" t="s">
        <v>43</v>
      </c>
      <c r="F19" s="129" t="s">
        <v>48</v>
      </c>
      <c r="G19" s="121" t="s">
        <v>40</v>
      </c>
      <c r="H19" s="121" t="s">
        <v>41</v>
      </c>
      <c r="I19" s="7" t="s">
        <v>10378</v>
      </c>
      <c r="J19" s="129" t="s">
        <v>4417</v>
      </c>
      <c r="K19" s="129" t="s">
        <v>4418</v>
      </c>
      <c r="L19" s="130"/>
      <c r="M19" s="131"/>
      <c r="N19" s="125" t="s">
        <v>11</v>
      </c>
      <c r="O19" s="125" t="s">
        <v>11</v>
      </c>
      <c r="P19" s="125" t="s">
        <v>11</v>
      </c>
      <c r="Q19" s="125" t="s">
        <v>11</v>
      </c>
      <c r="R19" s="125" t="s">
        <v>11</v>
      </c>
      <c r="S19" s="125" t="s">
        <v>11</v>
      </c>
      <c r="T19" s="125" t="s">
        <v>11</v>
      </c>
      <c r="U19" s="125" t="s">
        <v>11</v>
      </c>
      <c r="V19" s="125" t="s">
        <v>11</v>
      </c>
      <c r="W19" s="125" t="s">
        <v>11</v>
      </c>
      <c r="X19" s="125" t="s">
        <v>11</v>
      </c>
      <c r="Y19" s="125" t="s">
        <v>11</v>
      </c>
      <c r="Z19" s="125" t="s">
        <v>11</v>
      </c>
      <c r="AA19" s="125" t="s">
        <v>11</v>
      </c>
      <c r="AB19" s="125" t="s">
        <v>11</v>
      </c>
      <c r="AC19" s="132"/>
      <c r="AD19" s="127">
        <f t="shared" si="0"/>
        <v>0</v>
      </c>
      <c r="AE19" s="127">
        <f t="shared" si="1"/>
        <v>0</v>
      </c>
      <c r="AF19" s="127">
        <f t="shared" si="2"/>
        <v>15</v>
      </c>
      <c r="AG19" s="128" t="str" cm="1">
        <f t="array" ref="AG19">_xlfn.IFS(
SUM(AD19:AF19)=0,"Not Started",
SUM(AD19:AF19)&lt;15,"In Progress",
SUM(AD19:AF19)=15,"Completed",
SUM(AD19:AF19)&gt;15,"Error"
)</f>
        <v>Completed</v>
      </c>
    </row>
    <row r="20" spans="1:33" ht="15.75" customHeight="1" x14ac:dyDescent="0.25">
      <c r="A20" s="270"/>
      <c r="B20" s="120" t="s">
        <v>67</v>
      </c>
      <c r="C20" s="11" t="s">
        <v>4213</v>
      </c>
      <c r="D20" s="11" t="s">
        <v>4685</v>
      </c>
      <c r="E20" s="11" t="s">
        <v>51</v>
      </c>
      <c r="F20" s="129" t="s">
        <v>48</v>
      </c>
      <c r="G20" s="121" t="s">
        <v>40</v>
      </c>
      <c r="H20" s="121" t="s">
        <v>41</v>
      </c>
      <c r="I20" s="7" t="s">
        <v>10379</v>
      </c>
      <c r="J20" s="129" t="s">
        <v>4419</v>
      </c>
      <c r="K20" s="129" t="s">
        <v>4420</v>
      </c>
      <c r="L20" s="130"/>
      <c r="M20" s="131"/>
      <c r="N20" s="125" t="s">
        <v>11</v>
      </c>
      <c r="O20" s="125" t="s">
        <v>11</v>
      </c>
      <c r="P20" s="125" t="s">
        <v>11</v>
      </c>
      <c r="Q20" s="125" t="s">
        <v>11</v>
      </c>
      <c r="R20" s="125" t="s">
        <v>11</v>
      </c>
      <c r="S20" s="125" t="s">
        <v>11</v>
      </c>
      <c r="T20" s="125" t="s">
        <v>11</v>
      </c>
      <c r="U20" s="125" t="s">
        <v>11</v>
      </c>
      <c r="V20" s="125" t="s">
        <v>11</v>
      </c>
      <c r="W20" s="125" t="s">
        <v>11</v>
      </c>
      <c r="X20" s="125" t="s">
        <v>11</v>
      </c>
      <c r="Y20" s="125" t="s">
        <v>11</v>
      </c>
      <c r="Z20" s="125" t="s">
        <v>11</v>
      </c>
      <c r="AA20" s="125" t="s">
        <v>11</v>
      </c>
      <c r="AB20" s="125" t="s">
        <v>11</v>
      </c>
      <c r="AC20" s="132"/>
      <c r="AD20" s="127">
        <f t="shared" si="0"/>
        <v>0</v>
      </c>
      <c r="AE20" s="127">
        <f t="shared" si="1"/>
        <v>0</v>
      </c>
      <c r="AF20" s="127">
        <f t="shared" si="2"/>
        <v>15</v>
      </c>
      <c r="AG20" s="128" t="str" cm="1">
        <f t="array" ref="AG20">_xlfn.IFS(
SUM(AD20:AF20)=0,"Not Started",
SUM(AD20:AF20)&lt;15,"In Progress",
SUM(AD20:AF20)=15,"Completed",
SUM(AD20:AF20)&gt;15,"Error"
)</f>
        <v>Completed</v>
      </c>
    </row>
    <row r="21" spans="1:33" ht="15.5" x14ac:dyDescent="0.25">
      <c r="A21" s="270"/>
      <c r="B21" s="120" t="s">
        <v>68</v>
      </c>
      <c r="C21" s="11" t="s">
        <v>4214</v>
      </c>
      <c r="D21" s="11" t="s">
        <v>4686</v>
      </c>
      <c r="E21" s="11" t="s">
        <v>43</v>
      </c>
      <c r="F21" s="129" t="s">
        <v>48</v>
      </c>
      <c r="G21" s="121" t="s">
        <v>40</v>
      </c>
      <c r="H21" s="121" t="s">
        <v>41</v>
      </c>
      <c r="I21" s="7" t="s">
        <v>10380</v>
      </c>
      <c r="J21" s="129" t="s">
        <v>4421</v>
      </c>
      <c r="K21" s="129" t="s">
        <v>4422</v>
      </c>
      <c r="L21" s="130"/>
      <c r="M21" s="131"/>
      <c r="N21" s="125" t="s">
        <v>11</v>
      </c>
      <c r="O21" s="125" t="s">
        <v>11</v>
      </c>
      <c r="P21" s="125" t="s">
        <v>11</v>
      </c>
      <c r="Q21" s="125" t="s">
        <v>11</v>
      </c>
      <c r="R21" s="125" t="s">
        <v>11</v>
      </c>
      <c r="S21" s="125" t="s">
        <v>11</v>
      </c>
      <c r="T21" s="125" t="s">
        <v>11</v>
      </c>
      <c r="U21" s="125" t="s">
        <v>11</v>
      </c>
      <c r="V21" s="125" t="s">
        <v>11</v>
      </c>
      <c r="W21" s="125" t="s">
        <v>11</v>
      </c>
      <c r="X21" s="125" t="s">
        <v>11</v>
      </c>
      <c r="Y21" s="125" t="s">
        <v>11</v>
      </c>
      <c r="Z21" s="125" t="s">
        <v>11</v>
      </c>
      <c r="AA21" s="125" t="s">
        <v>11</v>
      </c>
      <c r="AB21" s="125" t="s">
        <v>11</v>
      </c>
      <c r="AC21" s="132"/>
      <c r="AD21" s="127">
        <f t="shared" si="0"/>
        <v>0</v>
      </c>
      <c r="AE21" s="127">
        <f t="shared" si="1"/>
        <v>0</v>
      </c>
      <c r="AF21" s="127">
        <f t="shared" si="2"/>
        <v>15</v>
      </c>
      <c r="AG21" s="128" t="str" cm="1">
        <f t="array" ref="AG21">_xlfn.IFS(
SUM(AD21:AF21)=0,"Not Started",
SUM(AD21:AF21)&lt;15,"In Progress",
SUM(AD21:AF21)=15,"Completed",
SUM(AD21:AF21)&gt;15,"Error"
)</f>
        <v>Completed</v>
      </c>
    </row>
    <row r="22" spans="1:33" ht="15.5" x14ac:dyDescent="0.25">
      <c r="A22" s="270"/>
      <c r="B22" s="120" t="s">
        <v>69</v>
      </c>
      <c r="C22" s="11" t="s">
        <v>4215</v>
      </c>
      <c r="D22" s="11" t="s">
        <v>4687</v>
      </c>
      <c r="E22" s="11" t="s">
        <v>51</v>
      </c>
      <c r="F22" s="129" t="s">
        <v>48</v>
      </c>
      <c r="G22" s="121" t="s">
        <v>40</v>
      </c>
      <c r="H22" s="121" t="s">
        <v>41</v>
      </c>
      <c r="I22" s="7" t="s">
        <v>10381</v>
      </c>
      <c r="J22" s="129" t="s">
        <v>4423</v>
      </c>
      <c r="K22" s="129" t="s">
        <v>4424</v>
      </c>
      <c r="L22" s="130"/>
      <c r="M22" s="131"/>
      <c r="N22" s="125" t="s">
        <v>11</v>
      </c>
      <c r="O22" s="125" t="s">
        <v>11</v>
      </c>
      <c r="P22" s="125" t="s">
        <v>11</v>
      </c>
      <c r="Q22" s="125" t="s">
        <v>11</v>
      </c>
      <c r="R22" s="125" t="s">
        <v>11</v>
      </c>
      <c r="S22" s="125" t="s">
        <v>11</v>
      </c>
      <c r="T22" s="125" t="s">
        <v>11</v>
      </c>
      <c r="U22" s="125" t="s">
        <v>11</v>
      </c>
      <c r="V22" s="125" t="s">
        <v>11</v>
      </c>
      <c r="W22" s="125" t="s">
        <v>11</v>
      </c>
      <c r="X22" s="125" t="s">
        <v>11</v>
      </c>
      <c r="Y22" s="125" t="s">
        <v>11</v>
      </c>
      <c r="Z22" s="125" t="s">
        <v>11</v>
      </c>
      <c r="AA22" s="125" t="s">
        <v>11</v>
      </c>
      <c r="AB22" s="125" t="s">
        <v>11</v>
      </c>
      <c r="AC22" s="132"/>
      <c r="AD22" s="127">
        <f t="shared" si="0"/>
        <v>0</v>
      </c>
      <c r="AE22" s="127">
        <f t="shared" si="1"/>
        <v>0</v>
      </c>
      <c r="AF22" s="127">
        <f t="shared" si="2"/>
        <v>15</v>
      </c>
      <c r="AG22" s="128" t="str" cm="1">
        <f t="array" ref="AG22">_xlfn.IFS(
SUM(AD22:AF22)=0,"Not Started",
SUM(AD22:AF22)&lt;15,"In Progress",
SUM(AD22:AF22)=15,"Completed",
SUM(AD22:AF22)&gt;15,"Error"
)</f>
        <v>Completed</v>
      </c>
    </row>
    <row r="23" spans="1:33" ht="15.5" x14ac:dyDescent="0.25">
      <c r="A23" s="270"/>
      <c r="B23" s="120" t="s">
        <v>70</v>
      </c>
      <c r="C23" s="11" t="s">
        <v>4216</v>
      </c>
      <c r="D23" s="11" t="s">
        <v>4688</v>
      </c>
      <c r="E23" s="11" t="s">
        <v>43</v>
      </c>
      <c r="F23" s="129" t="s">
        <v>48</v>
      </c>
      <c r="G23" s="121" t="s">
        <v>40</v>
      </c>
      <c r="H23" s="121" t="s">
        <v>41</v>
      </c>
      <c r="I23" s="7" t="s">
        <v>10382</v>
      </c>
      <c r="J23" s="129" t="s">
        <v>4425</v>
      </c>
      <c r="K23" s="129" t="s">
        <v>4426</v>
      </c>
      <c r="L23" s="130"/>
      <c r="M23" s="131"/>
      <c r="N23" s="125" t="s">
        <v>11</v>
      </c>
      <c r="O23" s="125" t="s">
        <v>11</v>
      </c>
      <c r="P23" s="125" t="s">
        <v>11</v>
      </c>
      <c r="Q23" s="125" t="s">
        <v>11</v>
      </c>
      <c r="R23" s="125" t="s">
        <v>11</v>
      </c>
      <c r="S23" s="125" t="s">
        <v>11</v>
      </c>
      <c r="T23" s="125" t="s">
        <v>11</v>
      </c>
      <c r="U23" s="125" t="s">
        <v>11</v>
      </c>
      <c r="V23" s="125" t="s">
        <v>11</v>
      </c>
      <c r="W23" s="125" t="s">
        <v>11</v>
      </c>
      <c r="X23" s="125" t="s">
        <v>11</v>
      </c>
      <c r="Y23" s="125" t="s">
        <v>11</v>
      </c>
      <c r="Z23" s="125" t="s">
        <v>11</v>
      </c>
      <c r="AA23" s="125" t="s">
        <v>11</v>
      </c>
      <c r="AB23" s="125" t="s">
        <v>11</v>
      </c>
      <c r="AC23" s="132"/>
      <c r="AD23" s="127">
        <f t="shared" si="0"/>
        <v>0</v>
      </c>
      <c r="AE23" s="127">
        <f t="shared" si="1"/>
        <v>0</v>
      </c>
      <c r="AF23" s="127">
        <f t="shared" si="2"/>
        <v>15</v>
      </c>
      <c r="AG23" s="128" t="str" cm="1">
        <f t="array" ref="AG23">_xlfn.IFS(
SUM(AD23:AF23)=0,"Not Started",
SUM(AD23:AF23)&lt;15,"In Progress",
SUM(AD23:AF23)=15,"Completed",
SUM(AD23:AF23)&gt;15,"Error"
)</f>
        <v>Completed</v>
      </c>
    </row>
    <row r="24" spans="1:33" ht="15.5" x14ac:dyDescent="0.25">
      <c r="A24" s="270"/>
      <c r="B24" s="120" t="s">
        <v>71</v>
      </c>
      <c r="C24" s="11" t="s">
        <v>4217</v>
      </c>
      <c r="D24" s="11" t="s">
        <v>4689</v>
      </c>
      <c r="E24" s="11" t="s">
        <v>43</v>
      </c>
      <c r="F24" s="129" t="s">
        <v>48</v>
      </c>
      <c r="G24" s="121" t="s">
        <v>40</v>
      </c>
      <c r="H24" s="121" t="s">
        <v>41</v>
      </c>
      <c r="I24" s="7" t="s">
        <v>10383</v>
      </c>
      <c r="J24" s="129" t="s">
        <v>4427</v>
      </c>
      <c r="K24" s="129" t="s">
        <v>4428</v>
      </c>
      <c r="L24" s="130"/>
      <c r="M24" s="131"/>
      <c r="N24" s="125" t="s">
        <v>11</v>
      </c>
      <c r="O24" s="125" t="s">
        <v>11</v>
      </c>
      <c r="P24" s="125" t="s">
        <v>11</v>
      </c>
      <c r="Q24" s="125" t="s">
        <v>11</v>
      </c>
      <c r="R24" s="125" t="s">
        <v>11</v>
      </c>
      <c r="S24" s="125" t="s">
        <v>11</v>
      </c>
      <c r="T24" s="125" t="s">
        <v>11</v>
      </c>
      <c r="U24" s="125" t="s">
        <v>11</v>
      </c>
      <c r="V24" s="125" t="s">
        <v>11</v>
      </c>
      <c r="W24" s="125" t="s">
        <v>11</v>
      </c>
      <c r="X24" s="125" t="s">
        <v>11</v>
      </c>
      <c r="Y24" s="125" t="s">
        <v>11</v>
      </c>
      <c r="Z24" s="125" t="s">
        <v>11</v>
      </c>
      <c r="AA24" s="125" t="s">
        <v>11</v>
      </c>
      <c r="AB24" s="125" t="s">
        <v>11</v>
      </c>
      <c r="AC24" s="132"/>
      <c r="AD24" s="127">
        <f t="shared" si="0"/>
        <v>0</v>
      </c>
      <c r="AE24" s="127">
        <f t="shared" si="1"/>
        <v>0</v>
      </c>
      <c r="AF24" s="127">
        <f t="shared" si="2"/>
        <v>15</v>
      </c>
      <c r="AG24" s="128" t="str" cm="1">
        <f t="array" ref="AG24">_xlfn.IFS(
SUM(AD24:AF24)=0,"Not Started",
SUM(AD24:AF24)&lt;15,"In Progress",
SUM(AD24:AF24)=15,"Completed",
SUM(AD24:AF24)&gt;15,"Error"
)</f>
        <v>Completed</v>
      </c>
    </row>
    <row r="25" spans="1:33" ht="15.5" x14ac:dyDescent="0.25">
      <c r="A25" s="270"/>
      <c r="B25" s="120" t="s">
        <v>72</v>
      </c>
      <c r="C25" s="11" t="s">
        <v>4218</v>
      </c>
      <c r="D25" s="11" t="s">
        <v>4690</v>
      </c>
      <c r="E25" s="11" t="s">
        <v>47</v>
      </c>
      <c r="F25" s="129" t="s">
        <v>48</v>
      </c>
      <c r="G25" s="121" t="s">
        <v>40</v>
      </c>
      <c r="H25" s="121" t="s">
        <v>41</v>
      </c>
      <c r="I25" s="7" t="s">
        <v>10384</v>
      </c>
      <c r="J25" s="129" t="s">
        <v>4429</v>
      </c>
      <c r="K25" s="129" t="s">
        <v>4430</v>
      </c>
      <c r="L25" s="130"/>
      <c r="M25" s="131"/>
      <c r="N25" s="125" t="s">
        <v>11</v>
      </c>
      <c r="O25" s="125" t="s">
        <v>11</v>
      </c>
      <c r="P25" s="125" t="s">
        <v>11</v>
      </c>
      <c r="Q25" s="125" t="s">
        <v>11</v>
      </c>
      <c r="R25" s="125" t="s">
        <v>11</v>
      </c>
      <c r="S25" s="125" t="s">
        <v>11</v>
      </c>
      <c r="T25" s="125" t="s">
        <v>11</v>
      </c>
      <c r="U25" s="125" t="s">
        <v>11</v>
      </c>
      <c r="V25" s="125" t="s">
        <v>11</v>
      </c>
      <c r="W25" s="125" t="s">
        <v>11</v>
      </c>
      <c r="X25" s="125" t="s">
        <v>11</v>
      </c>
      <c r="Y25" s="125" t="s">
        <v>11</v>
      </c>
      <c r="Z25" s="125" t="s">
        <v>11</v>
      </c>
      <c r="AA25" s="125" t="s">
        <v>11</v>
      </c>
      <c r="AB25" s="125" t="s">
        <v>11</v>
      </c>
      <c r="AC25" s="132"/>
      <c r="AD25" s="127">
        <f t="shared" si="0"/>
        <v>0</v>
      </c>
      <c r="AE25" s="127">
        <f t="shared" si="1"/>
        <v>0</v>
      </c>
      <c r="AF25" s="127">
        <f t="shared" si="2"/>
        <v>15</v>
      </c>
      <c r="AG25" s="128" t="str" cm="1">
        <f t="array" ref="AG25">_xlfn.IFS(
SUM(AD25:AF25)=0,"Not Started",
SUM(AD25:AF25)&lt;15,"In Progress",
SUM(AD25:AF25)=15,"Completed",
SUM(AD25:AF25)&gt;15,"Error"
)</f>
        <v>Completed</v>
      </c>
    </row>
    <row r="26" spans="1:33" ht="15.5" x14ac:dyDescent="0.25">
      <c r="A26" s="270"/>
      <c r="B26" s="120" t="s">
        <v>73</v>
      </c>
      <c r="C26" s="11" t="s">
        <v>4219</v>
      </c>
      <c r="D26" s="11" t="s">
        <v>4691</v>
      </c>
      <c r="E26" s="11" t="s">
        <v>43</v>
      </c>
      <c r="F26" s="129" t="s">
        <v>48</v>
      </c>
      <c r="G26" s="121" t="s">
        <v>40</v>
      </c>
      <c r="H26" s="121" t="s">
        <v>41</v>
      </c>
      <c r="I26" s="7" t="s">
        <v>10385</v>
      </c>
      <c r="J26" s="129" t="s">
        <v>4431</v>
      </c>
      <c r="K26" s="129" t="s">
        <v>4432</v>
      </c>
      <c r="L26" s="130"/>
      <c r="M26" s="131"/>
      <c r="N26" s="125" t="s">
        <v>11</v>
      </c>
      <c r="O26" s="125" t="s">
        <v>11</v>
      </c>
      <c r="P26" s="125" t="s">
        <v>11</v>
      </c>
      <c r="Q26" s="125" t="s">
        <v>11</v>
      </c>
      <c r="R26" s="125" t="s">
        <v>11</v>
      </c>
      <c r="S26" s="125" t="s">
        <v>11</v>
      </c>
      <c r="T26" s="125" t="s">
        <v>11</v>
      </c>
      <c r="U26" s="125" t="s">
        <v>11</v>
      </c>
      <c r="V26" s="125" t="s">
        <v>11</v>
      </c>
      <c r="W26" s="125" t="s">
        <v>11</v>
      </c>
      <c r="X26" s="125" t="s">
        <v>11</v>
      </c>
      <c r="Y26" s="125" t="s">
        <v>11</v>
      </c>
      <c r="Z26" s="125" t="s">
        <v>11</v>
      </c>
      <c r="AA26" s="125" t="s">
        <v>11</v>
      </c>
      <c r="AB26" s="125" t="s">
        <v>11</v>
      </c>
      <c r="AC26" s="132"/>
      <c r="AD26" s="127">
        <f t="shared" si="0"/>
        <v>0</v>
      </c>
      <c r="AE26" s="127">
        <f t="shared" si="1"/>
        <v>0</v>
      </c>
      <c r="AF26" s="127">
        <f t="shared" si="2"/>
        <v>15</v>
      </c>
      <c r="AG26" s="128" t="str" cm="1">
        <f t="array" ref="AG26">_xlfn.IFS(
SUM(AD26:AF26)=0,"Not Started",
SUM(AD26:AF26)&lt;15,"In Progress",
SUM(AD26:AF26)=15,"Completed",
SUM(AD26:AF26)&gt;15,"Error"
)</f>
        <v>Completed</v>
      </c>
    </row>
    <row r="27" spans="1:33" ht="15.5" x14ac:dyDescent="0.25">
      <c r="A27" s="270"/>
      <c r="B27" s="120" t="s">
        <v>74</v>
      </c>
      <c r="C27" s="11" t="s">
        <v>4220</v>
      </c>
      <c r="D27" s="11" t="s">
        <v>4692</v>
      </c>
      <c r="E27" s="11" t="s">
        <v>47</v>
      </c>
      <c r="F27" s="129" t="s">
        <v>48</v>
      </c>
      <c r="G27" s="121" t="s">
        <v>40</v>
      </c>
      <c r="H27" s="121" t="s">
        <v>41</v>
      </c>
      <c r="I27" s="7" t="s">
        <v>10386</v>
      </c>
      <c r="J27" s="129" t="s">
        <v>4433</v>
      </c>
      <c r="K27" s="129" t="s">
        <v>4434</v>
      </c>
      <c r="L27" s="130"/>
      <c r="M27" s="131"/>
      <c r="N27" s="125" t="s">
        <v>11</v>
      </c>
      <c r="O27" s="125" t="s">
        <v>11</v>
      </c>
      <c r="P27" s="125" t="s">
        <v>11</v>
      </c>
      <c r="Q27" s="125" t="s">
        <v>11</v>
      </c>
      <c r="R27" s="125" t="s">
        <v>11</v>
      </c>
      <c r="S27" s="125" t="s">
        <v>11</v>
      </c>
      <c r="T27" s="125" t="s">
        <v>11</v>
      </c>
      <c r="U27" s="125" t="s">
        <v>11</v>
      </c>
      <c r="V27" s="125" t="s">
        <v>11</v>
      </c>
      <c r="W27" s="125" t="s">
        <v>11</v>
      </c>
      <c r="X27" s="125" t="s">
        <v>11</v>
      </c>
      <c r="Y27" s="125" t="s">
        <v>11</v>
      </c>
      <c r="Z27" s="125" t="s">
        <v>11</v>
      </c>
      <c r="AA27" s="125" t="s">
        <v>11</v>
      </c>
      <c r="AB27" s="125" t="s">
        <v>11</v>
      </c>
      <c r="AC27" s="132"/>
      <c r="AD27" s="127">
        <f t="shared" si="0"/>
        <v>0</v>
      </c>
      <c r="AE27" s="127">
        <f t="shared" si="1"/>
        <v>0</v>
      </c>
      <c r="AF27" s="127">
        <f t="shared" si="2"/>
        <v>15</v>
      </c>
      <c r="AG27" s="128" t="str" cm="1">
        <f t="array" ref="AG27">_xlfn.IFS(
SUM(AD27:AF27)=0,"Not Started",
SUM(AD27:AF27)&lt;15,"In Progress",
SUM(AD27:AF27)=15,"Completed",
SUM(AD27:AF27)&gt;15,"Error"
)</f>
        <v>Completed</v>
      </c>
    </row>
    <row r="28" spans="1:33" ht="15.5" x14ac:dyDescent="0.25">
      <c r="A28" s="270"/>
      <c r="B28" s="120" t="s">
        <v>75</v>
      </c>
      <c r="C28" s="11" t="s">
        <v>4221</v>
      </c>
      <c r="D28" s="11" t="s">
        <v>4693</v>
      </c>
      <c r="E28" s="11" t="s">
        <v>43</v>
      </c>
      <c r="F28" s="129" t="s">
        <v>48</v>
      </c>
      <c r="G28" s="121" t="s">
        <v>40</v>
      </c>
      <c r="H28" s="121" t="s">
        <v>41</v>
      </c>
      <c r="I28" s="7" t="s">
        <v>10387</v>
      </c>
      <c r="J28" s="129" t="s">
        <v>4435</v>
      </c>
      <c r="K28" s="129" t="s">
        <v>4436</v>
      </c>
      <c r="L28" s="130"/>
      <c r="M28" s="131"/>
      <c r="N28" s="125" t="s">
        <v>11</v>
      </c>
      <c r="O28" s="125" t="s">
        <v>11</v>
      </c>
      <c r="P28" s="125" t="s">
        <v>11</v>
      </c>
      <c r="Q28" s="125" t="s">
        <v>11</v>
      </c>
      <c r="R28" s="125" t="s">
        <v>11</v>
      </c>
      <c r="S28" s="125" t="s">
        <v>11</v>
      </c>
      <c r="T28" s="125" t="s">
        <v>11</v>
      </c>
      <c r="U28" s="125" t="s">
        <v>11</v>
      </c>
      <c r="V28" s="125" t="s">
        <v>11</v>
      </c>
      <c r="W28" s="125" t="s">
        <v>11</v>
      </c>
      <c r="X28" s="125" t="s">
        <v>11</v>
      </c>
      <c r="Y28" s="125" t="s">
        <v>11</v>
      </c>
      <c r="Z28" s="125" t="s">
        <v>11</v>
      </c>
      <c r="AA28" s="125" t="s">
        <v>11</v>
      </c>
      <c r="AB28" s="125" t="s">
        <v>11</v>
      </c>
      <c r="AC28" s="132"/>
      <c r="AD28" s="127">
        <f t="shared" si="0"/>
        <v>0</v>
      </c>
      <c r="AE28" s="127">
        <f t="shared" si="1"/>
        <v>0</v>
      </c>
      <c r="AF28" s="127">
        <f t="shared" si="2"/>
        <v>15</v>
      </c>
      <c r="AG28" s="128" t="str" cm="1">
        <f t="array" ref="AG28">_xlfn.IFS(
SUM(AD28:AF28)=0,"Not Started",
SUM(AD28:AF28)&lt;15,"In Progress",
SUM(AD28:AF28)=15,"Completed",
SUM(AD28:AF28)&gt;15,"Error"
)</f>
        <v>Completed</v>
      </c>
    </row>
    <row r="29" spans="1:33" ht="15.5" x14ac:dyDescent="0.25">
      <c r="A29" s="270"/>
      <c r="B29" s="120" t="s">
        <v>76</v>
      </c>
      <c r="C29" s="11" t="s">
        <v>4222</v>
      </c>
      <c r="D29" s="11" t="s">
        <v>4694</v>
      </c>
      <c r="E29" s="11" t="s">
        <v>43</v>
      </c>
      <c r="F29" s="129" t="s">
        <v>48</v>
      </c>
      <c r="G29" s="121" t="s">
        <v>40</v>
      </c>
      <c r="H29" s="121" t="s">
        <v>41</v>
      </c>
      <c r="I29" s="7" t="s">
        <v>10388</v>
      </c>
      <c r="J29" s="129" t="s">
        <v>4437</v>
      </c>
      <c r="K29" s="129" t="s">
        <v>4438</v>
      </c>
      <c r="L29" s="130"/>
      <c r="M29" s="131"/>
      <c r="N29" s="125" t="s">
        <v>11</v>
      </c>
      <c r="O29" s="125" t="s">
        <v>11</v>
      </c>
      <c r="P29" s="125" t="s">
        <v>11</v>
      </c>
      <c r="Q29" s="125" t="s">
        <v>11</v>
      </c>
      <c r="R29" s="125" t="s">
        <v>11</v>
      </c>
      <c r="S29" s="125" t="s">
        <v>11</v>
      </c>
      <c r="T29" s="125" t="s">
        <v>11</v>
      </c>
      <c r="U29" s="125" t="s">
        <v>11</v>
      </c>
      <c r="V29" s="125" t="s">
        <v>11</v>
      </c>
      <c r="W29" s="125" t="s">
        <v>11</v>
      </c>
      <c r="X29" s="125" t="s">
        <v>11</v>
      </c>
      <c r="Y29" s="125" t="s">
        <v>11</v>
      </c>
      <c r="Z29" s="125" t="s">
        <v>11</v>
      </c>
      <c r="AA29" s="125" t="s">
        <v>11</v>
      </c>
      <c r="AB29" s="125" t="s">
        <v>11</v>
      </c>
      <c r="AC29" s="132"/>
      <c r="AD29" s="127">
        <f t="shared" si="0"/>
        <v>0</v>
      </c>
      <c r="AE29" s="127">
        <f t="shared" si="1"/>
        <v>0</v>
      </c>
      <c r="AF29" s="127">
        <f t="shared" si="2"/>
        <v>15</v>
      </c>
      <c r="AG29" s="128" t="str" cm="1">
        <f t="array" ref="AG29">_xlfn.IFS(
SUM(AD29:AF29)=0,"Not Started",
SUM(AD29:AF29)&lt;15,"In Progress",
SUM(AD29:AF29)=15,"Completed",
SUM(AD29:AF29)&gt;15,"Error"
)</f>
        <v>Completed</v>
      </c>
    </row>
    <row r="30" spans="1:33" ht="15.5" x14ac:dyDescent="0.25">
      <c r="A30" s="270"/>
      <c r="B30" s="120" t="s">
        <v>77</v>
      </c>
      <c r="C30" s="11" t="s">
        <v>4223</v>
      </c>
      <c r="D30" s="11" t="s">
        <v>4695</v>
      </c>
      <c r="E30" s="11" t="s">
        <v>43</v>
      </c>
      <c r="F30" s="129" t="s">
        <v>48</v>
      </c>
      <c r="G30" s="121" t="s">
        <v>40</v>
      </c>
      <c r="H30" s="121" t="s">
        <v>41</v>
      </c>
      <c r="I30" s="7" t="s">
        <v>10389</v>
      </c>
      <c r="J30" s="129" t="s">
        <v>4439</v>
      </c>
      <c r="K30" s="129" t="s">
        <v>4440</v>
      </c>
      <c r="L30" s="130"/>
      <c r="M30" s="131"/>
      <c r="N30" s="125" t="s">
        <v>11</v>
      </c>
      <c r="O30" s="125" t="s">
        <v>11</v>
      </c>
      <c r="P30" s="125" t="s">
        <v>11</v>
      </c>
      <c r="Q30" s="125" t="s">
        <v>11</v>
      </c>
      <c r="R30" s="125" t="s">
        <v>11</v>
      </c>
      <c r="S30" s="125" t="s">
        <v>11</v>
      </c>
      <c r="T30" s="125" t="s">
        <v>11</v>
      </c>
      <c r="U30" s="125" t="s">
        <v>11</v>
      </c>
      <c r="V30" s="125" t="s">
        <v>11</v>
      </c>
      <c r="W30" s="125" t="s">
        <v>11</v>
      </c>
      <c r="X30" s="125" t="s">
        <v>11</v>
      </c>
      <c r="Y30" s="125" t="s">
        <v>11</v>
      </c>
      <c r="Z30" s="125" t="s">
        <v>11</v>
      </c>
      <c r="AA30" s="125" t="s">
        <v>11</v>
      </c>
      <c r="AB30" s="125" t="s">
        <v>11</v>
      </c>
      <c r="AC30" s="132"/>
      <c r="AD30" s="127">
        <f t="shared" si="0"/>
        <v>0</v>
      </c>
      <c r="AE30" s="127">
        <f t="shared" si="1"/>
        <v>0</v>
      </c>
      <c r="AF30" s="127">
        <f t="shared" si="2"/>
        <v>15</v>
      </c>
      <c r="AG30" s="128" t="str" cm="1">
        <f t="array" ref="AG30">_xlfn.IFS(
SUM(AD30:AF30)=0,"Not Started",
SUM(AD30:AF30)&lt;15,"In Progress",
SUM(AD30:AF30)=15,"Completed",
SUM(AD30:AF30)&gt;15,"Error"
)</f>
        <v>Completed</v>
      </c>
    </row>
    <row r="31" spans="1:33" ht="15.5" x14ac:dyDescent="0.25">
      <c r="A31" s="270"/>
      <c r="B31" s="120" t="s">
        <v>78</v>
      </c>
      <c r="C31" s="11" t="s">
        <v>4224</v>
      </c>
      <c r="D31" s="11" t="s">
        <v>4696</v>
      </c>
      <c r="E31" s="11"/>
      <c r="F31" s="129" t="s">
        <v>48</v>
      </c>
      <c r="G31" s="121" t="s">
        <v>40</v>
      </c>
      <c r="H31" s="121" t="s">
        <v>41</v>
      </c>
      <c r="I31" s="7" t="s">
        <v>10390</v>
      </c>
      <c r="J31" s="129" t="s">
        <v>4441</v>
      </c>
      <c r="K31" s="129" t="s">
        <v>4442</v>
      </c>
      <c r="L31" s="130"/>
      <c r="M31" s="131"/>
      <c r="N31" s="125" t="s">
        <v>11</v>
      </c>
      <c r="O31" s="125" t="s">
        <v>11</v>
      </c>
      <c r="P31" s="125" t="s">
        <v>11</v>
      </c>
      <c r="Q31" s="125" t="s">
        <v>11</v>
      </c>
      <c r="R31" s="125" t="s">
        <v>11</v>
      </c>
      <c r="S31" s="125" t="s">
        <v>11</v>
      </c>
      <c r="T31" s="125" t="s">
        <v>11</v>
      </c>
      <c r="U31" s="125" t="s">
        <v>11</v>
      </c>
      <c r="V31" s="125" t="s">
        <v>11</v>
      </c>
      <c r="W31" s="125" t="s">
        <v>11</v>
      </c>
      <c r="X31" s="125" t="s">
        <v>11</v>
      </c>
      <c r="Y31" s="125" t="s">
        <v>11</v>
      </c>
      <c r="Z31" s="125" t="s">
        <v>11</v>
      </c>
      <c r="AA31" s="125" t="s">
        <v>11</v>
      </c>
      <c r="AB31" s="125" t="s">
        <v>11</v>
      </c>
      <c r="AC31" s="132"/>
      <c r="AD31" s="127">
        <f t="shared" si="0"/>
        <v>0</v>
      </c>
      <c r="AE31" s="127">
        <f t="shared" si="1"/>
        <v>0</v>
      </c>
      <c r="AF31" s="127">
        <f t="shared" si="2"/>
        <v>15</v>
      </c>
      <c r="AG31" s="128" t="str" cm="1">
        <f t="array" ref="AG31">_xlfn.IFS(
SUM(AD31:AF31)=0,"Not Started",
SUM(AD31:AF31)&lt;15,"In Progress",
SUM(AD31:AF31)=15,"Completed",
SUM(AD31:AF31)&gt;15,"Error"
)</f>
        <v>Completed</v>
      </c>
    </row>
    <row r="32" spans="1:33" ht="15.5" x14ac:dyDescent="0.25">
      <c r="A32" s="270"/>
      <c r="B32" s="120" t="s">
        <v>79</v>
      </c>
      <c r="C32" s="11" t="s">
        <v>4225</v>
      </c>
      <c r="D32" s="11" t="s">
        <v>4697</v>
      </c>
      <c r="E32" s="11" t="s">
        <v>51</v>
      </c>
      <c r="F32" s="129" t="s">
        <v>48</v>
      </c>
      <c r="G32" s="121" t="s">
        <v>40</v>
      </c>
      <c r="H32" s="121" t="s">
        <v>41</v>
      </c>
      <c r="I32" s="7" t="s">
        <v>10391</v>
      </c>
      <c r="J32" s="129" t="s">
        <v>4443</v>
      </c>
      <c r="K32" s="129" t="s">
        <v>4444</v>
      </c>
      <c r="L32" s="130"/>
      <c r="M32" s="131"/>
      <c r="N32" s="125" t="s">
        <v>11</v>
      </c>
      <c r="O32" s="125" t="s">
        <v>11</v>
      </c>
      <c r="P32" s="125" t="s">
        <v>11</v>
      </c>
      <c r="Q32" s="125" t="s">
        <v>11</v>
      </c>
      <c r="R32" s="125" t="s">
        <v>11</v>
      </c>
      <c r="S32" s="125" t="s">
        <v>11</v>
      </c>
      <c r="T32" s="125" t="s">
        <v>11</v>
      </c>
      <c r="U32" s="125" t="s">
        <v>11</v>
      </c>
      <c r="V32" s="125" t="s">
        <v>11</v>
      </c>
      <c r="W32" s="125" t="s">
        <v>11</v>
      </c>
      <c r="X32" s="125" t="s">
        <v>11</v>
      </c>
      <c r="Y32" s="125" t="s">
        <v>11</v>
      </c>
      <c r="Z32" s="125" t="s">
        <v>11</v>
      </c>
      <c r="AA32" s="125" t="s">
        <v>11</v>
      </c>
      <c r="AB32" s="125" t="s">
        <v>11</v>
      </c>
      <c r="AC32" s="132"/>
      <c r="AD32" s="127">
        <f t="shared" si="0"/>
        <v>0</v>
      </c>
      <c r="AE32" s="127">
        <f t="shared" si="1"/>
        <v>0</v>
      </c>
      <c r="AF32" s="127">
        <f t="shared" si="2"/>
        <v>15</v>
      </c>
      <c r="AG32" s="128" t="str" cm="1">
        <f t="array" ref="AG32">_xlfn.IFS(
SUM(AD32:AF32)=0,"Not Started",
SUM(AD32:AF32)&lt;15,"In Progress",
SUM(AD32:AF32)=15,"Completed",
SUM(AD32:AF32)&gt;15,"Error"
)</f>
        <v>Completed</v>
      </c>
    </row>
    <row r="33" spans="1:33" ht="15.5" x14ac:dyDescent="0.25">
      <c r="A33" s="270"/>
      <c r="B33" s="120" t="s">
        <v>80</v>
      </c>
      <c r="C33" s="11" t="s">
        <v>4226</v>
      </c>
      <c r="D33" s="11" t="s">
        <v>4698</v>
      </c>
      <c r="E33" s="11" t="s">
        <v>43</v>
      </c>
      <c r="F33" s="129" t="s">
        <v>48</v>
      </c>
      <c r="G33" s="121" t="s">
        <v>40</v>
      </c>
      <c r="H33" s="121" t="s">
        <v>41</v>
      </c>
      <c r="I33" s="7" t="s">
        <v>10392</v>
      </c>
      <c r="J33" s="129" t="s">
        <v>4445</v>
      </c>
      <c r="K33" s="129">
        <v>10041862624</v>
      </c>
      <c r="L33" s="130"/>
      <c r="M33" s="131"/>
      <c r="N33" s="125" t="s">
        <v>11</v>
      </c>
      <c r="O33" s="125" t="s">
        <v>11</v>
      </c>
      <c r="P33" s="125" t="s">
        <v>11</v>
      </c>
      <c r="Q33" s="125" t="s">
        <v>11</v>
      </c>
      <c r="R33" s="125" t="s">
        <v>11</v>
      </c>
      <c r="S33" s="125" t="s">
        <v>11</v>
      </c>
      <c r="T33" s="125" t="s">
        <v>11</v>
      </c>
      <c r="U33" s="125" t="s">
        <v>11</v>
      </c>
      <c r="V33" s="125" t="s">
        <v>11</v>
      </c>
      <c r="W33" s="125" t="s">
        <v>11</v>
      </c>
      <c r="X33" s="125" t="s">
        <v>11</v>
      </c>
      <c r="Y33" s="125" t="s">
        <v>11</v>
      </c>
      <c r="Z33" s="125" t="s">
        <v>11</v>
      </c>
      <c r="AA33" s="125" t="s">
        <v>11</v>
      </c>
      <c r="AB33" s="125" t="s">
        <v>11</v>
      </c>
      <c r="AC33" s="132"/>
      <c r="AD33" s="127">
        <f t="shared" si="0"/>
        <v>0</v>
      </c>
      <c r="AE33" s="127">
        <f t="shared" si="1"/>
        <v>0</v>
      </c>
      <c r="AF33" s="127">
        <f t="shared" si="2"/>
        <v>15</v>
      </c>
      <c r="AG33" s="128" t="str" cm="1">
        <f t="array" ref="AG33">_xlfn.IFS(
SUM(AD33:AF33)=0,"Not Started",
SUM(AD33:AF33)&lt;15,"In Progress",
SUM(AD33:AF33)=15,"Completed",
SUM(AD33:AF33)&gt;15,"Error"
)</f>
        <v>Completed</v>
      </c>
    </row>
    <row r="34" spans="1:33" ht="15.5" x14ac:dyDescent="0.25">
      <c r="A34" s="270"/>
      <c r="B34" s="120" t="s">
        <v>81</v>
      </c>
      <c r="C34" s="11" t="s">
        <v>4227</v>
      </c>
      <c r="D34" s="11" t="s">
        <v>4699</v>
      </c>
      <c r="E34" s="11" t="s">
        <v>47</v>
      </c>
      <c r="F34" s="129" t="s">
        <v>44</v>
      </c>
      <c r="G34" s="121" t="s">
        <v>40</v>
      </c>
      <c r="H34" s="121" t="s">
        <v>41</v>
      </c>
      <c r="I34" s="7" t="s">
        <v>10393</v>
      </c>
      <c r="J34" s="129" t="s">
        <v>4446</v>
      </c>
      <c r="K34" s="129" t="s">
        <v>4447</v>
      </c>
      <c r="L34" s="130"/>
      <c r="M34" s="131"/>
      <c r="N34" s="125" t="s">
        <v>11</v>
      </c>
      <c r="O34" s="125" t="s">
        <v>11</v>
      </c>
      <c r="P34" s="125" t="s">
        <v>11</v>
      </c>
      <c r="Q34" s="125" t="s">
        <v>11</v>
      </c>
      <c r="R34" s="125" t="s">
        <v>11</v>
      </c>
      <c r="S34" s="125" t="s">
        <v>11</v>
      </c>
      <c r="T34" s="125" t="s">
        <v>11</v>
      </c>
      <c r="U34" s="125" t="s">
        <v>11</v>
      </c>
      <c r="V34" s="125" t="s">
        <v>11</v>
      </c>
      <c r="W34" s="125" t="s">
        <v>11</v>
      </c>
      <c r="X34" s="125" t="s">
        <v>11</v>
      </c>
      <c r="Y34" s="125" t="s">
        <v>11</v>
      </c>
      <c r="Z34" s="125" t="s">
        <v>11</v>
      </c>
      <c r="AA34" s="125" t="s">
        <v>11</v>
      </c>
      <c r="AB34" s="125" t="s">
        <v>11</v>
      </c>
      <c r="AC34" s="132"/>
      <c r="AD34" s="127">
        <f t="shared" si="0"/>
        <v>0</v>
      </c>
      <c r="AE34" s="127">
        <f t="shared" si="1"/>
        <v>0</v>
      </c>
      <c r="AF34" s="127">
        <f t="shared" si="2"/>
        <v>15</v>
      </c>
      <c r="AG34" s="128" t="str" cm="1">
        <f t="array" ref="AG34">_xlfn.IFS(
SUM(AD34:AF34)=0,"Not Started",
SUM(AD34:AF34)&lt;15,"In Progress",
SUM(AD34:AF34)=15,"Completed",
SUM(AD34:AF34)&gt;15,"Error"
)</f>
        <v>Completed</v>
      </c>
    </row>
    <row r="35" spans="1:33" ht="15.5" x14ac:dyDescent="0.25">
      <c r="A35" s="270"/>
      <c r="B35" s="120" t="s">
        <v>82</v>
      </c>
      <c r="C35" s="11" t="s">
        <v>4228</v>
      </c>
      <c r="D35" s="11" t="s">
        <v>4700</v>
      </c>
      <c r="E35" s="11" t="s">
        <v>43</v>
      </c>
      <c r="F35" s="129" t="s">
        <v>48</v>
      </c>
      <c r="G35" s="121" t="s">
        <v>40</v>
      </c>
      <c r="H35" s="121" t="s">
        <v>41</v>
      </c>
      <c r="I35" s="7" t="s">
        <v>10394</v>
      </c>
      <c r="J35" s="129" t="s">
        <v>4448</v>
      </c>
      <c r="K35" s="129" t="s">
        <v>4449</v>
      </c>
      <c r="L35" s="130"/>
      <c r="M35" s="131"/>
      <c r="N35" s="125" t="s">
        <v>11</v>
      </c>
      <c r="O35" s="125" t="s">
        <v>11</v>
      </c>
      <c r="P35" s="125" t="s">
        <v>11</v>
      </c>
      <c r="Q35" s="125" t="s">
        <v>11</v>
      </c>
      <c r="R35" s="125" t="s">
        <v>11</v>
      </c>
      <c r="S35" s="125" t="s">
        <v>11</v>
      </c>
      <c r="T35" s="125" t="s">
        <v>11</v>
      </c>
      <c r="U35" s="125" t="s">
        <v>11</v>
      </c>
      <c r="V35" s="125" t="s">
        <v>11</v>
      </c>
      <c r="W35" s="125" t="s">
        <v>11</v>
      </c>
      <c r="X35" s="125" t="s">
        <v>11</v>
      </c>
      <c r="Y35" s="125" t="s">
        <v>11</v>
      </c>
      <c r="Z35" s="125" t="s">
        <v>11</v>
      </c>
      <c r="AA35" s="125" t="s">
        <v>11</v>
      </c>
      <c r="AB35" s="125" t="s">
        <v>11</v>
      </c>
      <c r="AC35" s="132"/>
      <c r="AD35" s="127">
        <f t="shared" si="0"/>
        <v>0</v>
      </c>
      <c r="AE35" s="127">
        <f t="shared" si="1"/>
        <v>0</v>
      </c>
      <c r="AF35" s="127">
        <f t="shared" si="2"/>
        <v>15</v>
      </c>
      <c r="AG35" s="128" t="str" cm="1">
        <f t="array" ref="AG35">_xlfn.IFS(
SUM(AD35:AF35)=0,"Not Started",
SUM(AD35:AF35)&lt;15,"In Progress",
SUM(AD35:AF35)=15,"Completed",
SUM(AD35:AF35)&gt;15,"Error"
)</f>
        <v>Completed</v>
      </c>
    </row>
    <row r="36" spans="1:33" ht="15.5" x14ac:dyDescent="0.25">
      <c r="A36" s="270"/>
      <c r="B36" s="120" t="s">
        <v>83</v>
      </c>
      <c r="C36" s="11" t="s">
        <v>4229</v>
      </c>
      <c r="D36" s="11" t="s">
        <v>4701</v>
      </c>
      <c r="E36" s="11" t="s">
        <v>47</v>
      </c>
      <c r="F36" s="129" t="s">
        <v>48</v>
      </c>
      <c r="G36" s="121" t="s">
        <v>40</v>
      </c>
      <c r="H36" s="121" t="s">
        <v>41</v>
      </c>
      <c r="I36" s="7" t="s">
        <v>10395</v>
      </c>
      <c r="J36" s="129" t="s">
        <v>4450</v>
      </c>
      <c r="K36" s="129" t="s">
        <v>4451</v>
      </c>
      <c r="L36" s="130"/>
      <c r="M36" s="131"/>
      <c r="N36" s="125" t="s">
        <v>11</v>
      </c>
      <c r="O36" s="125" t="s">
        <v>11</v>
      </c>
      <c r="P36" s="125" t="s">
        <v>11</v>
      </c>
      <c r="Q36" s="125" t="s">
        <v>11</v>
      </c>
      <c r="R36" s="125" t="s">
        <v>11</v>
      </c>
      <c r="S36" s="125" t="s">
        <v>11</v>
      </c>
      <c r="T36" s="125" t="s">
        <v>11</v>
      </c>
      <c r="U36" s="125" t="s">
        <v>11</v>
      </c>
      <c r="V36" s="125" t="s">
        <v>11</v>
      </c>
      <c r="W36" s="125" t="s">
        <v>11</v>
      </c>
      <c r="X36" s="125" t="s">
        <v>11</v>
      </c>
      <c r="Y36" s="125" t="s">
        <v>11</v>
      </c>
      <c r="Z36" s="125" t="s">
        <v>11</v>
      </c>
      <c r="AA36" s="125" t="s">
        <v>11</v>
      </c>
      <c r="AB36" s="125" t="s">
        <v>11</v>
      </c>
      <c r="AC36" s="132"/>
      <c r="AD36" s="127">
        <f t="shared" si="0"/>
        <v>0</v>
      </c>
      <c r="AE36" s="127">
        <f t="shared" si="1"/>
        <v>0</v>
      </c>
      <c r="AF36" s="127">
        <f t="shared" si="2"/>
        <v>15</v>
      </c>
      <c r="AG36" s="128" t="str" cm="1">
        <f t="array" ref="AG36">_xlfn.IFS(
SUM(AD36:AF36)=0,"Not Started",
SUM(AD36:AF36)&lt;15,"In Progress",
SUM(AD36:AF36)=15,"Completed",
SUM(AD36:AF36)&gt;15,"Error"
)</f>
        <v>Completed</v>
      </c>
    </row>
    <row r="37" spans="1:33" ht="15.5" x14ac:dyDescent="0.25">
      <c r="A37" s="270"/>
      <c r="B37" s="120" t="s">
        <v>84</v>
      </c>
      <c r="C37" s="11" t="s">
        <v>4230</v>
      </c>
      <c r="D37" s="11" t="s">
        <v>4702</v>
      </c>
      <c r="E37" s="11" t="s">
        <v>43</v>
      </c>
      <c r="F37" s="129" t="s">
        <v>48</v>
      </c>
      <c r="G37" s="121" t="s">
        <v>40</v>
      </c>
      <c r="H37" s="121" t="s">
        <v>41</v>
      </c>
      <c r="I37" s="7" t="s">
        <v>10396</v>
      </c>
      <c r="J37" s="129" t="s">
        <v>4452</v>
      </c>
      <c r="K37" s="129" t="s">
        <v>4453</v>
      </c>
      <c r="L37" s="130"/>
      <c r="M37" s="131"/>
      <c r="N37" s="125" t="s">
        <v>11</v>
      </c>
      <c r="O37" s="125" t="s">
        <v>11</v>
      </c>
      <c r="P37" s="125" t="s">
        <v>11</v>
      </c>
      <c r="Q37" s="125" t="s">
        <v>11</v>
      </c>
      <c r="R37" s="125" t="s">
        <v>11</v>
      </c>
      <c r="S37" s="125" t="s">
        <v>11</v>
      </c>
      <c r="T37" s="125" t="s">
        <v>11</v>
      </c>
      <c r="U37" s="125" t="s">
        <v>11</v>
      </c>
      <c r="V37" s="125" t="s">
        <v>11</v>
      </c>
      <c r="W37" s="125" t="s">
        <v>11</v>
      </c>
      <c r="X37" s="125" t="s">
        <v>11</v>
      </c>
      <c r="Y37" s="125" t="s">
        <v>11</v>
      </c>
      <c r="Z37" s="125" t="s">
        <v>11</v>
      </c>
      <c r="AA37" s="125" t="s">
        <v>11</v>
      </c>
      <c r="AB37" s="125" t="s">
        <v>11</v>
      </c>
      <c r="AC37" s="132"/>
      <c r="AD37" s="127">
        <f t="shared" si="0"/>
        <v>0</v>
      </c>
      <c r="AE37" s="127">
        <f t="shared" si="1"/>
        <v>0</v>
      </c>
      <c r="AF37" s="127">
        <f t="shared" si="2"/>
        <v>15</v>
      </c>
      <c r="AG37" s="128" t="str" cm="1">
        <f t="array" ref="AG37">_xlfn.IFS(
SUM(AD37:AF37)=0,"Not Started",
SUM(AD37:AF37)&lt;15,"In Progress",
SUM(AD37:AF37)=15,"Completed",
SUM(AD37:AF37)&gt;15,"Error"
)</f>
        <v>Completed</v>
      </c>
    </row>
    <row r="38" spans="1:33" ht="15.5" x14ac:dyDescent="0.25">
      <c r="A38" s="270"/>
      <c r="B38" s="120" t="s">
        <v>85</v>
      </c>
      <c r="C38" s="11" t="s">
        <v>4231</v>
      </c>
      <c r="D38" s="11" t="s">
        <v>4703</v>
      </c>
      <c r="E38" s="11" t="s">
        <v>43</v>
      </c>
      <c r="F38" s="129" t="s">
        <v>44</v>
      </c>
      <c r="G38" s="121" t="s">
        <v>40</v>
      </c>
      <c r="H38" s="121" t="s">
        <v>41</v>
      </c>
      <c r="I38" s="7" t="s">
        <v>10397</v>
      </c>
      <c r="J38" s="129" t="s">
        <v>4454</v>
      </c>
      <c r="K38" s="129" t="s">
        <v>4455</v>
      </c>
      <c r="L38" s="130"/>
      <c r="M38" s="131"/>
      <c r="N38" s="125" t="s">
        <v>11</v>
      </c>
      <c r="O38" s="125" t="s">
        <v>11</v>
      </c>
      <c r="P38" s="125" t="s">
        <v>11</v>
      </c>
      <c r="Q38" s="125" t="s">
        <v>11</v>
      </c>
      <c r="R38" s="125" t="s">
        <v>11</v>
      </c>
      <c r="S38" s="125" t="s">
        <v>11</v>
      </c>
      <c r="T38" s="125" t="s">
        <v>11</v>
      </c>
      <c r="U38" s="125" t="s">
        <v>11</v>
      </c>
      <c r="V38" s="125" t="s">
        <v>11</v>
      </c>
      <c r="W38" s="125" t="s">
        <v>11</v>
      </c>
      <c r="X38" s="125" t="s">
        <v>11</v>
      </c>
      <c r="Y38" s="125" t="s">
        <v>11</v>
      </c>
      <c r="Z38" s="125" t="s">
        <v>11</v>
      </c>
      <c r="AA38" s="125" t="s">
        <v>11</v>
      </c>
      <c r="AB38" s="125" t="s">
        <v>11</v>
      </c>
      <c r="AC38" s="132"/>
      <c r="AD38" s="127">
        <f t="shared" si="0"/>
        <v>0</v>
      </c>
      <c r="AE38" s="127">
        <f t="shared" si="1"/>
        <v>0</v>
      </c>
      <c r="AF38" s="127">
        <f t="shared" si="2"/>
        <v>15</v>
      </c>
      <c r="AG38" s="128" t="str" cm="1">
        <f t="array" ref="AG38">_xlfn.IFS(
SUM(AD38:AF38)=0,"Not Started",
SUM(AD38:AF38)&lt;15,"In Progress",
SUM(AD38:AF38)=15,"Completed",
SUM(AD38:AF38)&gt;15,"Error"
)</f>
        <v>Completed</v>
      </c>
    </row>
    <row r="39" spans="1:33" ht="15.5" x14ac:dyDescent="0.25">
      <c r="A39" s="270"/>
      <c r="B39" s="120" t="s">
        <v>86</v>
      </c>
      <c r="C39" s="11" t="s">
        <v>4232</v>
      </c>
      <c r="D39" s="11" t="s">
        <v>4704</v>
      </c>
      <c r="E39" s="11" t="s">
        <v>43</v>
      </c>
      <c r="F39" s="129" t="s">
        <v>44</v>
      </c>
      <c r="G39" s="121" t="s">
        <v>40</v>
      </c>
      <c r="H39" s="121" t="s">
        <v>41</v>
      </c>
      <c r="I39" s="7" t="s">
        <v>10398</v>
      </c>
      <c r="J39" s="129" t="s">
        <v>4456</v>
      </c>
      <c r="K39" s="129" t="s">
        <v>4457</v>
      </c>
      <c r="L39" s="130"/>
      <c r="M39" s="131"/>
      <c r="N39" s="125" t="s">
        <v>11</v>
      </c>
      <c r="O39" s="125" t="s">
        <v>11</v>
      </c>
      <c r="P39" s="125" t="s">
        <v>11</v>
      </c>
      <c r="Q39" s="125" t="s">
        <v>11</v>
      </c>
      <c r="R39" s="125" t="s">
        <v>11</v>
      </c>
      <c r="S39" s="125" t="s">
        <v>11</v>
      </c>
      <c r="T39" s="125" t="s">
        <v>11</v>
      </c>
      <c r="U39" s="125" t="s">
        <v>11</v>
      </c>
      <c r="V39" s="125" t="s">
        <v>11</v>
      </c>
      <c r="W39" s="125" t="s">
        <v>11</v>
      </c>
      <c r="X39" s="125" t="s">
        <v>11</v>
      </c>
      <c r="Y39" s="125" t="s">
        <v>11</v>
      </c>
      <c r="Z39" s="125" t="s">
        <v>11</v>
      </c>
      <c r="AA39" s="125" t="s">
        <v>11</v>
      </c>
      <c r="AB39" s="125" t="s">
        <v>11</v>
      </c>
      <c r="AC39" s="132"/>
      <c r="AD39" s="127">
        <f t="shared" si="0"/>
        <v>0</v>
      </c>
      <c r="AE39" s="127">
        <f t="shared" si="1"/>
        <v>0</v>
      </c>
      <c r="AF39" s="127">
        <f t="shared" si="2"/>
        <v>15</v>
      </c>
      <c r="AG39" s="128" t="str" cm="1">
        <f t="array" ref="AG39">_xlfn.IFS(
SUM(AD39:AF39)=0,"Not Started",
SUM(AD39:AF39)&lt;15,"In Progress",
SUM(AD39:AF39)=15,"Completed",
SUM(AD39:AF39)&gt;15,"Error"
)</f>
        <v>Completed</v>
      </c>
    </row>
    <row r="40" spans="1:33" ht="15.5" x14ac:dyDescent="0.25">
      <c r="A40" s="270"/>
      <c r="B40" s="120" t="s">
        <v>87</v>
      </c>
      <c r="C40" s="11" t="s">
        <v>4233</v>
      </c>
      <c r="D40" s="11" t="s">
        <v>4705</v>
      </c>
      <c r="E40" s="11" t="s">
        <v>43</v>
      </c>
      <c r="F40" s="129" t="s">
        <v>48</v>
      </c>
      <c r="G40" s="121" t="s">
        <v>40</v>
      </c>
      <c r="H40" s="121" t="s">
        <v>41</v>
      </c>
      <c r="I40" s="7" t="s">
        <v>10399</v>
      </c>
      <c r="J40" s="129" t="s">
        <v>4458</v>
      </c>
      <c r="K40" s="129" t="s">
        <v>4459</v>
      </c>
      <c r="L40" s="130"/>
      <c r="M40" s="131"/>
      <c r="N40" s="125" t="s">
        <v>11</v>
      </c>
      <c r="O40" s="125" t="s">
        <v>11</v>
      </c>
      <c r="P40" s="125" t="s">
        <v>11</v>
      </c>
      <c r="Q40" s="125" t="s">
        <v>11</v>
      </c>
      <c r="R40" s="125" t="s">
        <v>11</v>
      </c>
      <c r="S40" s="125" t="s">
        <v>11</v>
      </c>
      <c r="T40" s="125" t="s">
        <v>11</v>
      </c>
      <c r="U40" s="125" t="s">
        <v>11</v>
      </c>
      <c r="V40" s="125" t="s">
        <v>11</v>
      </c>
      <c r="W40" s="125" t="s">
        <v>11</v>
      </c>
      <c r="X40" s="125" t="s">
        <v>11</v>
      </c>
      <c r="Y40" s="125" t="s">
        <v>11</v>
      </c>
      <c r="Z40" s="125" t="s">
        <v>11</v>
      </c>
      <c r="AA40" s="125" t="s">
        <v>11</v>
      </c>
      <c r="AB40" s="125" t="s">
        <v>11</v>
      </c>
      <c r="AC40" s="132"/>
      <c r="AD40" s="127">
        <f t="shared" si="0"/>
        <v>0</v>
      </c>
      <c r="AE40" s="127">
        <f t="shared" si="1"/>
        <v>0</v>
      </c>
      <c r="AF40" s="127">
        <f t="shared" si="2"/>
        <v>15</v>
      </c>
      <c r="AG40" s="128" t="str" cm="1">
        <f t="array" ref="AG40">_xlfn.IFS(
SUM(AD40:AF40)=0,"Not Started",
SUM(AD40:AF40)&lt;15,"In Progress",
SUM(AD40:AF40)=15,"Completed",
SUM(AD40:AF40)&gt;15,"Error"
)</f>
        <v>Completed</v>
      </c>
    </row>
    <row r="41" spans="1:33" ht="15.5" x14ac:dyDescent="0.25">
      <c r="A41" s="270"/>
      <c r="B41" s="120" t="s">
        <v>88</v>
      </c>
      <c r="C41" s="11" t="s">
        <v>4234</v>
      </c>
      <c r="D41" s="11" t="s">
        <v>4706</v>
      </c>
      <c r="E41" s="11" t="s">
        <v>47</v>
      </c>
      <c r="F41" s="129" t="s">
        <v>48</v>
      </c>
      <c r="G41" s="121" t="s">
        <v>40</v>
      </c>
      <c r="H41" s="121" t="s">
        <v>41</v>
      </c>
      <c r="I41" s="7" t="s">
        <v>10400</v>
      </c>
      <c r="J41" s="129" t="s">
        <v>4460</v>
      </c>
      <c r="K41" s="129" t="s">
        <v>4461</v>
      </c>
      <c r="L41" s="130"/>
      <c r="M41" s="131"/>
      <c r="N41" s="125" t="s">
        <v>11</v>
      </c>
      <c r="O41" s="125" t="s">
        <v>11</v>
      </c>
      <c r="P41" s="125" t="s">
        <v>11</v>
      </c>
      <c r="Q41" s="125" t="s">
        <v>11</v>
      </c>
      <c r="R41" s="125" t="s">
        <v>11</v>
      </c>
      <c r="S41" s="125" t="s">
        <v>11</v>
      </c>
      <c r="T41" s="125" t="s">
        <v>11</v>
      </c>
      <c r="U41" s="125" t="s">
        <v>11</v>
      </c>
      <c r="V41" s="125" t="s">
        <v>11</v>
      </c>
      <c r="W41" s="125" t="s">
        <v>11</v>
      </c>
      <c r="X41" s="125" t="s">
        <v>11</v>
      </c>
      <c r="Y41" s="125" t="s">
        <v>11</v>
      </c>
      <c r="Z41" s="125" t="s">
        <v>11</v>
      </c>
      <c r="AA41" s="125" t="s">
        <v>11</v>
      </c>
      <c r="AB41" s="125" t="s">
        <v>11</v>
      </c>
      <c r="AC41" s="132"/>
      <c r="AD41" s="127">
        <f t="shared" si="0"/>
        <v>0</v>
      </c>
      <c r="AE41" s="127">
        <f t="shared" si="1"/>
        <v>0</v>
      </c>
      <c r="AF41" s="127">
        <f t="shared" si="2"/>
        <v>15</v>
      </c>
      <c r="AG41" s="128" t="str" cm="1">
        <f t="array" ref="AG41">_xlfn.IFS(
SUM(AD41:AF41)=0,"Not Started",
SUM(AD41:AF41)&lt;15,"In Progress",
SUM(AD41:AF41)=15,"Completed",
SUM(AD41:AF41)&gt;15,"Error"
)</f>
        <v>Completed</v>
      </c>
    </row>
    <row r="42" spans="1:33" ht="15.5" x14ac:dyDescent="0.25">
      <c r="A42" s="270"/>
      <c r="B42" s="120" t="s">
        <v>89</v>
      </c>
      <c r="C42" s="11" t="s">
        <v>4235</v>
      </c>
      <c r="D42" s="11" t="s">
        <v>4707</v>
      </c>
      <c r="E42" s="11"/>
      <c r="F42" s="129" t="s">
        <v>48</v>
      </c>
      <c r="G42" s="121" t="s">
        <v>40</v>
      </c>
      <c r="H42" s="121" t="s">
        <v>41</v>
      </c>
      <c r="I42" s="7" t="s">
        <v>10401</v>
      </c>
      <c r="J42" s="129" t="s">
        <v>4462</v>
      </c>
      <c r="K42" s="129" t="s">
        <v>4463</v>
      </c>
      <c r="L42" s="130"/>
      <c r="M42" s="131"/>
      <c r="N42" s="125" t="s">
        <v>11</v>
      </c>
      <c r="O42" s="125" t="s">
        <v>11</v>
      </c>
      <c r="P42" s="125" t="s">
        <v>11</v>
      </c>
      <c r="Q42" s="125" t="s">
        <v>11</v>
      </c>
      <c r="R42" s="125" t="s">
        <v>11</v>
      </c>
      <c r="S42" s="125" t="s">
        <v>11</v>
      </c>
      <c r="T42" s="125" t="s">
        <v>11</v>
      </c>
      <c r="U42" s="125" t="s">
        <v>11</v>
      </c>
      <c r="V42" s="125" t="s">
        <v>11</v>
      </c>
      <c r="W42" s="125" t="s">
        <v>11</v>
      </c>
      <c r="X42" s="125" t="s">
        <v>11</v>
      </c>
      <c r="Y42" s="125" t="s">
        <v>11</v>
      </c>
      <c r="Z42" s="125" t="s">
        <v>11</v>
      </c>
      <c r="AA42" s="125" t="s">
        <v>11</v>
      </c>
      <c r="AB42" s="125" t="s">
        <v>11</v>
      </c>
      <c r="AC42" s="132"/>
      <c r="AD42" s="127">
        <f t="shared" si="0"/>
        <v>0</v>
      </c>
      <c r="AE42" s="127">
        <f t="shared" si="1"/>
        <v>0</v>
      </c>
      <c r="AF42" s="127">
        <f t="shared" si="2"/>
        <v>15</v>
      </c>
      <c r="AG42" s="128" t="str" cm="1">
        <f t="array" ref="AG42">_xlfn.IFS(
SUM(AD42:AF42)=0,"Not Started",
SUM(AD42:AF42)&lt;15,"In Progress",
SUM(AD42:AF42)=15,"Completed",
SUM(AD42:AF42)&gt;15,"Error"
)</f>
        <v>Completed</v>
      </c>
    </row>
    <row r="43" spans="1:33" ht="15.5" x14ac:dyDescent="0.25">
      <c r="A43" s="270"/>
      <c r="B43" s="120" t="s">
        <v>90</v>
      </c>
      <c r="C43" s="11" t="s">
        <v>4236</v>
      </c>
      <c r="D43" s="11" t="s">
        <v>4708</v>
      </c>
      <c r="E43" s="11" t="s">
        <v>47</v>
      </c>
      <c r="F43" s="129" t="s">
        <v>48</v>
      </c>
      <c r="G43" s="121" t="s">
        <v>40</v>
      </c>
      <c r="H43" s="121" t="s">
        <v>41</v>
      </c>
      <c r="I43" s="7" t="s">
        <v>10402</v>
      </c>
      <c r="J43" s="129" t="s">
        <v>4464</v>
      </c>
      <c r="K43" s="129" t="s">
        <v>4465</v>
      </c>
      <c r="L43" s="130"/>
      <c r="M43" s="131"/>
      <c r="N43" s="125" t="s">
        <v>11</v>
      </c>
      <c r="O43" s="125" t="s">
        <v>11</v>
      </c>
      <c r="P43" s="125" t="s">
        <v>11</v>
      </c>
      <c r="Q43" s="125" t="s">
        <v>11</v>
      </c>
      <c r="R43" s="125" t="s">
        <v>11</v>
      </c>
      <c r="S43" s="125" t="s">
        <v>11</v>
      </c>
      <c r="T43" s="125" t="s">
        <v>11</v>
      </c>
      <c r="U43" s="125" t="s">
        <v>11</v>
      </c>
      <c r="V43" s="125" t="s">
        <v>11</v>
      </c>
      <c r="W43" s="125" t="s">
        <v>11</v>
      </c>
      <c r="X43" s="125" t="s">
        <v>11</v>
      </c>
      <c r="Y43" s="125" t="s">
        <v>11</v>
      </c>
      <c r="Z43" s="125" t="s">
        <v>11</v>
      </c>
      <c r="AA43" s="125" t="s">
        <v>11</v>
      </c>
      <c r="AB43" s="125" t="s">
        <v>11</v>
      </c>
      <c r="AC43" s="132"/>
      <c r="AD43" s="127">
        <f t="shared" si="0"/>
        <v>0</v>
      </c>
      <c r="AE43" s="127">
        <f t="shared" si="1"/>
        <v>0</v>
      </c>
      <c r="AF43" s="127">
        <f t="shared" si="2"/>
        <v>15</v>
      </c>
      <c r="AG43" s="128" t="str" cm="1">
        <f t="array" ref="AG43">_xlfn.IFS(
SUM(AD43:AF43)=0,"Not Started",
SUM(AD43:AF43)&lt;15,"In Progress",
SUM(AD43:AF43)=15,"Completed",
SUM(AD43:AF43)&gt;15,"Error"
)</f>
        <v>Completed</v>
      </c>
    </row>
    <row r="44" spans="1:33" ht="15.5" x14ac:dyDescent="0.25">
      <c r="A44" s="270"/>
      <c r="B44" s="120" t="s">
        <v>91</v>
      </c>
      <c r="C44" s="11" t="s">
        <v>4237</v>
      </c>
      <c r="D44" s="11" t="s">
        <v>4709</v>
      </c>
      <c r="E44" s="11" t="s">
        <v>43</v>
      </c>
      <c r="F44" s="129" t="s">
        <v>48</v>
      </c>
      <c r="G44" s="121" t="s">
        <v>40</v>
      </c>
      <c r="H44" s="121" t="s">
        <v>41</v>
      </c>
      <c r="I44" s="7" t="s">
        <v>10403</v>
      </c>
      <c r="J44" s="129" t="s">
        <v>4466</v>
      </c>
      <c r="K44" s="129" t="s">
        <v>4467</v>
      </c>
      <c r="L44" s="130"/>
      <c r="M44" s="131"/>
      <c r="N44" s="125" t="s">
        <v>11</v>
      </c>
      <c r="O44" s="125" t="s">
        <v>11</v>
      </c>
      <c r="P44" s="125" t="s">
        <v>11</v>
      </c>
      <c r="Q44" s="125" t="s">
        <v>11</v>
      </c>
      <c r="R44" s="125" t="s">
        <v>11</v>
      </c>
      <c r="S44" s="125" t="s">
        <v>11</v>
      </c>
      <c r="T44" s="125" t="s">
        <v>11</v>
      </c>
      <c r="U44" s="125" t="s">
        <v>11</v>
      </c>
      <c r="V44" s="125" t="s">
        <v>11</v>
      </c>
      <c r="W44" s="125" t="s">
        <v>11</v>
      </c>
      <c r="X44" s="125" t="s">
        <v>11</v>
      </c>
      <c r="Y44" s="125" t="s">
        <v>11</v>
      </c>
      <c r="Z44" s="125" t="s">
        <v>11</v>
      </c>
      <c r="AA44" s="125" t="s">
        <v>11</v>
      </c>
      <c r="AB44" s="125" t="s">
        <v>11</v>
      </c>
      <c r="AC44" s="132"/>
      <c r="AD44" s="127">
        <f t="shared" si="0"/>
        <v>0</v>
      </c>
      <c r="AE44" s="127">
        <f t="shared" si="1"/>
        <v>0</v>
      </c>
      <c r="AF44" s="127">
        <f t="shared" si="2"/>
        <v>15</v>
      </c>
      <c r="AG44" s="128" t="str" cm="1">
        <f t="array" ref="AG44">_xlfn.IFS(
SUM(AD44:AF44)=0,"Not Started",
SUM(AD44:AF44)&lt;15,"In Progress",
SUM(AD44:AF44)=15,"Completed",
SUM(AD44:AF44)&gt;15,"Error"
)</f>
        <v>Completed</v>
      </c>
    </row>
    <row r="45" spans="1:33" ht="15.5" x14ac:dyDescent="0.25">
      <c r="A45" s="270"/>
      <c r="B45" s="120" t="s">
        <v>92</v>
      </c>
      <c r="C45" s="11" t="s">
        <v>4238</v>
      </c>
      <c r="D45" s="11" t="s">
        <v>4710</v>
      </c>
      <c r="E45" s="11" t="s">
        <v>43</v>
      </c>
      <c r="F45" s="129" t="s">
        <v>48</v>
      </c>
      <c r="G45" s="121" t="s">
        <v>40</v>
      </c>
      <c r="H45" s="121" t="s">
        <v>41</v>
      </c>
      <c r="I45" s="7" t="s">
        <v>10404</v>
      </c>
      <c r="J45" s="129" t="s">
        <v>4468</v>
      </c>
      <c r="K45" s="129" t="s">
        <v>4469</v>
      </c>
      <c r="L45" s="130"/>
      <c r="M45" s="131"/>
      <c r="N45" s="125" t="s">
        <v>11</v>
      </c>
      <c r="O45" s="125" t="s">
        <v>11</v>
      </c>
      <c r="P45" s="125" t="s">
        <v>11</v>
      </c>
      <c r="Q45" s="125" t="s">
        <v>11</v>
      </c>
      <c r="R45" s="125" t="s">
        <v>11</v>
      </c>
      <c r="S45" s="125" t="s">
        <v>11</v>
      </c>
      <c r="T45" s="125" t="s">
        <v>11</v>
      </c>
      <c r="U45" s="125" t="s">
        <v>11</v>
      </c>
      <c r="V45" s="125" t="s">
        <v>11</v>
      </c>
      <c r="W45" s="125" t="s">
        <v>11</v>
      </c>
      <c r="X45" s="125" t="s">
        <v>11</v>
      </c>
      <c r="Y45" s="125" t="s">
        <v>11</v>
      </c>
      <c r="Z45" s="125" t="s">
        <v>11</v>
      </c>
      <c r="AA45" s="125" t="s">
        <v>11</v>
      </c>
      <c r="AB45" s="125" t="s">
        <v>11</v>
      </c>
      <c r="AC45" s="132"/>
      <c r="AD45" s="127">
        <f t="shared" si="0"/>
        <v>0</v>
      </c>
      <c r="AE45" s="127">
        <f t="shared" si="1"/>
        <v>0</v>
      </c>
      <c r="AF45" s="127">
        <f t="shared" si="2"/>
        <v>15</v>
      </c>
      <c r="AG45" s="128" t="str" cm="1">
        <f t="array" ref="AG45">_xlfn.IFS(
SUM(AD45:AF45)=0,"Not Started",
SUM(AD45:AF45)&lt;15,"In Progress",
SUM(AD45:AF45)=15,"Completed",
SUM(AD45:AF45)&gt;15,"Error"
)</f>
        <v>Completed</v>
      </c>
    </row>
    <row r="46" spans="1:33" ht="15.5" x14ac:dyDescent="0.25">
      <c r="A46" s="270"/>
      <c r="B46" s="120" t="s">
        <v>93</v>
      </c>
      <c r="C46" s="11" t="s">
        <v>4239</v>
      </c>
      <c r="D46" s="11" t="s">
        <v>4711</v>
      </c>
      <c r="E46" s="11" t="s">
        <v>43</v>
      </c>
      <c r="F46" s="129" t="s">
        <v>44</v>
      </c>
      <c r="G46" s="121" t="s">
        <v>40</v>
      </c>
      <c r="H46" s="121" t="s">
        <v>41</v>
      </c>
      <c r="I46" s="7" t="s">
        <v>10405</v>
      </c>
      <c r="J46" s="129" t="s">
        <v>4470</v>
      </c>
      <c r="K46" s="129" t="s">
        <v>4471</v>
      </c>
      <c r="L46" s="130"/>
      <c r="M46" s="131"/>
      <c r="N46" s="125" t="s">
        <v>11</v>
      </c>
      <c r="O46" s="125" t="s">
        <v>11</v>
      </c>
      <c r="P46" s="125" t="s">
        <v>11</v>
      </c>
      <c r="Q46" s="125" t="s">
        <v>11</v>
      </c>
      <c r="R46" s="125" t="s">
        <v>11</v>
      </c>
      <c r="S46" s="125" t="s">
        <v>11</v>
      </c>
      <c r="T46" s="125" t="s">
        <v>11</v>
      </c>
      <c r="U46" s="125" t="s">
        <v>11</v>
      </c>
      <c r="V46" s="125" t="s">
        <v>11</v>
      </c>
      <c r="W46" s="125" t="s">
        <v>11</v>
      </c>
      <c r="X46" s="125" t="s">
        <v>11</v>
      </c>
      <c r="Y46" s="125" t="s">
        <v>11</v>
      </c>
      <c r="Z46" s="125" t="s">
        <v>11</v>
      </c>
      <c r="AA46" s="125" t="s">
        <v>11</v>
      </c>
      <c r="AB46" s="125" t="s">
        <v>11</v>
      </c>
      <c r="AC46" s="132"/>
      <c r="AD46" s="127">
        <f t="shared" si="0"/>
        <v>0</v>
      </c>
      <c r="AE46" s="127">
        <f t="shared" si="1"/>
        <v>0</v>
      </c>
      <c r="AF46" s="127">
        <f t="shared" si="2"/>
        <v>15</v>
      </c>
      <c r="AG46" s="128" t="str" cm="1">
        <f t="array" ref="AG46">_xlfn.IFS(
SUM(AD46:AF46)=0,"Not Started",
SUM(AD46:AF46)&lt;15,"In Progress",
SUM(AD46:AF46)=15,"Completed",
SUM(AD46:AF46)&gt;15,"Error"
)</f>
        <v>Completed</v>
      </c>
    </row>
    <row r="47" spans="1:33" ht="15.5" x14ac:dyDescent="0.25">
      <c r="A47" s="270"/>
      <c r="B47" s="120" t="s">
        <v>94</v>
      </c>
      <c r="C47" s="11" t="s">
        <v>4240</v>
      </c>
      <c r="D47" s="11" t="s">
        <v>4712</v>
      </c>
      <c r="E47" s="11" t="s">
        <v>51</v>
      </c>
      <c r="F47" s="129" t="s">
        <v>48</v>
      </c>
      <c r="G47" s="121" t="s">
        <v>40</v>
      </c>
      <c r="H47" s="121" t="s">
        <v>41</v>
      </c>
      <c r="I47" s="7" t="s">
        <v>10406</v>
      </c>
      <c r="J47" s="129" t="s">
        <v>4472</v>
      </c>
      <c r="K47" s="129" t="s">
        <v>4473</v>
      </c>
      <c r="L47" s="130"/>
      <c r="M47" s="131"/>
      <c r="N47" s="125" t="s">
        <v>11</v>
      </c>
      <c r="O47" s="125" t="s">
        <v>11</v>
      </c>
      <c r="P47" s="125" t="s">
        <v>11</v>
      </c>
      <c r="Q47" s="125" t="s">
        <v>11</v>
      </c>
      <c r="R47" s="125" t="s">
        <v>11</v>
      </c>
      <c r="S47" s="125" t="s">
        <v>11</v>
      </c>
      <c r="T47" s="125" t="s">
        <v>11</v>
      </c>
      <c r="U47" s="125" t="s">
        <v>11</v>
      </c>
      <c r="V47" s="125" t="s">
        <v>11</v>
      </c>
      <c r="W47" s="125" t="s">
        <v>11</v>
      </c>
      <c r="X47" s="125" t="s">
        <v>11</v>
      </c>
      <c r="Y47" s="125" t="s">
        <v>11</v>
      </c>
      <c r="Z47" s="125" t="s">
        <v>11</v>
      </c>
      <c r="AA47" s="125" t="s">
        <v>11</v>
      </c>
      <c r="AB47" s="125" t="s">
        <v>11</v>
      </c>
      <c r="AC47" s="132"/>
      <c r="AD47" s="127">
        <f t="shared" si="0"/>
        <v>0</v>
      </c>
      <c r="AE47" s="127">
        <f t="shared" si="1"/>
        <v>0</v>
      </c>
      <c r="AF47" s="127">
        <f t="shared" si="2"/>
        <v>15</v>
      </c>
      <c r="AG47" s="128" t="str" cm="1">
        <f t="array" ref="AG47">_xlfn.IFS(
SUM(AD47:AF47)=0,"Not Started",
SUM(AD47:AF47)&lt;15,"In Progress",
SUM(AD47:AF47)=15,"Completed",
SUM(AD47:AF47)&gt;15,"Error"
)</f>
        <v>Completed</v>
      </c>
    </row>
    <row r="48" spans="1:33" ht="15.5" x14ac:dyDescent="0.25">
      <c r="A48" s="270"/>
      <c r="B48" s="120" t="s">
        <v>95</v>
      </c>
      <c r="C48" s="11" t="s">
        <v>4241</v>
      </c>
      <c r="D48" s="11" t="s">
        <v>4713</v>
      </c>
      <c r="E48" s="11" t="s">
        <v>43</v>
      </c>
      <c r="F48" s="129" t="s">
        <v>44</v>
      </c>
      <c r="G48" s="121" t="s">
        <v>40</v>
      </c>
      <c r="H48" s="121" t="s">
        <v>41</v>
      </c>
      <c r="I48" s="7" t="s">
        <v>10407</v>
      </c>
      <c r="J48" s="129" t="s">
        <v>4474</v>
      </c>
      <c r="K48" s="129" t="s">
        <v>4475</v>
      </c>
      <c r="L48" s="130"/>
      <c r="M48" s="131"/>
      <c r="N48" s="125" t="s">
        <v>11</v>
      </c>
      <c r="O48" s="125" t="s">
        <v>11</v>
      </c>
      <c r="P48" s="125" t="s">
        <v>11</v>
      </c>
      <c r="Q48" s="125" t="s">
        <v>11</v>
      </c>
      <c r="R48" s="125" t="s">
        <v>11</v>
      </c>
      <c r="S48" s="125" t="s">
        <v>11</v>
      </c>
      <c r="T48" s="125" t="s">
        <v>11</v>
      </c>
      <c r="U48" s="125" t="s">
        <v>11</v>
      </c>
      <c r="V48" s="125" t="s">
        <v>11</v>
      </c>
      <c r="W48" s="125" t="s">
        <v>11</v>
      </c>
      <c r="X48" s="125" t="s">
        <v>11</v>
      </c>
      <c r="Y48" s="125" t="s">
        <v>11</v>
      </c>
      <c r="Z48" s="125" t="s">
        <v>11</v>
      </c>
      <c r="AA48" s="125" t="s">
        <v>11</v>
      </c>
      <c r="AB48" s="125" t="s">
        <v>11</v>
      </c>
      <c r="AC48" s="132"/>
      <c r="AD48" s="127">
        <f t="shared" si="0"/>
        <v>0</v>
      </c>
      <c r="AE48" s="127">
        <f t="shared" si="1"/>
        <v>0</v>
      </c>
      <c r="AF48" s="127">
        <f t="shared" si="2"/>
        <v>15</v>
      </c>
      <c r="AG48" s="128" t="str" cm="1">
        <f t="array" ref="AG48">_xlfn.IFS(
SUM(AD48:AF48)=0,"Not Started",
SUM(AD48:AF48)&lt;15,"In Progress",
SUM(AD48:AF48)=15,"Completed",
SUM(AD48:AF48)&gt;15,"Error"
)</f>
        <v>Completed</v>
      </c>
    </row>
    <row r="49" spans="1:33" ht="15.5" x14ac:dyDescent="0.25">
      <c r="A49" s="270"/>
      <c r="B49" s="120" t="s">
        <v>96</v>
      </c>
      <c r="C49" s="11" t="s">
        <v>4242</v>
      </c>
      <c r="D49" s="11" t="s">
        <v>4714</v>
      </c>
      <c r="E49" s="11" t="s">
        <v>51</v>
      </c>
      <c r="F49" s="129" t="s">
        <v>48</v>
      </c>
      <c r="G49" s="121" t="s">
        <v>40</v>
      </c>
      <c r="H49" s="121" t="s">
        <v>41</v>
      </c>
      <c r="I49" s="7" t="s">
        <v>10408</v>
      </c>
      <c r="J49" s="129" t="s">
        <v>4476</v>
      </c>
      <c r="K49" s="129" t="s">
        <v>4477</v>
      </c>
      <c r="L49" s="130"/>
      <c r="M49" s="131"/>
      <c r="N49" s="125" t="s">
        <v>11</v>
      </c>
      <c r="O49" s="125" t="s">
        <v>11</v>
      </c>
      <c r="P49" s="125" t="s">
        <v>11</v>
      </c>
      <c r="Q49" s="125" t="s">
        <v>11</v>
      </c>
      <c r="R49" s="125" t="s">
        <v>11</v>
      </c>
      <c r="S49" s="125" t="s">
        <v>11</v>
      </c>
      <c r="T49" s="125" t="s">
        <v>11</v>
      </c>
      <c r="U49" s="125" t="s">
        <v>11</v>
      </c>
      <c r="V49" s="125" t="s">
        <v>11</v>
      </c>
      <c r="W49" s="125" t="s">
        <v>11</v>
      </c>
      <c r="X49" s="125" t="s">
        <v>11</v>
      </c>
      <c r="Y49" s="125" t="s">
        <v>11</v>
      </c>
      <c r="Z49" s="125" t="s">
        <v>11</v>
      </c>
      <c r="AA49" s="125" t="s">
        <v>11</v>
      </c>
      <c r="AB49" s="125" t="s">
        <v>11</v>
      </c>
      <c r="AC49" s="132"/>
      <c r="AD49" s="127">
        <f t="shared" si="0"/>
        <v>0</v>
      </c>
      <c r="AE49" s="127">
        <f t="shared" si="1"/>
        <v>0</v>
      </c>
      <c r="AF49" s="127">
        <f t="shared" si="2"/>
        <v>15</v>
      </c>
      <c r="AG49" s="128" t="str" cm="1">
        <f t="array" ref="AG49">_xlfn.IFS(
SUM(AD49:AF49)=0,"Not Started",
SUM(AD49:AF49)&lt;15,"In Progress",
SUM(AD49:AF49)=15,"Completed",
SUM(AD49:AF49)&gt;15,"Error"
)</f>
        <v>Completed</v>
      </c>
    </row>
    <row r="50" spans="1:33" ht="15.5" x14ac:dyDescent="0.25">
      <c r="A50" s="270"/>
      <c r="B50" s="120" t="s">
        <v>97</v>
      </c>
      <c r="C50" s="11" t="s">
        <v>4243</v>
      </c>
      <c r="D50" s="11" t="s">
        <v>4715</v>
      </c>
      <c r="E50" s="11" t="s">
        <v>43</v>
      </c>
      <c r="F50" s="129" t="s">
        <v>48</v>
      </c>
      <c r="G50" s="121" t="s">
        <v>40</v>
      </c>
      <c r="H50" s="121" t="s">
        <v>41</v>
      </c>
      <c r="I50" s="7" t="s">
        <v>10409</v>
      </c>
      <c r="J50" s="129" t="s">
        <v>4478</v>
      </c>
      <c r="K50" s="129">
        <v>10041757932</v>
      </c>
      <c r="L50" s="130"/>
      <c r="M50" s="131"/>
      <c r="N50" s="125" t="s">
        <v>11</v>
      </c>
      <c r="O50" s="125" t="s">
        <v>11</v>
      </c>
      <c r="P50" s="125" t="s">
        <v>11</v>
      </c>
      <c r="Q50" s="125" t="s">
        <v>11</v>
      </c>
      <c r="R50" s="125" t="s">
        <v>11</v>
      </c>
      <c r="S50" s="125" t="s">
        <v>11</v>
      </c>
      <c r="T50" s="125" t="s">
        <v>11</v>
      </c>
      <c r="U50" s="125" t="s">
        <v>11</v>
      </c>
      <c r="V50" s="125" t="s">
        <v>11</v>
      </c>
      <c r="W50" s="125" t="s">
        <v>11</v>
      </c>
      <c r="X50" s="125" t="s">
        <v>11</v>
      </c>
      <c r="Y50" s="125" t="s">
        <v>11</v>
      </c>
      <c r="Z50" s="125" t="s">
        <v>11</v>
      </c>
      <c r="AA50" s="125" t="s">
        <v>11</v>
      </c>
      <c r="AB50" s="125" t="s">
        <v>11</v>
      </c>
      <c r="AC50" s="132"/>
      <c r="AD50" s="127">
        <f t="shared" si="0"/>
        <v>0</v>
      </c>
      <c r="AE50" s="127">
        <f t="shared" si="1"/>
        <v>0</v>
      </c>
      <c r="AF50" s="127">
        <f t="shared" si="2"/>
        <v>15</v>
      </c>
      <c r="AG50" s="128" t="str" cm="1">
        <f t="array" ref="AG50">_xlfn.IFS(
SUM(AD50:AF50)=0,"Not Started",
SUM(AD50:AF50)&lt;15,"In Progress",
SUM(AD50:AF50)=15,"Completed",
SUM(AD50:AF50)&gt;15,"Error"
)</f>
        <v>Completed</v>
      </c>
    </row>
    <row r="51" spans="1:33" ht="15.5" x14ac:dyDescent="0.25">
      <c r="A51" s="270"/>
      <c r="B51" s="120" t="s">
        <v>98</v>
      </c>
      <c r="C51" s="11" t="s">
        <v>4244</v>
      </c>
      <c r="D51" s="11" t="s">
        <v>4716</v>
      </c>
      <c r="E51" s="11" t="s">
        <v>43</v>
      </c>
      <c r="F51" s="129" t="s">
        <v>48</v>
      </c>
      <c r="G51" s="121" t="s">
        <v>40</v>
      </c>
      <c r="H51" s="121" t="s">
        <v>41</v>
      </c>
      <c r="I51" s="7" t="s">
        <v>10410</v>
      </c>
      <c r="J51" s="129" t="s">
        <v>4479</v>
      </c>
      <c r="K51" s="129" t="s">
        <v>4480</v>
      </c>
      <c r="L51" s="130"/>
      <c r="M51" s="131"/>
      <c r="N51" s="125" t="s">
        <v>11</v>
      </c>
      <c r="O51" s="125" t="s">
        <v>11</v>
      </c>
      <c r="P51" s="125" t="s">
        <v>11</v>
      </c>
      <c r="Q51" s="125" t="s">
        <v>11</v>
      </c>
      <c r="R51" s="125" t="s">
        <v>11</v>
      </c>
      <c r="S51" s="125" t="s">
        <v>11</v>
      </c>
      <c r="T51" s="125" t="s">
        <v>11</v>
      </c>
      <c r="U51" s="125" t="s">
        <v>11</v>
      </c>
      <c r="V51" s="125" t="s">
        <v>11</v>
      </c>
      <c r="W51" s="125" t="s">
        <v>11</v>
      </c>
      <c r="X51" s="125" t="s">
        <v>11</v>
      </c>
      <c r="Y51" s="125" t="s">
        <v>11</v>
      </c>
      <c r="Z51" s="125" t="s">
        <v>11</v>
      </c>
      <c r="AA51" s="125" t="s">
        <v>11</v>
      </c>
      <c r="AB51" s="125" t="s">
        <v>11</v>
      </c>
      <c r="AC51" s="132"/>
      <c r="AD51" s="127">
        <f t="shared" si="0"/>
        <v>0</v>
      </c>
      <c r="AE51" s="127">
        <f t="shared" si="1"/>
        <v>0</v>
      </c>
      <c r="AF51" s="127">
        <f t="shared" si="2"/>
        <v>15</v>
      </c>
      <c r="AG51" s="128" t="str" cm="1">
        <f t="array" ref="AG51">_xlfn.IFS(
SUM(AD51:AF51)=0,"Not Started",
SUM(AD51:AF51)&lt;15,"In Progress",
SUM(AD51:AF51)=15,"Completed",
SUM(AD51:AF51)&gt;15,"Error"
)</f>
        <v>Completed</v>
      </c>
    </row>
    <row r="52" spans="1:33" ht="15.5" x14ac:dyDescent="0.25">
      <c r="A52" s="270"/>
      <c r="B52" s="120" t="s">
        <v>99</v>
      </c>
      <c r="C52" s="11" t="s">
        <v>4245</v>
      </c>
      <c r="D52" s="11" t="s">
        <v>4717</v>
      </c>
      <c r="E52" s="11" t="s">
        <v>51</v>
      </c>
      <c r="F52" s="129" t="s">
        <v>48</v>
      </c>
      <c r="G52" s="121" t="s">
        <v>40</v>
      </c>
      <c r="H52" s="121" t="s">
        <v>41</v>
      </c>
      <c r="I52" s="7" t="s">
        <v>10411</v>
      </c>
      <c r="J52" s="129" t="s">
        <v>4481</v>
      </c>
      <c r="K52" s="129" t="s">
        <v>4482</v>
      </c>
      <c r="L52" s="130"/>
      <c r="M52" s="131"/>
      <c r="N52" s="125" t="s">
        <v>11</v>
      </c>
      <c r="O52" s="125" t="s">
        <v>11</v>
      </c>
      <c r="P52" s="125" t="s">
        <v>11</v>
      </c>
      <c r="Q52" s="125" t="s">
        <v>11</v>
      </c>
      <c r="R52" s="125" t="s">
        <v>11</v>
      </c>
      <c r="S52" s="125" t="s">
        <v>11</v>
      </c>
      <c r="T52" s="125" t="s">
        <v>11</v>
      </c>
      <c r="U52" s="125" t="s">
        <v>11</v>
      </c>
      <c r="V52" s="125" t="s">
        <v>11</v>
      </c>
      <c r="W52" s="125" t="s">
        <v>11</v>
      </c>
      <c r="X52" s="125" t="s">
        <v>11</v>
      </c>
      <c r="Y52" s="125" t="s">
        <v>11</v>
      </c>
      <c r="Z52" s="125" t="s">
        <v>11</v>
      </c>
      <c r="AA52" s="125" t="s">
        <v>11</v>
      </c>
      <c r="AB52" s="125" t="s">
        <v>11</v>
      </c>
      <c r="AC52" s="132"/>
      <c r="AD52" s="127">
        <f t="shared" si="0"/>
        <v>0</v>
      </c>
      <c r="AE52" s="127">
        <f t="shared" si="1"/>
        <v>0</v>
      </c>
      <c r="AF52" s="127">
        <f t="shared" si="2"/>
        <v>15</v>
      </c>
      <c r="AG52" s="128" t="str" cm="1">
        <f t="array" ref="AG52">_xlfn.IFS(
SUM(AD52:AF52)=0,"Not Started",
SUM(AD52:AF52)&lt;15,"In Progress",
SUM(AD52:AF52)=15,"Completed",
SUM(AD52:AF52)&gt;15,"Error"
)</f>
        <v>Completed</v>
      </c>
    </row>
    <row r="53" spans="1:33" ht="15.5" x14ac:dyDescent="0.25">
      <c r="A53" s="270"/>
      <c r="B53" s="120" t="s">
        <v>100</v>
      </c>
      <c r="C53" s="11" t="s">
        <v>4246</v>
      </c>
      <c r="D53" s="11" t="s">
        <v>4718</v>
      </c>
      <c r="E53" s="11" t="s">
        <v>43</v>
      </c>
      <c r="F53" s="129" t="s">
        <v>48</v>
      </c>
      <c r="G53" s="121" t="s">
        <v>40</v>
      </c>
      <c r="H53" s="121" t="s">
        <v>41</v>
      </c>
      <c r="I53" s="7" t="s">
        <v>10412</v>
      </c>
      <c r="J53" s="129" t="s">
        <v>4483</v>
      </c>
      <c r="K53" s="129">
        <v>10105885044</v>
      </c>
      <c r="L53" s="130"/>
      <c r="M53" s="131"/>
      <c r="N53" s="125" t="s">
        <v>11</v>
      </c>
      <c r="O53" s="125" t="s">
        <v>11</v>
      </c>
      <c r="P53" s="125" t="s">
        <v>11</v>
      </c>
      <c r="Q53" s="125" t="s">
        <v>11</v>
      </c>
      <c r="R53" s="125" t="s">
        <v>11</v>
      </c>
      <c r="S53" s="125" t="s">
        <v>11</v>
      </c>
      <c r="T53" s="125" t="s">
        <v>11</v>
      </c>
      <c r="U53" s="125" t="s">
        <v>11</v>
      </c>
      <c r="V53" s="125" t="s">
        <v>11</v>
      </c>
      <c r="W53" s="125" t="s">
        <v>11</v>
      </c>
      <c r="X53" s="125" t="s">
        <v>11</v>
      </c>
      <c r="Y53" s="125" t="s">
        <v>11</v>
      </c>
      <c r="Z53" s="125" t="s">
        <v>11</v>
      </c>
      <c r="AA53" s="125" t="s">
        <v>11</v>
      </c>
      <c r="AB53" s="125" t="s">
        <v>11</v>
      </c>
      <c r="AC53" s="132"/>
      <c r="AD53" s="127">
        <f t="shared" si="0"/>
        <v>0</v>
      </c>
      <c r="AE53" s="127">
        <f t="shared" si="1"/>
        <v>0</v>
      </c>
      <c r="AF53" s="127">
        <f t="shared" si="2"/>
        <v>15</v>
      </c>
      <c r="AG53" s="128" t="str" cm="1">
        <f t="array" ref="AG53">_xlfn.IFS(
SUM(AD53:AF53)=0,"Not Started",
SUM(AD53:AF53)&lt;15,"In Progress",
SUM(AD53:AF53)=15,"Completed",
SUM(AD53:AF53)&gt;15,"Error"
)</f>
        <v>Completed</v>
      </c>
    </row>
    <row r="54" spans="1:33" ht="15.5" x14ac:dyDescent="0.25">
      <c r="A54" s="270"/>
      <c r="B54" s="120" t="s">
        <v>101</v>
      </c>
      <c r="C54" s="11" t="s">
        <v>4247</v>
      </c>
      <c r="D54" s="11" t="s">
        <v>4719</v>
      </c>
      <c r="E54" s="11" t="s">
        <v>47</v>
      </c>
      <c r="F54" s="129" t="s">
        <v>48</v>
      </c>
      <c r="G54" s="121" t="s">
        <v>40</v>
      </c>
      <c r="H54" s="121" t="s">
        <v>41</v>
      </c>
      <c r="I54" s="7" t="s">
        <v>10413</v>
      </c>
      <c r="J54" s="129" t="s">
        <v>4484</v>
      </c>
      <c r="K54" s="129" t="s">
        <v>4485</v>
      </c>
      <c r="L54" s="130"/>
      <c r="M54" s="131"/>
      <c r="N54" s="125" t="s">
        <v>11</v>
      </c>
      <c r="O54" s="125" t="s">
        <v>11</v>
      </c>
      <c r="P54" s="125" t="s">
        <v>11</v>
      </c>
      <c r="Q54" s="125" t="s">
        <v>11</v>
      </c>
      <c r="R54" s="125" t="s">
        <v>11</v>
      </c>
      <c r="S54" s="125" t="s">
        <v>11</v>
      </c>
      <c r="T54" s="125" t="s">
        <v>11</v>
      </c>
      <c r="U54" s="125" t="s">
        <v>11</v>
      </c>
      <c r="V54" s="125" t="s">
        <v>11</v>
      </c>
      <c r="W54" s="125" t="s">
        <v>11</v>
      </c>
      <c r="X54" s="125" t="s">
        <v>11</v>
      </c>
      <c r="Y54" s="125" t="s">
        <v>11</v>
      </c>
      <c r="Z54" s="125" t="s">
        <v>11</v>
      </c>
      <c r="AA54" s="125" t="s">
        <v>11</v>
      </c>
      <c r="AB54" s="125" t="s">
        <v>11</v>
      </c>
      <c r="AC54" s="132"/>
      <c r="AD54" s="127">
        <f t="shared" si="0"/>
        <v>0</v>
      </c>
      <c r="AE54" s="127">
        <f t="shared" si="1"/>
        <v>0</v>
      </c>
      <c r="AF54" s="127">
        <f t="shared" si="2"/>
        <v>15</v>
      </c>
      <c r="AG54" s="128" t="str" cm="1">
        <f t="array" ref="AG54">_xlfn.IFS(
SUM(AD54:AF54)=0,"Not Started",
SUM(AD54:AF54)&lt;15,"In Progress",
SUM(AD54:AF54)=15,"Completed",
SUM(AD54:AF54)&gt;15,"Error"
)</f>
        <v>Completed</v>
      </c>
    </row>
    <row r="55" spans="1:33" ht="15.5" x14ac:dyDescent="0.25">
      <c r="A55" s="270"/>
      <c r="B55" s="120" t="s">
        <v>102</v>
      </c>
      <c r="C55" s="11" t="s">
        <v>4248</v>
      </c>
      <c r="D55" s="11" t="s">
        <v>4720</v>
      </c>
      <c r="E55" s="11" t="s">
        <v>43</v>
      </c>
      <c r="F55" s="129" t="s">
        <v>48</v>
      </c>
      <c r="G55" s="121" t="s">
        <v>40</v>
      </c>
      <c r="H55" s="121" t="s">
        <v>41</v>
      </c>
      <c r="I55" s="7" t="s">
        <v>10414</v>
      </c>
      <c r="J55" s="129" t="s">
        <v>4486</v>
      </c>
      <c r="K55" s="129" t="s">
        <v>4487</v>
      </c>
      <c r="L55" s="130"/>
      <c r="M55" s="131"/>
      <c r="N55" s="125" t="s">
        <v>11</v>
      </c>
      <c r="O55" s="125" t="s">
        <v>11</v>
      </c>
      <c r="P55" s="125" t="s">
        <v>11</v>
      </c>
      <c r="Q55" s="125" t="s">
        <v>11</v>
      </c>
      <c r="R55" s="125" t="s">
        <v>11</v>
      </c>
      <c r="S55" s="125" t="s">
        <v>11</v>
      </c>
      <c r="T55" s="125" t="s">
        <v>11</v>
      </c>
      <c r="U55" s="125" t="s">
        <v>11</v>
      </c>
      <c r="V55" s="125" t="s">
        <v>11</v>
      </c>
      <c r="W55" s="125" t="s">
        <v>11</v>
      </c>
      <c r="X55" s="125" t="s">
        <v>11</v>
      </c>
      <c r="Y55" s="125" t="s">
        <v>11</v>
      </c>
      <c r="Z55" s="125" t="s">
        <v>11</v>
      </c>
      <c r="AA55" s="125" t="s">
        <v>11</v>
      </c>
      <c r="AB55" s="125" t="s">
        <v>11</v>
      </c>
      <c r="AC55" s="132"/>
      <c r="AD55" s="127">
        <f t="shared" si="0"/>
        <v>0</v>
      </c>
      <c r="AE55" s="127">
        <f t="shared" si="1"/>
        <v>0</v>
      </c>
      <c r="AF55" s="127">
        <f t="shared" si="2"/>
        <v>15</v>
      </c>
      <c r="AG55" s="128" t="str" cm="1">
        <f t="array" ref="AG55">_xlfn.IFS(
SUM(AD55:AF55)=0,"Not Started",
SUM(AD55:AF55)&lt;15,"In Progress",
SUM(AD55:AF55)=15,"Completed",
SUM(AD55:AF55)&gt;15,"Error"
)</f>
        <v>Completed</v>
      </c>
    </row>
    <row r="56" spans="1:33" ht="15.5" x14ac:dyDescent="0.25">
      <c r="A56" s="270"/>
      <c r="B56" s="120" t="s">
        <v>103</v>
      </c>
      <c r="C56" s="11" t="s">
        <v>4249</v>
      </c>
      <c r="D56" s="11" t="s">
        <v>4721</v>
      </c>
      <c r="E56" s="11" t="s">
        <v>43</v>
      </c>
      <c r="F56" s="129" t="s">
        <v>48</v>
      </c>
      <c r="G56" s="121" t="s">
        <v>40</v>
      </c>
      <c r="H56" s="121" t="s">
        <v>41</v>
      </c>
      <c r="I56" s="7" t="s">
        <v>10415</v>
      </c>
      <c r="J56" s="129" t="s">
        <v>4488</v>
      </c>
      <c r="K56" s="129" t="s">
        <v>4489</v>
      </c>
      <c r="L56" s="130"/>
      <c r="M56" s="131"/>
      <c r="N56" s="125" t="s">
        <v>11</v>
      </c>
      <c r="O56" s="125" t="s">
        <v>11</v>
      </c>
      <c r="P56" s="125" t="s">
        <v>11</v>
      </c>
      <c r="Q56" s="125" t="s">
        <v>11</v>
      </c>
      <c r="R56" s="125" t="s">
        <v>11</v>
      </c>
      <c r="S56" s="125" t="s">
        <v>11</v>
      </c>
      <c r="T56" s="125" t="s">
        <v>11</v>
      </c>
      <c r="U56" s="125" t="s">
        <v>11</v>
      </c>
      <c r="V56" s="125" t="s">
        <v>11</v>
      </c>
      <c r="W56" s="125" t="s">
        <v>11</v>
      </c>
      <c r="X56" s="125" t="s">
        <v>11</v>
      </c>
      <c r="Y56" s="125" t="s">
        <v>11</v>
      </c>
      <c r="Z56" s="125" t="s">
        <v>11</v>
      </c>
      <c r="AA56" s="125" t="s">
        <v>11</v>
      </c>
      <c r="AB56" s="125" t="s">
        <v>11</v>
      </c>
      <c r="AC56" s="132"/>
      <c r="AD56" s="127">
        <f t="shared" si="0"/>
        <v>0</v>
      </c>
      <c r="AE56" s="127">
        <f t="shared" si="1"/>
        <v>0</v>
      </c>
      <c r="AF56" s="127">
        <f t="shared" si="2"/>
        <v>15</v>
      </c>
      <c r="AG56" s="128" t="str" cm="1">
        <f t="array" ref="AG56">_xlfn.IFS(
SUM(AD56:AF56)=0,"Not Started",
SUM(AD56:AF56)&lt;15,"In Progress",
SUM(AD56:AF56)=15,"Completed",
SUM(AD56:AF56)&gt;15,"Error"
)</f>
        <v>Completed</v>
      </c>
    </row>
    <row r="57" spans="1:33" ht="15.5" x14ac:dyDescent="0.25">
      <c r="A57" s="270"/>
      <c r="B57" s="120" t="s">
        <v>104</v>
      </c>
      <c r="C57" s="11" t="s">
        <v>4250</v>
      </c>
      <c r="D57" s="11" t="s">
        <v>4722</v>
      </c>
      <c r="E57" s="11" t="s">
        <v>43</v>
      </c>
      <c r="F57" s="129" t="s">
        <v>48</v>
      </c>
      <c r="G57" s="121" t="s">
        <v>40</v>
      </c>
      <c r="H57" s="121" t="s">
        <v>41</v>
      </c>
      <c r="I57" s="7" t="s">
        <v>10416</v>
      </c>
      <c r="J57" s="129" t="s">
        <v>4490</v>
      </c>
      <c r="K57" s="129" t="s">
        <v>4491</v>
      </c>
      <c r="L57" s="130"/>
      <c r="M57" s="131"/>
      <c r="N57" s="125" t="s">
        <v>11</v>
      </c>
      <c r="O57" s="125" t="s">
        <v>11</v>
      </c>
      <c r="P57" s="125" t="s">
        <v>11</v>
      </c>
      <c r="Q57" s="125" t="s">
        <v>11</v>
      </c>
      <c r="R57" s="125" t="s">
        <v>11</v>
      </c>
      <c r="S57" s="125" t="s">
        <v>11</v>
      </c>
      <c r="T57" s="125" t="s">
        <v>11</v>
      </c>
      <c r="U57" s="125" t="s">
        <v>11</v>
      </c>
      <c r="V57" s="125" t="s">
        <v>11</v>
      </c>
      <c r="W57" s="125" t="s">
        <v>11</v>
      </c>
      <c r="X57" s="125" t="s">
        <v>11</v>
      </c>
      <c r="Y57" s="125" t="s">
        <v>11</v>
      </c>
      <c r="Z57" s="125" t="s">
        <v>11</v>
      </c>
      <c r="AA57" s="125" t="s">
        <v>11</v>
      </c>
      <c r="AB57" s="125" t="s">
        <v>11</v>
      </c>
      <c r="AC57" s="132"/>
      <c r="AD57" s="127">
        <f t="shared" si="0"/>
        <v>0</v>
      </c>
      <c r="AE57" s="127">
        <f t="shared" si="1"/>
        <v>0</v>
      </c>
      <c r="AF57" s="127">
        <f t="shared" si="2"/>
        <v>15</v>
      </c>
      <c r="AG57" s="128" t="str" cm="1">
        <f t="array" ref="AG57">_xlfn.IFS(
SUM(AD57:AF57)=0,"Not Started",
SUM(AD57:AF57)&lt;15,"In Progress",
SUM(AD57:AF57)=15,"Completed",
SUM(AD57:AF57)&gt;15,"Error"
)</f>
        <v>Completed</v>
      </c>
    </row>
    <row r="58" spans="1:33" ht="15.5" x14ac:dyDescent="0.25">
      <c r="A58" s="270"/>
      <c r="B58" s="120" t="s">
        <v>105</v>
      </c>
      <c r="C58" s="11" t="s">
        <v>4251</v>
      </c>
      <c r="D58" s="11" t="s">
        <v>4723</v>
      </c>
      <c r="E58" s="11" t="s">
        <v>43</v>
      </c>
      <c r="F58" s="129" t="s">
        <v>44</v>
      </c>
      <c r="G58" s="121" t="s">
        <v>40</v>
      </c>
      <c r="H58" s="121" t="s">
        <v>41</v>
      </c>
      <c r="I58" s="7" t="s">
        <v>10417</v>
      </c>
      <c r="J58" s="129" t="s">
        <v>4492</v>
      </c>
      <c r="K58" s="129" t="s">
        <v>4493</v>
      </c>
      <c r="L58" s="130"/>
      <c r="M58" s="131"/>
      <c r="N58" s="125" t="s">
        <v>11</v>
      </c>
      <c r="O58" s="125" t="s">
        <v>11</v>
      </c>
      <c r="P58" s="125" t="s">
        <v>11</v>
      </c>
      <c r="Q58" s="125" t="s">
        <v>11</v>
      </c>
      <c r="R58" s="125" t="s">
        <v>11</v>
      </c>
      <c r="S58" s="125" t="s">
        <v>11</v>
      </c>
      <c r="T58" s="125" t="s">
        <v>11</v>
      </c>
      <c r="U58" s="125" t="s">
        <v>11</v>
      </c>
      <c r="V58" s="125" t="s">
        <v>11</v>
      </c>
      <c r="W58" s="125" t="s">
        <v>11</v>
      </c>
      <c r="X58" s="125" t="s">
        <v>11</v>
      </c>
      <c r="Y58" s="125" t="s">
        <v>11</v>
      </c>
      <c r="Z58" s="125" t="s">
        <v>11</v>
      </c>
      <c r="AA58" s="125" t="s">
        <v>11</v>
      </c>
      <c r="AB58" s="125" t="s">
        <v>11</v>
      </c>
      <c r="AC58" s="132"/>
      <c r="AD58" s="127">
        <f t="shared" si="0"/>
        <v>0</v>
      </c>
      <c r="AE58" s="127">
        <f t="shared" si="1"/>
        <v>0</v>
      </c>
      <c r="AF58" s="127">
        <f t="shared" si="2"/>
        <v>15</v>
      </c>
      <c r="AG58" s="128" t="str" cm="1">
        <f t="array" ref="AG58">_xlfn.IFS(
SUM(AD58:AF58)=0,"Not Started",
SUM(AD58:AF58)&lt;15,"In Progress",
SUM(AD58:AF58)=15,"Completed",
SUM(AD58:AF58)&gt;15,"Error"
)</f>
        <v>Completed</v>
      </c>
    </row>
    <row r="59" spans="1:33" ht="15.5" x14ac:dyDescent="0.25">
      <c r="A59" s="270"/>
      <c r="B59" s="120" t="s">
        <v>106</v>
      </c>
      <c r="C59" s="11" t="s">
        <v>4252</v>
      </c>
      <c r="D59" s="11" t="s">
        <v>4724</v>
      </c>
      <c r="E59" s="11" t="s">
        <v>43</v>
      </c>
      <c r="F59" s="129" t="s">
        <v>48</v>
      </c>
      <c r="G59" s="121" t="s">
        <v>40</v>
      </c>
      <c r="H59" s="121" t="s">
        <v>41</v>
      </c>
      <c r="I59" s="7" t="s">
        <v>10418</v>
      </c>
      <c r="J59" s="129" t="s">
        <v>4494</v>
      </c>
      <c r="K59" s="129">
        <v>10041170145</v>
      </c>
      <c r="L59" s="130"/>
      <c r="M59" s="131"/>
      <c r="N59" s="125" t="s">
        <v>11</v>
      </c>
      <c r="O59" s="125" t="s">
        <v>11</v>
      </c>
      <c r="P59" s="125" t="s">
        <v>11</v>
      </c>
      <c r="Q59" s="125" t="s">
        <v>11</v>
      </c>
      <c r="R59" s="125" t="s">
        <v>11</v>
      </c>
      <c r="S59" s="125" t="s">
        <v>11</v>
      </c>
      <c r="T59" s="125" t="s">
        <v>11</v>
      </c>
      <c r="U59" s="125" t="s">
        <v>11</v>
      </c>
      <c r="V59" s="125" t="s">
        <v>11</v>
      </c>
      <c r="W59" s="125" t="s">
        <v>11</v>
      </c>
      <c r="X59" s="125" t="s">
        <v>11</v>
      </c>
      <c r="Y59" s="125" t="s">
        <v>11</v>
      </c>
      <c r="Z59" s="125" t="s">
        <v>11</v>
      </c>
      <c r="AA59" s="125" t="s">
        <v>11</v>
      </c>
      <c r="AB59" s="125" t="s">
        <v>11</v>
      </c>
      <c r="AC59" s="132"/>
      <c r="AD59" s="127">
        <f t="shared" si="0"/>
        <v>0</v>
      </c>
      <c r="AE59" s="127">
        <f t="shared" si="1"/>
        <v>0</v>
      </c>
      <c r="AF59" s="127">
        <f t="shared" si="2"/>
        <v>15</v>
      </c>
      <c r="AG59" s="128" t="str" cm="1">
        <f t="array" ref="AG59">_xlfn.IFS(
SUM(AD59:AF59)=0,"Not Started",
SUM(AD59:AF59)&lt;15,"In Progress",
SUM(AD59:AF59)=15,"Completed",
SUM(AD59:AF59)&gt;15,"Error"
)</f>
        <v>Completed</v>
      </c>
    </row>
    <row r="60" spans="1:33" ht="15.5" x14ac:dyDescent="0.25">
      <c r="A60" s="270"/>
      <c r="B60" s="120" t="s">
        <v>107</v>
      </c>
      <c r="C60" s="11" t="s">
        <v>4253</v>
      </c>
      <c r="D60" s="11" t="s">
        <v>4725</v>
      </c>
      <c r="E60" s="11" t="s">
        <v>51</v>
      </c>
      <c r="F60" s="129" t="s">
        <v>48</v>
      </c>
      <c r="G60" s="121" t="s">
        <v>40</v>
      </c>
      <c r="H60" s="121" t="s">
        <v>41</v>
      </c>
      <c r="I60" s="7" t="s">
        <v>10419</v>
      </c>
      <c r="J60" s="129" t="s">
        <v>4495</v>
      </c>
      <c r="K60" s="129">
        <v>10041716878</v>
      </c>
      <c r="L60" s="130"/>
      <c r="M60" s="131"/>
      <c r="N60" s="125" t="s">
        <v>11</v>
      </c>
      <c r="O60" s="125" t="s">
        <v>11</v>
      </c>
      <c r="P60" s="125" t="s">
        <v>11</v>
      </c>
      <c r="Q60" s="125" t="s">
        <v>11</v>
      </c>
      <c r="R60" s="125" t="s">
        <v>11</v>
      </c>
      <c r="S60" s="125" t="s">
        <v>11</v>
      </c>
      <c r="T60" s="125" t="s">
        <v>11</v>
      </c>
      <c r="U60" s="125" t="s">
        <v>11</v>
      </c>
      <c r="V60" s="125" t="s">
        <v>11</v>
      </c>
      <c r="W60" s="125" t="s">
        <v>11</v>
      </c>
      <c r="X60" s="125" t="s">
        <v>11</v>
      </c>
      <c r="Y60" s="125" t="s">
        <v>11</v>
      </c>
      <c r="Z60" s="125" t="s">
        <v>11</v>
      </c>
      <c r="AA60" s="125" t="s">
        <v>11</v>
      </c>
      <c r="AB60" s="125" t="s">
        <v>11</v>
      </c>
      <c r="AC60" s="132"/>
      <c r="AD60" s="127">
        <f t="shared" si="0"/>
        <v>0</v>
      </c>
      <c r="AE60" s="127">
        <f t="shared" si="1"/>
        <v>0</v>
      </c>
      <c r="AF60" s="127">
        <f t="shared" si="2"/>
        <v>15</v>
      </c>
      <c r="AG60" s="128" t="str" cm="1">
        <f t="array" ref="AG60">_xlfn.IFS(
SUM(AD60:AF60)=0,"Not Started",
SUM(AD60:AF60)&lt;15,"In Progress",
SUM(AD60:AF60)=15,"Completed",
SUM(AD60:AF60)&gt;15,"Error"
)</f>
        <v>Completed</v>
      </c>
    </row>
    <row r="61" spans="1:33" ht="15.5" x14ac:dyDescent="0.25">
      <c r="A61" s="270"/>
      <c r="B61" s="120" t="s">
        <v>108</v>
      </c>
      <c r="C61" s="11" t="s">
        <v>4254</v>
      </c>
      <c r="D61" s="11" t="s">
        <v>4726</v>
      </c>
      <c r="E61" s="11" t="s">
        <v>43</v>
      </c>
      <c r="F61" s="129"/>
      <c r="G61" s="121" t="s">
        <v>40</v>
      </c>
      <c r="H61" s="121" t="s">
        <v>41</v>
      </c>
      <c r="I61" s="7" t="s">
        <v>10420</v>
      </c>
      <c r="J61" s="129" t="s">
        <v>4496</v>
      </c>
      <c r="K61" s="129" t="s">
        <v>4497</v>
      </c>
      <c r="L61" s="130"/>
      <c r="M61" s="131"/>
      <c r="N61" s="125" t="s">
        <v>11</v>
      </c>
      <c r="O61" s="125" t="s">
        <v>11</v>
      </c>
      <c r="P61" s="125" t="s">
        <v>11</v>
      </c>
      <c r="Q61" s="125" t="s">
        <v>11</v>
      </c>
      <c r="R61" s="125" t="s">
        <v>11</v>
      </c>
      <c r="S61" s="125" t="s">
        <v>11</v>
      </c>
      <c r="T61" s="125" t="s">
        <v>11</v>
      </c>
      <c r="U61" s="125" t="s">
        <v>11</v>
      </c>
      <c r="V61" s="125" t="s">
        <v>11</v>
      </c>
      <c r="W61" s="125" t="s">
        <v>11</v>
      </c>
      <c r="X61" s="125" t="s">
        <v>11</v>
      </c>
      <c r="Y61" s="125" t="s">
        <v>11</v>
      </c>
      <c r="Z61" s="125" t="s">
        <v>11</v>
      </c>
      <c r="AA61" s="125" t="s">
        <v>11</v>
      </c>
      <c r="AB61" s="125" t="s">
        <v>11</v>
      </c>
      <c r="AC61" s="132"/>
      <c r="AD61" s="127">
        <f t="shared" si="0"/>
        <v>0</v>
      </c>
      <c r="AE61" s="127">
        <f t="shared" si="1"/>
        <v>0</v>
      </c>
      <c r="AF61" s="127">
        <f t="shared" si="2"/>
        <v>15</v>
      </c>
      <c r="AG61" s="128" t="str" cm="1">
        <f t="array" ref="AG61">_xlfn.IFS(
SUM(AD61:AF61)=0,"Not Started",
SUM(AD61:AF61)&lt;15,"In Progress",
SUM(AD61:AF61)=15,"Completed",
SUM(AD61:AF61)&gt;15,"Error"
)</f>
        <v>Completed</v>
      </c>
    </row>
    <row r="62" spans="1:33" ht="15.5" x14ac:dyDescent="0.25">
      <c r="A62" s="270"/>
      <c r="B62" s="120" t="s">
        <v>109</v>
      </c>
      <c r="C62" s="11" t="s">
        <v>4255</v>
      </c>
      <c r="D62" s="11" t="s">
        <v>4727</v>
      </c>
      <c r="E62" s="11"/>
      <c r="F62" s="129"/>
      <c r="G62" s="121" t="s">
        <v>40</v>
      </c>
      <c r="H62" s="121" t="s">
        <v>41</v>
      </c>
      <c r="I62" s="7" t="s">
        <v>10421</v>
      </c>
      <c r="J62" s="129" t="s">
        <v>4498</v>
      </c>
      <c r="K62" s="129">
        <v>10041773060</v>
      </c>
      <c r="L62" s="130"/>
      <c r="M62" s="131"/>
      <c r="N62" s="125" t="s">
        <v>11</v>
      </c>
      <c r="O62" s="125" t="s">
        <v>11</v>
      </c>
      <c r="P62" s="125" t="s">
        <v>11</v>
      </c>
      <c r="Q62" s="125" t="s">
        <v>11</v>
      </c>
      <c r="R62" s="125" t="s">
        <v>11</v>
      </c>
      <c r="S62" s="125" t="s">
        <v>11</v>
      </c>
      <c r="T62" s="125" t="s">
        <v>11</v>
      </c>
      <c r="U62" s="125" t="s">
        <v>11</v>
      </c>
      <c r="V62" s="125" t="s">
        <v>11</v>
      </c>
      <c r="W62" s="125" t="s">
        <v>11</v>
      </c>
      <c r="X62" s="125" t="s">
        <v>11</v>
      </c>
      <c r="Y62" s="125" t="s">
        <v>11</v>
      </c>
      <c r="Z62" s="125" t="s">
        <v>11</v>
      </c>
      <c r="AA62" s="125" t="s">
        <v>11</v>
      </c>
      <c r="AB62" s="125" t="s">
        <v>11</v>
      </c>
      <c r="AC62" s="132"/>
      <c r="AD62" s="127">
        <f t="shared" si="0"/>
        <v>0</v>
      </c>
      <c r="AE62" s="127">
        <f t="shared" si="1"/>
        <v>0</v>
      </c>
      <c r="AF62" s="127">
        <f t="shared" si="2"/>
        <v>15</v>
      </c>
      <c r="AG62" s="128" t="str" cm="1">
        <f t="array" ref="AG62">_xlfn.IFS(
SUM(AD62:AF62)=0,"Not Started",
SUM(AD62:AF62)&lt;15,"In Progress",
SUM(AD62:AF62)=15,"Completed",
SUM(AD62:AF62)&gt;15,"Error"
)</f>
        <v>Completed</v>
      </c>
    </row>
    <row r="63" spans="1:33" ht="15.5" x14ac:dyDescent="0.25">
      <c r="A63" s="270"/>
      <c r="B63" s="120" t="s">
        <v>110</v>
      </c>
      <c r="C63" s="11" t="s">
        <v>4256</v>
      </c>
      <c r="D63" s="11" t="s">
        <v>4728</v>
      </c>
      <c r="E63" s="11"/>
      <c r="F63" s="129"/>
      <c r="G63" s="121" t="s">
        <v>40</v>
      </c>
      <c r="H63" s="121" t="s">
        <v>41</v>
      </c>
      <c r="I63" s="7" t="s">
        <v>10422</v>
      </c>
      <c r="J63" s="129" t="s">
        <v>4499</v>
      </c>
      <c r="K63" s="129" t="s">
        <v>4500</v>
      </c>
      <c r="L63" s="130"/>
      <c r="M63" s="131"/>
      <c r="N63" s="125" t="s">
        <v>11</v>
      </c>
      <c r="O63" s="125" t="s">
        <v>11</v>
      </c>
      <c r="P63" s="125" t="s">
        <v>11</v>
      </c>
      <c r="Q63" s="125" t="s">
        <v>11</v>
      </c>
      <c r="R63" s="125" t="s">
        <v>11</v>
      </c>
      <c r="S63" s="125" t="s">
        <v>11</v>
      </c>
      <c r="T63" s="125" t="s">
        <v>11</v>
      </c>
      <c r="U63" s="125" t="s">
        <v>11</v>
      </c>
      <c r="V63" s="125" t="s">
        <v>11</v>
      </c>
      <c r="W63" s="125" t="s">
        <v>11</v>
      </c>
      <c r="X63" s="125" t="s">
        <v>11</v>
      </c>
      <c r="Y63" s="125" t="s">
        <v>11</v>
      </c>
      <c r="Z63" s="125" t="s">
        <v>11</v>
      </c>
      <c r="AA63" s="125" t="s">
        <v>11</v>
      </c>
      <c r="AB63" s="125" t="s">
        <v>11</v>
      </c>
      <c r="AC63" s="132"/>
      <c r="AD63" s="127">
        <f t="shared" si="0"/>
        <v>0</v>
      </c>
      <c r="AE63" s="127">
        <f t="shared" si="1"/>
        <v>0</v>
      </c>
      <c r="AF63" s="127">
        <f t="shared" si="2"/>
        <v>15</v>
      </c>
      <c r="AG63" s="128" t="str" cm="1">
        <f t="array" ref="AG63">_xlfn.IFS(
SUM(AD63:AF63)=0,"Not Started",
SUM(AD63:AF63)&lt;15,"In Progress",
SUM(AD63:AF63)=15,"Completed",
SUM(AD63:AF63)&gt;15,"Error"
)</f>
        <v>Completed</v>
      </c>
    </row>
    <row r="64" spans="1:33" ht="15.5" x14ac:dyDescent="0.25">
      <c r="A64" s="270"/>
      <c r="B64" s="120" t="s">
        <v>111</v>
      </c>
      <c r="C64" s="11" t="s">
        <v>4257</v>
      </c>
      <c r="D64" s="11" t="s">
        <v>4729</v>
      </c>
      <c r="E64" s="11" t="s">
        <v>43</v>
      </c>
      <c r="F64" s="129"/>
      <c r="G64" s="121" t="s">
        <v>40</v>
      </c>
      <c r="H64" s="121" t="s">
        <v>41</v>
      </c>
      <c r="I64" s="7" t="s">
        <v>10423</v>
      </c>
      <c r="J64" s="129" t="s">
        <v>4501</v>
      </c>
      <c r="K64" s="129">
        <v>10041287649</v>
      </c>
      <c r="L64" s="130"/>
      <c r="M64" s="131"/>
      <c r="N64" s="125" t="s">
        <v>11</v>
      </c>
      <c r="O64" s="125" t="s">
        <v>11</v>
      </c>
      <c r="P64" s="125" t="s">
        <v>11</v>
      </c>
      <c r="Q64" s="125" t="s">
        <v>11</v>
      </c>
      <c r="R64" s="125" t="s">
        <v>11</v>
      </c>
      <c r="S64" s="125" t="s">
        <v>11</v>
      </c>
      <c r="T64" s="125" t="s">
        <v>11</v>
      </c>
      <c r="U64" s="125" t="s">
        <v>11</v>
      </c>
      <c r="V64" s="125" t="s">
        <v>11</v>
      </c>
      <c r="W64" s="125" t="s">
        <v>11</v>
      </c>
      <c r="X64" s="125" t="s">
        <v>11</v>
      </c>
      <c r="Y64" s="125" t="s">
        <v>11</v>
      </c>
      <c r="Z64" s="125" t="s">
        <v>11</v>
      </c>
      <c r="AA64" s="125" t="s">
        <v>11</v>
      </c>
      <c r="AB64" s="125" t="s">
        <v>11</v>
      </c>
      <c r="AC64" s="132"/>
      <c r="AD64" s="127">
        <f t="shared" si="0"/>
        <v>0</v>
      </c>
      <c r="AE64" s="127">
        <f t="shared" si="1"/>
        <v>0</v>
      </c>
      <c r="AF64" s="127">
        <f t="shared" si="2"/>
        <v>15</v>
      </c>
      <c r="AG64" s="128" t="str" cm="1">
        <f t="array" ref="AG64">_xlfn.IFS(
SUM(AD64:AF64)=0,"Not Started",
SUM(AD64:AF64)&lt;15,"In Progress",
SUM(AD64:AF64)=15,"Completed",
SUM(AD64:AF64)&gt;15,"Error"
)</f>
        <v>Completed</v>
      </c>
    </row>
    <row r="65" spans="1:33" ht="15.5" x14ac:dyDescent="0.25">
      <c r="A65" s="270"/>
      <c r="B65" s="120" t="s">
        <v>112</v>
      </c>
      <c r="C65" s="11" t="s">
        <v>4258</v>
      </c>
      <c r="D65" s="11" t="s">
        <v>4730</v>
      </c>
      <c r="E65" s="11" t="s">
        <v>43</v>
      </c>
      <c r="F65" s="129"/>
      <c r="G65" s="121" t="s">
        <v>40</v>
      </c>
      <c r="H65" s="121" t="s">
        <v>41</v>
      </c>
      <c r="I65" s="7" t="s">
        <v>10424</v>
      </c>
      <c r="J65" s="129" t="s">
        <v>4502</v>
      </c>
      <c r="K65" s="129" t="s">
        <v>4503</v>
      </c>
      <c r="L65" s="130"/>
      <c r="M65" s="131"/>
      <c r="N65" s="125" t="s">
        <v>11</v>
      </c>
      <c r="O65" s="125" t="s">
        <v>11</v>
      </c>
      <c r="P65" s="125" t="s">
        <v>11</v>
      </c>
      <c r="Q65" s="125" t="s">
        <v>11</v>
      </c>
      <c r="R65" s="125" t="s">
        <v>11</v>
      </c>
      <c r="S65" s="125" t="s">
        <v>11</v>
      </c>
      <c r="T65" s="125" t="s">
        <v>11</v>
      </c>
      <c r="U65" s="125" t="s">
        <v>11</v>
      </c>
      <c r="V65" s="125" t="s">
        <v>11</v>
      </c>
      <c r="W65" s="125" t="s">
        <v>11</v>
      </c>
      <c r="X65" s="125" t="s">
        <v>11</v>
      </c>
      <c r="Y65" s="125" t="s">
        <v>11</v>
      </c>
      <c r="Z65" s="125" t="s">
        <v>11</v>
      </c>
      <c r="AA65" s="125" t="s">
        <v>11</v>
      </c>
      <c r="AB65" s="125" t="s">
        <v>11</v>
      </c>
      <c r="AC65" s="132"/>
      <c r="AD65" s="127">
        <f t="shared" si="0"/>
        <v>0</v>
      </c>
      <c r="AE65" s="127">
        <f t="shared" si="1"/>
        <v>0</v>
      </c>
      <c r="AF65" s="127">
        <f t="shared" si="2"/>
        <v>15</v>
      </c>
      <c r="AG65" s="128" t="str" cm="1">
        <f t="array" ref="AG65">_xlfn.IFS(
SUM(AD65:AF65)=0,"Not Started",
SUM(AD65:AF65)&lt;15,"In Progress",
SUM(AD65:AF65)=15,"Completed",
SUM(AD65:AF65)&gt;15,"Error"
)</f>
        <v>Completed</v>
      </c>
    </row>
    <row r="66" spans="1:33" ht="15.5" x14ac:dyDescent="0.25">
      <c r="A66" s="270"/>
      <c r="B66" s="120" t="s">
        <v>113</v>
      </c>
      <c r="C66" s="11" t="s">
        <v>4259</v>
      </c>
      <c r="D66" s="11" t="s">
        <v>4731</v>
      </c>
      <c r="E66" s="11" t="s">
        <v>43</v>
      </c>
      <c r="F66" s="129"/>
      <c r="G66" s="121" t="s">
        <v>40</v>
      </c>
      <c r="H66" s="121" t="s">
        <v>41</v>
      </c>
      <c r="I66" s="7" t="s">
        <v>10425</v>
      </c>
      <c r="J66" s="129" t="s">
        <v>4504</v>
      </c>
      <c r="K66" s="129" t="s">
        <v>4505</v>
      </c>
      <c r="L66" s="130"/>
      <c r="M66" s="131"/>
      <c r="N66" s="125" t="s">
        <v>11</v>
      </c>
      <c r="O66" s="125" t="s">
        <v>11</v>
      </c>
      <c r="P66" s="125" t="s">
        <v>11</v>
      </c>
      <c r="Q66" s="125" t="s">
        <v>11</v>
      </c>
      <c r="R66" s="125" t="s">
        <v>11</v>
      </c>
      <c r="S66" s="125" t="s">
        <v>11</v>
      </c>
      <c r="T66" s="125" t="s">
        <v>11</v>
      </c>
      <c r="U66" s="125" t="s">
        <v>11</v>
      </c>
      <c r="V66" s="125" t="s">
        <v>11</v>
      </c>
      <c r="W66" s="125" t="s">
        <v>11</v>
      </c>
      <c r="X66" s="125" t="s">
        <v>11</v>
      </c>
      <c r="Y66" s="125" t="s">
        <v>11</v>
      </c>
      <c r="Z66" s="125" t="s">
        <v>11</v>
      </c>
      <c r="AA66" s="125" t="s">
        <v>11</v>
      </c>
      <c r="AB66" s="125" t="s">
        <v>11</v>
      </c>
      <c r="AC66" s="132"/>
      <c r="AD66" s="127">
        <f t="shared" si="0"/>
        <v>0</v>
      </c>
      <c r="AE66" s="127">
        <f t="shared" si="1"/>
        <v>0</v>
      </c>
      <c r="AF66" s="127">
        <f t="shared" si="2"/>
        <v>15</v>
      </c>
      <c r="AG66" s="128" t="str" cm="1">
        <f t="array" ref="AG66">_xlfn.IFS(
SUM(AD66:AF66)=0,"Not Started",
SUM(AD66:AF66)&lt;15,"In Progress",
SUM(AD66:AF66)=15,"Completed",
SUM(AD66:AF66)&gt;15,"Error"
)</f>
        <v>Completed</v>
      </c>
    </row>
    <row r="67" spans="1:33" ht="15.5" x14ac:dyDescent="0.25">
      <c r="A67" s="270"/>
      <c r="B67" s="120" t="s">
        <v>114</v>
      </c>
      <c r="C67" s="11" t="s">
        <v>4260</v>
      </c>
      <c r="D67" s="11" t="s">
        <v>4732</v>
      </c>
      <c r="E67" s="11" t="s">
        <v>43</v>
      </c>
      <c r="F67" s="129"/>
      <c r="G67" s="121" t="s">
        <v>40</v>
      </c>
      <c r="H67" s="121" t="s">
        <v>41</v>
      </c>
      <c r="I67" s="7" t="s">
        <v>10426</v>
      </c>
      <c r="J67" s="129" t="s">
        <v>4506</v>
      </c>
      <c r="K67" s="129">
        <v>10041762665</v>
      </c>
      <c r="L67" s="130"/>
      <c r="M67" s="131"/>
      <c r="N67" s="125" t="s">
        <v>11</v>
      </c>
      <c r="O67" s="125" t="s">
        <v>11</v>
      </c>
      <c r="P67" s="125" t="s">
        <v>11</v>
      </c>
      <c r="Q67" s="125" t="s">
        <v>11</v>
      </c>
      <c r="R67" s="125" t="s">
        <v>11</v>
      </c>
      <c r="S67" s="125" t="s">
        <v>11</v>
      </c>
      <c r="T67" s="125" t="s">
        <v>11</v>
      </c>
      <c r="U67" s="125" t="s">
        <v>11</v>
      </c>
      <c r="V67" s="125" t="s">
        <v>11</v>
      </c>
      <c r="W67" s="125" t="s">
        <v>11</v>
      </c>
      <c r="X67" s="125" t="s">
        <v>11</v>
      </c>
      <c r="Y67" s="125" t="s">
        <v>11</v>
      </c>
      <c r="Z67" s="125" t="s">
        <v>11</v>
      </c>
      <c r="AA67" s="125" t="s">
        <v>11</v>
      </c>
      <c r="AB67" s="125" t="s">
        <v>11</v>
      </c>
      <c r="AC67" s="132"/>
      <c r="AD67" s="127">
        <f t="shared" si="0"/>
        <v>0</v>
      </c>
      <c r="AE67" s="127">
        <f t="shared" si="1"/>
        <v>0</v>
      </c>
      <c r="AF67" s="127">
        <f t="shared" si="2"/>
        <v>15</v>
      </c>
      <c r="AG67" s="128" t="str" cm="1">
        <f t="array" ref="AG67">_xlfn.IFS(
SUM(AD67:AF67)=0,"Not Started",
SUM(AD67:AF67)&lt;15,"In Progress",
SUM(AD67:AF67)=15,"Completed",
SUM(AD67:AF67)&gt;15,"Error"
)</f>
        <v>Completed</v>
      </c>
    </row>
    <row r="68" spans="1:33" ht="15.5" x14ac:dyDescent="0.25">
      <c r="A68" s="270"/>
      <c r="B68" s="120" t="s">
        <v>115</v>
      </c>
      <c r="C68" s="11" t="s">
        <v>4261</v>
      </c>
      <c r="D68" s="11" t="s">
        <v>4733</v>
      </c>
      <c r="E68" s="11" t="s">
        <v>51</v>
      </c>
      <c r="F68" s="129"/>
      <c r="G68" s="121" t="s">
        <v>40</v>
      </c>
      <c r="H68" s="121" t="s">
        <v>41</v>
      </c>
      <c r="I68" s="7" t="s">
        <v>10427</v>
      </c>
      <c r="J68" s="129" t="s">
        <v>4507</v>
      </c>
      <c r="K68" s="129" t="s">
        <v>4508</v>
      </c>
      <c r="L68" s="130"/>
      <c r="M68" s="131"/>
      <c r="N68" s="125" t="s">
        <v>11</v>
      </c>
      <c r="O68" s="125" t="s">
        <v>11</v>
      </c>
      <c r="P68" s="125" t="s">
        <v>11</v>
      </c>
      <c r="Q68" s="125" t="s">
        <v>11</v>
      </c>
      <c r="R68" s="125" t="s">
        <v>11</v>
      </c>
      <c r="S68" s="125" t="s">
        <v>11</v>
      </c>
      <c r="T68" s="125" t="s">
        <v>11</v>
      </c>
      <c r="U68" s="125" t="s">
        <v>11</v>
      </c>
      <c r="V68" s="125" t="s">
        <v>11</v>
      </c>
      <c r="W68" s="125" t="s">
        <v>11</v>
      </c>
      <c r="X68" s="125" t="s">
        <v>11</v>
      </c>
      <c r="Y68" s="125" t="s">
        <v>11</v>
      </c>
      <c r="Z68" s="125" t="s">
        <v>11</v>
      </c>
      <c r="AA68" s="125" t="s">
        <v>11</v>
      </c>
      <c r="AB68" s="125" t="s">
        <v>11</v>
      </c>
      <c r="AC68" s="132"/>
      <c r="AD68" s="127">
        <f t="shared" si="0"/>
        <v>0</v>
      </c>
      <c r="AE68" s="127">
        <f t="shared" si="1"/>
        <v>0</v>
      </c>
      <c r="AF68" s="127">
        <f t="shared" si="2"/>
        <v>15</v>
      </c>
      <c r="AG68" s="128" t="str" cm="1">
        <f t="array" ref="AG68">_xlfn.IFS(
SUM(AD68:AF68)=0,"Not Started",
SUM(AD68:AF68)&lt;15,"In Progress",
SUM(AD68:AF68)=15,"Completed",
SUM(AD68:AF68)&gt;15,"Error"
)</f>
        <v>Completed</v>
      </c>
    </row>
    <row r="69" spans="1:33" ht="15.5" x14ac:dyDescent="0.25">
      <c r="A69" s="270"/>
      <c r="B69" s="120" t="s">
        <v>116</v>
      </c>
      <c r="C69" s="11" t="s">
        <v>4262</v>
      </c>
      <c r="D69" s="11" t="s">
        <v>4734</v>
      </c>
      <c r="E69" s="11" t="s">
        <v>47</v>
      </c>
      <c r="F69" s="129"/>
      <c r="G69" s="121" t="s">
        <v>40</v>
      </c>
      <c r="H69" s="121" t="s">
        <v>41</v>
      </c>
      <c r="I69" s="7" t="s">
        <v>10428</v>
      </c>
      <c r="J69" s="129" t="s">
        <v>4509</v>
      </c>
      <c r="K69" s="129" t="s">
        <v>4510</v>
      </c>
      <c r="L69" s="130"/>
      <c r="M69" s="131"/>
      <c r="N69" s="125" t="s">
        <v>11</v>
      </c>
      <c r="O69" s="125" t="s">
        <v>11</v>
      </c>
      <c r="P69" s="125" t="s">
        <v>11</v>
      </c>
      <c r="Q69" s="125" t="s">
        <v>11</v>
      </c>
      <c r="R69" s="125" t="s">
        <v>11</v>
      </c>
      <c r="S69" s="125" t="s">
        <v>11</v>
      </c>
      <c r="T69" s="125" t="s">
        <v>11</v>
      </c>
      <c r="U69" s="125" t="s">
        <v>11</v>
      </c>
      <c r="V69" s="125" t="s">
        <v>11</v>
      </c>
      <c r="W69" s="125" t="s">
        <v>11</v>
      </c>
      <c r="X69" s="125" t="s">
        <v>11</v>
      </c>
      <c r="Y69" s="125" t="s">
        <v>11</v>
      </c>
      <c r="Z69" s="125" t="s">
        <v>11</v>
      </c>
      <c r="AA69" s="125" t="s">
        <v>11</v>
      </c>
      <c r="AB69" s="125" t="s">
        <v>11</v>
      </c>
      <c r="AC69" s="132"/>
      <c r="AD69" s="127">
        <f t="shared" ref="AD69:AD132" si="3">COUNTIF(N69:AB69,$AD$2)</f>
        <v>0</v>
      </c>
      <c r="AE69" s="127">
        <f t="shared" ref="AE69:AE132" si="4">COUNTIF(N69:AB69,$AE$2)</f>
        <v>0</v>
      </c>
      <c r="AF69" s="127">
        <f t="shared" ref="AF69:AF132" si="5">COUNTIF(N69:AB69,$AF$2)</f>
        <v>15</v>
      </c>
      <c r="AG69" s="128" t="str" cm="1">
        <f t="array" ref="AG69">_xlfn.IFS(
SUM(AD69:AF69)=0,"Not Started",
SUM(AD69:AF69)&lt;15,"In Progress",
SUM(AD69:AF69)=15,"Completed",
SUM(AD69:AF69)&gt;15,"Error"
)</f>
        <v>Completed</v>
      </c>
    </row>
    <row r="70" spans="1:33" ht="15.5" x14ac:dyDescent="0.25">
      <c r="A70" s="270"/>
      <c r="B70" s="120" t="s">
        <v>117</v>
      </c>
      <c r="C70" s="11" t="s">
        <v>4263</v>
      </c>
      <c r="D70" s="11" t="s">
        <v>4735</v>
      </c>
      <c r="E70" s="11" t="s">
        <v>51</v>
      </c>
      <c r="F70" s="129"/>
      <c r="G70" s="121" t="s">
        <v>40</v>
      </c>
      <c r="H70" s="121" t="s">
        <v>41</v>
      </c>
      <c r="I70" s="7" t="s">
        <v>10429</v>
      </c>
      <c r="J70" s="129" t="s">
        <v>4511</v>
      </c>
      <c r="K70" s="129" t="s">
        <v>4512</v>
      </c>
      <c r="L70" s="130"/>
      <c r="M70" s="131"/>
      <c r="N70" s="125" t="s">
        <v>11</v>
      </c>
      <c r="O70" s="125" t="s">
        <v>11</v>
      </c>
      <c r="P70" s="125" t="s">
        <v>11</v>
      </c>
      <c r="Q70" s="125" t="s">
        <v>11</v>
      </c>
      <c r="R70" s="125" t="s">
        <v>11</v>
      </c>
      <c r="S70" s="125" t="s">
        <v>11</v>
      </c>
      <c r="T70" s="125" t="s">
        <v>11</v>
      </c>
      <c r="U70" s="125" t="s">
        <v>11</v>
      </c>
      <c r="V70" s="125" t="s">
        <v>11</v>
      </c>
      <c r="W70" s="125" t="s">
        <v>11</v>
      </c>
      <c r="X70" s="125" t="s">
        <v>11</v>
      </c>
      <c r="Y70" s="125" t="s">
        <v>11</v>
      </c>
      <c r="Z70" s="125" t="s">
        <v>11</v>
      </c>
      <c r="AA70" s="125" t="s">
        <v>11</v>
      </c>
      <c r="AB70" s="125" t="s">
        <v>11</v>
      </c>
      <c r="AC70" s="132"/>
      <c r="AD70" s="127">
        <f t="shared" si="3"/>
        <v>0</v>
      </c>
      <c r="AE70" s="127">
        <f t="shared" si="4"/>
        <v>0</v>
      </c>
      <c r="AF70" s="127">
        <f t="shared" si="5"/>
        <v>15</v>
      </c>
      <c r="AG70" s="128" t="str" cm="1">
        <f t="array" ref="AG70">_xlfn.IFS(
SUM(AD70:AF70)=0,"Not Started",
SUM(AD70:AF70)&lt;15,"In Progress",
SUM(AD70:AF70)=15,"Completed",
SUM(AD70:AF70)&gt;15,"Error"
)</f>
        <v>Completed</v>
      </c>
    </row>
    <row r="71" spans="1:33" ht="15.5" x14ac:dyDescent="0.25">
      <c r="A71" s="270"/>
      <c r="B71" s="120" t="s">
        <v>118</v>
      </c>
      <c r="C71" s="11" t="s">
        <v>4264</v>
      </c>
      <c r="D71" s="11" t="s">
        <v>4736</v>
      </c>
      <c r="E71" s="11" t="s">
        <v>43</v>
      </c>
      <c r="F71" s="129"/>
      <c r="G71" s="121" t="s">
        <v>40</v>
      </c>
      <c r="H71" s="121" t="s">
        <v>41</v>
      </c>
      <c r="I71" s="7" t="s">
        <v>10430</v>
      </c>
      <c r="J71" s="129" t="s">
        <v>4513</v>
      </c>
      <c r="K71" s="129">
        <v>10041737911</v>
      </c>
      <c r="L71" s="130"/>
      <c r="M71" s="131"/>
      <c r="N71" s="125" t="s">
        <v>11</v>
      </c>
      <c r="O71" s="125" t="s">
        <v>11</v>
      </c>
      <c r="P71" s="125" t="s">
        <v>11</v>
      </c>
      <c r="Q71" s="125" t="s">
        <v>11</v>
      </c>
      <c r="R71" s="125" t="s">
        <v>11</v>
      </c>
      <c r="S71" s="125" t="s">
        <v>11</v>
      </c>
      <c r="T71" s="125" t="s">
        <v>11</v>
      </c>
      <c r="U71" s="125" t="s">
        <v>11</v>
      </c>
      <c r="V71" s="125" t="s">
        <v>11</v>
      </c>
      <c r="W71" s="125" t="s">
        <v>11</v>
      </c>
      <c r="X71" s="125" t="s">
        <v>11</v>
      </c>
      <c r="Y71" s="125" t="s">
        <v>11</v>
      </c>
      <c r="Z71" s="125" t="s">
        <v>11</v>
      </c>
      <c r="AA71" s="125" t="s">
        <v>11</v>
      </c>
      <c r="AB71" s="125" t="s">
        <v>11</v>
      </c>
      <c r="AC71" s="132"/>
      <c r="AD71" s="127">
        <f t="shared" si="3"/>
        <v>0</v>
      </c>
      <c r="AE71" s="127">
        <f t="shared" si="4"/>
        <v>0</v>
      </c>
      <c r="AF71" s="127">
        <f t="shared" si="5"/>
        <v>15</v>
      </c>
      <c r="AG71" s="128" t="str" cm="1">
        <f t="array" ref="AG71">_xlfn.IFS(
SUM(AD71:AF71)=0,"Not Started",
SUM(AD71:AF71)&lt;15,"In Progress",
SUM(AD71:AF71)=15,"Completed",
SUM(AD71:AF71)&gt;15,"Error"
)</f>
        <v>Completed</v>
      </c>
    </row>
    <row r="72" spans="1:33" ht="15.5" x14ac:dyDescent="0.25">
      <c r="A72" s="270"/>
      <c r="B72" s="120" t="s">
        <v>119</v>
      </c>
      <c r="C72" s="11" t="s">
        <v>4265</v>
      </c>
      <c r="D72" s="11" t="s">
        <v>4737</v>
      </c>
      <c r="E72" s="11" t="s">
        <v>43</v>
      </c>
      <c r="F72" s="129"/>
      <c r="G72" s="121" t="s">
        <v>40</v>
      </c>
      <c r="H72" s="121" t="s">
        <v>41</v>
      </c>
      <c r="I72" s="7" t="s">
        <v>10431</v>
      </c>
      <c r="J72" s="129" t="s">
        <v>4514</v>
      </c>
      <c r="K72" s="129" t="s">
        <v>4515</v>
      </c>
      <c r="L72" s="130"/>
      <c r="M72" s="131"/>
      <c r="N72" s="125" t="s">
        <v>11</v>
      </c>
      <c r="O72" s="125" t="s">
        <v>11</v>
      </c>
      <c r="P72" s="125" t="s">
        <v>11</v>
      </c>
      <c r="Q72" s="125" t="s">
        <v>11</v>
      </c>
      <c r="R72" s="125" t="s">
        <v>11</v>
      </c>
      <c r="S72" s="125" t="s">
        <v>11</v>
      </c>
      <c r="T72" s="125" t="s">
        <v>11</v>
      </c>
      <c r="U72" s="125" t="s">
        <v>11</v>
      </c>
      <c r="V72" s="125" t="s">
        <v>11</v>
      </c>
      <c r="W72" s="125" t="s">
        <v>11</v>
      </c>
      <c r="X72" s="125" t="s">
        <v>11</v>
      </c>
      <c r="Y72" s="125" t="s">
        <v>11</v>
      </c>
      <c r="Z72" s="125" t="s">
        <v>11</v>
      </c>
      <c r="AA72" s="125" t="s">
        <v>11</v>
      </c>
      <c r="AB72" s="125" t="s">
        <v>11</v>
      </c>
      <c r="AC72" s="132"/>
      <c r="AD72" s="127">
        <f t="shared" si="3"/>
        <v>0</v>
      </c>
      <c r="AE72" s="127">
        <f t="shared" si="4"/>
        <v>0</v>
      </c>
      <c r="AF72" s="127">
        <f t="shared" si="5"/>
        <v>15</v>
      </c>
      <c r="AG72" s="128" t="str" cm="1">
        <f t="array" ref="AG72">_xlfn.IFS(
SUM(AD72:AF72)=0,"Not Started",
SUM(AD72:AF72)&lt;15,"In Progress",
SUM(AD72:AF72)=15,"Completed",
SUM(AD72:AF72)&gt;15,"Error"
)</f>
        <v>Completed</v>
      </c>
    </row>
    <row r="73" spans="1:33" ht="15.5" x14ac:dyDescent="0.25">
      <c r="A73" s="270"/>
      <c r="B73" s="120" t="s">
        <v>120</v>
      </c>
      <c r="C73" s="11" t="s">
        <v>4266</v>
      </c>
      <c r="D73" s="11" t="s">
        <v>4738</v>
      </c>
      <c r="E73" s="11" t="s">
        <v>51</v>
      </c>
      <c r="F73" s="129"/>
      <c r="G73" s="121" t="s">
        <v>40</v>
      </c>
      <c r="H73" s="121" t="s">
        <v>41</v>
      </c>
      <c r="I73" s="7" t="s">
        <v>10432</v>
      </c>
      <c r="J73" s="129" t="s">
        <v>4516</v>
      </c>
      <c r="K73" s="129" t="s">
        <v>4517</v>
      </c>
      <c r="L73" s="130"/>
      <c r="M73" s="131"/>
      <c r="N73" s="125" t="s">
        <v>11</v>
      </c>
      <c r="O73" s="125" t="s">
        <v>11</v>
      </c>
      <c r="P73" s="125" t="s">
        <v>11</v>
      </c>
      <c r="Q73" s="125" t="s">
        <v>11</v>
      </c>
      <c r="R73" s="125" t="s">
        <v>11</v>
      </c>
      <c r="S73" s="125" t="s">
        <v>11</v>
      </c>
      <c r="T73" s="125" t="s">
        <v>11</v>
      </c>
      <c r="U73" s="125" t="s">
        <v>11</v>
      </c>
      <c r="V73" s="125" t="s">
        <v>11</v>
      </c>
      <c r="W73" s="125" t="s">
        <v>11</v>
      </c>
      <c r="X73" s="125" t="s">
        <v>11</v>
      </c>
      <c r="Y73" s="125" t="s">
        <v>11</v>
      </c>
      <c r="Z73" s="125" t="s">
        <v>11</v>
      </c>
      <c r="AA73" s="125" t="s">
        <v>11</v>
      </c>
      <c r="AB73" s="125" t="s">
        <v>11</v>
      </c>
      <c r="AC73" s="132"/>
      <c r="AD73" s="127">
        <f t="shared" si="3"/>
        <v>0</v>
      </c>
      <c r="AE73" s="127">
        <f t="shared" si="4"/>
        <v>0</v>
      </c>
      <c r="AF73" s="127">
        <f t="shared" si="5"/>
        <v>15</v>
      </c>
      <c r="AG73" s="128" t="str" cm="1">
        <f t="array" ref="AG73">_xlfn.IFS(
SUM(AD73:AF73)=0,"Not Started",
SUM(AD73:AF73)&lt;15,"In Progress",
SUM(AD73:AF73)=15,"Completed",
SUM(AD73:AF73)&gt;15,"Error"
)</f>
        <v>Completed</v>
      </c>
    </row>
    <row r="74" spans="1:33" ht="15.5" x14ac:dyDescent="0.25">
      <c r="A74" s="270"/>
      <c r="B74" s="120" t="s">
        <v>121</v>
      </c>
      <c r="C74" s="11" t="s">
        <v>4267</v>
      </c>
      <c r="D74" s="11" t="s">
        <v>4739</v>
      </c>
      <c r="E74" s="11" t="s">
        <v>47</v>
      </c>
      <c r="F74" s="129"/>
      <c r="G74" s="121" t="s">
        <v>40</v>
      </c>
      <c r="H74" s="121" t="s">
        <v>41</v>
      </c>
      <c r="I74" s="7" t="s">
        <v>10433</v>
      </c>
      <c r="J74" s="129" t="s">
        <v>4518</v>
      </c>
      <c r="K74" s="129" t="s">
        <v>4519</v>
      </c>
      <c r="L74" s="130"/>
      <c r="M74" s="131"/>
      <c r="N74" s="125" t="s">
        <v>11</v>
      </c>
      <c r="O74" s="125" t="s">
        <v>11</v>
      </c>
      <c r="P74" s="125" t="s">
        <v>11</v>
      </c>
      <c r="Q74" s="125" t="s">
        <v>11</v>
      </c>
      <c r="R74" s="125" t="s">
        <v>11</v>
      </c>
      <c r="S74" s="125" t="s">
        <v>11</v>
      </c>
      <c r="T74" s="125" t="s">
        <v>11</v>
      </c>
      <c r="U74" s="125" t="s">
        <v>11</v>
      </c>
      <c r="V74" s="125" t="s">
        <v>11</v>
      </c>
      <c r="W74" s="125" t="s">
        <v>11</v>
      </c>
      <c r="X74" s="125" t="s">
        <v>11</v>
      </c>
      <c r="Y74" s="125" t="s">
        <v>11</v>
      </c>
      <c r="Z74" s="125" t="s">
        <v>11</v>
      </c>
      <c r="AA74" s="125" t="s">
        <v>11</v>
      </c>
      <c r="AB74" s="125" t="s">
        <v>11</v>
      </c>
      <c r="AC74" s="132"/>
      <c r="AD74" s="127">
        <f t="shared" si="3"/>
        <v>0</v>
      </c>
      <c r="AE74" s="127">
        <f t="shared" si="4"/>
        <v>0</v>
      </c>
      <c r="AF74" s="127">
        <f t="shared" si="5"/>
        <v>15</v>
      </c>
      <c r="AG74" s="128" t="str" cm="1">
        <f t="array" ref="AG74">_xlfn.IFS(
SUM(AD74:AF74)=0,"Not Started",
SUM(AD74:AF74)&lt;15,"In Progress",
SUM(AD74:AF74)=15,"Completed",
SUM(AD74:AF74)&gt;15,"Error"
)</f>
        <v>Completed</v>
      </c>
    </row>
    <row r="75" spans="1:33" ht="15.5" x14ac:dyDescent="0.25">
      <c r="A75" s="270"/>
      <c r="B75" s="120" t="s">
        <v>122</v>
      </c>
      <c r="C75" s="11" t="s">
        <v>4268</v>
      </c>
      <c r="D75" s="11" t="s">
        <v>4740</v>
      </c>
      <c r="E75" s="11" t="s">
        <v>43</v>
      </c>
      <c r="F75" s="129"/>
      <c r="G75" s="121" t="s">
        <v>40</v>
      </c>
      <c r="H75" s="121" t="s">
        <v>41</v>
      </c>
      <c r="I75" s="7" t="s">
        <v>10434</v>
      </c>
      <c r="J75" s="129" t="s">
        <v>4520</v>
      </c>
      <c r="K75" s="129" t="s">
        <v>4521</v>
      </c>
      <c r="L75" s="130"/>
      <c r="M75" s="131"/>
      <c r="N75" s="125" t="s">
        <v>11</v>
      </c>
      <c r="O75" s="125" t="s">
        <v>11</v>
      </c>
      <c r="P75" s="125" t="s">
        <v>11</v>
      </c>
      <c r="Q75" s="125" t="s">
        <v>11</v>
      </c>
      <c r="R75" s="125" t="s">
        <v>11</v>
      </c>
      <c r="S75" s="125" t="s">
        <v>11</v>
      </c>
      <c r="T75" s="125" t="s">
        <v>11</v>
      </c>
      <c r="U75" s="125" t="s">
        <v>11</v>
      </c>
      <c r="V75" s="125" t="s">
        <v>11</v>
      </c>
      <c r="W75" s="125" t="s">
        <v>11</v>
      </c>
      <c r="X75" s="125" t="s">
        <v>11</v>
      </c>
      <c r="Y75" s="125" t="s">
        <v>11</v>
      </c>
      <c r="Z75" s="125" t="s">
        <v>11</v>
      </c>
      <c r="AA75" s="125" t="s">
        <v>11</v>
      </c>
      <c r="AB75" s="125" t="s">
        <v>11</v>
      </c>
      <c r="AC75" s="132"/>
      <c r="AD75" s="127">
        <f t="shared" si="3"/>
        <v>0</v>
      </c>
      <c r="AE75" s="127">
        <f t="shared" si="4"/>
        <v>0</v>
      </c>
      <c r="AF75" s="127">
        <f t="shared" si="5"/>
        <v>15</v>
      </c>
      <c r="AG75" s="128" t="str" cm="1">
        <f t="array" ref="AG75">_xlfn.IFS(
SUM(AD75:AF75)=0,"Not Started",
SUM(AD75:AF75)&lt;15,"In Progress",
SUM(AD75:AF75)=15,"Completed",
SUM(AD75:AF75)&gt;15,"Error"
)</f>
        <v>Completed</v>
      </c>
    </row>
    <row r="76" spans="1:33" ht="15.5" x14ac:dyDescent="0.25">
      <c r="A76" s="270"/>
      <c r="B76" s="120" t="s">
        <v>123</v>
      </c>
      <c r="C76" s="11" t="s">
        <v>4269</v>
      </c>
      <c r="D76" s="11" t="s">
        <v>4741</v>
      </c>
      <c r="E76" s="11" t="s">
        <v>47</v>
      </c>
      <c r="F76" s="129"/>
      <c r="G76" s="121" t="s">
        <v>40</v>
      </c>
      <c r="H76" s="121" t="s">
        <v>41</v>
      </c>
      <c r="I76" s="7" t="s">
        <v>10435</v>
      </c>
      <c r="J76" s="129" t="s">
        <v>4522</v>
      </c>
      <c r="K76" s="129" t="s">
        <v>4523</v>
      </c>
      <c r="L76" s="130"/>
      <c r="M76" s="131"/>
      <c r="N76" s="125" t="s">
        <v>11</v>
      </c>
      <c r="O76" s="125" t="s">
        <v>11</v>
      </c>
      <c r="P76" s="125" t="s">
        <v>11</v>
      </c>
      <c r="Q76" s="125" t="s">
        <v>11</v>
      </c>
      <c r="R76" s="125" t="s">
        <v>11</v>
      </c>
      <c r="S76" s="125" t="s">
        <v>11</v>
      </c>
      <c r="T76" s="125" t="s">
        <v>11</v>
      </c>
      <c r="U76" s="125" t="s">
        <v>11</v>
      </c>
      <c r="V76" s="125" t="s">
        <v>11</v>
      </c>
      <c r="W76" s="125" t="s">
        <v>11</v>
      </c>
      <c r="X76" s="125" t="s">
        <v>11</v>
      </c>
      <c r="Y76" s="125" t="s">
        <v>11</v>
      </c>
      <c r="Z76" s="125" t="s">
        <v>11</v>
      </c>
      <c r="AA76" s="125" t="s">
        <v>11</v>
      </c>
      <c r="AB76" s="125" t="s">
        <v>11</v>
      </c>
      <c r="AC76" s="132"/>
      <c r="AD76" s="127">
        <f t="shared" si="3"/>
        <v>0</v>
      </c>
      <c r="AE76" s="127">
        <f t="shared" si="4"/>
        <v>0</v>
      </c>
      <c r="AF76" s="127">
        <f t="shared" si="5"/>
        <v>15</v>
      </c>
      <c r="AG76" s="128" t="str" cm="1">
        <f t="array" ref="AG76">_xlfn.IFS(
SUM(AD76:AF76)=0,"Not Started",
SUM(AD76:AF76)&lt;15,"In Progress",
SUM(AD76:AF76)=15,"Completed",
SUM(AD76:AF76)&gt;15,"Error"
)</f>
        <v>Completed</v>
      </c>
    </row>
    <row r="77" spans="1:33" ht="15.5" x14ac:dyDescent="0.25">
      <c r="A77" s="270"/>
      <c r="B77" s="120" t="s">
        <v>124</v>
      </c>
      <c r="C77" s="11" t="s">
        <v>4270</v>
      </c>
      <c r="D77" s="11" t="s">
        <v>4742</v>
      </c>
      <c r="E77" s="11" t="s">
        <v>43</v>
      </c>
      <c r="F77" s="129"/>
      <c r="G77" s="121" t="s">
        <v>40</v>
      </c>
      <c r="H77" s="121" t="s">
        <v>41</v>
      </c>
      <c r="I77" s="7" t="s">
        <v>10436</v>
      </c>
      <c r="J77" s="129" t="s">
        <v>4524</v>
      </c>
      <c r="K77" s="129" t="s">
        <v>4525</v>
      </c>
      <c r="L77" s="130"/>
      <c r="M77" s="131"/>
      <c r="N77" s="125" t="s">
        <v>11</v>
      </c>
      <c r="O77" s="125" t="s">
        <v>11</v>
      </c>
      <c r="P77" s="125" t="s">
        <v>11</v>
      </c>
      <c r="Q77" s="125" t="s">
        <v>11</v>
      </c>
      <c r="R77" s="125" t="s">
        <v>11</v>
      </c>
      <c r="S77" s="125" t="s">
        <v>11</v>
      </c>
      <c r="T77" s="125" t="s">
        <v>11</v>
      </c>
      <c r="U77" s="125" t="s">
        <v>11</v>
      </c>
      <c r="V77" s="125" t="s">
        <v>11</v>
      </c>
      <c r="W77" s="125" t="s">
        <v>11</v>
      </c>
      <c r="X77" s="125" t="s">
        <v>11</v>
      </c>
      <c r="Y77" s="125" t="s">
        <v>11</v>
      </c>
      <c r="Z77" s="125" t="s">
        <v>11</v>
      </c>
      <c r="AA77" s="125" t="s">
        <v>11</v>
      </c>
      <c r="AB77" s="125" t="s">
        <v>11</v>
      </c>
      <c r="AC77" s="132"/>
      <c r="AD77" s="127">
        <f t="shared" si="3"/>
        <v>0</v>
      </c>
      <c r="AE77" s="127">
        <f t="shared" si="4"/>
        <v>0</v>
      </c>
      <c r="AF77" s="127">
        <f t="shared" si="5"/>
        <v>15</v>
      </c>
      <c r="AG77" s="128" t="str" cm="1">
        <f t="array" ref="AG77">_xlfn.IFS(
SUM(AD77:AF77)=0,"Not Started",
SUM(AD77:AF77)&lt;15,"In Progress",
SUM(AD77:AF77)=15,"Completed",
SUM(AD77:AF77)&gt;15,"Error"
)</f>
        <v>Completed</v>
      </c>
    </row>
    <row r="78" spans="1:33" ht="15.5" x14ac:dyDescent="0.25">
      <c r="A78" s="270"/>
      <c r="B78" s="120" t="s">
        <v>125</v>
      </c>
      <c r="C78" s="11" t="s">
        <v>4271</v>
      </c>
      <c r="D78" s="11" t="s">
        <v>4743</v>
      </c>
      <c r="E78" s="11" t="s">
        <v>43</v>
      </c>
      <c r="F78" s="129"/>
      <c r="G78" s="121" t="s">
        <v>40</v>
      </c>
      <c r="H78" s="121" t="s">
        <v>41</v>
      </c>
      <c r="I78" s="7" t="s">
        <v>10437</v>
      </c>
      <c r="J78" s="129" t="s">
        <v>4526</v>
      </c>
      <c r="K78" s="129" t="s">
        <v>4527</v>
      </c>
      <c r="L78" s="130"/>
      <c r="M78" s="131"/>
      <c r="N78" s="125" t="s">
        <v>11</v>
      </c>
      <c r="O78" s="125" t="s">
        <v>11</v>
      </c>
      <c r="P78" s="125" t="s">
        <v>11</v>
      </c>
      <c r="Q78" s="125" t="s">
        <v>11</v>
      </c>
      <c r="R78" s="125" t="s">
        <v>11</v>
      </c>
      <c r="S78" s="125" t="s">
        <v>11</v>
      </c>
      <c r="T78" s="125" t="s">
        <v>11</v>
      </c>
      <c r="U78" s="125" t="s">
        <v>11</v>
      </c>
      <c r="V78" s="125" t="s">
        <v>11</v>
      </c>
      <c r="W78" s="125" t="s">
        <v>11</v>
      </c>
      <c r="X78" s="125" t="s">
        <v>11</v>
      </c>
      <c r="Y78" s="125" t="s">
        <v>11</v>
      </c>
      <c r="Z78" s="125" t="s">
        <v>11</v>
      </c>
      <c r="AA78" s="125" t="s">
        <v>11</v>
      </c>
      <c r="AB78" s="125" t="s">
        <v>11</v>
      </c>
      <c r="AC78" s="132"/>
      <c r="AD78" s="127">
        <f t="shared" si="3"/>
        <v>0</v>
      </c>
      <c r="AE78" s="127">
        <f t="shared" si="4"/>
        <v>0</v>
      </c>
      <c r="AF78" s="127">
        <f t="shared" si="5"/>
        <v>15</v>
      </c>
      <c r="AG78" s="128" t="str" cm="1">
        <f t="array" ref="AG78">_xlfn.IFS(
SUM(AD78:AF78)=0,"Not Started",
SUM(AD78:AF78)&lt;15,"In Progress",
SUM(AD78:AF78)=15,"Completed",
SUM(AD78:AF78)&gt;15,"Error"
)</f>
        <v>Completed</v>
      </c>
    </row>
    <row r="79" spans="1:33" ht="15.5" x14ac:dyDescent="0.25">
      <c r="A79" s="270"/>
      <c r="B79" s="120" t="s">
        <v>126</v>
      </c>
      <c r="C79" s="11" t="s">
        <v>4272</v>
      </c>
      <c r="D79" s="11" t="s">
        <v>4744</v>
      </c>
      <c r="E79" s="11" t="s">
        <v>43</v>
      </c>
      <c r="F79" s="129"/>
      <c r="G79" s="121" t="s">
        <v>40</v>
      </c>
      <c r="H79" s="121" t="s">
        <v>41</v>
      </c>
      <c r="I79" s="7" t="s">
        <v>10438</v>
      </c>
      <c r="J79" s="129" t="s">
        <v>4528</v>
      </c>
      <c r="K79" s="129" t="s">
        <v>4529</v>
      </c>
      <c r="L79" s="130"/>
      <c r="M79" s="131"/>
      <c r="N79" s="125" t="s">
        <v>11</v>
      </c>
      <c r="O79" s="125" t="s">
        <v>11</v>
      </c>
      <c r="P79" s="125" t="s">
        <v>11</v>
      </c>
      <c r="Q79" s="125" t="s">
        <v>11</v>
      </c>
      <c r="R79" s="125" t="s">
        <v>11</v>
      </c>
      <c r="S79" s="125" t="s">
        <v>11</v>
      </c>
      <c r="T79" s="125" t="s">
        <v>11</v>
      </c>
      <c r="U79" s="125" t="s">
        <v>11</v>
      </c>
      <c r="V79" s="125" t="s">
        <v>11</v>
      </c>
      <c r="W79" s="125" t="s">
        <v>11</v>
      </c>
      <c r="X79" s="125" t="s">
        <v>11</v>
      </c>
      <c r="Y79" s="125" t="s">
        <v>11</v>
      </c>
      <c r="Z79" s="125" t="s">
        <v>11</v>
      </c>
      <c r="AA79" s="125" t="s">
        <v>11</v>
      </c>
      <c r="AB79" s="125" t="s">
        <v>11</v>
      </c>
      <c r="AC79" s="132"/>
      <c r="AD79" s="127">
        <f t="shared" si="3"/>
        <v>0</v>
      </c>
      <c r="AE79" s="127">
        <f t="shared" si="4"/>
        <v>0</v>
      </c>
      <c r="AF79" s="127">
        <f t="shared" si="5"/>
        <v>15</v>
      </c>
      <c r="AG79" s="128" t="str" cm="1">
        <f t="array" ref="AG79">_xlfn.IFS(
SUM(AD79:AF79)=0,"Not Started",
SUM(AD79:AF79)&lt;15,"In Progress",
SUM(AD79:AF79)=15,"Completed",
SUM(AD79:AF79)&gt;15,"Error"
)</f>
        <v>Completed</v>
      </c>
    </row>
    <row r="80" spans="1:33" ht="15.5" x14ac:dyDescent="0.25">
      <c r="A80" s="270"/>
      <c r="B80" s="120" t="s">
        <v>127</v>
      </c>
      <c r="C80" s="11" t="s">
        <v>4273</v>
      </c>
      <c r="D80" s="11" t="s">
        <v>4745</v>
      </c>
      <c r="E80" s="11" t="s">
        <v>47</v>
      </c>
      <c r="F80" s="129"/>
      <c r="G80" s="121" t="s">
        <v>40</v>
      </c>
      <c r="H80" s="121" t="s">
        <v>41</v>
      </c>
      <c r="I80" s="7" t="s">
        <v>10439</v>
      </c>
      <c r="J80" s="129" t="s">
        <v>4530</v>
      </c>
      <c r="K80" s="129" t="s">
        <v>4531</v>
      </c>
      <c r="L80" s="130"/>
      <c r="M80" s="131"/>
      <c r="N80" s="125" t="s">
        <v>11</v>
      </c>
      <c r="O80" s="125" t="s">
        <v>11</v>
      </c>
      <c r="P80" s="125" t="s">
        <v>11</v>
      </c>
      <c r="Q80" s="125" t="s">
        <v>11</v>
      </c>
      <c r="R80" s="125" t="s">
        <v>11</v>
      </c>
      <c r="S80" s="125" t="s">
        <v>11</v>
      </c>
      <c r="T80" s="125" t="s">
        <v>11</v>
      </c>
      <c r="U80" s="125" t="s">
        <v>11</v>
      </c>
      <c r="V80" s="125" t="s">
        <v>11</v>
      </c>
      <c r="W80" s="125" t="s">
        <v>11</v>
      </c>
      <c r="X80" s="125" t="s">
        <v>11</v>
      </c>
      <c r="Y80" s="125" t="s">
        <v>11</v>
      </c>
      <c r="Z80" s="125" t="s">
        <v>11</v>
      </c>
      <c r="AA80" s="125" t="s">
        <v>11</v>
      </c>
      <c r="AB80" s="125" t="s">
        <v>11</v>
      </c>
      <c r="AC80" s="132"/>
      <c r="AD80" s="127">
        <f t="shared" si="3"/>
        <v>0</v>
      </c>
      <c r="AE80" s="127">
        <f t="shared" si="4"/>
        <v>0</v>
      </c>
      <c r="AF80" s="127">
        <f t="shared" si="5"/>
        <v>15</v>
      </c>
      <c r="AG80" s="128" t="str" cm="1">
        <f t="array" ref="AG80">_xlfn.IFS(
SUM(AD80:AF80)=0,"Not Started",
SUM(AD80:AF80)&lt;15,"In Progress",
SUM(AD80:AF80)=15,"Completed",
SUM(AD80:AF80)&gt;15,"Error"
)</f>
        <v>Completed</v>
      </c>
    </row>
    <row r="81" spans="1:33" ht="15.5" x14ac:dyDescent="0.25">
      <c r="A81" s="270"/>
      <c r="B81" s="120" t="s">
        <v>128</v>
      </c>
      <c r="C81" s="11" t="s">
        <v>4274</v>
      </c>
      <c r="D81" s="11" t="s">
        <v>4746</v>
      </c>
      <c r="E81" s="11"/>
      <c r="F81" s="129"/>
      <c r="G81" s="121" t="s">
        <v>40</v>
      </c>
      <c r="H81" s="121" t="s">
        <v>41</v>
      </c>
      <c r="I81" s="7" t="s">
        <v>10440</v>
      </c>
      <c r="J81" s="129" t="s">
        <v>4532</v>
      </c>
      <c r="K81" s="129">
        <v>10041382479</v>
      </c>
      <c r="L81" s="130"/>
      <c r="M81" s="131"/>
      <c r="N81" s="125" t="s">
        <v>11</v>
      </c>
      <c r="O81" s="125" t="s">
        <v>11</v>
      </c>
      <c r="P81" s="125" t="s">
        <v>11</v>
      </c>
      <c r="Q81" s="125" t="s">
        <v>11</v>
      </c>
      <c r="R81" s="125" t="s">
        <v>11</v>
      </c>
      <c r="S81" s="125" t="s">
        <v>11</v>
      </c>
      <c r="T81" s="125" t="s">
        <v>11</v>
      </c>
      <c r="U81" s="125" t="s">
        <v>11</v>
      </c>
      <c r="V81" s="125" t="s">
        <v>11</v>
      </c>
      <c r="W81" s="125" t="s">
        <v>11</v>
      </c>
      <c r="X81" s="125" t="s">
        <v>11</v>
      </c>
      <c r="Y81" s="125" t="s">
        <v>11</v>
      </c>
      <c r="Z81" s="125" t="s">
        <v>11</v>
      </c>
      <c r="AA81" s="125" t="s">
        <v>11</v>
      </c>
      <c r="AB81" s="125" t="s">
        <v>11</v>
      </c>
      <c r="AC81" s="132"/>
      <c r="AD81" s="127">
        <f t="shared" si="3"/>
        <v>0</v>
      </c>
      <c r="AE81" s="127">
        <f t="shared" si="4"/>
        <v>0</v>
      </c>
      <c r="AF81" s="127">
        <f t="shared" si="5"/>
        <v>15</v>
      </c>
      <c r="AG81" s="128" t="str" cm="1">
        <f t="array" ref="AG81">_xlfn.IFS(
SUM(AD81:AF81)=0,"Not Started",
SUM(AD81:AF81)&lt;15,"In Progress",
SUM(AD81:AF81)=15,"Completed",
SUM(AD81:AF81)&gt;15,"Error"
)</f>
        <v>Completed</v>
      </c>
    </row>
    <row r="82" spans="1:33" ht="15.5" x14ac:dyDescent="0.25">
      <c r="A82" s="270"/>
      <c r="B82" s="120" t="s">
        <v>129</v>
      </c>
      <c r="C82" s="11" t="s">
        <v>4275</v>
      </c>
      <c r="D82" s="11" t="s">
        <v>4747</v>
      </c>
      <c r="E82" s="11" t="s">
        <v>43</v>
      </c>
      <c r="F82" s="129"/>
      <c r="G82" s="121" t="s">
        <v>40</v>
      </c>
      <c r="H82" s="121" t="s">
        <v>41</v>
      </c>
      <c r="I82" s="7" t="s">
        <v>10441</v>
      </c>
      <c r="J82" s="129" t="s">
        <v>4533</v>
      </c>
      <c r="K82" s="129">
        <v>10041212657</v>
      </c>
      <c r="L82" s="130"/>
      <c r="M82" s="131"/>
      <c r="N82" s="125" t="s">
        <v>11</v>
      </c>
      <c r="O82" s="125" t="s">
        <v>11</v>
      </c>
      <c r="P82" s="125" t="s">
        <v>11</v>
      </c>
      <c r="Q82" s="125" t="s">
        <v>11</v>
      </c>
      <c r="R82" s="125" t="s">
        <v>11</v>
      </c>
      <c r="S82" s="125" t="s">
        <v>11</v>
      </c>
      <c r="T82" s="125" t="s">
        <v>11</v>
      </c>
      <c r="U82" s="125" t="s">
        <v>11</v>
      </c>
      <c r="V82" s="125" t="s">
        <v>11</v>
      </c>
      <c r="W82" s="125" t="s">
        <v>11</v>
      </c>
      <c r="X82" s="125" t="s">
        <v>11</v>
      </c>
      <c r="Y82" s="125" t="s">
        <v>11</v>
      </c>
      <c r="Z82" s="125" t="s">
        <v>11</v>
      </c>
      <c r="AA82" s="125" t="s">
        <v>11</v>
      </c>
      <c r="AB82" s="125" t="s">
        <v>11</v>
      </c>
      <c r="AC82" s="132"/>
      <c r="AD82" s="127">
        <f t="shared" si="3"/>
        <v>0</v>
      </c>
      <c r="AE82" s="127">
        <f t="shared" si="4"/>
        <v>0</v>
      </c>
      <c r="AF82" s="127">
        <f t="shared" si="5"/>
        <v>15</v>
      </c>
      <c r="AG82" s="128" t="str" cm="1">
        <f t="array" ref="AG82">_xlfn.IFS(
SUM(AD82:AF82)=0,"Not Started",
SUM(AD82:AF82)&lt;15,"In Progress",
SUM(AD82:AF82)=15,"Completed",
SUM(AD82:AF82)&gt;15,"Error"
)</f>
        <v>Completed</v>
      </c>
    </row>
    <row r="83" spans="1:33" ht="15.5" x14ac:dyDescent="0.25">
      <c r="A83" s="270"/>
      <c r="B83" s="120" t="s">
        <v>130</v>
      </c>
      <c r="C83" s="11" t="s">
        <v>4276</v>
      </c>
      <c r="D83" s="11" t="s">
        <v>4748</v>
      </c>
      <c r="E83" s="11" t="s">
        <v>43</v>
      </c>
      <c r="F83" s="129"/>
      <c r="G83" s="121" t="s">
        <v>40</v>
      </c>
      <c r="H83" s="121" t="s">
        <v>41</v>
      </c>
      <c r="I83" s="7" t="s">
        <v>10442</v>
      </c>
      <c r="J83" s="129" t="s">
        <v>4534</v>
      </c>
      <c r="K83" s="129">
        <v>10041290303</v>
      </c>
      <c r="L83" s="130"/>
      <c r="M83" s="131"/>
      <c r="N83" s="125" t="s">
        <v>11</v>
      </c>
      <c r="O83" s="125" t="s">
        <v>11</v>
      </c>
      <c r="P83" s="125" t="s">
        <v>11</v>
      </c>
      <c r="Q83" s="125" t="s">
        <v>11</v>
      </c>
      <c r="R83" s="125" t="s">
        <v>11</v>
      </c>
      <c r="S83" s="125" t="s">
        <v>11</v>
      </c>
      <c r="T83" s="125" t="s">
        <v>11</v>
      </c>
      <c r="U83" s="125" t="s">
        <v>11</v>
      </c>
      <c r="V83" s="125" t="s">
        <v>11</v>
      </c>
      <c r="W83" s="125" t="s">
        <v>11</v>
      </c>
      <c r="X83" s="125" t="s">
        <v>11</v>
      </c>
      <c r="Y83" s="125" t="s">
        <v>11</v>
      </c>
      <c r="Z83" s="125" t="s">
        <v>11</v>
      </c>
      <c r="AA83" s="125" t="s">
        <v>11</v>
      </c>
      <c r="AB83" s="125" t="s">
        <v>11</v>
      </c>
      <c r="AC83" s="132"/>
      <c r="AD83" s="127">
        <f t="shared" si="3"/>
        <v>0</v>
      </c>
      <c r="AE83" s="127">
        <f t="shared" si="4"/>
        <v>0</v>
      </c>
      <c r="AF83" s="127">
        <f t="shared" si="5"/>
        <v>15</v>
      </c>
      <c r="AG83" s="128" t="str" cm="1">
        <f t="array" ref="AG83">_xlfn.IFS(
SUM(AD83:AF83)=0,"Not Started",
SUM(AD83:AF83)&lt;15,"In Progress",
SUM(AD83:AF83)=15,"Completed",
SUM(AD83:AF83)&gt;15,"Error"
)</f>
        <v>Completed</v>
      </c>
    </row>
    <row r="84" spans="1:33" ht="15.5" x14ac:dyDescent="0.25">
      <c r="A84" s="270"/>
      <c r="B84" s="120" t="s">
        <v>131</v>
      </c>
      <c r="C84" s="11" t="s">
        <v>4277</v>
      </c>
      <c r="D84" s="11" t="s">
        <v>4749</v>
      </c>
      <c r="E84" s="11" t="s">
        <v>47</v>
      </c>
      <c r="F84" s="129"/>
      <c r="G84" s="121" t="s">
        <v>40</v>
      </c>
      <c r="H84" s="121" t="s">
        <v>41</v>
      </c>
      <c r="I84" s="7" t="s">
        <v>10443</v>
      </c>
      <c r="J84" s="129" t="s">
        <v>4535</v>
      </c>
      <c r="K84" s="129">
        <v>10041734400</v>
      </c>
      <c r="L84" s="130"/>
      <c r="M84" s="131"/>
      <c r="N84" s="125" t="s">
        <v>11</v>
      </c>
      <c r="O84" s="125" t="s">
        <v>11</v>
      </c>
      <c r="P84" s="125" t="s">
        <v>11</v>
      </c>
      <c r="Q84" s="125" t="s">
        <v>11</v>
      </c>
      <c r="R84" s="125" t="s">
        <v>11</v>
      </c>
      <c r="S84" s="125" t="s">
        <v>11</v>
      </c>
      <c r="T84" s="125" t="s">
        <v>11</v>
      </c>
      <c r="U84" s="125" t="s">
        <v>11</v>
      </c>
      <c r="V84" s="125" t="s">
        <v>11</v>
      </c>
      <c r="W84" s="125" t="s">
        <v>11</v>
      </c>
      <c r="X84" s="125" t="s">
        <v>11</v>
      </c>
      <c r="Y84" s="125" t="s">
        <v>11</v>
      </c>
      <c r="Z84" s="125" t="s">
        <v>11</v>
      </c>
      <c r="AA84" s="125" t="s">
        <v>11</v>
      </c>
      <c r="AB84" s="125" t="s">
        <v>11</v>
      </c>
      <c r="AC84" s="132"/>
      <c r="AD84" s="127">
        <f t="shared" si="3"/>
        <v>0</v>
      </c>
      <c r="AE84" s="127">
        <f t="shared" si="4"/>
        <v>0</v>
      </c>
      <c r="AF84" s="127">
        <f t="shared" si="5"/>
        <v>15</v>
      </c>
      <c r="AG84" s="128" t="str" cm="1">
        <f t="array" ref="AG84">_xlfn.IFS(
SUM(AD84:AF84)=0,"Not Started",
SUM(AD84:AF84)&lt;15,"In Progress",
SUM(AD84:AF84)=15,"Completed",
SUM(AD84:AF84)&gt;15,"Error"
)</f>
        <v>Completed</v>
      </c>
    </row>
    <row r="85" spans="1:33" ht="15.5" x14ac:dyDescent="0.25">
      <c r="A85" s="270"/>
      <c r="B85" s="120" t="s">
        <v>132</v>
      </c>
      <c r="C85" s="11" t="s">
        <v>4278</v>
      </c>
      <c r="D85" s="11" t="s">
        <v>4750</v>
      </c>
      <c r="E85" s="11"/>
      <c r="F85" s="129"/>
      <c r="G85" s="121" t="s">
        <v>40</v>
      </c>
      <c r="H85" s="121" t="s">
        <v>41</v>
      </c>
      <c r="I85" s="7" t="s">
        <v>10444</v>
      </c>
      <c r="J85" s="129" t="s">
        <v>4536</v>
      </c>
      <c r="K85" s="129">
        <v>10041660404</v>
      </c>
      <c r="L85" s="130"/>
      <c r="M85" s="131"/>
      <c r="N85" s="125" t="s">
        <v>11</v>
      </c>
      <c r="O85" s="125" t="s">
        <v>11</v>
      </c>
      <c r="P85" s="125" t="s">
        <v>11</v>
      </c>
      <c r="Q85" s="125" t="s">
        <v>11</v>
      </c>
      <c r="R85" s="125" t="s">
        <v>11</v>
      </c>
      <c r="S85" s="125" t="s">
        <v>11</v>
      </c>
      <c r="T85" s="125" t="s">
        <v>11</v>
      </c>
      <c r="U85" s="125" t="s">
        <v>11</v>
      </c>
      <c r="V85" s="125" t="s">
        <v>11</v>
      </c>
      <c r="W85" s="125" t="s">
        <v>11</v>
      </c>
      <c r="X85" s="125" t="s">
        <v>11</v>
      </c>
      <c r="Y85" s="125" t="s">
        <v>11</v>
      </c>
      <c r="Z85" s="125" t="s">
        <v>11</v>
      </c>
      <c r="AA85" s="125" t="s">
        <v>11</v>
      </c>
      <c r="AB85" s="125" t="s">
        <v>11</v>
      </c>
      <c r="AC85" s="132"/>
      <c r="AD85" s="127">
        <f t="shared" si="3"/>
        <v>0</v>
      </c>
      <c r="AE85" s="127">
        <f t="shared" si="4"/>
        <v>0</v>
      </c>
      <c r="AF85" s="127">
        <f t="shared" si="5"/>
        <v>15</v>
      </c>
      <c r="AG85" s="128" t="str" cm="1">
        <f t="array" ref="AG85">_xlfn.IFS(
SUM(AD85:AF85)=0,"Not Started",
SUM(AD85:AF85)&lt;15,"In Progress",
SUM(AD85:AF85)=15,"Completed",
SUM(AD85:AF85)&gt;15,"Error"
)</f>
        <v>Completed</v>
      </c>
    </row>
    <row r="86" spans="1:33" ht="15.5" x14ac:dyDescent="0.25">
      <c r="A86" s="270"/>
      <c r="B86" s="120" t="s">
        <v>133</v>
      </c>
      <c r="C86" s="11" t="s">
        <v>4279</v>
      </c>
      <c r="D86" s="11" t="s">
        <v>4751</v>
      </c>
      <c r="E86" s="11" t="s">
        <v>43</v>
      </c>
      <c r="F86" s="129"/>
      <c r="G86" s="121" t="s">
        <v>40</v>
      </c>
      <c r="H86" s="121" t="s">
        <v>41</v>
      </c>
      <c r="I86" s="7" t="s">
        <v>10445</v>
      </c>
      <c r="J86" s="129" t="s">
        <v>4537</v>
      </c>
      <c r="K86" s="129">
        <v>10041899938</v>
      </c>
      <c r="L86" s="130"/>
      <c r="M86" s="131"/>
      <c r="N86" s="125" t="s">
        <v>11</v>
      </c>
      <c r="O86" s="125" t="s">
        <v>11</v>
      </c>
      <c r="P86" s="125" t="s">
        <v>11</v>
      </c>
      <c r="Q86" s="125" t="s">
        <v>11</v>
      </c>
      <c r="R86" s="125" t="s">
        <v>11</v>
      </c>
      <c r="S86" s="125" t="s">
        <v>11</v>
      </c>
      <c r="T86" s="125" t="s">
        <v>11</v>
      </c>
      <c r="U86" s="125" t="s">
        <v>11</v>
      </c>
      <c r="V86" s="125" t="s">
        <v>11</v>
      </c>
      <c r="W86" s="125" t="s">
        <v>11</v>
      </c>
      <c r="X86" s="125" t="s">
        <v>11</v>
      </c>
      <c r="Y86" s="125" t="s">
        <v>11</v>
      </c>
      <c r="Z86" s="125" t="s">
        <v>11</v>
      </c>
      <c r="AA86" s="125" t="s">
        <v>11</v>
      </c>
      <c r="AB86" s="125" t="s">
        <v>11</v>
      </c>
      <c r="AC86" s="132"/>
      <c r="AD86" s="127">
        <f t="shared" si="3"/>
        <v>0</v>
      </c>
      <c r="AE86" s="127">
        <f t="shared" si="4"/>
        <v>0</v>
      </c>
      <c r="AF86" s="127">
        <f t="shared" si="5"/>
        <v>15</v>
      </c>
      <c r="AG86" s="128" t="str" cm="1">
        <f t="array" ref="AG86">_xlfn.IFS(
SUM(AD86:AF86)=0,"Not Started",
SUM(AD86:AF86)&lt;15,"In Progress",
SUM(AD86:AF86)=15,"Completed",
SUM(AD86:AF86)&gt;15,"Error"
)</f>
        <v>Completed</v>
      </c>
    </row>
    <row r="87" spans="1:33" ht="15.5" x14ac:dyDescent="0.25">
      <c r="A87" s="270"/>
      <c r="B87" s="120" t="s">
        <v>134</v>
      </c>
      <c r="C87" s="11" t="s">
        <v>4280</v>
      </c>
      <c r="D87" s="11" t="s">
        <v>4752</v>
      </c>
      <c r="E87" s="11" t="s">
        <v>43</v>
      </c>
      <c r="F87" s="129"/>
      <c r="G87" s="121" t="s">
        <v>40</v>
      </c>
      <c r="H87" s="121" t="s">
        <v>41</v>
      </c>
      <c r="I87" s="7" t="s">
        <v>10446</v>
      </c>
      <c r="J87" s="129" t="s">
        <v>4538</v>
      </c>
      <c r="K87" s="129">
        <v>10041772222</v>
      </c>
      <c r="L87" s="130"/>
      <c r="M87" s="131"/>
      <c r="N87" s="125" t="s">
        <v>11</v>
      </c>
      <c r="O87" s="125" t="s">
        <v>11</v>
      </c>
      <c r="P87" s="125" t="s">
        <v>11</v>
      </c>
      <c r="Q87" s="125" t="s">
        <v>11</v>
      </c>
      <c r="R87" s="125" t="s">
        <v>11</v>
      </c>
      <c r="S87" s="125" t="s">
        <v>11</v>
      </c>
      <c r="T87" s="125" t="s">
        <v>11</v>
      </c>
      <c r="U87" s="125" t="s">
        <v>11</v>
      </c>
      <c r="V87" s="125" t="s">
        <v>11</v>
      </c>
      <c r="W87" s="125" t="s">
        <v>11</v>
      </c>
      <c r="X87" s="125" t="s">
        <v>11</v>
      </c>
      <c r="Y87" s="125" t="s">
        <v>11</v>
      </c>
      <c r="Z87" s="125" t="s">
        <v>11</v>
      </c>
      <c r="AA87" s="125" t="s">
        <v>11</v>
      </c>
      <c r="AB87" s="125" t="s">
        <v>11</v>
      </c>
      <c r="AC87" s="132"/>
      <c r="AD87" s="127">
        <f t="shared" si="3"/>
        <v>0</v>
      </c>
      <c r="AE87" s="127">
        <f t="shared" si="4"/>
        <v>0</v>
      </c>
      <c r="AF87" s="127">
        <f t="shared" si="5"/>
        <v>15</v>
      </c>
      <c r="AG87" s="128" t="str" cm="1">
        <f t="array" ref="AG87">_xlfn.IFS(
SUM(AD87:AF87)=0,"Not Started",
SUM(AD87:AF87)&lt;15,"In Progress",
SUM(AD87:AF87)=15,"Completed",
SUM(AD87:AF87)&gt;15,"Error"
)</f>
        <v>Completed</v>
      </c>
    </row>
    <row r="88" spans="1:33" ht="15.5" x14ac:dyDescent="0.25">
      <c r="A88" s="270"/>
      <c r="B88" s="120" t="s">
        <v>135</v>
      </c>
      <c r="C88" s="11" t="s">
        <v>4281</v>
      </c>
      <c r="D88" s="11" t="s">
        <v>4753</v>
      </c>
      <c r="E88" s="11" t="s">
        <v>43</v>
      </c>
      <c r="F88" s="129"/>
      <c r="G88" s="121" t="s">
        <v>40</v>
      </c>
      <c r="H88" s="121" t="s">
        <v>41</v>
      </c>
      <c r="I88" s="7" t="s">
        <v>10447</v>
      </c>
      <c r="J88" s="129" t="s">
        <v>4539</v>
      </c>
      <c r="K88" s="129">
        <v>10041780091</v>
      </c>
      <c r="L88" s="130"/>
      <c r="M88" s="131"/>
      <c r="N88" s="125" t="s">
        <v>11</v>
      </c>
      <c r="O88" s="125" t="s">
        <v>11</v>
      </c>
      <c r="P88" s="125" t="s">
        <v>11</v>
      </c>
      <c r="Q88" s="125" t="s">
        <v>11</v>
      </c>
      <c r="R88" s="125" t="s">
        <v>11</v>
      </c>
      <c r="S88" s="125" t="s">
        <v>11</v>
      </c>
      <c r="T88" s="125" t="s">
        <v>11</v>
      </c>
      <c r="U88" s="125" t="s">
        <v>11</v>
      </c>
      <c r="V88" s="125" t="s">
        <v>11</v>
      </c>
      <c r="W88" s="125" t="s">
        <v>11</v>
      </c>
      <c r="X88" s="125" t="s">
        <v>11</v>
      </c>
      <c r="Y88" s="125" t="s">
        <v>11</v>
      </c>
      <c r="Z88" s="125" t="s">
        <v>11</v>
      </c>
      <c r="AA88" s="125" t="s">
        <v>11</v>
      </c>
      <c r="AB88" s="125" t="s">
        <v>11</v>
      </c>
      <c r="AC88" s="132"/>
      <c r="AD88" s="127">
        <f t="shared" si="3"/>
        <v>0</v>
      </c>
      <c r="AE88" s="127">
        <f t="shared" si="4"/>
        <v>0</v>
      </c>
      <c r="AF88" s="127">
        <f t="shared" si="5"/>
        <v>15</v>
      </c>
      <c r="AG88" s="128" t="str" cm="1">
        <f t="array" ref="AG88">_xlfn.IFS(
SUM(AD88:AF88)=0,"Not Started",
SUM(AD88:AF88)&lt;15,"In Progress",
SUM(AD88:AF88)=15,"Completed",
SUM(AD88:AF88)&gt;15,"Error"
)</f>
        <v>Completed</v>
      </c>
    </row>
    <row r="89" spans="1:33" ht="15.5" x14ac:dyDescent="0.25">
      <c r="A89" s="270"/>
      <c r="B89" s="120" t="s">
        <v>136</v>
      </c>
      <c r="C89" s="11" t="s">
        <v>4282</v>
      </c>
      <c r="D89" s="11" t="s">
        <v>4754</v>
      </c>
      <c r="E89" s="11" t="s">
        <v>43</v>
      </c>
      <c r="F89" s="129"/>
      <c r="G89" s="121" t="s">
        <v>40</v>
      </c>
      <c r="H89" s="121" t="s">
        <v>41</v>
      </c>
      <c r="I89" s="7" t="s">
        <v>10448</v>
      </c>
      <c r="J89" s="129" t="s">
        <v>4540</v>
      </c>
      <c r="K89" s="129">
        <v>10041855254</v>
      </c>
      <c r="L89" s="130"/>
      <c r="M89" s="131"/>
      <c r="N89" s="125" t="s">
        <v>11</v>
      </c>
      <c r="O89" s="125" t="s">
        <v>11</v>
      </c>
      <c r="P89" s="125" t="s">
        <v>11</v>
      </c>
      <c r="Q89" s="125" t="s">
        <v>11</v>
      </c>
      <c r="R89" s="125" t="s">
        <v>11</v>
      </c>
      <c r="S89" s="125" t="s">
        <v>11</v>
      </c>
      <c r="T89" s="125" t="s">
        <v>11</v>
      </c>
      <c r="U89" s="125" t="s">
        <v>11</v>
      </c>
      <c r="V89" s="125" t="s">
        <v>11</v>
      </c>
      <c r="W89" s="125" t="s">
        <v>11</v>
      </c>
      <c r="X89" s="125" t="s">
        <v>11</v>
      </c>
      <c r="Y89" s="125" t="s">
        <v>11</v>
      </c>
      <c r="Z89" s="125" t="s">
        <v>11</v>
      </c>
      <c r="AA89" s="125" t="s">
        <v>11</v>
      </c>
      <c r="AB89" s="125" t="s">
        <v>11</v>
      </c>
      <c r="AC89" s="132"/>
      <c r="AD89" s="127">
        <f t="shared" si="3"/>
        <v>0</v>
      </c>
      <c r="AE89" s="127">
        <f t="shared" si="4"/>
        <v>0</v>
      </c>
      <c r="AF89" s="127">
        <f t="shared" si="5"/>
        <v>15</v>
      </c>
      <c r="AG89" s="128" t="str" cm="1">
        <f t="array" ref="AG89">_xlfn.IFS(
SUM(AD89:AF89)=0,"Not Started",
SUM(AD89:AF89)&lt;15,"In Progress",
SUM(AD89:AF89)=15,"Completed",
SUM(AD89:AF89)&gt;15,"Error"
)</f>
        <v>Completed</v>
      </c>
    </row>
    <row r="90" spans="1:33" ht="15.5" x14ac:dyDescent="0.25">
      <c r="A90" s="270"/>
      <c r="B90" s="120" t="s">
        <v>137</v>
      </c>
      <c r="C90" s="11" t="s">
        <v>4283</v>
      </c>
      <c r="D90" s="11" t="s">
        <v>4755</v>
      </c>
      <c r="E90" s="11"/>
      <c r="F90" s="129"/>
      <c r="G90" s="121" t="s">
        <v>40</v>
      </c>
      <c r="H90" s="121" t="s">
        <v>41</v>
      </c>
      <c r="I90" s="7" t="s">
        <v>10449</v>
      </c>
      <c r="J90" s="129" t="s">
        <v>4541</v>
      </c>
      <c r="K90" s="129">
        <v>10041795540</v>
      </c>
      <c r="L90" s="130"/>
      <c r="M90" s="131"/>
      <c r="N90" s="125" t="s">
        <v>11</v>
      </c>
      <c r="O90" s="125" t="s">
        <v>11</v>
      </c>
      <c r="P90" s="125" t="s">
        <v>11</v>
      </c>
      <c r="Q90" s="125" t="s">
        <v>11</v>
      </c>
      <c r="R90" s="125" t="s">
        <v>11</v>
      </c>
      <c r="S90" s="125" t="s">
        <v>11</v>
      </c>
      <c r="T90" s="125" t="s">
        <v>11</v>
      </c>
      <c r="U90" s="125" t="s">
        <v>11</v>
      </c>
      <c r="V90" s="125" t="s">
        <v>11</v>
      </c>
      <c r="W90" s="125" t="s">
        <v>11</v>
      </c>
      <c r="X90" s="125" t="s">
        <v>11</v>
      </c>
      <c r="Y90" s="125" t="s">
        <v>11</v>
      </c>
      <c r="Z90" s="125" t="s">
        <v>11</v>
      </c>
      <c r="AA90" s="125" t="s">
        <v>11</v>
      </c>
      <c r="AB90" s="125" t="s">
        <v>11</v>
      </c>
      <c r="AC90" s="132"/>
      <c r="AD90" s="127">
        <f t="shared" si="3"/>
        <v>0</v>
      </c>
      <c r="AE90" s="127">
        <f t="shared" si="4"/>
        <v>0</v>
      </c>
      <c r="AF90" s="127">
        <f t="shared" si="5"/>
        <v>15</v>
      </c>
      <c r="AG90" s="128" t="str" cm="1">
        <f t="array" ref="AG90">_xlfn.IFS(
SUM(AD90:AF90)=0,"Not Started",
SUM(AD90:AF90)&lt;15,"In Progress",
SUM(AD90:AF90)=15,"Completed",
SUM(AD90:AF90)&gt;15,"Error"
)</f>
        <v>Completed</v>
      </c>
    </row>
    <row r="91" spans="1:33" ht="15.5" x14ac:dyDescent="0.25">
      <c r="A91" s="270"/>
      <c r="B91" s="120" t="s">
        <v>138</v>
      </c>
      <c r="C91" s="11" t="s">
        <v>4284</v>
      </c>
      <c r="D91" s="11" t="s">
        <v>4756</v>
      </c>
      <c r="E91" s="11"/>
      <c r="F91" s="129"/>
      <c r="G91" s="121" t="s">
        <v>40</v>
      </c>
      <c r="H91" s="121" t="s">
        <v>41</v>
      </c>
      <c r="I91" s="7" t="s">
        <v>10450</v>
      </c>
      <c r="J91" s="129" t="s">
        <v>4542</v>
      </c>
      <c r="K91" s="129">
        <v>10041694903</v>
      </c>
      <c r="L91" s="130"/>
      <c r="M91" s="131"/>
      <c r="N91" s="125" t="s">
        <v>11</v>
      </c>
      <c r="O91" s="125" t="s">
        <v>11</v>
      </c>
      <c r="P91" s="125" t="s">
        <v>11</v>
      </c>
      <c r="Q91" s="125" t="s">
        <v>11</v>
      </c>
      <c r="R91" s="125" t="s">
        <v>11</v>
      </c>
      <c r="S91" s="125" t="s">
        <v>11</v>
      </c>
      <c r="T91" s="125" t="s">
        <v>11</v>
      </c>
      <c r="U91" s="125" t="s">
        <v>11</v>
      </c>
      <c r="V91" s="125" t="s">
        <v>11</v>
      </c>
      <c r="W91" s="125" t="s">
        <v>11</v>
      </c>
      <c r="X91" s="125" t="s">
        <v>11</v>
      </c>
      <c r="Y91" s="125" t="s">
        <v>11</v>
      </c>
      <c r="Z91" s="125" t="s">
        <v>11</v>
      </c>
      <c r="AA91" s="125" t="s">
        <v>11</v>
      </c>
      <c r="AB91" s="125" t="s">
        <v>11</v>
      </c>
      <c r="AC91" s="132"/>
      <c r="AD91" s="127">
        <f t="shared" si="3"/>
        <v>0</v>
      </c>
      <c r="AE91" s="127">
        <f t="shared" si="4"/>
        <v>0</v>
      </c>
      <c r="AF91" s="127">
        <f t="shared" si="5"/>
        <v>15</v>
      </c>
      <c r="AG91" s="128" t="str" cm="1">
        <f t="array" ref="AG91">_xlfn.IFS(
SUM(AD91:AF91)=0,"Not Started",
SUM(AD91:AF91)&lt;15,"In Progress",
SUM(AD91:AF91)=15,"Completed",
SUM(AD91:AF91)&gt;15,"Error"
)</f>
        <v>Completed</v>
      </c>
    </row>
    <row r="92" spans="1:33" ht="15.5" x14ac:dyDescent="0.25">
      <c r="A92" s="270"/>
      <c r="B92" s="120" t="s">
        <v>139</v>
      </c>
      <c r="C92" s="11" t="s">
        <v>4285</v>
      </c>
      <c r="D92" s="11" t="s">
        <v>4757</v>
      </c>
      <c r="E92" s="11"/>
      <c r="F92" s="129"/>
      <c r="G92" s="121" t="s">
        <v>40</v>
      </c>
      <c r="H92" s="121" t="s">
        <v>41</v>
      </c>
      <c r="I92" s="7" t="s">
        <v>10451</v>
      </c>
      <c r="J92" s="129" t="s">
        <v>4543</v>
      </c>
      <c r="K92" s="129">
        <v>10041848984</v>
      </c>
      <c r="L92" s="130"/>
      <c r="M92" s="131"/>
      <c r="N92" s="125" t="s">
        <v>11</v>
      </c>
      <c r="O92" s="125" t="s">
        <v>11</v>
      </c>
      <c r="P92" s="125" t="s">
        <v>11</v>
      </c>
      <c r="Q92" s="125" t="s">
        <v>11</v>
      </c>
      <c r="R92" s="125" t="s">
        <v>11</v>
      </c>
      <c r="S92" s="125" t="s">
        <v>11</v>
      </c>
      <c r="T92" s="125" t="s">
        <v>11</v>
      </c>
      <c r="U92" s="125" t="s">
        <v>11</v>
      </c>
      <c r="V92" s="125" t="s">
        <v>11</v>
      </c>
      <c r="W92" s="125" t="s">
        <v>11</v>
      </c>
      <c r="X92" s="125" t="s">
        <v>11</v>
      </c>
      <c r="Y92" s="125" t="s">
        <v>11</v>
      </c>
      <c r="Z92" s="125" t="s">
        <v>11</v>
      </c>
      <c r="AA92" s="125" t="s">
        <v>11</v>
      </c>
      <c r="AB92" s="125" t="s">
        <v>11</v>
      </c>
      <c r="AC92" s="132"/>
      <c r="AD92" s="127">
        <f t="shared" si="3"/>
        <v>0</v>
      </c>
      <c r="AE92" s="127">
        <f t="shared" si="4"/>
        <v>0</v>
      </c>
      <c r="AF92" s="127">
        <f t="shared" si="5"/>
        <v>15</v>
      </c>
      <c r="AG92" s="128" t="str" cm="1">
        <f t="array" ref="AG92">_xlfn.IFS(
SUM(AD92:AF92)=0,"Not Started",
SUM(AD92:AF92)&lt;15,"In Progress",
SUM(AD92:AF92)=15,"Completed",
SUM(AD92:AF92)&gt;15,"Error"
)</f>
        <v>Completed</v>
      </c>
    </row>
    <row r="93" spans="1:33" ht="15.5" x14ac:dyDescent="0.25">
      <c r="A93" s="270"/>
      <c r="B93" s="120" t="s">
        <v>140</v>
      </c>
      <c r="C93" s="11" t="s">
        <v>4286</v>
      </c>
      <c r="D93" s="11" t="s">
        <v>4758</v>
      </c>
      <c r="E93" s="11"/>
      <c r="F93" s="129"/>
      <c r="G93" s="121" t="s">
        <v>40</v>
      </c>
      <c r="H93" s="121" t="s">
        <v>41</v>
      </c>
      <c r="I93" s="7" t="s">
        <v>10452</v>
      </c>
      <c r="J93" s="129" t="s">
        <v>4544</v>
      </c>
      <c r="K93" s="129">
        <v>10041911827</v>
      </c>
      <c r="L93" s="130"/>
      <c r="M93" s="131"/>
      <c r="N93" s="125" t="s">
        <v>11</v>
      </c>
      <c r="O93" s="125" t="s">
        <v>11</v>
      </c>
      <c r="P93" s="125" t="s">
        <v>11</v>
      </c>
      <c r="Q93" s="125" t="s">
        <v>11</v>
      </c>
      <c r="R93" s="125" t="s">
        <v>11</v>
      </c>
      <c r="S93" s="125" t="s">
        <v>11</v>
      </c>
      <c r="T93" s="125" t="s">
        <v>11</v>
      </c>
      <c r="U93" s="125" t="s">
        <v>11</v>
      </c>
      <c r="V93" s="125" t="s">
        <v>11</v>
      </c>
      <c r="W93" s="125" t="s">
        <v>11</v>
      </c>
      <c r="X93" s="125" t="s">
        <v>11</v>
      </c>
      <c r="Y93" s="125" t="s">
        <v>11</v>
      </c>
      <c r="Z93" s="125" t="s">
        <v>11</v>
      </c>
      <c r="AA93" s="125" t="s">
        <v>11</v>
      </c>
      <c r="AB93" s="125" t="s">
        <v>11</v>
      </c>
      <c r="AC93" s="132"/>
      <c r="AD93" s="127">
        <f t="shared" si="3"/>
        <v>0</v>
      </c>
      <c r="AE93" s="127">
        <f t="shared" si="4"/>
        <v>0</v>
      </c>
      <c r="AF93" s="127">
        <f t="shared" si="5"/>
        <v>15</v>
      </c>
      <c r="AG93" s="128" t="str" cm="1">
        <f t="array" ref="AG93">_xlfn.IFS(
SUM(AD93:AF93)=0,"Not Started",
SUM(AD93:AF93)&lt;15,"In Progress",
SUM(AD93:AF93)=15,"Completed",
SUM(AD93:AF93)&gt;15,"Error"
)</f>
        <v>Completed</v>
      </c>
    </row>
    <row r="94" spans="1:33" ht="15.5" x14ac:dyDescent="0.25">
      <c r="A94" s="270"/>
      <c r="B94" s="120" t="s">
        <v>141</v>
      </c>
      <c r="C94" s="11" t="s">
        <v>4287</v>
      </c>
      <c r="D94" s="11" t="s">
        <v>4759</v>
      </c>
      <c r="E94" s="11"/>
      <c r="F94" s="129"/>
      <c r="G94" s="121" t="s">
        <v>40</v>
      </c>
      <c r="H94" s="121" t="s">
        <v>41</v>
      </c>
      <c r="I94" s="7" t="s">
        <v>10453</v>
      </c>
      <c r="J94" s="129" t="s">
        <v>4545</v>
      </c>
      <c r="K94" s="129">
        <v>10041840485</v>
      </c>
      <c r="L94" s="130"/>
      <c r="M94" s="131"/>
      <c r="N94" s="125" t="s">
        <v>11</v>
      </c>
      <c r="O94" s="125" t="s">
        <v>11</v>
      </c>
      <c r="P94" s="125" t="s">
        <v>11</v>
      </c>
      <c r="Q94" s="125" t="s">
        <v>11</v>
      </c>
      <c r="R94" s="125" t="s">
        <v>11</v>
      </c>
      <c r="S94" s="125" t="s">
        <v>11</v>
      </c>
      <c r="T94" s="125" t="s">
        <v>11</v>
      </c>
      <c r="U94" s="125" t="s">
        <v>11</v>
      </c>
      <c r="V94" s="125" t="s">
        <v>11</v>
      </c>
      <c r="W94" s="125" t="s">
        <v>11</v>
      </c>
      <c r="X94" s="125" t="s">
        <v>11</v>
      </c>
      <c r="Y94" s="125" t="s">
        <v>11</v>
      </c>
      <c r="Z94" s="125" t="s">
        <v>11</v>
      </c>
      <c r="AA94" s="125" t="s">
        <v>11</v>
      </c>
      <c r="AB94" s="125" t="s">
        <v>11</v>
      </c>
      <c r="AC94" s="132"/>
      <c r="AD94" s="127">
        <f t="shared" si="3"/>
        <v>0</v>
      </c>
      <c r="AE94" s="127">
        <f t="shared" si="4"/>
        <v>0</v>
      </c>
      <c r="AF94" s="127">
        <f t="shared" si="5"/>
        <v>15</v>
      </c>
      <c r="AG94" s="128" t="str" cm="1">
        <f t="array" ref="AG94">_xlfn.IFS(
SUM(AD94:AF94)=0,"Not Started",
SUM(AD94:AF94)&lt;15,"In Progress",
SUM(AD94:AF94)=15,"Completed",
SUM(AD94:AF94)&gt;15,"Error"
)</f>
        <v>Completed</v>
      </c>
    </row>
    <row r="95" spans="1:33" ht="15.5" x14ac:dyDescent="0.25">
      <c r="A95" s="270"/>
      <c r="B95" s="120" t="s">
        <v>142</v>
      </c>
      <c r="C95" s="11" t="s">
        <v>4288</v>
      </c>
      <c r="D95" s="11" t="s">
        <v>4760</v>
      </c>
      <c r="E95" s="11" t="s">
        <v>43</v>
      </c>
      <c r="F95" s="129"/>
      <c r="G95" s="121" t="s">
        <v>40</v>
      </c>
      <c r="H95" s="121" t="s">
        <v>41</v>
      </c>
      <c r="I95" s="7" t="s">
        <v>10454</v>
      </c>
      <c r="J95" s="129" t="s">
        <v>4546</v>
      </c>
      <c r="K95" s="129">
        <v>10041808890</v>
      </c>
      <c r="L95" s="130"/>
      <c r="M95" s="131"/>
      <c r="N95" s="125" t="s">
        <v>11</v>
      </c>
      <c r="O95" s="125" t="s">
        <v>11</v>
      </c>
      <c r="P95" s="125" t="s">
        <v>11</v>
      </c>
      <c r="Q95" s="125" t="s">
        <v>11</v>
      </c>
      <c r="R95" s="125" t="s">
        <v>11</v>
      </c>
      <c r="S95" s="125" t="s">
        <v>11</v>
      </c>
      <c r="T95" s="125" t="s">
        <v>11</v>
      </c>
      <c r="U95" s="125" t="s">
        <v>11</v>
      </c>
      <c r="V95" s="125" t="s">
        <v>11</v>
      </c>
      <c r="W95" s="125" t="s">
        <v>11</v>
      </c>
      <c r="X95" s="125" t="s">
        <v>11</v>
      </c>
      <c r="Y95" s="125" t="s">
        <v>11</v>
      </c>
      <c r="Z95" s="125" t="s">
        <v>11</v>
      </c>
      <c r="AA95" s="125" t="s">
        <v>11</v>
      </c>
      <c r="AB95" s="125" t="s">
        <v>11</v>
      </c>
      <c r="AC95" s="132"/>
      <c r="AD95" s="127">
        <f t="shared" si="3"/>
        <v>0</v>
      </c>
      <c r="AE95" s="127">
        <f t="shared" si="4"/>
        <v>0</v>
      </c>
      <c r="AF95" s="127">
        <f t="shared" si="5"/>
        <v>15</v>
      </c>
      <c r="AG95" s="128" t="str" cm="1">
        <f t="array" ref="AG95">_xlfn.IFS(
SUM(AD95:AF95)=0,"Not Started",
SUM(AD95:AF95)&lt;15,"In Progress",
SUM(AD95:AF95)=15,"Completed",
SUM(AD95:AF95)&gt;15,"Error"
)</f>
        <v>Completed</v>
      </c>
    </row>
    <row r="96" spans="1:33" ht="15.5" x14ac:dyDescent="0.25">
      <c r="A96" s="270"/>
      <c r="B96" s="120" t="s">
        <v>143</v>
      </c>
      <c r="C96" s="11" t="s">
        <v>4289</v>
      </c>
      <c r="D96" s="11" t="s">
        <v>4761</v>
      </c>
      <c r="E96" s="11"/>
      <c r="F96" s="129"/>
      <c r="G96" s="121" t="s">
        <v>40</v>
      </c>
      <c r="H96" s="121" t="s">
        <v>41</v>
      </c>
      <c r="I96" s="7" t="s">
        <v>10455</v>
      </c>
      <c r="J96" s="129" t="s">
        <v>4547</v>
      </c>
      <c r="K96" s="129">
        <v>10041865617</v>
      </c>
      <c r="L96" s="130"/>
      <c r="M96" s="131"/>
      <c r="N96" s="125" t="s">
        <v>11</v>
      </c>
      <c r="O96" s="125" t="s">
        <v>11</v>
      </c>
      <c r="P96" s="125" t="s">
        <v>11</v>
      </c>
      <c r="Q96" s="125" t="s">
        <v>11</v>
      </c>
      <c r="R96" s="125" t="s">
        <v>11</v>
      </c>
      <c r="S96" s="125" t="s">
        <v>11</v>
      </c>
      <c r="T96" s="125" t="s">
        <v>11</v>
      </c>
      <c r="U96" s="125" t="s">
        <v>11</v>
      </c>
      <c r="V96" s="125" t="s">
        <v>11</v>
      </c>
      <c r="W96" s="125" t="s">
        <v>11</v>
      </c>
      <c r="X96" s="125" t="s">
        <v>11</v>
      </c>
      <c r="Y96" s="125" t="s">
        <v>11</v>
      </c>
      <c r="Z96" s="125" t="s">
        <v>11</v>
      </c>
      <c r="AA96" s="125" t="s">
        <v>11</v>
      </c>
      <c r="AB96" s="125" t="s">
        <v>11</v>
      </c>
      <c r="AC96" s="132"/>
      <c r="AD96" s="127">
        <f t="shared" si="3"/>
        <v>0</v>
      </c>
      <c r="AE96" s="127">
        <f t="shared" si="4"/>
        <v>0</v>
      </c>
      <c r="AF96" s="127">
        <f t="shared" si="5"/>
        <v>15</v>
      </c>
      <c r="AG96" s="128" t="str" cm="1">
        <f t="array" ref="AG96">_xlfn.IFS(
SUM(AD96:AF96)=0,"Not Started",
SUM(AD96:AF96)&lt;15,"In Progress",
SUM(AD96:AF96)=15,"Completed",
SUM(AD96:AF96)&gt;15,"Error"
)</f>
        <v>Completed</v>
      </c>
    </row>
    <row r="97" spans="1:33" ht="15.5" x14ac:dyDescent="0.25">
      <c r="A97" s="270"/>
      <c r="B97" s="120" t="s">
        <v>144</v>
      </c>
      <c r="C97" s="11" t="s">
        <v>4290</v>
      </c>
      <c r="D97" s="11" t="s">
        <v>4762</v>
      </c>
      <c r="E97" s="11"/>
      <c r="F97" s="129"/>
      <c r="G97" s="121" t="s">
        <v>40</v>
      </c>
      <c r="H97" s="121" t="s">
        <v>41</v>
      </c>
      <c r="I97" s="7" t="s">
        <v>10456</v>
      </c>
      <c r="J97" s="129" t="s">
        <v>4548</v>
      </c>
      <c r="K97" s="129">
        <v>10041849201</v>
      </c>
      <c r="L97" s="130"/>
      <c r="M97" s="131"/>
      <c r="N97" s="125" t="s">
        <v>11</v>
      </c>
      <c r="O97" s="125" t="s">
        <v>11</v>
      </c>
      <c r="P97" s="125" t="s">
        <v>11</v>
      </c>
      <c r="Q97" s="125" t="s">
        <v>11</v>
      </c>
      <c r="R97" s="125" t="s">
        <v>11</v>
      </c>
      <c r="S97" s="125" t="s">
        <v>11</v>
      </c>
      <c r="T97" s="125" t="s">
        <v>11</v>
      </c>
      <c r="U97" s="125" t="s">
        <v>11</v>
      </c>
      <c r="V97" s="125" t="s">
        <v>11</v>
      </c>
      <c r="W97" s="125" t="s">
        <v>11</v>
      </c>
      <c r="X97" s="125" t="s">
        <v>11</v>
      </c>
      <c r="Y97" s="125" t="s">
        <v>11</v>
      </c>
      <c r="Z97" s="125" t="s">
        <v>11</v>
      </c>
      <c r="AA97" s="125" t="s">
        <v>11</v>
      </c>
      <c r="AB97" s="125" t="s">
        <v>11</v>
      </c>
      <c r="AC97" s="132"/>
      <c r="AD97" s="127">
        <f t="shared" si="3"/>
        <v>0</v>
      </c>
      <c r="AE97" s="127">
        <f t="shared" si="4"/>
        <v>0</v>
      </c>
      <c r="AF97" s="127">
        <f t="shared" si="5"/>
        <v>15</v>
      </c>
      <c r="AG97" s="128" t="str" cm="1">
        <f t="array" ref="AG97">_xlfn.IFS(
SUM(AD97:AF97)=0,"Not Started",
SUM(AD97:AF97)&lt;15,"In Progress",
SUM(AD97:AF97)=15,"Completed",
SUM(AD97:AF97)&gt;15,"Error"
)</f>
        <v>Completed</v>
      </c>
    </row>
    <row r="98" spans="1:33" ht="15.5" x14ac:dyDescent="0.25">
      <c r="A98" s="270"/>
      <c r="B98" s="120" t="s">
        <v>145</v>
      </c>
      <c r="C98" s="11" t="s">
        <v>4291</v>
      </c>
      <c r="D98" s="11" t="s">
        <v>4763</v>
      </c>
      <c r="E98" s="11"/>
      <c r="F98" s="129"/>
      <c r="G98" s="121" t="s">
        <v>40</v>
      </c>
      <c r="H98" s="121" t="s">
        <v>41</v>
      </c>
      <c r="I98" s="7" t="s">
        <v>10457</v>
      </c>
      <c r="J98" s="129" t="s">
        <v>4549</v>
      </c>
      <c r="K98" s="129">
        <v>10041784878</v>
      </c>
      <c r="L98" s="130"/>
      <c r="M98" s="131"/>
      <c r="N98" s="125" t="s">
        <v>11</v>
      </c>
      <c r="O98" s="125" t="s">
        <v>11</v>
      </c>
      <c r="P98" s="125" t="s">
        <v>11</v>
      </c>
      <c r="Q98" s="125" t="s">
        <v>11</v>
      </c>
      <c r="R98" s="125" t="s">
        <v>11</v>
      </c>
      <c r="S98" s="125" t="s">
        <v>11</v>
      </c>
      <c r="T98" s="125" t="s">
        <v>11</v>
      </c>
      <c r="U98" s="125" t="s">
        <v>11</v>
      </c>
      <c r="V98" s="125" t="s">
        <v>11</v>
      </c>
      <c r="W98" s="125" t="s">
        <v>11</v>
      </c>
      <c r="X98" s="125" t="s">
        <v>11</v>
      </c>
      <c r="Y98" s="125" t="s">
        <v>11</v>
      </c>
      <c r="Z98" s="125" t="s">
        <v>11</v>
      </c>
      <c r="AA98" s="125" t="s">
        <v>11</v>
      </c>
      <c r="AB98" s="125" t="s">
        <v>11</v>
      </c>
      <c r="AC98" s="132"/>
      <c r="AD98" s="127">
        <f t="shared" si="3"/>
        <v>0</v>
      </c>
      <c r="AE98" s="127">
        <f t="shared" si="4"/>
        <v>0</v>
      </c>
      <c r="AF98" s="127">
        <f t="shared" si="5"/>
        <v>15</v>
      </c>
      <c r="AG98" s="128" t="str" cm="1">
        <f t="array" ref="AG98">_xlfn.IFS(
SUM(AD98:AF98)=0,"Not Started",
SUM(AD98:AF98)&lt;15,"In Progress",
SUM(AD98:AF98)=15,"Completed",
SUM(AD98:AF98)&gt;15,"Error"
)</f>
        <v>Completed</v>
      </c>
    </row>
    <row r="99" spans="1:33" ht="15.5" x14ac:dyDescent="0.25">
      <c r="A99" s="270"/>
      <c r="B99" s="120" t="s">
        <v>146</v>
      </c>
      <c r="C99" s="11" t="s">
        <v>4292</v>
      </c>
      <c r="D99" s="11" t="s">
        <v>4764</v>
      </c>
      <c r="E99" s="11"/>
      <c r="F99" s="129"/>
      <c r="G99" s="121" t="s">
        <v>40</v>
      </c>
      <c r="H99" s="121" t="s">
        <v>41</v>
      </c>
      <c r="I99" s="7" t="s">
        <v>10458</v>
      </c>
      <c r="J99" s="129" t="s">
        <v>4550</v>
      </c>
      <c r="K99" s="129">
        <v>10083305992</v>
      </c>
      <c r="L99" s="130"/>
      <c r="M99" s="131"/>
      <c r="N99" s="125" t="s">
        <v>11</v>
      </c>
      <c r="O99" s="125" t="s">
        <v>11</v>
      </c>
      <c r="P99" s="125" t="s">
        <v>11</v>
      </c>
      <c r="Q99" s="125" t="s">
        <v>11</v>
      </c>
      <c r="R99" s="125" t="s">
        <v>11</v>
      </c>
      <c r="S99" s="125" t="s">
        <v>11</v>
      </c>
      <c r="T99" s="125" t="s">
        <v>11</v>
      </c>
      <c r="U99" s="125" t="s">
        <v>11</v>
      </c>
      <c r="V99" s="125" t="s">
        <v>11</v>
      </c>
      <c r="W99" s="125" t="s">
        <v>11</v>
      </c>
      <c r="X99" s="125" t="s">
        <v>11</v>
      </c>
      <c r="Y99" s="125" t="s">
        <v>11</v>
      </c>
      <c r="Z99" s="125" t="s">
        <v>11</v>
      </c>
      <c r="AA99" s="125" t="s">
        <v>11</v>
      </c>
      <c r="AB99" s="125" t="s">
        <v>11</v>
      </c>
      <c r="AC99" s="132"/>
      <c r="AD99" s="127">
        <f t="shared" si="3"/>
        <v>0</v>
      </c>
      <c r="AE99" s="127">
        <f t="shared" si="4"/>
        <v>0</v>
      </c>
      <c r="AF99" s="127">
        <f t="shared" si="5"/>
        <v>15</v>
      </c>
      <c r="AG99" s="128" t="str" cm="1">
        <f t="array" ref="AG99">_xlfn.IFS(
SUM(AD99:AF99)=0,"Not Started",
SUM(AD99:AF99)&lt;15,"In Progress",
SUM(AD99:AF99)=15,"Completed",
SUM(AD99:AF99)&gt;15,"Error"
)</f>
        <v>Completed</v>
      </c>
    </row>
    <row r="100" spans="1:33" ht="15.5" x14ac:dyDescent="0.25">
      <c r="A100" s="270"/>
      <c r="B100" s="120" t="s">
        <v>147</v>
      </c>
      <c r="C100" s="11" t="s">
        <v>4293</v>
      </c>
      <c r="D100" s="11" t="s">
        <v>4765</v>
      </c>
      <c r="E100" s="11"/>
      <c r="F100" s="129"/>
      <c r="G100" s="121" t="s">
        <v>40</v>
      </c>
      <c r="H100" s="121" t="s">
        <v>41</v>
      </c>
      <c r="I100" s="7" t="s">
        <v>10459</v>
      </c>
      <c r="J100" s="129" t="s">
        <v>4551</v>
      </c>
      <c r="K100" s="129">
        <v>10041848957</v>
      </c>
      <c r="L100" s="130"/>
      <c r="M100" s="131"/>
      <c r="N100" s="125" t="s">
        <v>11</v>
      </c>
      <c r="O100" s="125" t="s">
        <v>11</v>
      </c>
      <c r="P100" s="125" t="s">
        <v>11</v>
      </c>
      <c r="Q100" s="125" t="s">
        <v>11</v>
      </c>
      <c r="R100" s="125" t="s">
        <v>11</v>
      </c>
      <c r="S100" s="125" t="s">
        <v>11</v>
      </c>
      <c r="T100" s="125" t="s">
        <v>11</v>
      </c>
      <c r="U100" s="125" t="s">
        <v>11</v>
      </c>
      <c r="V100" s="125" t="s">
        <v>11</v>
      </c>
      <c r="W100" s="125" t="s">
        <v>11</v>
      </c>
      <c r="X100" s="125" t="s">
        <v>11</v>
      </c>
      <c r="Y100" s="125" t="s">
        <v>11</v>
      </c>
      <c r="Z100" s="125" t="s">
        <v>11</v>
      </c>
      <c r="AA100" s="125" t="s">
        <v>11</v>
      </c>
      <c r="AB100" s="125" t="s">
        <v>11</v>
      </c>
      <c r="AC100" s="132"/>
      <c r="AD100" s="127">
        <f t="shared" si="3"/>
        <v>0</v>
      </c>
      <c r="AE100" s="127">
        <f t="shared" si="4"/>
        <v>0</v>
      </c>
      <c r="AF100" s="127">
        <f t="shared" si="5"/>
        <v>15</v>
      </c>
      <c r="AG100" s="128" t="str" cm="1">
        <f t="array" ref="AG100">_xlfn.IFS(
SUM(AD100:AF100)=0,"Not Started",
SUM(AD100:AF100)&lt;15,"In Progress",
SUM(AD100:AF100)=15,"Completed",
SUM(AD100:AF100)&gt;15,"Error"
)</f>
        <v>Completed</v>
      </c>
    </row>
    <row r="101" spans="1:33" ht="15.5" x14ac:dyDescent="0.25">
      <c r="A101" s="270"/>
      <c r="B101" s="120" t="s">
        <v>148</v>
      </c>
      <c r="C101" s="11" t="s">
        <v>4294</v>
      </c>
      <c r="D101" s="11" t="s">
        <v>4766</v>
      </c>
      <c r="E101" s="11" t="s">
        <v>47</v>
      </c>
      <c r="F101" s="129"/>
      <c r="G101" s="121" t="s">
        <v>40</v>
      </c>
      <c r="H101" s="121" t="s">
        <v>41</v>
      </c>
      <c r="I101" s="7" t="s">
        <v>10460</v>
      </c>
      <c r="J101" s="129" t="s">
        <v>4552</v>
      </c>
      <c r="K101" s="129">
        <v>10106559267</v>
      </c>
      <c r="L101" s="130"/>
      <c r="M101" s="131"/>
      <c r="N101" s="125" t="s">
        <v>11</v>
      </c>
      <c r="O101" s="125" t="s">
        <v>11</v>
      </c>
      <c r="P101" s="125" t="s">
        <v>11</v>
      </c>
      <c r="Q101" s="125" t="s">
        <v>11</v>
      </c>
      <c r="R101" s="125" t="s">
        <v>11</v>
      </c>
      <c r="S101" s="125" t="s">
        <v>11</v>
      </c>
      <c r="T101" s="125" t="s">
        <v>11</v>
      </c>
      <c r="U101" s="125" t="s">
        <v>11</v>
      </c>
      <c r="V101" s="125" t="s">
        <v>11</v>
      </c>
      <c r="W101" s="125" t="s">
        <v>11</v>
      </c>
      <c r="X101" s="125" t="s">
        <v>11</v>
      </c>
      <c r="Y101" s="125" t="s">
        <v>11</v>
      </c>
      <c r="Z101" s="125" t="s">
        <v>11</v>
      </c>
      <c r="AA101" s="125" t="s">
        <v>11</v>
      </c>
      <c r="AB101" s="125" t="s">
        <v>11</v>
      </c>
      <c r="AC101" s="132"/>
      <c r="AD101" s="127">
        <f t="shared" si="3"/>
        <v>0</v>
      </c>
      <c r="AE101" s="127">
        <f t="shared" si="4"/>
        <v>0</v>
      </c>
      <c r="AF101" s="127">
        <f t="shared" si="5"/>
        <v>15</v>
      </c>
      <c r="AG101" s="128" t="str" cm="1">
        <f t="array" ref="AG101">_xlfn.IFS(
SUM(AD101:AF101)=0,"Not Started",
SUM(AD101:AF101)&lt;15,"In Progress",
SUM(AD101:AF101)=15,"Completed",
SUM(AD101:AF101)&gt;15,"Error"
)</f>
        <v>Completed</v>
      </c>
    </row>
    <row r="102" spans="1:33" ht="15.5" x14ac:dyDescent="0.25">
      <c r="A102" s="270"/>
      <c r="B102" s="120" t="s">
        <v>149</v>
      </c>
      <c r="C102" s="11" t="s">
        <v>4295</v>
      </c>
      <c r="D102" s="11" t="s">
        <v>4767</v>
      </c>
      <c r="E102" s="11" t="s">
        <v>43</v>
      </c>
      <c r="F102" s="129"/>
      <c r="G102" s="121" t="s">
        <v>40</v>
      </c>
      <c r="H102" s="121" t="s">
        <v>41</v>
      </c>
      <c r="I102" s="7" t="s">
        <v>10461</v>
      </c>
      <c r="J102" s="129" t="s">
        <v>4553</v>
      </c>
      <c r="K102" s="129">
        <v>10041180741</v>
      </c>
      <c r="L102" s="130"/>
      <c r="M102" s="131"/>
      <c r="N102" s="125" t="s">
        <v>11</v>
      </c>
      <c r="O102" s="125" t="s">
        <v>11</v>
      </c>
      <c r="P102" s="125" t="s">
        <v>11</v>
      </c>
      <c r="Q102" s="125" t="s">
        <v>11</v>
      </c>
      <c r="R102" s="125" t="s">
        <v>11</v>
      </c>
      <c r="S102" s="125" t="s">
        <v>11</v>
      </c>
      <c r="T102" s="125" t="s">
        <v>11</v>
      </c>
      <c r="U102" s="125" t="s">
        <v>11</v>
      </c>
      <c r="V102" s="125" t="s">
        <v>11</v>
      </c>
      <c r="W102" s="125" t="s">
        <v>11</v>
      </c>
      <c r="X102" s="125" t="s">
        <v>11</v>
      </c>
      <c r="Y102" s="125" t="s">
        <v>11</v>
      </c>
      <c r="Z102" s="125" t="s">
        <v>11</v>
      </c>
      <c r="AA102" s="125" t="s">
        <v>11</v>
      </c>
      <c r="AB102" s="125" t="s">
        <v>11</v>
      </c>
      <c r="AC102" s="132"/>
      <c r="AD102" s="127">
        <f t="shared" si="3"/>
        <v>0</v>
      </c>
      <c r="AE102" s="127">
        <f t="shared" si="4"/>
        <v>0</v>
      </c>
      <c r="AF102" s="127">
        <f t="shared" si="5"/>
        <v>15</v>
      </c>
      <c r="AG102" s="128" t="str" cm="1">
        <f t="array" ref="AG102">_xlfn.IFS(
SUM(AD102:AF102)=0,"Not Started",
SUM(AD102:AF102)&lt;15,"In Progress",
SUM(AD102:AF102)=15,"Completed",
SUM(AD102:AF102)&gt;15,"Error"
)</f>
        <v>Completed</v>
      </c>
    </row>
    <row r="103" spans="1:33" ht="15.5" x14ac:dyDescent="0.25">
      <c r="A103" s="270"/>
      <c r="B103" s="120" t="s">
        <v>150</v>
      </c>
      <c r="C103" s="11" t="s">
        <v>4296</v>
      </c>
      <c r="D103" s="11" t="s">
        <v>4768</v>
      </c>
      <c r="E103" s="11" t="s">
        <v>43</v>
      </c>
      <c r="F103" s="129"/>
      <c r="G103" s="121" t="s">
        <v>40</v>
      </c>
      <c r="H103" s="121" t="s">
        <v>41</v>
      </c>
      <c r="I103" s="7" t="s">
        <v>10462</v>
      </c>
      <c r="J103" s="129" t="s">
        <v>4554</v>
      </c>
      <c r="K103" s="129">
        <v>10041648061</v>
      </c>
      <c r="L103" s="130"/>
      <c r="M103" s="131"/>
      <c r="N103" s="125" t="s">
        <v>11</v>
      </c>
      <c r="O103" s="125" t="s">
        <v>11</v>
      </c>
      <c r="P103" s="125" t="s">
        <v>11</v>
      </c>
      <c r="Q103" s="125" t="s">
        <v>11</v>
      </c>
      <c r="R103" s="125" t="s">
        <v>11</v>
      </c>
      <c r="S103" s="125" t="s">
        <v>11</v>
      </c>
      <c r="T103" s="125" t="s">
        <v>11</v>
      </c>
      <c r="U103" s="125" t="s">
        <v>11</v>
      </c>
      <c r="V103" s="125" t="s">
        <v>11</v>
      </c>
      <c r="W103" s="125" t="s">
        <v>11</v>
      </c>
      <c r="X103" s="125" t="s">
        <v>11</v>
      </c>
      <c r="Y103" s="125" t="s">
        <v>11</v>
      </c>
      <c r="Z103" s="125" t="s">
        <v>11</v>
      </c>
      <c r="AA103" s="125" t="s">
        <v>11</v>
      </c>
      <c r="AB103" s="125" t="s">
        <v>11</v>
      </c>
      <c r="AC103" s="132"/>
      <c r="AD103" s="127">
        <f t="shared" si="3"/>
        <v>0</v>
      </c>
      <c r="AE103" s="127">
        <f t="shared" si="4"/>
        <v>0</v>
      </c>
      <c r="AF103" s="127">
        <f t="shared" si="5"/>
        <v>15</v>
      </c>
      <c r="AG103" s="128" t="str" cm="1">
        <f t="array" ref="AG103">_xlfn.IFS(
SUM(AD103:AF103)=0,"Not Started",
SUM(AD103:AF103)&lt;15,"In Progress",
SUM(AD103:AF103)=15,"Completed",
SUM(AD103:AF103)&gt;15,"Error"
)</f>
        <v>Completed</v>
      </c>
    </row>
    <row r="104" spans="1:33" ht="15.5" x14ac:dyDescent="0.25">
      <c r="A104" s="270"/>
      <c r="B104" s="120" t="s">
        <v>151</v>
      </c>
      <c r="C104" s="11" t="s">
        <v>4297</v>
      </c>
      <c r="D104" s="11" t="s">
        <v>4769</v>
      </c>
      <c r="E104" s="11" t="s">
        <v>43</v>
      </c>
      <c r="F104" s="129"/>
      <c r="G104" s="121" t="s">
        <v>40</v>
      </c>
      <c r="H104" s="121" t="s">
        <v>41</v>
      </c>
      <c r="I104" s="7" t="s">
        <v>10463</v>
      </c>
      <c r="J104" s="129" t="s">
        <v>4555</v>
      </c>
      <c r="K104" s="129">
        <v>10041275101</v>
      </c>
      <c r="L104" s="130"/>
      <c r="M104" s="131"/>
      <c r="N104" s="125" t="s">
        <v>11</v>
      </c>
      <c r="O104" s="125" t="s">
        <v>11</v>
      </c>
      <c r="P104" s="125" t="s">
        <v>11</v>
      </c>
      <c r="Q104" s="125" t="s">
        <v>11</v>
      </c>
      <c r="R104" s="125" t="s">
        <v>11</v>
      </c>
      <c r="S104" s="125" t="s">
        <v>11</v>
      </c>
      <c r="T104" s="125" t="s">
        <v>11</v>
      </c>
      <c r="U104" s="125" t="s">
        <v>11</v>
      </c>
      <c r="V104" s="125" t="s">
        <v>11</v>
      </c>
      <c r="W104" s="125" t="s">
        <v>11</v>
      </c>
      <c r="X104" s="125" t="s">
        <v>11</v>
      </c>
      <c r="Y104" s="125" t="s">
        <v>11</v>
      </c>
      <c r="Z104" s="125" t="s">
        <v>11</v>
      </c>
      <c r="AA104" s="125" t="s">
        <v>11</v>
      </c>
      <c r="AB104" s="125" t="s">
        <v>11</v>
      </c>
      <c r="AC104" s="132"/>
      <c r="AD104" s="127">
        <f t="shared" si="3"/>
        <v>0</v>
      </c>
      <c r="AE104" s="127">
        <f t="shared" si="4"/>
        <v>0</v>
      </c>
      <c r="AF104" s="127">
        <f t="shared" si="5"/>
        <v>15</v>
      </c>
      <c r="AG104" s="128" t="str" cm="1">
        <f t="array" ref="AG104">_xlfn.IFS(
SUM(AD104:AF104)=0,"Not Started",
SUM(AD104:AF104)&lt;15,"In Progress",
SUM(AD104:AF104)=15,"Completed",
SUM(AD104:AF104)&gt;15,"Error"
)</f>
        <v>Completed</v>
      </c>
    </row>
    <row r="105" spans="1:33" ht="15.5" x14ac:dyDescent="0.25">
      <c r="A105" s="270"/>
      <c r="B105" s="120" t="s">
        <v>152</v>
      </c>
      <c r="C105" s="11" t="s">
        <v>4298</v>
      </c>
      <c r="D105" s="11" t="s">
        <v>4770</v>
      </c>
      <c r="E105" s="11" t="s">
        <v>43</v>
      </c>
      <c r="F105" s="129"/>
      <c r="G105" s="121" t="s">
        <v>40</v>
      </c>
      <c r="H105" s="121" t="s">
        <v>41</v>
      </c>
      <c r="I105" s="7" t="s">
        <v>10464</v>
      </c>
      <c r="J105" s="129" t="s">
        <v>4556</v>
      </c>
      <c r="K105" s="129">
        <v>10041737519</v>
      </c>
      <c r="L105" s="130"/>
      <c r="M105" s="131"/>
      <c r="N105" s="125" t="s">
        <v>11</v>
      </c>
      <c r="O105" s="125" t="s">
        <v>11</v>
      </c>
      <c r="P105" s="125" t="s">
        <v>11</v>
      </c>
      <c r="Q105" s="125" t="s">
        <v>11</v>
      </c>
      <c r="R105" s="125" t="s">
        <v>11</v>
      </c>
      <c r="S105" s="125" t="s">
        <v>11</v>
      </c>
      <c r="T105" s="125" t="s">
        <v>11</v>
      </c>
      <c r="U105" s="125" t="s">
        <v>11</v>
      </c>
      <c r="V105" s="125" t="s">
        <v>11</v>
      </c>
      <c r="W105" s="125" t="s">
        <v>11</v>
      </c>
      <c r="X105" s="125" t="s">
        <v>11</v>
      </c>
      <c r="Y105" s="125" t="s">
        <v>11</v>
      </c>
      <c r="Z105" s="125" t="s">
        <v>11</v>
      </c>
      <c r="AA105" s="125" t="s">
        <v>11</v>
      </c>
      <c r="AB105" s="125" t="s">
        <v>11</v>
      </c>
      <c r="AC105" s="132"/>
      <c r="AD105" s="127">
        <f t="shared" si="3"/>
        <v>0</v>
      </c>
      <c r="AE105" s="127">
        <f t="shared" si="4"/>
        <v>0</v>
      </c>
      <c r="AF105" s="127">
        <f t="shared" si="5"/>
        <v>15</v>
      </c>
      <c r="AG105" s="128" t="str" cm="1">
        <f t="array" ref="AG105">_xlfn.IFS(
SUM(AD105:AF105)=0,"Not Started",
SUM(AD105:AF105)&lt;15,"In Progress",
SUM(AD105:AF105)=15,"Completed",
SUM(AD105:AF105)&gt;15,"Error"
)</f>
        <v>Completed</v>
      </c>
    </row>
    <row r="106" spans="1:33" ht="15.5" x14ac:dyDescent="0.25">
      <c r="A106" s="270"/>
      <c r="B106" s="120" t="s">
        <v>153</v>
      </c>
      <c r="C106" s="11" t="s">
        <v>4299</v>
      </c>
      <c r="D106" s="11" t="s">
        <v>4771</v>
      </c>
      <c r="E106" s="11" t="s">
        <v>43</v>
      </c>
      <c r="F106" s="129"/>
      <c r="G106" s="121" t="s">
        <v>40</v>
      </c>
      <c r="H106" s="121" t="s">
        <v>41</v>
      </c>
      <c r="I106" s="7" t="s">
        <v>10465</v>
      </c>
      <c r="J106" s="129" t="s">
        <v>4557</v>
      </c>
      <c r="K106" s="129">
        <v>10083812831</v>
      </c>
      <c r="L106" s="130"/>
      <c r="M106" s="131"/>
      <c r="N106" s="125" t="s">
        <v>11</v>
      </c>
      <c r="O106" s="125" t="s">
        <v>11</v>
      </c>
      <c r="P106" s="125" t="s">
        <v>11</v>
      </c>
      <c r="Q106" s="125" t="s">
        <v>11</v>
      </c>
      <c r="R106" s="125" t="s">
        <v>11</v>
      </c>
      <c r="S106" s="125" t="s">
        <v>11</v>
      </c>
      <c r="T106" s="125" t="s">
        <v>11</v>
      </c>
      <c r="U106" s="125" t="s">
        <v>11</v>
      </c>
      <c r="V106" s="125" t="s">
        <v>11</v>
      </c>
      <c r="W106" s="125" t="s">
        <v>11</v>
      </c>
      <c r="X106" s="125" t="s">
        <v>11</v>
      </c>
      <c r="Y106" s="125" t="s">
        <v>11</v>
      </c>
      <c r="Z106" s="125" t="s">
        <v>11</v>
      </c>
      <c r="AA106" s="125" t="s">
        <v>11</v>
      </c>
      <c r="AB106" s="125" t="s">
        <v>11</v>
      </c>
      <c r="AC106" s="132"/>
      <c r="AD106" s="127">
        <f t="shared" si="3"/>
        <v>0</v>
      </c>
      <c r="AE106" s="127">
        <f t="shared" si="4"/>
        <v>0</v>
      </c>
      <c r="AF106" s="127">
        <f t="shared" si="5"/>
        <v>15</v>
      </c>
      <c r="AG106" s="128" t="str" cm="1">
        <f t="array" ref="AG106">_xlfn.IFS(
SUM(AD106:AF106)=0,"Not Started",
SUM(AD106:AF106)&lt;15,"In Progress",
SUM(AD106:AF106)=15,"Completed",
SUM(AD106:AF106)&gt;15,"Error"
)</f>
        <v>Completed</v>
      </c>
    </row>
    <row r="107" spans="1:33" ht="15.5" x14ac:dyDescent="0.25">
      <c r="A107" s="270"/>
      <c r="B107" s="120" t="s">
        <v>154</v>
      </c>
      <c r="C107" s="11" t="s">
        <v>4300</v>
      </c>
      <c r="D107" s="11" t="s">
        <v>4772</v>
      </c>
      <c r="E107" s="11" t="s">
        <v>51</v>
      </c>
      <c r="F107" s="129"/>
      <c r="G107" s="121" t="s">
        <v>40</v>
      </c>
      <c r="H107" s="121" t="s">
        <v>41</v>
      </c>
      <c r="I107" s="7" t="s">
        <v>10466</v>
      </c>
      <c r="J107" s="129" t="s">
        <v>4558</v>
      </c>
      <c r="K107" s="129">
        <v>10041853563</v>
      </c>
      <c r="L107" s="130"/>
      <c r="M107" s="131"/>
      <c r="N107" s="125" t="s">
        <v>11</v>
      </c>
      <c r="O107" s="125" t="s">
        <v>11</v>
      </c>
      <c r="P107" s="125" t="s">
        <v>11</v>
      </c>
      <c r="Q107" s="125" t="s">
        <v>11</v>
      </c>
      <c r="R107" s="125" t="s">
        <v>11</v>
      </c>
      <c r="S107" s="125" t="s">
        <v>11</v>
      </c>
      <c r="T107" s="125" t="s">
        <v>11</v>
      </c>
      <c r="U107" s="125" t="s">
        <v>11</v>
      </c>
      <c r="V107" s="125" t="s">
        <v>11</v>
      </c>
      <c r="W107" s="125" t="s">
        <v>11</v>
      </c>
      <c r="X107" s="125" t="s">
        <v>11</v>
      </c>
      <c r="Y107" s="125" t="s">
        <v>11</v>
      </c>
      <c r="Z107" s="125" t="s">
        <v>11</v>
      </c>
      <c r="AA107" s="125" t="s">
        <v>11</v>
      </c>
      <c r="AB107" s="125" t="s">
        <v>11</v>
      </c>
      <c r="AC107" s="132"/>
      <c r="AD107" s="127">
        <f t="shared" si="3"/>
        <v>0</v>
      </c>
      <c r="AE107" s="127">
        <f t="shared" si="4"/>
        <v>0</v>
      </c>
      <c r="AF107" s="127">
        <f t="shared" si="5"/>
        <v>15</v>
      </c>
      <c r="AG107" s="128" t="str" cm="1">
        <f t="array" ref="AG107">_xlfn.IFS(
SUM(AD107:AF107)=0,"Not Started",
SUM(AD107:AF107)&lt;15,"In Progress",
SUM(AD107:AF107)=15,"Completed",
SUM(AD107:AF107)&gt;15,"Error"
)</f>
        <v>Completed</v>
      </c>
    </row>
    <row r="108" spans="1:33" ht="15.5" x14ac:dyDescent="0.25">
      <c r="A108" s="270"/>
      <c r="B108" s="120" t="s">
        <v>155</v>
      </c>
      <c r="C108" s="11" t="s">
        <v>4301</v>
      </c>
      <c r="D108" s="11" t="s">
        <v>4773</v>
      </c>
      <c r="E108" s="11" t="s">
        <v>51</v>
      </c>
      <c r="F108" s="129"/>
      <c r="G108" s="121" t="s">
        <v>40</v>
      </c>
      <c r="H108" s="121" t="s">
        <v>41</v>
      </c>
      <c r="I108" s="7" t="s">
        <v>10467</v>
      </c>
      <c r="J108" s="129" t="s">
        <v>4559</v>
      </c>
      <c r="K108" s="129">
        <v>10041228479</v>
      </c>
      <c r="L108" s="130"/>
      <c r="M108" s="131"/>
      <c r="N108" s="125" t="s">
        <v>11</v>
      </c>
      <c r="O108" s="125" t="s">
        <v>11</v>
      </c>
      <c r="P108" s="125" t="s">
        <v>11</v>
      </c>
      <c r="Q108" s="125" t="s">
        <v>11</v>
      </c>
      <c r="R108" s="125" t="s">
        <v>11</v>
      </c>
      <c r="S108" s="125" t="s">
        <v>11</v>
      </c>
      <c r="T108" s="125" t="s">
        <v>11</v>
      </c>
      <c r="U108" s="125" t="s">
        <v>11</v>
      </c>
      <c r="V108" s="125" t="s">
        <v>11</v>
      </c>
      <c r="W108" s="125" t="s">
        <v>11</v>
      </c>
      <c r="X108" s="125" t="s">
        <v>11</v>
      </c>
      <c r="Y108" s="125" t="s">
        <v>11</v>
      </c>
      <c r="Z108" s="125" t="s">
        <v>11</v>
      </c>
      <c r="AA108" s="125" t="s">
        <v>11</v>
      </c>
      <c r="AB108" s="125" t="s">
        <v>11</v>
      </c>
      <c r="AC108" s="132"/>
      <c r="AD108" s="127">
        <f t="shared" si="3"/>
        <v>0</v>
      </c>
      <c r="AE108" s="127">
        <f t="shared" si="4"/>
        <v>0</v>
      </c>
      <c r="AF108" s="127">
        <f t="shared" si="5"/>
        <v>15</v>
      </c>
      <c r="AG108" s="128" t="str" cm="1">
        <f t="array" ref="AG108">_xlfn.IFS(
SUM(AD108:AF108)=0,"Not Started",
SUM(AD108:AF108)&lt;15,"In Progress",
SUM(AD108:AF108)=15,"Completed",
SUM(AD108:AF108)&gt;15,"Error"
)</f>
        <v>Completed</v>
      </c>
    </row>
    <row r="109" spans="1:33" ht="15.5" x14ac:dyDescent="0.25">
      <c r="A109" s="270"/>
      <c r="B109" s="120" t="s">
        <v>156</v>
      </c>
      <c r="C109" s="11" t="s">
        <v>4302</v>
      </c>
      <c r="D109" s="11" t="s">
        <v>4774</v>
      </c>
      <c r="E109" s="11" t="s">
        <v>47</v>
      </c>
      <c r="F109" s="129"/>
      <c r="G109" s="121" t="s">
        <v>40</v>
      </c>
      <c r="H109" s="121" t="s">
        <v>41</v>
      </c>
      <c r="I109" s="7" t="s">
        <v>10468</v>
      </c>
      <c r="J109" s="129" t="s">
        <v>4560</v>
      </c>
      <c r="K109" s="129">
        <v>10041228595</v>
      </c>
      <c r="L109" s="130"/>
      <c r="M109" s="131"/>
      <c r="N109" s="125" t="s">
        <v>11</v>
      </c>
      <c r="O109" s="125" t="s">
        <v>11</v>
      </c>
      <c r="P109" s="125" t="s">
        <v>11</v>
      </c>
      <c r="Q109" s="125" t="s">
        <v>11</v>
      </c>
      <c r="R109" s="125" t="s">
        <v>11</v>
      </c>
      <c r="S109" s="125" t="s">
        <v>11</v>
      </c>
      <c r="T109" s="125" t="s">
        <v>11</v>
      </c>
      <c r="U109" s="125" t="s">
        <v>11</v>
      </c>
      <c r="V109" s="125" t="s">
        <v>11</v>
      </c>
      <c r="W109" s="125" t="s">
        <v>11</v>
      </c>
      <c r="X109" s="125" t="s">
        <v>11</v>
      </c>
      <c r="Y109" s="125" t="s">
        <v>11</v>
      </c>
      <c r="Z109" s="125" t="s">
        <v>11</v>
      </c>
      <c r="AA109" s="125" t="s">
        <v>11</v>
      </c>
      <c r="AB109" s="125" t="s">
        <v>11</v>
      </c>
      <c r="AC109" s="132"/>
      <c r="AD109" s="127">
        <f t="shared" si="3"/>
        <v>0</v>
      </c>
      <c r="AE109" s="127">
        <f t="shared" si="4"/>
        <v>0</v>
      </c>
      <c r="AF109" s="127">
        <f t="shared" si="5"/>
        <v>15</v>
      </c>
      <c r="AG109" s="128" t="str" cm="1">
        <f t="array" ref="AG109">_xlfn.IFS(
SUM(AD109:AF109)=0,"Not Started",
SUM(AD109:AF109)&lt;15,"In Progress",
SUM(AD109:AF109)=15,"Completed",
SUM(AD109:AF109)&gt;15,"Error"
)</f>
        <v>Completed</v>
      </c>
    </row>
    <row r="110" spans="1:33" ht="15.5" x14ac:dyDescent="0.25">
      <c r="A110" s="270"/>
      <c r="B110" s="120" t="s">
        <v>157</v>
      </c>
      <c r="C110" s="11" t="s">
        <v>4303</v>
      </c>
      <c r="D110" s="11" t="s">
        <v>4775</v>
      </c>
      <c r="E110" s="11" t="s">
        <v>47</v>
      </c>
      <c r="F110" s="129"/>
      <c r="G110" s="121" t="s">
        <v>40</v>
      </c>
      <c r="H110" s="121" t="s">
        <v>41</v>
      </c>
      <c r="I110" s="7" t="s">
        <v>10469</v>
      </c>
      <c r="J110" s="129" t="s">
        <v>4561</v>
      </c>
      <c r="K110" s="129">
        <v>10041231803</v>
      </c>
      <c r="L110" s="130"/>
      <c r="M110" s="131"/>
      <c r="N110" s="125" t="s">
        <v>11</v>
      </c>
      <c r="O110" s="125" t="s">
        <v>11</v>
      </c>
      <c r="P110" s="125" t="s">
        <v>11</v>
      </c>
      <c r="Q110" s="125" t="s">
        <v>11</v>
      </c>
      <c r="R110" s="125" t="s">
        <v>11</v>
      </c>
      <c r="S110" s="125" t="s">
        <v>11</v>
      </c>
      <c r="T110" s="125" t="s">
        <v>11</v>
      </c>
      <c r="U110" s="125" t="s">
        <v>11</v>
      </c>
      <c r="V110" s="125" t="s">
        <v>11</v>
      </c>
      <c r="W110" s="125" t="s">
        <v>11</v>
      </c>
      <c r="X110" s="125" t="s">
        <v>11</v>
      </c>
      <c r="Y110" s="125" t="s">
        <v>11</v>
      </c>
      <c r="Z110" s="125" t="s">
        <v>11</v>
      </c>
      <c r="AA110" s="125" t="s">
        <v>11</v>
      </c>
      <c r="AB110" s="125" t="s">
        <v>11</v>
      </c>
      <c r="AC110" s="132"/>
      <c r="AD110" s="127">
        <f t="shared" si="3"/>
        <v>0</v>
      </c>
      <c r="AE110" s="127">
        <f t="shared" si="4"/>
        <v>0</v>
      </c>
      <c r="AF110" s="127">
        <f t="shared" si="5"/>
        <v>15</v>
      </c>
      <c r="AG110" s="128" t="str" cm="1">
        <f t="array" ref="AG110">_xlfn.IFS(
SUM(AD110:AF110)=0,"Not Started",
SUM(AD110:AF110)&lt;15,"In Progress",
SUM(AD110:AF110)=15,"Completed",
SUM(AD110:AF110)&gt;15,"Error"
)</f>
        <v>Completed</v>
      </c>
    </row>
    <row r="111" spans="1:33" ht="15.5" x14ac:dyDescent="0.25">
      <c r="A111" s="270"/>
      <c r="B111" s="120" t="s">
        <v>158</v>
      </c>
      <c r="C111" s="11" t="s">
        <v>4304</v>
      </c>
      <c r="D111" s="11" t="s">
        <v>4776</v>
      </c>
      <c r="E111" s="11" t="s">
        <v>47</v>
      </c>
      <c r="F111" s="129"/>
      <c r="G111" s="121" t="s">
        <v>40</v>
      </c>
      <c r="H111" s="121" t="s">
        <v>41</v>
      </c>
      <c r="I111" s="7" t="s">
        <v>10470</v>
      </c>
      <c r="J111" s="129" t="s">
        <v>4562</v>
      </c>
      <c r="K111" s="129">
        <v>10041532271</v>
      </c>
      <c r="L111" s="130"/>
      <c r="M111" s="131"/>
      <c r="N111" s="125" t="s">
        <v>11</v>
      </c>
      <c r="O111" s="125" t="s">
        <v>11</v>
      </c>
      <c r="P111" s="125" t="s">
        <v>11</v>
      </c>
      <c r="Q111" s="125" t="s">
        <v>11</v>
      </c>
      <c r="R111" s="125" t="s">
        <v>11</v>
      </c>
      <c r="S111" s="125" t="s">
        <v>11</v>
      </c>
      <c r="T111" s="125" t="s">
        <v>11</v>
      </c>
      <c r="U111" s="125" t="s">
        <v>11</v>
      </c>
      <c r="V111" s="125" t="s">
        <v>11</v>
      </c>
      <c r="W111" s="125" t="s">
        <v>11</v>
      </c>
      <c r="X111" s="125" t="s">
        <v>11</v>
      </c>
      <c r="Y111" s="125" t="s">
        <v>11</v>
      </c>
      <c r="Z111" s="125" t="s">
        <v>11</v>
      </c>
      <c r="AA111" s="125" t="s">
        <v>11</v>
      </c>
      <c r="AB111" s="125" t="s">
        <v>11</v>
      </c>
      <c r="AC111" s="132"/>
      <c r="AD111" s="127">
        <f t="shared" si="3"/>
        <v>0</v>
      </c>
      <c r="AE111" s="127">
        <f t="shared" si="4"/>
        <v>0</v>
      </c>
      <c r="AF111" s="127">
        <f t="shared" si="5"/>
        <v>15</v>
      </c>
      <c r="AG111" s="128" t="str" cm="1">
        <f t="array" ref="AG111">_xlfn.IFS(
SUM(AD111:AF111)=0,"Not Started",
SUM(AD111:AF111)&lt;15,"In Progress",
SUM(AD111:AF111)=15,"Completed",
SUM(AD111:AF111)&gt;15,"Error"
)</f>
        <v>Completed</v>
      </c>
    </row>
    <row r="112" spans="1:33" ht="15.5" x14ac:dyDescent="0.25">
      <c r="A112" s="270"/>
      <c r="B112" s="120" t="s">
        <v>159</v>
      </c>
      <c r="C112" s="11" t="s">
        <v>4305</v>
      </c>
      <c r="D112" s="11" t="s">
        <v>4777</v>
      </c>
      <c r="E112" s="11" t="s">
        <v>43</v>
      </c>
      <c r="F112" s="129"/>
      <c r="G112" s="121" t="s">
        <v>40</v>
      </c>
      <c r="H112" s="121" t="s">
        <v>41</v>
      </c>
      <c r="I112" s="7" t="s">
        <v>10471</v>
      </c>
      <c r="J112" s="129" t="s">
        <v>4563</v>
      </c>
      <c r="K112" s="129">
        <v>10041711906</v>
      </c>
      <c r="L112" s="130"/>
      <c r="M112" s="131"/>
      <c r="N112" s="125" t="s">
        <v>11</v>
      </c>
      <c r="O112" s="125" t="s">
        <v>11</v>
      </c>
      <c r="P112" s="125" t="s">
        <v>11</v>
      </c>
      <c r="Q112" s="125" t="s">
        <v>11</v>
      </c>
      <c r="R112" s="125" t="s">
        <v>11</v>
      </c>
      <c r="S112" s="125" t="s">
        <v>11</v>
      </c>
      <c r="T112" s="125" t="s">
        <v>11</v>
      </c>
      <c r="U112" s="125" t="s">
        <v>11</v>
      </c>
      <c r="V112" s="125" t="s">
        <v>11</v>
      </c>
      <c r="W112" s="125" t="s">
        <v>11</v>
      </c>
      <c r="X112" s="125" t="s">
        <v>11</v>
      </c>
      <c r="Y112" s="125" t="s">
        <v>11</v>
      </c>
      <c r="Z112" s="125" t="s">
        <v>11</v>
      </c>
      <c r="AA112" s="125" t="s">
        <v>11</v>
      </c>
      <c r="AB112" s="125" t="s">
        <v>11</v>
      </c>
      <c r="AC112" s="132"/>
      <c r="AD112" s="127">
        <f t="shared" si="3"/>
        <v>0</v>
      </c>
      <c r="AE112" s="127">
        <f t="shared" si="4"/>
        <v>0</v>
      </c>
      <c r="AF112" s="127">
        <f t="shared" si="5"/>
        <v>15</v>
      </c>
      <c r="AG112" s="128" t="str" cm="1">
        <f t="array" ref="AG112">_xlfn.IFS(
SUM(AD112:AF112)=0,"Not Started",
SUM(AD112:AF112)&lt;15,"In Progress",
SUM(AD112:AF112)=15,"Completed",
SUM(AD112:AF112)&gt;15,"Error"
)</f>
        <v>Completed</v>
      </c>
    </row>
    <row r="113" spans="1:33" ht="15.5" x14ac:dyDescent="0.25">
      <c r="A113" s="270"/>
      <c r="B113" s="120" t="s">
        <v>160</v>
      </c>
      <c r="C113" s="11" t="s">
        <v>4306</v>
      </c>
      <c r="D113" s="11" t="s">
        <v>4778</v>
      </c>
      <c r="E113" s="11" t="s">
        <v>47</v>
      </c>
      <c r="F113" s="129"/>
      <c r="G113" s="121" t="s">
        <v>40</v>
      </c>
      <c r="H113" s="121" t="s">
        <v>41</v>
      </c>
      <c r="I113" s="7" t="s">
        <v>10472</v>
      </c>
      <c r="J113" s="129" t="s">
        <v>4564</v>
      </c>
      <c r="K113" s="129">
        <v>10041660075</v>
      </c>
      <c r="L113" s="130"/>
      <c r="M113" s="131"/>
      <c r="N113" s="125" t="s">
        <v>11</v>
      </c>
      <c r="O113" s="125" t="s">
        <v>11</v>
      </c>
      <c r="P113" s="125" t="s">
        <v>11</v>
      </c>
      <c r="Q113" s="125" t="s">
        <v>11</v>
      </c>
      <c r="R113" s="125" t="s">
        <v>11</v>
      </c>
      <c r="S113" s="125" t="s">
        <v>11</v>
      </c>
      <c r="T113" s="125" t="s">
        <v>11</v>
      </c>
      <c r="U113" s="125" t="s">
        <v>11</v>
      </c>
      <c r="V113" s="125" t="s">
        <v>11</v>
      </c>
      <c r="W113" s="125" t="s">
        <v>11</v>
      </c>
      <c r="X113" s="125" t="s">
        <v>11</v>
      </c>
      <c r="Y113" s="125" t="s">
        <v>11</v>
      </c>
      <c r="Z113" s="125" t="s">
        <v>11</v>
      </c>
      <c r="AA113" s="125" t="s">
        <v>11</v>
      </c>
      <c r="AB113" s="125" t="s">
        <v>11</v>
      </c>
      <c r="AC113" s="132"/>
      <c r="AD113" s="127">
        <f t="shared" si="3"/>
        <v>0</v>
      </c>
      <c r="AE113" s="127">
        <f t="shared" si="4"/>
        <v>0</v>
      </c>
      <c r="AF113" s="127">
        <f t="shared" si="5"/>
        <v>15</v>
      </c>
      <c r="AG113" s="128" t="str" cm="1">
        <f t="array" ref="AG113">_xlfn.IFS(
SUM(AD113:AF113)=0,"Not Started",
SUM(AD113:AF113)&lt;15,"In Progress",
SUM(AD113:AF113)=15,"Completed",
SUM(AD113:AF113)&gt;15,"Error"
)</f>
        <v>Completed</v>
      </c>
    </row>
    <row r="114" spans="1:33" ht="15.5" x14ac:dyDescent="0.25">
      <c r="A114" s="270"/>
      <c r="B114" s="120" t="s">
        <v>161</v>
      </c>
      <c r="C114" s="11" t="s">
        <v>4307</v>
      </c>
      <c r="D114" s="11" t="s">
        <v>3693</v>
      </c>
      <c r="E114" s="11" t="s">
        <v>43</v>
      </c>
      <c r="F114" s="129"/>
      <c r="G114" s="121" t="s">
        <v>40</v>
      </c>
      <c r="H114" s="121" t="s">
        <v>41</v>
      </c>
      <c r="I114" s="7" t="s">
        <v>10473</v>
      </c>
      <c r="J114" s="129" t="s">
        <v>4565</v>
      </c>
      <c r="K114" s="129">
        <v>10041824623</v>
      </c>
      <c r="L114" s="130"/>
      <c r="M114" s="131"/>
      <c r="N114" s="125" t="s">
        <v>11</v>
      </c>
      <c r="O114" s="125" t="s">
        <v>11</v>
      </c>
      <c r="P114" s="125" t="s">
        <v>11</v>
      </c>
      <c r="Q114" s="125" t="s">
        <v>11</v>
      </c>
      <c r="R114" s="125" t="s">
        <v>11</v>
      </c>
      <c r="S114" s="125" t="s">
        <v>11</v>
      </c>
      <c r="T114" s="125" t="s">
        <v>11</v>
      </c>
      <c r="U114" s="125" t="s">
        <v>11</v>
      </c>
      <c r="V114" s="125" t="s">
        <v>11</v>
      </c>
      <c r="W114" s="125" t="s">
        <v>11</v>
      </c>
      <c r="X114" s="125" t="s">
        <v>11</v>
      </c>
      <c r="Y114" s="125" t="s">
        <v>11</v>
      </c>
      <c r="Z114" s="125" t="s">
        <v>11</v>
      </c>
      <c r="AA114" s="125" t="s">
        <v>11</v>
      </c>
      <c r="AB114" s="125" t="s">
        <v>11</v>
      </c>
      <c r="AC114" s="132"/>
      <c r="AD114" s="127">
        <f t="shared" si="3"/>
        <v>0</v>
      </c>
      <c r="AE114" s="127">
        <f t="shared" si="4"/>
        <v>0</v>
      </c>
      <c r="AF114" s="127">
        <f t="shared" si="5"/>
        <v>15</v>
      </c>
      <c r="AG114" s="128" t="str" cm="1">
        <f t="array" ref="AG114">_xlfn.IFS(
SUM(AD114:AF114)=0,"Not Started",
SUM(AD114:AF114)&lt;15,"In Progress",
SUM(AD114:AF114)=15,"Completed",
SUM(AD114:AF114)&gt;15,"Error"
)</f>
        <v>Completed</v>
      </c>
    </row>
    <row r="115" spans="1:33" ht="15.5" x14ac:dyDescent="0.25">
      <c r="A115" s="270"/>
      <c r="B115" s="120" t="s">
        <v>162</v>
      </c>
      <c r="C115" s="11" t="s">
        <v>4308</v>
      </c>
      <c r="D115" s="11" t="s">
        <v>4779</v>
      </c>
      <c r="E115" s="11" t="s">
        <v>43</v>
      </c>
      <c r="F115" s="129"/>
      <c r="G115" s="121" t="s">
        <v>40</v>
      </c>
      <c r="H115" s="121" t="s">
        <v>41</v>
      </c>
      <c r="I115" s="7" t="s">
        <v>10474</v>
      </c>
      <c r="J115" s="129" t="s">
        <v>4566</v>
      </c>
      <c r="K115" s="129">
        <v>10041830569</v>
      </c>
      <c r="L115" s="130"/>
      <c r="M115" s="131"/>
      <c r="N115" s="125" t="s">
        <v>11</v>
      </c>
      <c r="O115" s="125" t="s">
        <v>11</v>
      </c>
      <c r="P115" s="125" t="s">
        <v>11</v>
      </c>
      <c r="Q115" s="125" t="s">
        <v>11</v>
      </c>
      <c r="R115" s="125" t="s">
        <v>11</v>
      </c>
      <c r="S115" s="125" t="s">
        <v>11</v>
      </c>
      <c r="T115" s="125" t="s">
        <v>11</v>
      </c>
      <c r="U115" s="125" t="s">
        <v>11</v>
      </c>
      <c r="V115" s="125" t="s">
        <v>11</v>
      </c>
      <c r="W115" s="125" t="s">
        <v>11</v>
      </c>
      <c r="X115" s="125" t="s">
        <v>11</v>
      </c>
      <c r="Y115" s="125" t="s">
        <v>11</v>
      </c>
      <c r="Z115" s="125" t="s">
        <v>11</v>
      </c>
      <c r="AA115" s="125" t="s">
        <v>11</v>
      </c>
      <c r="AB115" s="125" t="s">
        <v>11</v>
      </c>
      <c r="AC115" s="132"/>
      <c r="AD115" s="127">
        <f t="shared" si="3"/>
        <v>0</v>
      </c>
      <c r="AE115" s="127">
        <f t="shared" si="4"/>
        <v>0</v>
      </c>
      <c r="AF115" s="127">
        <f t="shared" si="5"/>
        <v>15</v>
      </c>
      <c r="AG115" s="128" t="str" cm="1">
        <f t="array" ref="AG115">_xlfn.IFS(
SUM(AD115:AF115)=0,"Not Started",
SUM(AD115:AF115)&lt;15,"In Progress",
SUM(AD115:AF115)=15,"Completed",
SUM(AD115:AF115)&gt;15,"Error"
)</f>
        <v>Completed</v>
      </c>
    </row>
    <row r="116" spans="1:33" ht="15.5" x14ac:dyDescent="0.25">
      <c r="A116" s="270"/>
      <c r="B116" s="120" t="s">
        <v>163</v>
      </c>
      <c r="C116" s="11" t="s">
        <v>4309</v>
      </c>
      <c r="D116" s="11" t="s">
        <v>4780</v>
      </c>
      <c r="E116" s="11" t="s">
        <v>47</v>
      </c>
      <c r="F116" s="129"/>
      <c r="G116" s="121" t="s">
        <v>40</v>
      </c>
      <c r="H116" s="121" t="s">
        <v>41</v>
      </c>
      <c r="I116" s="7" t="s">
        <v>10475</v>
      </c>
      <c r="J116" s="129" t="s">
        <v>4567</v>
      </c>
      <c r="K116" s="129">
        <v>10041684685</v>
      </c>
      <c r="L116" s="130"/>
      <c r="M116" s="131"/>
      <c r="N116" s="125" t="s">
        <v>11</v>
      </c>
      <c r="O116" s="125" t="s">
        <v>11</v>
      </c>
      <c r="P116" s="125" t="s">
        <v>11</v>
      </c>
      <c r="Q116" s="125" t="s">
        <v>11</v>
      </c>
      <c r="R116" s="125" t="s">
        <v>11</v>
      </c>
      <c r="S116" s="125" t="s">
        <v>11</v>
      </c>
      <c r="T116" s="125" t="s">
        <v>11</v>
      </c>
      <c r="U116" s="125" t="s">
        <v>11</v>
      </c>
      <c r="V116" s="125" t="s">
        <v>11</v>
      </c>
      <c r="W116" s="125" t="s">
        <v>11</v>
      </c>
      <c r="X116" s="125" t="s">
        <v>11</v>
      </c>
      <c r="Y116" s="125" t="s">
        <v>11</v>
      </c>
      <c r="Z116" s="125" t="s">
        <v>11</v>
      </c>
      <c r="AA116" s="125" t="s">
        <v>11</v>
      </c>
      <c r="AB116" s="125" t="s">
        <v>11</v>
      </c>
      <c r="AC116" s="132"/>
      <c r="AD116" s="127">
        <f t="shared" si="3"/>
        <v>0</v>
      </c>
      <c r="AE116" s="127">
        <f t="shared" si="4"/>
        <v>0</v>
      </c>
      <c r="AF116" s="127">
        <f t="shared" si="5"/>
        <v>15</v>
      </c>
      <c r="AG116" s="128" t="str" cm="1">
        <f t="array" ref="AG116">_xlfn.IFS(
SUM(AD116:AF116)=0,"Not Started",
SUM(AD116:AF116)&lt;15,"In Progress",
SUM(AD116:AF116)=15,"Completed",
SUM(AD116:AF116)&gt;15,"Error"
)</f>
        <v>Completed</v>
      </c>
    </row>
    <row r="117" spans="1:33" ht="15.5" x14ac:dyDescent="0.25">
      <c r="A117" s="270"/>
      <c r="B117" s="120" t="s">
        <v>164</v>
      </c>
      <c r="C117" s="11" t="s">
        <v>4310</v>
      </c>
      <c r="D117" s="11" t="s">
        <v>4781</v>
      </c>
      <c r="E117" s="11" t="s">
        <v>43</v>
      </c>
      <c r="F117" s="129"/>
      <c r="G117" s="121" t="s">
        <v>40</v>
      </c>
      <c r="H117" s="121" t="s">
        <v>41</v>
      </c>
      <c r="I117" s="7" t="s">
        <v>10476</v>
      </c>
      <c r="J117" s="129" t="s">
        <v>4568</v>
      </c>
      <c r="K117" s="129">
        <v>10041472478</v>
      </c>
      <c r="L117" s="130"/>
      <c r="M117" s="131"/>
      <c r="N117" s="125" t="s">
        <v>11</v>
      </c>
      <c r="O117" s="125" t="s">
        <v>11</v>
      </c>
      <c r="P117" s="125" t="s">
        <v>11</v>
      </c>
      <c r="Q117" s="125" t="s">
        <v>11</v>
      </c>
      <c r="R117" s="125" t="s">
        <v>11</v>
      </c>
      <c r="S117" s="125" t="s">
        <v>11</v>
      </c>
      <c r="T117" s="125" t="s">
        <v>11</v>
      </c>
      <c r="U117" s="125" t="s">
        <v>11</v>
      </c>
      <c r="V117" s="125" t="s">
        <v>11</v>
      </c>
      <c r="W117" s="125" t="s">
        <v>11</v>
      </c>
      <c r="X117" s="125" t="s">
        <v>11</v>
      </c>
      <c r="Y117" s="125" t="s">
        <v>11</v>
      </c>
      <c r="Z117" s="125" t="s">
        <v>11</v>
      </c>
      <c r="AA117" s="125" t="s">
        <v>11</v>
      </c>
      <c r="AB117" s="125" t="s">
        <v>11</v>
      </c>
      <c r="AC117" s="132"/>
      <c r="AD117" s="127">
        <f t="shared" si="3"/>
        <v>0</v>
      </c>
      <c r="AE117" s="127">
        <f t="shared" si="4"/>
        <v>0</v>
      </c>
      <c r="AF117" s="127">
        <f t="shared" si="5"/>
        <v>15</v>
      </c>
      <c r="AG117" s="128" t="str" cm="1">
        <f t="array" ref="AG117">_xlfn.IFS(
SUM(AD117:AF117)=0,"Not Started",
SUM(AD117:AF117)&lt;15,"In Progress",
SUM(AD117:AF117)=15,"Completed",
SUM(AD117:AF117)&gt;15,"Error"
)</f>
        <v>Completed</v>
      </c>
    </row>
    <row r="118" spans="1:33" ht="15.5" x14ac:dyDescent="0.25">
      <c r="A118" s="270"/>
      <c r="B118" s="120" t="s">
        <v>165</v>
      </c>
      <c r="C118" s="11" t="s">
        <v>4311</v>
      </c>
      <c r="D118" s="11" t="s">
        <v>4782</v>
      </c>
      <c r="E118" s="11" t="s">
        <v>43</v>
      </c>
      <c r="F118" s="129"/>
      <c r="G118" s="121" t="s">
        <v>40</v>
      </c>
      <c r="H118" s="121" t="s">
        <v>41</v>
      </c>
      <c r="I118" s="7" t="s">
        <v>10477</v>
      </c>
      <c r="J118" s="129" t="s">
        <v>4569</v>
      </c>
      <c r="K118" s="129">
        <v>10041305925</v>
      </c>
      <c r="L118" s="130"/>
      <c r="M118" s="131"/>
      <c r="N118" s="125" t="s">
        <v>11</v>
      </c>
      <c r="O118" s="125" t="s">
        <v>11</v>
      </c>
      <c r="P118" s="125" t="s">
        <v>11</v>
      </c>
      <c r="Q118" s="125" t="s">
        <v>11</v>
      </c>
      <c r="R118" s="125" t="s">
        <v>11</v>
      </c>
      <c r="S118" s="125" t="s">
        <v>11</v>
      </c>
      <c r="T118" s="125" t="s">
        <v>11</v>
      </c>
      <c r="U118" s="125" t="s">
        <v>11</v>
      </c>
      <c r="V118" s="125" t="s">
        <v>11</v>
      </c>
      <c r="W118" s="125" t="s">
        <v>11</v>
      </c>
      <c r="X118" s="125" t="s">
        <v>11</v>
      </c>
      <c r="Y118" s="125" t="s">
        <v>11</v>
      </c>
      <c r="Z118" s="125" t="s">
        <v>11</v>
      </c>
      <c r="AA118" s="125" t="s">
        <v>11</v>
      </c>
      <c r="AB118" s="125" t="s">
        <v>11</v>
      </c>
      <c r="AC118" s="132"/>
      <c r="AD118" s="127">
        <f t="shared" si="3"/>
        <v>0</v>
      </c>
      <c r="AE118" s="127">
        <f t="shared" si="4"/>
        <v>0</v>
      </c>
      <c r="AF118" s="127">
        <f t="shared" si="5"/>
        <v>15</v>
      </c>
      <c r="AG118" s="128" t="str" cm="1">
        <f t="array" ref="AG118">_xlfn.IFS(
SUM(AD118:AF118)=0,"Not Started",
SUM(AD118:AF118)&lt;15,"In Progress",
SUM(AD118:AF118)=15,"Completed",
SUM(AD118:AF118)&gt;15,"Error"
)</f>
        <v>Completed</v>
      </c>
    </row>
    <row r="119" spans="1:33" ht="15.5" x14ac:dyDescent="0.25">
      <c r="A119" s="270"/>
      <c r="B119" s="120" t="s">
        <v>166</v>
      </c>
      <c r="C119" s="11" t="s">
        <v>4312</v>
      </c>
      <c r="D119" s="11" t="s">
        <v>4783</v>
      </c>
      <c r="E119" s="11" t="s">
        <v>43</v>
      </c>
      <c r="F119" s="129"/>
      <c r="G119" s="121" t="s">
        <v>40</v>
      </c>
      <c r="H119" s="121" t="s">
        <v>41</v>
      </c>
      <c r="I119" s="7" t="s">
        <v>10478</v>
      </c>
      <c r="J119" s="129" t="s">
        <v>4570</v>
      </c>
      <c r="K119" s="129">
        <v>10041717409</v>
      </c>
      <c r="L119" s="130"/>
      <c r="M119" s="131"/>
      <c r="N119" s="125" t="s">
        <v>11</v>
      </c>
      <c r="O119" s="125" t="s">
        <v>11</v>
      </c>
      <c r="P119" s="125" t="s">
        <v>11</v>
      </c>
      <c r="Q119" s="125" t="s">
        <v>11</v>
      </c>
      <c r="R119" s="125" t="s">
        <v>11</v>
      </c>
      <c r="S119" s="125" t="s">
        <v>11</v>
      </c>
      <c r="T119" s="125" t="s">
        <v>11</v>
      </c>
      <c r="U119" s="125" t="s">
        <v>11</v>
      </c>
      <c r="V119" s="125" t="s">
        <v>11</v>
      </c>
      <c r="W119" s="125" t="s">
        <v>11</v>
      </c>
      <c r="X119" s="125" t="s">
        <v>11</v>
      </c>
      <c r="Y119" s="125" t="s">
        <v>11</v>
      </c>
      <c r="Z119" s="125" t="s">
        <v>11</v>
      </c>
      <c r="AA119" s="125" t="s">
        <v>11</v>
      </c>
      <c r="AB119" s="125" t="s">
        <v>11</v>
      </c>
      <c r="AC119" s="132"/>
      <c r="AD119" s="127">
        <f t="shared" si="3"/>
        <v>0</v>
      </c>
      <c r="AE119" s="127">
        <f t="shared" si="4"/>
        <v>0</v>
      </c>
      <c r="AF119" s="127">
        <f t="shared" si="5"/>
        <v>15</v>
      </c>
      <c r="AG119" s="128" t="str" cm="1">
        <f t="array" ref="AG119">_xlfn.IFS(
SUM(AD119:AF119)=0,"Not Started",
SUM(AD119:AF119)&lt;15,"In Progress",
SUM(AD119:AF119)=15,"Completed",
SUM(AD119:AF119)&gt;15,"Error"
)</f>
        <v>Completed</v>
      </c>
    </row>
    <row r="120" spans="1:33" ht="15.5" x14ac:dyDescent="0.25">
      <c r="A120" s="270"/>
      <c r="B120" s="120" t="s">
        <v>167</v>
      </c>
      <c r="C120" s="11" t="s">
        <v>4313</v>
      </c>
      <c r="D120" s="11" t="s">
        <v>4784</v>
      </c>
      <c r="E120" s="11"/>
      <c r="F120" s="129"/>
      <c r="G120" s="121" t="s">
        <v>40</v>
      </c>
      <c r="H120" s="121" t="s">
        <v>41</v>
      </c>
      <c r="I120" s="7" t="s">
        <v>10479</v>
      </c>
      <c r="J120" s="129" t="s">
        <v>4571</v>
      </c>
      <c r="K120" s="129">
        <v>10040976522</v>
      </c>
      <c r="L120" s="130"/>
      <c r="M120" s="131"/>
      <c r="N120" s="125" t="s">
        <v>11</v>
      </c>
      <c r="O120" s="125" t="s">
        <v>11</v>
      </c>
      <c r="P120" s="125" t="s">
        <v>11</v>
      </c>
      <c r="Q120" s="125" t="s">
        <v>11</v>
      </c>
      <c r="R120" s="125" t="s">
        <v>11</v>
      </c>
      <c r="S120" s="125" t="s">
        <v>11</v>
      </c>
      <c r="T120" s="125" t="s">
        <v>11</v>
      </c>
      <c r="U120" s="125" t="s">
        <v>11</v>
      </c>
      <c r="V120" s="125" t="s">
        <v>11</v>
      </c>
      <c r="W120" s="125" t="s">
        <v>11</v>
      </c>
      <c r="X120" s="125" t="s">
        <v>11</v>
      </c>
      <c r="Y120" s="125" t="s">
        <v>11</v>
      </c>
      <c r="Z120" s="125" t="s">
        <v>11</v>
      </c>
      <c r="AA120" s="125" t="s">
        <v>11</v>
      </c>
      <c r="AB120" s="125" t="s">
        <v>11</v>
      </c>
      <c r="AC120" s="132"/>
      <c r="AD120" s="127">
        <f t="shared" si="3"/>
        <v>0</v>
      </c>
      <c r="AE120" s="127">
        <f t="shared" si="4"/>
        <v>0</v>
      </c>
      <c r="AF120" s="127">
        <f t="shared" si="5"/>
        <v>15</v>
      </c>
      <c r="AG120" s="128" t="str" cm="1">
        <f t="array" ref="AG120">_xlfn.IFS(
SUM(AD120:AF120)=0,"Not Started",
SUM(AD120:AF120)&lt;15,"In Progress",
SUM(AD120:AF120)=15,"Completed",
SUM(AD120:AF120)&gt;15,"Error"
)</f>
        <v>Completed</v>
      </c>
    </row>
    <row r="121" spans="1:33" ht="15.5" x14ac:dyDescent="0.25">
      <c r="A121" s="270"/>
      <c r="B121" s="120" t="s">
        <v>168</v>
      </c>
      <c r="C121" s="11" t="s">
        <v>4314</v>
      </c>
      <c r="D121" s="11" t="s">
        <v>4785</v>
      </c>
      <c r="E121" s="11" t="s">
        <v>47</v>
      </c>
      <c r="F121" s="129"/>
      <c r="G121" s="121" t="s">
        <v>40</v>
      </c>
      <c r="H121" s="121" t="s">
        <v>41</v>
      </c>
      <c r="I121" s="7" t="s">
        <v>10480</v>
      </c>
      <c r="J121" s="129" t="s">
        <v>4572</v>
      </c>
      <c r="K121" s="129">
        <v>10041377719</v>
      </c>
      <c r="L121" s="130"/>
      <c r="M121" s="131"/>
      <c r="N121" s="125" t="s">
        <v>11</v>
      </c>
      <c r="O121" s="125" t="s">
        <v>11</v>
      </c>
      <c r="P121" s="125" t="s">
        <v>11</v>
      </c>
      <c r="Q121" s="125" t="s">
        <v>11</v>
      </c>
      <c r="R121" s="125" t="s">
        <v>11</v>
      </c>
      <c r="S121" s="125" t="s">
        <v>11</v>
      </c>
      <c r="T121" s="125" t="s">
        <v>11</v>
      </c>
      <c r="U121" s="125" t="s">
        <v>11</v>
      </c>
      <c r="V121" s="125" t="s">
        <v>11</v>
      </c>
      <c r="W121" s="125" t="s">
        <v>11</v>
      </c>
      <c r="X121" s="125" t="s">
        <v>11</v>
      </c>
      <c r="Y121" s="125" t="s">
        <v>11</v>
      </c>
      <c r="Z121" s="125" t="s">
        <v>11</v>
      </c>
      <c r="AA121" s="125" t="s">
        <v>11</v>
      </c>
      <c r="AB121" s="125" t="s">
        <v>11</v>
      </c>
      <c r="AC121" s="132"/>
      <c r="AD121" s="127">
        <f t="shared" si="3"/>
        <v>0</v>
      </c>
      <c r="AE121" s="127">
        <f t="shared" si="4"/>
        <v>0</v>
      </c>
      <c r="AF121" s="127">
        <f t="shared" si="5"/>
        <v>15</v>
      </c>
      <c r="AG121" s="128" t="str" cm="1">
        <f t="array" ref="AG121">_xlfn.IFS(
SUM(AD121:AF121)=0,"Not Started",
SUM(AD121:AF121)&lt;15,"In Progress",
SUM(AD121:AF121)=15,"Completed",
SUM(AD121:AF121)&gt;15,"Error"
)</f>
        <v>Completed</v>
      </c>
    </row>
    <row r="122" spans="1:33" ht="15.5" x14ac:dyDescent="0.25">
      <c r="A122" s="270"/>
      <c r="B122" s="120" t="s">
        <v>169</v>
      </c>
      <c r="C122" s="11" t="s">
        <v>4315</v>
      </c>
      <c r="D122" s="11" t="s">
        <v>4786</v>
      </c>
      <c r="E122" s="11" t="s">
        <v>43</v>
      </c>
      <c r="F122" s="129"/>
      <c r="G122" s="121" t="s">
        <v>40</v>
      </c>
      <c r="H122" s="121" t="s">
        <v>41</v>
      </c>
      <c r="I122" s="7" t="s">
        <v>10481</v>
      </c>
      <c r="J122" s="129" t="s">
        <v>4573</v>
      </c>
      <c r="K122" s="129">
        <v>10041492962</v>
      </c>
      <c r="L122" s="130"/>
      <c r="M122" s="131"/>
      <c r="N122" s="125" t="s">
        <v>11</v>
      </c>
      <c r="O122" s="125" t="s">
        <v>11</v>
      </c>
      <c r="P122" s="125" t="s">
        <v>11</v>
      </c>
      <c r="Q122" s="125" t="s">
        <v>11</v>
      </c>
      <c r="R122" s="125" t="s">
        <v>11</v>
      </c>
      <c r="S122" s="125" t="s">
        <v>11</v>
      </c>
      <c r="T122" s="125" t="s">
        <v>11</v>
      </c>
      <c r="U122" s="125" t="s">
        <v>11</v>
      </c>
      <c r="V122" s="125" t="s">
        <v>11</v>
      </c>
      <c r="W122" s="125" t="s">
        <v>11</v>
      </c>
      <c r="X122" s="125" t="s">
        <v>11</v>
      </c>
      <c r="Y122" s="125" t="s">
        <v>11</v>
      </c>
      <c r="Z122" s="125" t="s">
        <v>11</v>
      </c>
      <c r="AA122" s="125" t="s">
        <v>11</v>
      </c>
      <c r="AB122" s="125" t="s">
        <v>11</v>
      </c>
      <c r="AC122" s="132"/>
      <c r="AD122" s="127">
        <f t="shared" si="3"/>
        <v>0</v>
      </c>
      <c r="AE122" s="127">
        <f t="shared" si="4"/>
        <v>0</v>
      </c>
      <c r="AF122" s="127">
        <f t="shared" si="5"/>
        <v>15</v>
      </c>
      <c r="AG122" s="128" t="str" cm="1">
        <f t="array" ref="AG122">_xlfn.IFS(
SUM(AD122:AF122)=0,"Not Started",
SUM(AD122:AF122)&lt;15,"In Progress",
SUM(AD122:AF122)=15,"Completed",
SUM(AD122:AF122)&gt;15,"Error"
)</f>
        <v>Completed</v>
      </c>
    </row>
    <row r="123" spans="1:33" ht="15.5" x14ac:dyDescent="0.25">
      <c r="A123" s="270"/>
      <c r="B123" s="120" t="s">
        <v>170</v>
      </c>
      <c r="C123" s="11" t="s">
        <v>4316</v>
      </c>
      <c r="D123" s="11" t="s">
        <v>4787</v>
      </c>
      <c r="E123" s="11" t="s">
        <v>43</v>
      </c>
      <c r="F123" s="129"/>
      <c r="G123" s="121" t="s">
        <v>40</v>
      </c>
      <c r="H123" s="121" t="s">
        <v>41</v>
      </c>
      <c r="I123" s="7" t="s">
        <v>10482</v>
      </c>
      <c r="J123" s="129" t="s">
        <v>4574</v>
      </c>
      <c r="K123" s="129">
        <v>10041900190</v>
      </c>
      <c r="L123" s="130"/>
      <c r="M123" s="131"/>
      <c r="N123" s="125" t="s">
        <v>11</v>
      </c>
      <c r="O123" s="125" t="s">
        <v>11</v>
      </c>
      <c r="P123" s="125" t="s">
        <v>11</v>
      </c>
      <c r="Q123" s="125" t="s">
        <v>11</v>
      </c>
      <c r="R123" s="125" t="s">
        <v>11</v>
      </c>
      <c r="S123" s="125" t="s">
        <v>11</v>
      </c>
      <c r="T123" s="125" t="s">
        <v>11</v>
      </c>
      <c r="U123" s="125" t="s">
        <v>11</v>
      </c>
      <c r="V123" s="125" t="s">
        <v>11</v>
      </c>
      <c r="W123" s="125" t="s">
        <v>11</v>
      </c>
      <c r="X123" s="125" t="s">
        <v>11</v>
      </c>
      <c r="Y123" s="125" t="s">
        <v>11</v>
      </c>
      <c r="Z123" s="125" t="s">
        <v>11</v>
      </c>
      <c r="AA123" s="125" t="s">
        <v>11</v>
      </c>
      <c r="AB123" s="125" t="s">
        <v>11</v>
      </c>
      <c r="AC123" s="132"/>
      <c r="AD123" s="127">
        <f t="shared" si="3"/>
        <v>0</v>
      </c>
      <c r="AE123" s="127">
        <f t="shared" si="4"/>
        <v>0</v>
      </c>
      <c r="AF123" s="127">
        <f t="shared" si="5"/>
        <v>15</v>
      </c>
      <c r="AG123" s="128" t="str" cm="1">
        <f t="array" ref="AG123">_xlfn.IFS(
SUM(AD123:AF123)=0,"Not Started",
SUM(AD123:AF123)&lt;15,"In Progress",
SUM(AD123:AF123)=15,"Completed",
SUM(AD123:AF123)&gt;15,"Error"
)</f>
        <v>Completed</v>
      </c>
    </row>
    <row r="124" spans="1:33" ht="15.5" x14ac:dyDescent="0.25">
      <c r="A124" s="270"/>
      <c r="B124" s="120" t="s">
        <v>171</v>
      </c>
      <c r="C124" s="11" t="s">
        <v>4317</v>
      </c>
      <c r="D124" s="11" t="s">
        <v>4788</v>
      </c>
      <c r="E124" s="11" t="s">
        <v>51</v>
      </c>
      <c r="F124" s="129"/>
      <c r="G124" s="121" t="s">
        <v>40</v>
      </c>
      <c r="H124" s="121" t="s">
        <v>41</v>
      </c>
      <c r="I124" s="7" t="s">
        <v>10483</v>
      </c>
      <c r="J124" s="129" t="s">
        <v>50</v>
      </c>
      <c r="K124" s="129">
        <v>10041348056</v>
      </c>
      <c r="L124" s="130"/>
      <c r="M124" s="131"/>
      <c r="N124" s="125" t="s">
        <v>11</v>
      </c>
      <c r="O124" s="125" t="s">
        <v>11</v>
      </c>
      <c r="P124" s="125" t="s">
        <v>11</v>
      </c>
      <c r="Q124" s="125" t="s">
        <v>11</v>
      </c>
      <c r="R124" s="125" t="s">
        <v>11</v>
      </c>
      <c r="S124" s="125" t="s">
        <v>11</v>
      </c>
      <c r="T124" s="125" t="s">
        <v>11</v>
      </c>
      <c r="U124" s="125" t="s">
        <v>11</v>
      </c>
      <c r="V124" s="125" t="s">
        <v>11</v>
      </c>
      <c r="W124" s="125" t="s">
        <v>11</v>
      </c>
      <c r="X124" s="125" t="s">
        <v>11</v>
      </c>
      <c r="Y124" s="125" t="s">
        <v>11</v>
      </c>
      <c r="Z124" s="125" t="s">
        <v>11</v>
      </c>
      <c r="AA124" s="125" t="s">
        <v>11</v>
      </c>
      <c r="AB124" s="125" t="s">
        <v>11</v>
      </c>
      <c r="AC124" s="132"/>
      <c r="AD124" s="127">
        <f t="shared" si="3"/>
        <v>0</v>
      </c>
      <c r="AE124" s="127">
        <f t="shared" si="4"/>
        <v>0</v>
      </c>
      <c r="AF124" s="127">
        <f t="shared" si="5"/>
        <v>15</v>
      </c>
      <c r="AG124" s="128" t="str" cm="1">
        <f t="array" ref="AG124">_xlfn.IFS(
SUM(AD124:AF124)=0,"Not Started",
SUM(AD124:AF124)&lt;15,"In Progress",
SUM(AD124:AF124)=15,"Completed",
SUM(AD124:AF124)&gt;15,"Error"
)</f>
        <v>Completed</v>
      </c>
    </row>
    <row r="125" spans="1:33" ht="15.5" x14ac:dyDescent="0.25">
      <c r="A125" s="270"/>
      <c r="B125" s="120" t="s">
        <v>172</v>
      </c>
      <c r="C125" s="11" t="s">
        <v>4318</v>
      </c>
      <c r="D125" s="11" t="s">
        <v>4789</v>
      </c>
      <c r="E125" s="11" t="s">
        <v>47</v>
      </c>
      <c r="F125" s="129"/>
      <c r="G125" s="121" t="s">
        <v>40</v>
      </c>
      <c r="H125" s="121" t="s">
        <v>41</v>
      </c>
      <c r="I125" s="7" t="s">
        <v>10484</v>
      </c>
      <c r="J125" s="129" t="s">
        <v>54</v>
      </c>
      <c r="K125" s="129">
        <v>10041347809</v>
      </c>
      <c r="L125" s="130"/>
      <c r="M125" s="131"/>
      <c r="N125" s="125" t="s">
        <v>11</v>
      </c>
      <c r="O125" s="125" t="s">
        <v>11</v>
      </c>
      <c r="P125" s="125" t="s">
        <v>11</v>
      </c>
      <c r="Q125" s="125" t="s">
        <v>11</v>
      </c>
      <c r="R125" s="125" t="s">
        <v>11</v>
      </c>
      <c r="S125" s="125" t="s">
        <v>11</v>
      </c>
      <c r="T125" s="125" t="s">
        <v>11</v>
      </c>
      <c r="U125" s="125" t="s">
        <v>11</v>
      </c>
      <c r="V125" s="125" t="s">
        <v>11</v>
      </c>
      <c r="W125" s="125" t="s">
        <v>11</v>
      </c>
      <c r="X125" s="125" t="s">
        <v>11</v>
      </c>
      <c r="Y125" s="125" t="s">
        <v>11</v>
      </c>
      <c r="Z125" s="125" t="s">
        <v>11</v>
      </c>
      <c r="AA125" s="125" t="s">
        <v>11</v>
      </c>
      <c r="AB125" s="125" t="s">
        <v>11</v>
      </c>
      <c r="AC125" s="132"/>
      <c r="AD125" s="127">
        <f t="shared" si="3"/>
        <v>0</v>
      </c>
      <c r="AE125" s="127">
        <f t="shared" si="4"/>
        <v>0</v>
      </c>
      <c r="AF125" s="127">
        <f t="shared" si="5"/>
        <v>15</v>
      </c>
      <c r="AG125" s="128" t="str" cm="1">
        <f t="array" ref="AG125">_xlfn.IFS(
SUM(AD125:AF125)=0,"Not Started",
SUM(AD125:AF125)&lt;15,"In Progress",
SUM(AD125:AF125)=15,"Completed",
SUM(AD125:AF125)&gt;15,"Error"
)</f>
        <v>Completed</v>
      </c>
    </row>
    <row r="126" spans="1:33" ht="15.5" x14ac:dyDescent="0.25">
      <c r="A126" s="270"/>
      <c r="B126" s="120" t="s">
        <v>173</v>
      </c>
      <c r="C126" s="11" t="s">
        <v>4319</v>
      </c>
      <c r="D126" s="11" t="s">
        <v>4790</v>
      </c>
      <c r="E126" s="11" t="s">
        <v>51</v>
      </c>
      <c r="F126" s="129"/>
      <c r="G126" s="121" t="s">
        <v>40</v>
      </c>
      <c r="H126" s="121" t="s">
        <v>41</v>
      </c>
      <c r="I126" s="7" t="s">
        <v>10485</v>
      </c>
      <c r="J126" s="129" t="s">
        <v>4575</v>
      </c>
      <c r="K126" s="129">
        <v>10041580608</v>
      </c>
      <c r="L126" s="130"/>
      <c r="M126" s="131"/>
      <c r="N126" s="125" t="s">
        <v>11</v>
      </c>
      <c r="O126" s="125" t="s">
        <v>11</v>
      </c>
      <c r="P126" s="125" t="s">
        <v>11</v>
      </c>
      <c r="Q126" s="125" t="s">
        <v>11</v>
      </c>
      <c r="R126" s="125" t="s">
        <v>11</v>
      </c>
      <c r="S126" s="125" t="s">
        <v>11</v>
      </c>
      <c r="T126" s="125" t="s">
        <v>11</v>
      </c>
      <c r="U126" s="125" t="s">
        <v>11</v>
      </c>
      <c r="V126" s="125" t="s">
        <v>11</v>
      </c>
      <c r="W126" s="125" t="s">
        <v>11</v>
      </c>
      <c r="X126" s="125" t="s">
        <v>11</v>
      </c>
      <c r="Y126" s="125" t="s">
        <v>11</v>
      </c>
      <c r="Z126" s="125" t="s">
        <v>11</v>
      </c>
      <c r="AA126" s="125" t="s">
        <v>11</v>
      </c>
      <c r="AB126" s="125" t="s">
        <v>11</v>
      </c>
      <c r="AC126" s="132"/>
      <c r="AD126" s="127">
        <f t="shared" si="3"/>
        <v>0</v>
      </c>
      <c r="AE126" s="127">
        <f t="shared" si="4"/>
        <v>0</v>
      </c>
      <c r="AF126" s="127">
        <f t="shared" si="5"/>
        <v>15</v>
      </c>
      <c r="AG126" s="128" t="str" cm="1">
        <f t="array" ref="AG126">_xlfn.IFS(
SUM(AD126:AF126)=0,"Not Started",
SUM(AD126:AF126)&lt;15,"In Progress",
SUM(AD126:AF126)=15,"Completed",
SUM(AD126:AF126)&gt;15,"Error"
)</f>
        <v>Completed</v>
      </c>
    </row>
    <row r="127" spans="1:33" ht="15.5" x14ac:dyDescent="0.25">
      <c r="A127" s="270"/>
      <c r="B127" s="120" t="s">
        <v>174</v>
      </c>
      <c r="C127" s="11" t="s">
        <v>4320</v>
      </c>
      <c r="D127" s="11" t="s">
        <v>4791</v>
      </c>
      <c r="E127" s="11" t="s">
        <v>43</v>
      </c>
      <c r="F127" s="129"/>
      <c r="G127" s="121" t="s">
        <v>40</v>
      </c>
      <c r="H127" s="121" t="s">
        <v>41</v>
      </c>
      <c r="I127" s="7" t="s">
        <v>10486</v>
      </c>
      <c r="J127" s="129" t="s">
        <v>4576</v>
      </c>
      <c r="K127" s="129">
        <v>10085138141</v>
      </c>
      <c r="L127" s="130"/>
      <c r="M127" s="131"/>
      <c r="N127" s="125" t="s">
        <v>11</v>
      </c>
      <c r="O127" s="125" t="s">
        <v>11</v>
      </c>
      <c r="P127" s="125" t="s">
        <v>11</v>
      </c>
      <c r="Q127" s="125" t="s">
        <v>11</v>
      </c>
      <c r="R127" s="125" t="s">
        <v>11</v>
      </c>
      <c r="S127" s="125" t="s">
        <v>11</v>
      </c>
      <c r="T127" s="125" t="s">
        <v>11</v>
      </c>
      <c r="U127" s="125" t="s">
        <v>11</v>
      </c>
      <c r="V127" s="125" t="s">
        <v>11</v>
      </c>
      <c r="W127" s="125" t="s">
        <v>11</v>
      </c>
      <c r="X127" s="125" t="s">
        <v>11</v>
      </c>
      <c r="Y127" s="125" t="s">
        <v>11</v>
      </c>
      <c r="Z127" s="125" t="s">
        <v>11</v>
      </c>
      <c r="AA127" s="125" t="s">
        <v>11</v>
      </c>
      <c r="AB127" s="125" t="s">
        <v>11</v>
      </c>
      <c r="AC127" s="132"/>
      <c r="AD127" s="127">
        <f t="shared" si="3"/>
        <v>0</v>
      </c>
      <c r="AE127" s="127">
        <f t="shared" si="4"/>
        <v>0</v>
      </c>
      <c r="AF127" s="127">
        <f t="shared" si="5"/>
        <v>15</v>
      </c>
      <c r="AG127" s="128" t="str" cm="1">
        <f t="array" ref="AG127">_xlfn.IFS(
SUM(AD127:AF127)=0,"Not Started",
SUM(AD127:AF127)&lt;15,"In Progress",
SUM(AD127:AF127)=15,"Completed",
SUM(AD127:AF127)&gt;15,"Error"
)</f>
        <v>Completed</v>
      </c>
    </row>
    <row r="128" spans="1:33" ht="15.5" x14ac:dyDescent="0.25">
      <c r="A128" s="270"/>
      <c r="B128" s="120" t="s">
        <v>175</v>
      </c>
      <c r="C128" s="11" t="s">
        <v>4321</v>
      </c>
      <c r="D128" s="11" t="s">
        <v>4792</v>
      </c>
      <c r="E128" s="11" t="s">
        <v>43</v>
      </c>
      <c r="F128" s="129"/>
      <c r="G128" s="121" t="s">
        <v>40</v>
      </c>
      <c r="H128" s="121" t="s">
        <v>41</v>
      </c>
      <c r="I128" s="7" t="s">
        <v>10487</v>
      </c>
      <c r="J128" s="129" t="s">
        <v>4577</v>
      </c>
      <c r="K128" s="129">
        <v>10041773201</v>
      </c>
      <c r="L128" s="130"/>
      <c r="M128" s="131"/>
      <c r="N128" s="125" t="s">
        <v>11</v>
      </c>
      <c r="O128" s="125" t="s">
        <v>11</v>
      </c>
      <c r="P128" s="125" t="s">
        <v>11</v>
      </c>
      <c r="Q128" s="125" t="s">
        <v>11</v>
      </c>
      <c r="R128" s="125" t="s">
        <v>11</v>
      </c>
      <c r="S128" s="125" t="s">
        <v>11</v>
      </c>
      <c r="T128" s="125" t="s">
        <v>11</v>
      </c>
      <c r="U128" s="125" t="s">
        <v>11</v>
      </c>
      <c r="V128" s="125" t="s">
        <v>11</v>
      </c>
      <c r="W128" s="125" t="s">
        <v>11</v>
      </c>
      <c r="X128" s="125" t="s">
        <v>11</v>
      </c>
      <c r="Y128" s="125" t="s">
        <v>11</v>
      </c>
      <c r="Z128" s="125" t="s">
        <v>11</v>
      </c>
      <c r="AA128" s="125" t="s">
        <v>11</v>
      </c>
      <c r="AB128" s="125" t="s">
        <v>11</v>
      </c>
      <c r="AC128" s="132"/>
      <c r="AD128" s="127">
        <f t="shared" si="3"/>
        <v>0</v>
      </c>
      <c r="AE128" s="127">
        <f t="shared" si="4"/>
        <v>0</v>
      </c>
      <c r="AF128" s="127">
        <f t="shared" si="5"/>
        <v>15</v>
      </c>
      <c r="AG128" s="128" t="str" cm="1">
        <f t="array" ref="AG128">_xlfn.IFS(
SUM(AD128:AF128)=0,"Not Started",
SUM(AD128:AF128)&lt;15,"In Progress",
SUM(AD128:AF128)=15,"Completed",
SUM(AD128:AF128)&gt;15,"Error"
)</f>
        <v>Completed</v>
      </c>
    </row>
    <row r="129" spans="1:33" ht="15.5" x14ac:dyDescent="0.25">
      <c r="A129" s="270"/>
      <c r="B129" s="120" t="s">
        <v>176</v>
      </c>
      <c r="C129" s="11" t="s">
        <v>4322</v>
      </c>
      <c r="D129" s="11" t="s">
        <v>4793</v>
      </c>
      <c r="E129" s="11" t="s">
        <v>51</v>
      </c>
      <c r="F129" s="129"/>
      <c r="G129" s="121" t="s">
        <v>40</v>
      </c>
      <c r="H129" s="121" t="s">
        <v>41</v>
      </c>
      <c r="I129" s="7" t="s">
        <v>10488</v>
      </c>
      <c r="J129" s="129" t="s">
        <v>4578</v>
      </c>
      <c r="K129" s="129">
        <v>10041344647</v>
      </c>
      <c r="L129" s="130"/>
      <c r="M129" s="131"/>
      <c r="N129" s="125" t="s">
        <v>11</v>
      </c>
      <c r="O129" s="125" t="s">
        <v>11</v>
      </c>
      <c r="P129" s="125" t="s">
        <v>11</v>
      </c>
      <c r="Q129" s="125" t="s">
        <v>11</v>
      </c>
      <c r="R129" s="125" t="s">
        <v>11</v>
      </c>
      <c r="S129" s="125" t="s">
        <v>11</v>
      </c>
      <c r="T129" s="125" t="s">
        <v>11</v>
      </c>
      <c r="U129" s="125" t="s">
        <v>11</v>
      </c>
      <c r="V129" s="125" t="s">
        <v>11</v>
      </c>
      <c r="W129" s="125" t="s">
        <v>11</v>
      </c>
      <c r="X129" s="125" t="s">
        <v>11</v>
      </c>
      <c r="Y129" s="125" t="s">
        <v>11</v>
      </c>
      <c r="Z129" s="125" t="s">
        <v>11</v>
      </c>
      <c r="AA129" s="125" t="s">
        <v>11</v>
      </c>
      <c r="AB129" s="125" t="s">
        <v>11</v>
      </c>
      <c r="AC129" s="132"/>
      <c r="AD129" s="127">
        <f t="shared" si="3"/>
        <v>0</v>
      </c>
      <c r="AE129" s="127">
        <f t="shared" si="4"/>
        <v>0</v>
      </c>
      <c r="AF129" s="127">
        <f t="shared" si="5"/>
        <v>15</v>
      </c>
      <c r="AG129" s="128" t="str" cm="1">
        <f t="array" ref="AG129">_xlfn.IFS(
SUM(AD129:AF129)=0,"Not Started",
SUM(AD129:AF129)&lt;15,"In Progress",
SUM(AD129:AF129)=15,"Completed",
SUM(AD129:AF129)&gt;15,"Error"
)</f>
        <v>Completed</v>
      </c>
    </row>
    <row r="130" spans="1:33" ht="15.5" x14ac:dyDescent="0.25">
      <c r="A130" s="270"/>
      <c r="B130" s="120" t="s">
        <v>177</v>
      </c>
      <c r="C130" s="11" t="s">
        <v>4323</v>
      </c>
      <c r="D130" s="11" t="s">
        <v>4794</v>
      </c>
      <c r="E130" s="11" t="s">
        <v>43</v>
      </c>
      <c r="F130" s="129"/>
      <c r="G130" s="121" t="s">
        <v>40</v>
      </c>
      <c r="H130" s="121" t="s">
        <v>41</v>
      </c>
      <c r="I130" s="7" t="s">
        <v>10489</v>
      </c>
      <c r="J130" s="129" t="s">
        <v>4579</v>
      </c>
      <c r="K130" s="129">
        <v>10041277016</v>
      </c>
      <c r="L130" s="130"/>
      <c r="M130" s="131"/>
      <c r="N130" s="125" t="s">
        <v>11</v>
      </c>
      <c r="O130" s="125" t="s">
        <v>11</v>
      </c>
      <c r="P130" s="125" t="s">
        <v>11</v>
      </c>
      <c r="Q130" s="125" t="s">
        <v>11</v>
      </c>
      <c r="R130" s="125" t="s">
        <v>11</v>
      </c>
      <c r="S130" s="125" t="s">
        <v>11</v>
      </c>
      <c r="T130" s="125" t="s">
        <v>11</v>
      </c>
      <c r="U130" s="125" t="s">
        <v>11</v>
      </c>
      <c r="V130" s="125" t="s">
        <v>11</v>
      </c>
      <c r="W130" s="125" t="s">
        <v>11</v>
      </c>
      <c r="X130" s="125" t="s">
        <v>11</v>
      </c>
      <c r="Y130" s="125" t="s">
        <v>11</v>
      </c>
      <c r="Z130" s="125" t="s">
        <v>11</v>
      </c>
      <c r="AA130" s="125" t="s">
        <v>11</v>
      </c>
      <c r="AB130" s="125" t="s">
        <v>11</v>
      </c>
      <c r="AC130" s="132"/>
      <c r="AD130" s="127">
        <f t="shared" si="3"/>
        <v>0</v>
      </c>
      <c r="AE130" s="127">
        <f t="shared" si="4"/>
        <v>0</v>
      </c>
      <c r="AF130" s="127">
        <f t="shared" si="5"/>
        <v>15</v>
      </c>
      <c r="AG130" s="128" t="str" cm="1">
        <f t="array" ref="AG130">_xlfn.IFS(
SUM(AD130:AF130)=0,"Not Started",
SUM(AD130:AF130)&lt;15,"In Progress",
SUM(AD130:AF130)=15,"Completed",
SUM(AD130:AF130)&gt;15,"Error"
)</f>
        <v>Completed</v>
      </c>
    </row>
    <row r="131" spans="1:33" ht="15.5" x14ac:dyDescent="0.25">
      <c r="A131" s="270"/>
      <c r="B131" s="120" t="s">
        <v>178</v>
      </c>
      <c r="C131" s="11" t="s">
        <v>4324</v>
      </c>
      <c r="D131" s="11" t="s">
        <v>4795</v>
      </c>
      <c r="E131" s="11" t="s">
        <v>43</v>
      </c>
      <c r="F131" s="129"/>
      <c r="G131" s="121" t="s">
        <v>40</v>
      </c>
      <c r="H131" s="121" t="s">
        <v>41</v>
      </c>
      <c r="I131" s="7" t="s">
        <v>10490</v>
      </c>
      <c r="J131" s="129" t="s">
        <v>4580</v>
      </c>
      <c r="K131" s="129">
        <v>10082971978</v>
      </c>
      <c r="L131" s="130"/>
      <c r="M131" s="131"/>
      <c r="N131" s="125" t="s">
        <v>11</v>
      </c>
      <c r="O131" s="125" t="s">
        <v>11</v>
      </c>
      <c r="P131" s="125" t="s">
        <v>11</v>
      </c>
      <c r="Q131" s="125" t="s">
        <v>11</v>
      </c>
      <c r="R131" s="125" t="s">
        <v>11</v>
      </c>
      <c r="S131" s="125" t="s">
        <v>11</v>
      </c>
      <c r="T131" s="125" t="s">
        <v>11</v>
      </c>
      <c r="U131" s="125" t="s">
        <v>11</v>
      </c>
      <c r="V131" s="125" t="s">
        <v>11</v>
      </c>
      <c r="W131" s="125" t="s">
        <v>11</v>
      </c>
      <c r="X131" s="125" t="s">
        <v>11</v>
      </c>
      <c r="Y131" s="125" t="s">
        <v>11</v>
      </c>
      <c r="Z131" s="125" t="s">
        <v>11</v>
      </c>
      <c r="AA131" s="125" t="s">
        <v>11</v>
      </c>
      <c r="AB131" s="125" t="s">
        <v>11</v>
      </c>
      <c r="AC131" s="132"/>
      <c r="AD131" s="127">
        <f t="shared" si="3"/>
        <v>0</v>
      </c>
      <c r="AE131" s="127">
        <f t="shared" si="4"/>
        <v>0</v>
      </c>
      <c r="AF131" s="127">
        <f t="shared" si="5"/>
        <v>15</v>
      </c>
      <c r="AG131" s="128" t="str" cm="1">
        <f t="array" ref="AG131">_xlfn.IFS(
SUM(AD131:AF131)=0,"Not Started",
SUM(AD131:AF131)&lt;15,"In Progress",
SUM(AD131:AF131)=15,"Completed",
SUM(AD131:AF131)&gt;15,"Error"
)</f>
        <v>Completed</v>
      </c>
    </row>
    <row r="132" spans="1:33" ht="15.5" x14ac:dyDescent="0.25">
      <c r="A132" s="270"/>
      <c r="B132" s="120" t="s">
        <v>179</v>
      </c>
      <c r="C132" s="11" t="s">
        <v>4325</v>
      </c>
      <c r="D132" s="11" t="s">
        <v>4796</v>
      </c>
      <c r="E132" s="11" t="s">
        <v>47</v>
      </c>
      <c r="F132" s="129"/>
      <c r="G132" s="121" t="s">
        <v>40</v>
      </c>
      <c r="H132" s="121" t="s">
        <v>41</v>
      </c>
      <c r="I132" s="7" t="s">
        <v>10491</v>
      </c>
      <c r="J132" s="129" t="s">
        <v>4581</v>
      </c>
      <c r="K132" s="129">
        <v>10041960429</v>
      </c>
      <c r="L132" s="130"/>
      <c r="M132" s="131"/>
      <c r="N132" s="125" t="s">
        <v>11</v>
      </c>
      <c r="O132" s="125" t="s">
        <v>11</v>
      </c>
      <c r="P132" s="125" t="s">
        <v>11</v>
      </c>
      <c r="Q132" s="125" t="s">
        <v>11</v>
      </c>
      <c r="R132" s="125" t="s">
        <v>11</v>
      </c>
      <c r="S132" s="125" t="s">
        <v>11</v>
      </c>
      <c r="T132" s="125" t="s">
        <v>11</v>
      </c>
      <c r="U132" s="125" t="s">
        <v>11</v>
      </c>
      <c r="V132" s="125" t="s">
        <v>11</v>
      </c>
      <c r="W132" s="125" t="s">
        <v>11</v>
      </c>
      <c r="X132" s="125" t="s">
        <v>11</v>
      </c>
      <c r="Y132" s="125" t="s">
        <v>11</v>
      </c>
      <c r="Z132" s="125" t="s">
        <v>11</v>
      </c>
      <c r="AA132" s="125" t="s">
        <v>11</v>
      </c>
      <c r="AB132" s="125" t="s">
        <v>11</v>
      </c>
      <c r="AC132" s="132"/>
      <c r="AD132" s="127">
        <f t="shared" si="3"/>
        <v>0</v>
      </c>
      <c r="AE132" s="127">
        <f t="shared" si="4"/>
        <v>0</v>
      </c>
      <c r="AF132" s="127">
        <f t="shared" si="5"/>
        <v>15</v>
      </c>
      <c r="AG132" s="128" t="str" cm="1">
        <f t="array" ref="AG132">_xlfn.IFS(
SUM(AD132:AF132)=0,"Not Started",
SUM(AD132:AF132)&lt;15,"In Progress",
SUM(AD132:AF132)=15,"Completed",
SUM(AD132:AF132)&gt;15,"Error"
)</f>
        <v>Completed</v>
      </c>
    </row>
    <row r="133" spans="1:33" ht="15.5" x14ac:dyDescent="0.25">
      <c r="A133" s="270"/>
      <c r="B133" s="120" t="s">
        <v>180</v>
      </c>
      <c r="C133" s="11" t="s">
        <v>4326</v>
      </c>
      <c r="D133" s="11" t="s">
        <v>4797</v>
      </c>
      <c r="E133" s="11" t="s">
        <v>47</v>
      </c>
      <c r="F133" s="129"/>
      <c r="G133" s="121" t="s">
        <v>40</v>
      </c>
      <c r="H133" s="121" t="s">
        <v>41</v>
      </c>
      <c r="I133" s="7" t="s">
        <v>10492</v>
      </c>
      <c r="J133" s="129" t="s">
        <v>4582</v>
      </c>
      <c r="K133" s="129">
        <v>10041634914</v>
      </c>
      <c r="L133" s="130"/>
      <c r="M133" s="131"/>
      <c r="N133" s="125" t="s">
        <v>11</v>
      </c>
      <c r="O133" s="125" t="s">
        <v>11</v>
      </c>
      <c r="P133" s="125" t="s">
        <v>11</v>
      </c>
      <c r="Q133" s="125" t="s">
        <v>11</v>
      </c>
      <c r="R133" s="125" t="s">
        <v>11</v>
      </c>
      <c r="S133" s="125" t="s">
        <v>11</v>
      </c>
      <c r="T133" s="125" t="s">
        <v>11</v>
      </c>
      <c r="U133" s="125" t="s">
        <v>11</v>
      </c>
      <c r="V133" s="125" t="s">
        <v>11</v>
      </c>
      <c r="W133" s="125" t="s">
        <v>11</v>
      </c>
      <c r="X133" s="125" t="s">
        <v>11</v>
      </c>
      <c r="Y133" s="125" t="s">
        <v>11</v>
      </c>
      <c r="Z133" s="125" t="s">
        <v>11</v>
      </c>
      <c r="AA133" s="125" t="s">
        <v>11</v>
      </c>
      <c r="AB133" s="125" t="s">
        <v>11</v>
      </c>
      <c r="AC133" s="132"/>
      <c r="AD133" s="127">
        <f t="shared" ref="AD133:AD196" si="6">COUNTIF(N133:AB133,$AD$2)</f>
        <v>0</v>
      </c>
      <c r="AE133" s="127">
        <f t="shared" ref="AE133:AE196" si="7">COUNTIF(N133:AB133,$AE$2)</f>
        <v>0</v>
      </c>
      <c r="AF133" s="127">
        <f t="shared" ref="AF133:AF196" si="8">COUNTIF(N133:AB133,$AF$2)</f>
        <v>15</v>
      </c>
      <c r="AG133" s="128" t="str" cm="1">
        <f t="array" ref="AG133">_xlfn.IFS(
SUM(AD133:AF133)=0,"Not Started",
SUM(AD133:AF133)&lt;15,"In Progress",
SUM(AD133:AF133)=15,"Completed",
SUM(AD133:AF133)&gt;15,"Error"
)</f>
        <v>Completed</v>
      </c>
    </row>
    <row r="134" spans="1:33" ht="15.5" x14ac:dyDescent="0.25">
      <c r="A134" s="270"/>
      <c r="B134" s="120" t="s">
        <v>181</v>
      </c>
      <c r="C134" s="11" t="s">
        <v>4327</v>
      </c>
      <c r="D134" s="11" t="s">
        <v>4798</v>
      </c>
      <c r="E134" s="11" t="s">
        <v>43</v>
      </c>
      <c r="F134" s="129"/>
      <c r="G134" s="121" t="s">
        <v>40</v>
      </c>
      <c r="H134" s="121" t="s">
        <v>41</v>
      </c>
      <c r="I134" s="7" t="s">
        <v>10493</v>
      </c>
      <c r="J134" s="129" t="s">
        <v>42</v>
      </c>
      <c r="K134" s="129">
        <v>10041312993</v>
      </c>
      <c r="L134" s="130"/>
      <c r="M134" s="131"/>
      <c r="N134" s="125" t="s">
        <v>11</v>
      </c>
      <c r="O134" s="125" t="s">
        <v>11</v>
      </c>
      <c r="P134" s="125" t="s">
        <v>11</v>
      </c>
      <c r="Q134" s="125" t="s">
        <v>11</v>
      </c>
      <c r="R134" s="125" t="s">
        <v>11</v>
      </c>
      <c r="S134" s="125" t="s">
        <v>11</v>
      </c>
      <c r="T134" s="125" t="s">
        <v>11</v>
      </c>
      <c r="U134" s="125" t="s">
        <v>11</v>
      </c>
      <c r="V134" s="125" t="s">
        <v>11</v>
      </c>
      <c r="W134" s="125" t="s">
        <v>11</v>
      </c>
      <c r="X134" s="125" t="s">
        <v>11</v>
      </c>
      <c r="Y134" s="125" t="s">
        <v>11</v>
      </c>
      <c r="Z134" s="125" t="s">
        <v>11</v>
      </c>
      <c r="AA134" s="125" t="s">
        <v>11</v>
      </c>
      <c r="AB134" s="125" t="s">
        <v>11</v>
      </c>
      <c r="AC134" s="132"/>
      <c r="AD134" s="127">
        <f t="shared" si="6"/>
        <v>0</v>
      </c>
      <c r="AE134" s="127">
        <f t="shared" si="7"/>
        <v>0</v>
      </c>
      <c r="AF134" s="127">
        <f t="shared" si="8"/>
        <v>15</v>
      </c>
      <c r="AG134" s="128" t="str" cm="1">
        <f t="array" ref="AG134">_xlfn.IFS(
SUM(AD134:AF134)=0,"Not Started",
SUM(AD134:AF134)&lt;15,"In Progress",
SUM(AD134:AF134)=15,"Completed",
SUM(AD134:AF134)&gt;15,"Error"
)</f>
        <v>Completed</v>
      </c>
    </row>
    <row r="135" spans="1:33" ht="15.5" x14ac:dyDescent="0.25">
      <c r="A135" s="270"/>
      <c r="B135" s="120" t="s">
        <v>182</v>
      </c>
      <c r="C135" s="11" t="s">
        <v>4328</v>
      </c>
      <c r="D135" s="11" t="s">
        <v>4799</v>
      </c>
      <c r="E135" s="11"/>
      <c r="F135" s="129"/>
      <c r="G135" s="121" t="s">
        <v>40</v>
      </c>
      <c r="H135" s="121" t="s">
        <v>41</v>
      </c>
      <c r="I135" s="7" t="s">
        <v>10494</v>
      </c>
      <c r="J135" s="129" t="s">
        <v>4583</v>
      </c>
      <c r="K135" s="129">
        <v>10041338908</v>
      </c>
      <c r="L135" s="130"/>
      <c r="M135" s="131"/>
      <c r="N135" s="125" t="s">
        <v>11</v>
      </c>
      <c r="O135" s="125" t="s">
        <v>11</v>
      </c>
      <c r="P135" s="125" t="s">
        <v>11</v>
      </c>
      <c r="Q135" s="125" t="s">
        <v>11</v>
      </c>
      <c r="R135" s="125" t="s">
        <v>11</v>
      </c>
      <c r="S135" s="125" t="s">
        <v>11</v>
      </c>
      <c r="T135" s="125" t="s">
        <v>11</v>
      </c>
      <c r="U135" s="125" t="s">
        <v>11</v>
      </c>
      <c r="V135" s="125" t="s">
        <v>11</v>
      </c>
      <c r="W135" s="125" t="s">
        <v>11</v>
      </c>
      <c r="X135" s="125" t="s">
        <v>11</v>
      </c>
      <c r="Y135" s="125" t="s">
        <v>11</v>
      </c>
      <c r="Z135" s="125" t="s">
        <v>11</v>
      </c>
      <c r="AA135" s="125" t="s">
        <v>11</v>
      </c>
      <c r="AB135" s="125" t="s">
        <v>11</v>
      </c>
      <c r="AC135" s="132"/>
      <c r="AD135" s="127">
        <f t="shared" si="6"/>
        <v>0</v>
      </c>
      <c r="AE135" s="127">
        <f t="shared" si="7"/>
        <v>0</v>
      </c>
      <c r="AF135" s="127">
        <f t="shared" si="8"/>
        <v>15</v>
      </c>
      <c r="AG135" s="128" t="str" cm="1">
        <f t="array" ref="AG135">_xlfn.IFS(
SUM(AD135:AF135)=0,"Not Started",
SUM(AD135:AF135)&lt;15,"In Progress",
SUM(AD135:AF135)=15,"Completed",
SUM(AD135:AF135)&gt;15,"Error"
)</f>
        <v>Completed</v>
      </c>
    </row>
    <row r="136" spans="1:33" ht="15.5" x14ac:dyDescent="0.25">
      <c r="A136" s="270"/>
      <c r="B136" s="120" t="s">
        <v>183</v>
      </c>
      <c r="C136" s="11" t="s">
        <v>4329</v>
      </c>
      <c r="D136" s="11" t="s">
        <v>4800</v>
      </c>
      <c r="E136" s="11"/>
      <c r="F136" s="129"/>
      <c r="G136" s="121" t="s">
        <v>40</v>
      </c>
      <c r="H136" s="121" t="s">
        <v>41</v>
      </c>
      <c r="I136" s="7" t="s">
        <v>10495</v>
      </c>
      <c r="J136" s="129" t="s">
        <v>4584</v>
      </c>
      <c r="K136" s="129">
        <v>10041839199</v>
      </c>
      <c r="L136" s="130"/>
      <c r="M136" s="131"/>
      <c r="N136" s="125" t="s">
        <v>11</v>
      </c>
      <c r="O136" s="125" t="s">
        <v>11</v>
      </c>
      <c r="P136" s="125" t="s">
        <v>11</v>
      </c>
      <c r="Q136" s="125" t="s">
        <v>11</v>
      </c>
      <c r="R136" s="125" t="s">
        <v>11</v>
      </c>
      <c r="S136" s="125" t="s">
        <v>11</v>
      </c>
      <c r="T136" s="125" t="s">
        <v>11</v>
      </c>
      <c r="U136" s="125" t="s">
        <v>11</v>
      </c>
      <c r="V136" s="125" t="s">
        <v>11</v>
      </c>
      <c r="W136" s="125" t="s">
        <v>11</v>
      </c>
      <c r="X136" s="125" t="s">
        <v>11</v>
      </c>
      <c r="Y136" s="125" t="s">
        <v>11</v>
      </c>
      <c r="Z136" s="125" t="s">
        <v>11</v>
      </c>
      <c r="AA136" s="125" t="s">
        <v>11</v>
      </c>
      <c r="AB136" s="125" t="s">
        <v>11</v>
      </c>
      <c r="AC136" s="132"/>
      <c r="AD136" s="127">
        <f t="shared" si="6"/>
        <v>0</v>
      </c>
      <c r="AE136" s="127">
        <f t="shared" si="7"/>
        <v>0</v>
      </c>
      <c r="AF136" s="127">
        <f t="shared" si="8"/>
        <v>15</v>
      </c>
      <c r="AG136" s="128" t="str" cm="1">
        <f t="array" ref="AG136">_xlfn.IFS(
SUM(AD136:AF136)=0,"Not Started",
SUM(AD136:AF136)&lt;15,"In Progress",
SUM(AD136:AF136)=15,"Completed",
SUM(AD136:AF136)&gt;15,"Error"
)</f>
        <v>Completed</v>
      </c>
    </row>
    <row r="137" spans="1:33" ht="15.5" x14ac:dyDescent="0.25">
      <c r="A137" s="270"/>
      <c r="B137" s="120" t="s">
        <v>184</v>
      </c>
      <c r="C137" s="11" t="s">
        <v>4330</v>
      </c>
      <c r="D137" s="11" t="s">
        <v>4801</v>
      </c>
      <c r="E137" s="11" t="s">
        <v>51</v>
      </c>
      <c r="F137" s="129"/>
      <c r="G137" s="121" t="s">
        <v>40</v>
      </c>
      <c r="H137" s="121" t="s">
        <v>41</v>
      </c>
      <c r="I137" s="7" t="s">
        <v>10496</v>
      </c>
      <c r="J137" s="129" t="s">
        <v>4585</v>
      </c>
      <c r="K137" s="129">
        <v>10041501622</v>
      </c>
      <c r="L137" s="130"/>
      <c r="M137" s="131"/>
      <c r="N137" s="125" t="s">
        <v>11</v>
      </c>
      <c r="O137" s="125" t="s">
        <v>11</v>
      </c>
      <c r="P137" s="125" t="s">
        <v>11</v>
      </c>
      <c r="Q137" s="125" t="s">
        <v>11</v>
      </c>
      <c r="R137" s="125" t="s">
        <v>11</v>
      </c>
      <c r="S137" s="125" t="s">
        <v>11</v>
      </c>
      <c r="T137" s="125" t="s">
        <v>11</v>
      </c>
      <c r="U137" s="125" t="s">
        <v>11</v>
      </c>
      <c r="V137" s="125" t="s">
        <v>11</v>
      </c>
      <c r="W137" s="125" t="s">
        <v>11</v>
      </c>
      <c r="X137" s="125" t="s">
        <v>11</v>
      </c>
      <c r="Y137" s="125" t="s">
        <v>11</v>
      </c>
      <c r="Z137" s="125" t="s">
        <v>11</v>
      </c>
      <c r="AA137" s="125" t="s">
        <v>11</v>
      </c>
      <c r="AB137" s="125" t="s">
        <v>11</v>
      </c>
      <c r="AC137" s="132"/>
      <c r="AD137" s="127">
        <f t="shared" si="6"/>
        <v>0</v>
      </c>
      <c r="AE137" s="127">
        <f t="shared" si="7"/>
        <v>0</v>
      </c>
      <c r="AF137" s="127">
        <f t="shared" si="8"/>
        <v>15</v>
      </c>
      <c r="AG137" s="128" t="str" cm="1">
        <f t="array" ref="AG137">_xlfn.IFS(
SUM(AD137:AF137)=0,"Not Started",
SUM(AD137:AF137)&lt;15,"In Progress",
SUM(AD137:AF137)=15,"Completed",
SUM(AD137:AF137)&gt;15,"Error"
)</f>
        <v>Completed</v>
      </c>
    </row>
    <row r="138" spans="1:33" ht="15.5" x14ac:dyDescent="0.25">
      <c r="A138" s="270"/>
      <c r="B138" s="120" t="s">
        <v>185</v>
      </c>
      <c r="C138" s="11" t="s">
        <v>4331</v>
      </c>
      <c r="D138" s="11" t="s">
        <v>4802</v>
      </c>
      <c r="E138" s="11" t="s">
        <v>47</v>
      </c>
      <c r="F138" s="129"/>
      <c r="G138" s="121" t="s">
        <v>40</v>
      </c>
      <c r="H138" s="121" t="s">
        <v>41</v>
      </c>
      <c r="I138" s="7" t="s">
        <v>10497</v>
      </c>
      <c r="J138" s="129" t="s">
        <v>4586</v>
      </c>
      <c r="K138" s="129">
        <v>10041806948</v>
      </c>
      <c r="L138" s="130"/>
      <c r="M138" s="131"/>
      <c r="N138" s="125" t="s">
        <v>11</v>
      </c>
      <c r="O138" s="125" t="s">
        <v>11</v>
      </c>
      <c r="P138" s="125" t="s">
        <v>11</v>
      </c>
      <c r="Q138" s="125" t="s">
        <v>11</v>
      </c>
      <c r="R138" s="125" t="s">
        <v>11</v>
      </c>
      <c r="S138" s="125" t="s">
        <v>11</v>
      </c>
      <c r="T138" s="125" t="s">
        <v>11</v>
      </c>
      <c r="U138" s="125" t="s">
        <v>11</v>
      </c>
      <c r="V138" s="125" t="s">
        <v>11</v>
      </c>
      <c r="W138" s="125" t="s">
        <v>11</v>
      </c>
      <c r="X138" s="125" t="s">
        <v>11</v>
      </c>
      <c r="Y138" s="125" t="s">
        <v>11</v>
      </c>
      <c r="Z138" s="125" t="s">
        <v>11</v>
      </c>
      <c r="AA138" s="125" t="s">
        <v>11</v>
      </c>
      <c r="AB138" s="125" t="s">
        <v>11</v>
      </c>
      <c r="AC138" s="132"/>
      <c r="AD138" s="127">
        <f t="shared" si="6"/>
        <v>0</v>
      </c>
      <c r="AE138" s="127">
        <f t="shared" si="7"/>
        <v>0</v>
      </c>
      <c r="AF138" s="127">
        <f t="shared" si="8"/>
        <v>15</v>
      </c>
      <c r="AG138" s="128" t="str" cm="1">
        <f t="array" ref="AG138">_xlfn.IFS(
SUM(AD138:AF138)=0,"Not Started",
SUM(AD138:AF138)&lt;15,"In Progress",
SUM(AD138:AF138)=15,"Completed",
SUM(AD138:AF138)&gt;15,"Error"
)</f>
        <v>Completed</v>
      </c>
    </row>
    <row r="139" spans="1:33" ht="15.5" x14ac:dyDescent="0.25">
      <c r="A139" s="270"/>
      <c r="B139" s="120" t="s">
        <v>186</v>
      </c>
      <c r="C139" s="11" t="s">
        <v>4332</v>
      </c>
      <c r="D139" s="11" t="s">
        <v>4803</v>
      </c>
      <c r="E139" s="11" t="s">
        <v>51</v>
      </c>
      <c r="F139" s="129"/>
      <c r="G139" s="121" t="s">
        <v>40</v>
      </c>
      <c r="H139" s="121" t="s">
        <v>41</v>
      </c>
      <c r="I139" s="7" t="s">
        <v>10498</v>
      </c>
      <c r="J139" s="129" t="s">
        <v>4587</v>
      </c>
      <c r="K139" s="129">
        <v>10041285081</v>
      </c>
      <c r="L139" s="130"/>
      <c r="M139" s="131"/>
      <c r="N139" s="125" t="s">
        <v>11</v>
      </c>
      <c r="O139" s="125" t="s">
        <v>11</v>
      </c>
      <c r="P139" s="125" t="s">
        <v>11</v>
      </c>
      <c r="Q139" s="125" t="s">
        <v>11</v>
      </c>
      <c r="R139" s="125" t="s">
        <v>11</v>
      </c>
      <c r="S139" s="125" t="s">
        <v>11</v>
      </c>
      <c r="T139" s="125" t="s">
        <v>11</v>
      </c>
      <c r="U139" s="125" t="s">
        <v>11</v>
      </c>
      <c r="V139" s="125" t="s">
        <v>11</v>
      </c>
      <c r="W139" s="125" t="s">
        <v>11</v>
      </c>
      <c r="X139" s="125" t="s">
        <v>11</v>
      </c>
      <c r="Y139" s="125" t="s">
        <v>11</v>
      </c>
      <c r="Z139" s="125" t="s">
        <v>11</v>
      </c>
      <c r="AA139" s="125" t="s">
        <v>11</v>
      </c>
      <c r="AB139" s="125" t="s">
        <v>11</v>
      </c>
      <c r="AC139" s="132"/>
      <c r="AD139" s="127">
        <f t="shared" si="6"/>
        <v>0</v>
      </c>
      <c r="AE139" s="127">
        <f t="shared" si="7"/>
        <v>0</v>
      </c>
      <c r="AF139" s="127">
        <f t="shared" si="8"/>
        <v>15</v>
      </c>
      <c r="AG139" s="128" t="str" cm="1">
        <f t="array" ref="AG139">_xlfn.IFS(
SUM(AD139:AF139)=0,"Not Started",
SUM(AD139:AF139)&lt;15,"In Progress",
SUM(AD139:AF139)=15,"Completed",
SUM(AD139:AF139)&gt;15,"Error"
)</f>
        <v>Completed</v>
      </c>
    </row>
    <row r="140" spans="1:33" ht="15.5" x14ac:dyDescent="0.25">
      <c r="A140" s="270"/>
      <c r="B140" s="120" t="s">
        <v>187</v>
      </c>
      <c r="C140" s="11" t="s">
        <v>4333</v>
      </c>
      <c r="D140" s="11" t="s">
        <v>4804</v>
      </c>
      <c r="E140" s="11" t="s">
        <v>43</v>
      </c>
      <c r="F140" s="129" t="s">
        <v>48</v>
      </c>
      <c r="G140" s="121" t="s">
        <v>40</v>
      </c>
      <c r="H140" s="121" t="s">
        <v>41</v>
      </c>
      <c r="I140" s="7" t="s">
        <v>10499</v>
      </c>
      <c r="J140" s="129" t="s">
        <v>4588</v>
      </c>
      <c r="K140" s="129">
        <v>10104659998</v>
      </c>
      <c r="L140" s="130"/>
      <c r="M140" s="131"/>
      <c r="N140" s="125" t="s">
        <v>11</v>
      </c>
      <c r="O140" s="125" t="s">
        <v>11</v>
      </c>
      <c r="P140" s="125" t="s">
        <v>11</v>
      </c>
      <c r="Q140" s="125" t="s">
        <v>11</v>
      </c>
      <c r="R140" s="125" t="s">
        <v>11</v>
      </c>
      <c r="S140" s="125" t="s">
        <v>11</v>
      </c>
      <c r="T140" s="125" t="s">
        <v>11</v>
      </c>
      <c r="U140" s="125" t="s">
        <v>11</v>
      </c>
      <c r="V140" s="125" t="s">
        <v>11</v>
      </c>
      <c r="W140" s="125" t="s">
        <v>11</v>
      </c>
      <c r="X140" s="125" t="s">
        <v>11</v>
      </c>
      <c r="Y140" s="125" t="s">
        <v>11</v>
      </c>
      <c r="Z140" s="125" t="s">
        <v>11</v>
      </c>
      <c r="AA140" s="125" t="s">
        <v>11</v>
      </c>
      <c r="AB140" s="125" t="s">
        <v>11</v>
      </c>
      <c r="AC140" s="132"/>
      <c r="AD140" s="127">
        <f t="shared" si="6"/>
        <v>0</v>
      </c>
      <c r="AE140" s="127">
        <f t="shared" si="7"/>
        <v>0</v>
      </c>
      <c r="AF140" s="127">
        <f t="shared" si="8"/>
        <v>15</v>
      </c>
      <c r="AG140" s="128" t="str" cm="1">
        <f t="array" ref="AG140">_xlfn.IFS(
SUM(AD140:AF140)=0,"Not Started",
SUM(AD140:AF140)&lt;15,"In Progress",
SUM(AD140:AF140)=15,"Completed",
SUM(AD140:AF140)&gt;15,"Error"
)</f>
        <v>Completed</v>
      </c>
    </row>
    <row r="141" spans="1:33" ht="15.5" x14ac:dyDescent="0.25">
      <c r="A141" s="270"/>
      <c r="B141" s="120" t="s">
        <v>188</v>
      </c>
      <c r="C141" s="11" t="s">
        <v>4334</v>
      </c>
      <c r="D141" s="11" t="s">
        <v>4805</v>
      </c>
      <c r="E141" s="11" t="s">
        <v>51</v>
      </c>
      <c r="F141" s="129" t="s">
        <v>44</v>
      </c>
      <c r="G141" s="121" t="s">
        <v>40</v>
      </c>
      <c r="H141" s="121" t="s">
        <v>41</v>
      </c>
      <c r="I141" s="7" t="s">
        <v>10500</v>
      </c>
      <c r="J141" s="129" t="s">
        <v>4589</v>
      </c>
      <c r="K141" s="129">
        <v>10041684569</v>
      </c>
      <c r="L141" s="130"/>
      <c r="M141" s="131"/>
      <c r="N141" s="125" t="s">
        <v>11</v>
      </c>
      <c r="O141" s="125" t="s">
        <v>11</v>
      </c>
      <c r="P141" s="125" t="s">
        <v>11</v>
      </c>
      <c r="Q141" s="125" t="s">
        <v>11</v>
      </c>
      <c r="R141" s="125" t="s">
        <v>11</v>
      </c>
      <c r="S141" s="125" t="s">
        <v>11</v>
      </c>
      <c r="T141" s="125" t="s">
        <v>11</v>
      </c>
      <c r="U141" s="125" t="s">
        <v>11</v>
      </c>
      <c r="V141" s="125" t="s">
        <v>11</v>
      </c>
      <c r="W141" s="125" t="s">
        <v>11</v>
      </c>
      <c r="X141" s="125" t="s">
        <v>11</v>
      </c>
      <c r="Y141" s="125" t="s">
        <v>11</v>
      </c>
      <c r="Z141" s="125" t="s">
        <v>11</v>
      </c>
      <c r="AA141" s="125" t="s">
        <v>11</v>
      </c>
      <c r="AB141" s="125" t="s">
        <v>11</v>
      </c>
      <c r="AC141" s="132"/>
      <c r="AD141" s="127">
        <f t="shared" si="6"/>
        <v>0</v>
      </c>
      <c r="AE141" s="127">
        <f t="shared" si="7"/>
        <v>0</v>
      </c>
      <c r="AF141" s="127">
        <f t="shared" si="8"/>
        <v>15</v>
      </c>
      <c r="AG141" s="128" t="str" cm="1">
        <f t="array" ref="AG141">_xlfn.IFS(
SUM(AD141:AF141)=0,"Not Started",
SUM(AD141:AF141)&lt;15,"In Progress",
SUM(AD141:AF141)=15,"Completed",
SUM(AD141:AF141)&gt;15,"Error"
)</f>
        <v>Completed</v>
      </c>
    </row>
    <row r="142" spans="1:33" ht="15.5" x14ac:dyDescent="0.25">
      <c r="A142" s="270"/>
      <c r="B142" s="120" t="s">
        <v>189</v>
      </c>
      <c r="C142" s="11" t="s">
        <v>4335</v>
      </c>
      <c r="D142" s="11" t="s">
        <v>4806</v>
      </c>
      <c r="E142" s="11" t="s">
        <v>43</v>
      </c>
      <c r="F142" s="129" t="s">
        <v>48</v>
      </c>
      <c r="G142" s="121" t="s">
        <v>40</v>
      </c>
      <c r="H142" s="121" t="s">
        <v>41</v>
      </c>
      <c r="I142" s="7" t="s">
        <v>10501</v>
      </c>
      <c r="J142" s="129" t="s">
        <v>4590</v>
      </c>
      <c r="K142" s="129">
        <v>10041347925</v>
      </c>
      <c r="L142" s="130"/>
      <c r="M142" s="131"/>
      <c r="N142" s="125" t="s">
        <v>11</v>
      </c>
      <c r="O142" s="125" t="s">
        <v>11</v>
      </c>
      <c r="P142" s="125" t="s">
        <v>11</v>
      </c>
      <c r="Q142" s="125" t="s">
        <v>11</v>
      </c>
      <c r="R142" s="125" t="s">
        <v>11</v>
      </c>
      <c r="S142" s="125" t="s">
        <v>11</v>
      </c>
      <c r="T142" s="125" t="s">
        <v>11</v>
      </c>
      <c r="U142" s="125" t="s">
        <v>11</v>
      </c>
      <c r="V142" s="125" t="s">
        <v>11</v>
      </c>
      <c r="W142" s="125" t="s">
        <v>11</v>
      </c>
      <c r="X142" s="125" t="s">
        <v>11</v>
      </c>
      <c r="Y142" s="125" t="s">
        <v>11</v>
      </c>
      <c r="Z142" s="125" t="s">
        <v>11</v>
      </c>
      <c r="AA142" s="125" t="s">
        <v>11</v>
      </c>
      <c r="AB142" s="125" t="s">
        <v>11</v>
      </c>
      <c r="AC142" s="132"/>
      <c r="AD142" s="127">
        <f t="shared" si="6"/>
        <v>0</v>
      </c>
      <c r="AE142" s="127">
        <f t="shared" si="7"/>
        <v>0</v>
      </c>
      <c r="AF142" s="127">
        <f t="shared" si="8"/>
        <v>15</v>
      </c>
      <c r="AG142" s="128" t="str" cm="1">
        <f t="array" ref="AG142">_xlfn.IFS(
SUM(AD142:AF142)=0,"Not Started",
SUM(AD142:AF142)&lt;15,"In Progress",
SUM(AD142:AF142)=15,"Completed",
SUM(AD142:AF142)&gt;15,"Error"
)</f>
        <v>Completed</v>
      </c>
    </row>
    <row r="143" spans="1:33" ht="15.5" x14ac:dyDescent="0.25">
      <c r="A143" s="270"/>
      <c r="B143" s="120" t="s">
        <v>190</v>
      </c>
      <c r="C143" s="11" t="s">
        <v>4336</v>
      </c>
      <c r="D143" s="11" t="s">
        <v>4807</v>
      </c>
      <c r="E143" s="11" t="s">
        <v>43</v>
      </c>
      <c r="F143" s="129" t="s">
        <v>48</v>
      </c>
      <c r="G143" s="121" t="s">
        <v>40</v>
      </c>
      <c r="H143" s="121" t="s">
        <v>41</v>
      </c>
      <c r="I143" s="7" t="s">
        <v>10502</v>
      </c>
      <c r="J143" s="129" t="s">
        <v>4591</v>
      </c>
      <c r="K143" s="129">
        <v>10041898289</v>
      </c>
      <c r="L143" s="130"/>
      <c r="M143" s="131"/>
      <c r="N143" s="125" t="s">
        <v>11</v>
      </c>
      <c r="O143" s="125" t="s">
        <v>11</v>
      </c>
      <c r="P143" s="125" t="s">
        <v>11</v>
      </c>
      <c r="Q143" s="125" t="s">
        <v>11</v>
      </c>
      <c r="R143" s="125" t="s">
        <v>11</v>
      </c>
      <c r="S143" s="125" t="s">
        <v>11</v>
      </c>
      <c r="T143" s="125" t="s">
        <v>11</v>
      </c>
      <c r="U143" s="125" t="s">
        <v>11</v>
      </c>
      <c r="V143" s="125" t="s">
        <v>11</v>
      </c>
      <c r="W143" s="125" t="s">
        <v>11</v>
      </c>
      <c r="X143" s="125" t="s">
        <v>11</v>
      </c>
      <c r="Y143" s="125" t="s">
        <v>11</v>
      </c>
      <c r="Z143" s="125" t="s">
        <v>11</v>
      </c>
      <c r="AA143" s="125" t="s">
        <v>11</v>
      </c>
      <c r="AB143" s="125" t="s">
        <v>11</v>
      </c>
      <c r="AC143" s="132"/>
      <c r="AD143" s="127">
        <f t="shared" si="6"/>
        <v>0</v>
      </c>
      <c r="AE143" s="127">
        <f t="shared" si="7"/>
        <v>0</v>
      </c>
      <c r="AF143" s="127">
        <f t="shared" si="8"/>
        <v>15</v>
      </c>
      <c r="AG143" s="128" t="str" cm="1">
        <f t="array" ref="AG143">_xlfn.IFS(
SUM(AD143:AF143)=0,"Not Started",
SUM(AD143:AF143)&lt;15,"In Progress",
SUM(AD143:AF143)=15,"Completed",
SUM(AD143:AF143)&gt;15,"Error"
)</f>
        <v>Completed</v>
      </c>
    </row>
    <row r="144" spans="1:33" ht="15.5" x14ac:dyDescent="0.25">
      <c r="A144" s="270"/>
      <c r="B144" s="120" t="s">
        <v>191</v>
      </c>
      <c r="C144" s="11" t="s">
        <v>4337</v>
      </c>
      <c r="D144" s="11" t="s">
        <v>4808</v>
      </c>
      <c r="E144" s="11" t="s">
        <v>51</v>
      </c>
      <c r="F144" s="129" t="s">
        <v>48</v>
      </c>
      <c r="G144" s="121" t="s">
        <v>40</v>
      </c>
      <c r="H144" s="121" t="s">
        <v>41</v>
      </c>
      <c r="I144" s="7" t="s">
        <v>10503</v>
      </c>
      <c r="J144" s="129" t="s">
        <v>4592</v>
      </c>
      <c r="K144" s="129">
        <v>10041535934</v>
      </c>
      <c r="L144" s="130"/>
      <c r="M144" s="131"/>
      <c r="N144" s="125" t="s">
        <v>11</v>
      </c>
      <c r="O144" s="125" t="s">
        <v>11</v>
      </c>
      <c r="P144" s="125" t="s">
        <v>11</v>
      </c>
      <c r="Q144" s="125" t="s">
        <v>11</v>
      </c>
      <c r="R144" s="125" t="s">
        <v>11</v>
      </c>
      <c r="S144" s="125" t="s">
        <v>11</v>
      </c>
      <c r="T144" s="125" t="s">
        <v>11</v>
      </c>
      <c r="U144" s="125" t="s">
        <v>11</v>
      </c>
      <c r="V144" s="125" t="s">
        <v>11</v>
      </c>
      <c r="W144" s="125" t="s">
        <v>11</v>
      </c>
      <c r="X144" s="125" t="s">
        <v>11</v>
      </c>
      <c r="Y144" s="125" t="s">
        <v>11</v>
      </c>
      <c r="Z144" s="125" t="s">
        <v>11</v>
      </c>
      <c r="AA144" s="125" t="s">
        <v>11</v>
      </c>
      <c r="AB144" s="125" t="s">
        <v>11</v>
      </c>
      <c r="AC144" s="132"/>
      <c r="AD144" s="127">
        <f t="shared" si="6"/>
        <v>0</v>
      </c>
      <c r="AE144" s="127">
        <f t="shared" si="7"/>
        <v>0</v>
      </c>
      <c r="AF144" s="127">
        <f t="shared" si="8"/>
        <v>15</v>
      </c>
      <c r="AG144" s="128" t="str" cm="1">
        <f t="array" ref="AG144">_xlfn.IFS(
SUM(AD144:AF144)=0,"Not Started",
SUM(AD144:AF144)&lt;15,"In Progress",
SUM(AD144:AF144)=15,"Completed",
SUM(AD144:AF144)&gt;15,"Error"
)</f>
        <v>Completed</v>
      </c>
    </row>
    <row r="145" spans="1:33" ht="15.5" x14ac:dyDescent="0.25">
      <c r="A145" s="270"/>
      <c r="B145" s="120" t="s">
        <v>192</v>
      </c>
      <c r="C145" s="11" t="s">
        <v>4338</v>
      </c>
      <c r="D145" s="11" t="s">
        <v>4809</v>
      </c>
      <c r="E145" s="11" t="s">
        <v>43</v>
      </c>
      <c r="F145" s="129" t="s">
        <v>48</v>
      </c>
      <c r="G145" s="121" t="s">
        <v>40</v>
      </c>
      <c r="H145" s="121" t="s">
        <v>41</v>
      </c>
      <c r="I145" s="7" t="s">
        <v>10504</v>
      </c>
      <c r="J145" s="129" t="s">
        <v>4593</v>
      </c>
      <c r="K145" s="129">
        <v>10098869591</v>
      </c>
      <c r="L145" s="130"/>
      <c r="M145" s="131"/>
      <c r="N145" s="125" t="s">
        <v>11</v>
      </c>
      <c r="O145" s="125" t="s">
        <v>11</v>
      </c>
      <c r="P145" s="125" t="s">
        <v>11</v>
      </c>
      <c r="Q145" s="125" t="s">
        <v>11</v>
      </c>
      <c r="R145" s="125" t="s">
        <v>11</v>
      </c>
      <c r="S145" s="125" t="s">
        <v>11</v>
      </c>
      <c r="T145" s="125" t="s">
        <v>11</v>
      </c>
      <c r="U145" s="125" t="s">
        <v>11</v>
      </c>
      <c r="V145" s="125" t="s">
        <v>11</v>
      </c>
      <c r="W145" s="125" t="s">
        <v>11</v>
      </c>
      <c r="X145" s="125" t="s">
        <v>11</v>
      </c>
      <c r="Y145" s="125" t="s">
        <v>11</v>
      </c>
      <c r="Z145" s="125" t="s">
        <v>11</v>
      </c>
      <c r="AA145" s="125" t="s">
        <v>11</v>
      </c>
      <c r="AB145" s="125" t="s">
        <v>11</v>
      </c>
      <c r="AC145" s="132"/>
      <c r="AD145" s="127">
        <f t="shared" si="6"/>
        <v>0</v>
      </c>
      <c r="AE145" s="127">
        <f t="shared" si="7"/>
        <v>0</v>
      </c>
      <c r="AF145" s="127">
        <f t="shared" si="8"/>
        <v>15</v>
      </c>
      <c r="AG145" s="128" t="str" cm="1">
        <f t="array" ref="AG145">_xlfn.IFS(
SUM(AD145:AF145)=0,"Not Started",
SUM(AD145:AF145)&lt;15,"In Progress",
SUM(AD145:AF145)=15,"Completed",
SUM(AD145:AF145)&gt;15,"Error"
)</f>
        <v>Completed</v>
      </c>
    </row>
    <row r="146" spans="1:33" ht="15.5" x14ac:dyDescent="0.25">
      <c r="A146" s="270"/>
      <c r="B146" s="120" t="s">
        <v>193</v>
      </c>
      <c r="C146" s="11" t="s">
        <v>4339</v>
      </c>
      <c r="D146" s="11" t="s">
        <v>4810</v>
      </c>
      <c r="E146" s="11" t="s">
        <v>47</v>
      </c>
      <c r="F146" s="129" t="s">
        <v>48</v>
      </c>
      <c r="G146" s="121" t="s">
        <v>40</v>
      </c>
      <c r="H146" s="121" t="s">
        <v>41</v>
      </c>
      <c r="I146" s="7" t="s">
        <v>10505</v>
      </c>
      <c r="J146" s="129" t="s">
        <v>4594</v>
      </c>
      <c r="K146" s="129">
        <v>10041773328</v>
      </c>
      <c r="L146" s="130"/>
      <c r="M146" s="131"/>
      <c r="N146" s="125" t="s">
        <v>11</v>
      </c>
      <c r="O146" s="125" t="s">
        <v>11</v>
      </c>
      <c r="P146" s="125" t="s">
        <v>11</v>
      </c>
      <c r="Q146" s="125" t="s">
        <v>11</v>
      </c>
      <c r="R146" s="125" t="s">
        <v>11</v>
      </c>
      <c r="S146" s="125" t="s">
        <v>11</v>
      </c>
      <c r="T146" s="125" t="s">
        <v>11</v>
      </c>
      <c r="U146" s="125" t="s">
        <v>11</v>
      </c>
      <c r="V146" s="125" t="s">
        <v>11</v>
      </c>
      <c r="W146" s="125" t="s">
        <v>11</v>
      </c>
      <c r="X146" s="125" t="s">
        <v>11</v>
      </c>
      <c r="Y146" s="125" t="s">
        <v>11</v>
      </c>
      <c r="Z146" s="125" t="s">
        <v>11</v>
      </c>
      <c r="AA146" s="125" t="s">
        <v>11</v>
      </c>
      <c r="AB146" s="125" t="s">
        <v>11</v>
      </c>
      <c r="AC146" s="132"/>
      <c r="AD146" s="127">
        <f t="shared" si="6"/>
        <v>0</v>
      </c>
      <c r="AE146" s="127">
        <f t="shared" si="7"/>
        <v>0</v>
      </c>
      <c r="AF146" s="127">
        <f t="shared" si="8"/>
        <v>15</v>
      </c>
      <c r="AG146" s="128" t="str" cm="1">
        <f t="array" ref="AG146">_xlfn.IFS(
SUM(AD146:AF146)=0,"Not Started",
SUM(AD146:AF146)&lt;15,"In Progress",
SUM(AD146:AF146)=15,"Completed",
SUM(AD146:AF146)&gt;15,"Error"
)</f>
        <v>Completed</v>
      </c>
    </row>
    <row r="147" spans="1:33" ht="15.5" x14ac:dyDescent="0.25">
      <c r="A147" s="270"/>
      <c r="B147" s="120" t="s">
        <v>194</v>
      </c>
      <c r="C147" s="11" t="s">
        <v>4340</v>
      </c>
      <c r="D147" s="11" t="s">
        <v>4811</v>
      </c>
      <c r="E147" s="11" t="s">
        <v>47</v>
      </c>
      <c r="F147" s="129" t="s">
        <v>48</v>
      </c>
      <c r="G147" s="121" t="s">
        <v>40</v>
      </c>
      <c r="H147" s="121" t="s">
        <v>41</v>
      </c>
      <c r="I147" s="7" t="s">
        <v>10506</v>
      </c>
      <c r="J147" s="129" t="s">
        <v>4595</v>
      </c>
      <c r="K147" s="129">
        <v>10041799496</v>
      </c>
      <c r="L147" s="130"/>
      <c r="M147" s="131"/>
      <c r="N147" s="125" t="s">
        <v>11</v>
      </c>
      <c r="O147" s="125" t="s">
        <v>11</v>
      </c>
      <c r="P147" s="125" t="s">
        <v>11</v>
      </c>
      <c r="Q147" s="125" t="s">
        <v>11</v>
      </c>
      <c r="R147" s="125" t="s">
        <v>11</v>
      </c>
      <c r="S147" s="125" t="s">
        <v>11</v>
      </c>
      <c r="T147" s="125" t="s">
        <v>11</v>
      </c>
      <c r="U147" s="125" t="s">
        <v>11</v>
      </c>
      <c r="V147" s="125" t="s">
        <v>11</v>
      </c>
      <c r="W147" s="125" t="s">
        <v>11</v>
      </c>
      <c r="X147" s="125" t="s">
        <v>11</v>
      </c>
      <c r="Y147" s="125" t="s">
        <v>11</v>
      </c>
      <c r="Z147" s="125" t="s">
        <v>11</v>
      </c>
      <c r="AA147" s="125" t="s">
        <v>11</v>
      </c>
      <c r="AB147" s="125" t="s">
        <v>11</v>
      </c>
      <c r="AC147" s="132"/>
      <c r="AD147" s="127">
        <f t="shared" si="6"/>
        <v>0</v>
      </c>
      <c r="AE147" s="127">
        <f t="shared" si="7"/>
        <v>0</v>
      </c>
      <c r="AF147" s="127">
        <f t="shared" si="8"/>
        <v>15</v>
      </c>
      <c r="AG147" s="128" t="str" cm="1">
        <f t="array" ref="AG147">_xlfn.IFS(
SUM(AD147:AF147)=0,"Not Started",
SUM(AD147:AF147)&lt;15,"In Progress",
SUM(AD147:AF147)=15,"Completed",
SUM(AD147:AF147)&gt;15,"Error"
)</f>
        <v>Completed</v>
      </c>
    </row>
    <row r="148" spans="1:33" ht="15.5" x14ac:dyDescent="0.25">
      <c r="A148" s="270"/>
      <c r="B148" s="120" t="s">
        <v>195</v>
      </c>
      <c r="C148" s="11" t="s">
        <v>4341</v>
      </c>
      <c r="D148" s="11" t="s">
        <v>4812</v>
      </c>
      <c r="E148" s="11" t="s">
        <v>43</v>
      </c>
      <c r="F148" s="129" t="s">
        <v>48</v>
      </c>
      <c r="G148" s="121" t="s">
        <v>40</v>
      </c>
      <c r="H148" s="121" t="s">
        <v>41</v>
      </c>
      <c r="I148" s="7" t="s">
        <v>10507</v>
      </c>
      <c r="J148" s="129" t="s">
        <v>4596</v>
      </c>
      <c r="K148" s="129">
        <v>10041637710</v>
      </c>
      <c r="L148" s="130"/>
      <c r="M148" s="131"/>
      <c r="N148" s="125" t="s">
        <v>11</v>
      </c>
      <c r="O148" s="125" t="s">
        <v>11</v>
      </c>
      <c r="P148" s="125" t="s">
        <v>11</v>
      </c>
      <c r="Q148" s="125" t="s">
        <v>11</v>
      </c>
      <c r="R148" s="125" t="s">
        <v>11</v>
      </c>
      <c r="S148" s="125" t="s">
        <v>11</v>
      </c>
      <c r="T148" s="125" t="s">
        <v>11</v>
      </c>
      <c r="U148" s="125" t="s">
        <v>11</v>
      </c>
      <c r="V148" s="125" t="s">
        <v>11</v>
      </c>
      <c r="W148" s="125" t="s">
        <v>11</v>
      </c>
      <c r="X148" s="125" t="s">
        <v>11</v>
      </c>
      <c r="Y148" s="125" t="s">
        <v>11</v>
      </c>
      <c r="Z148" s="125" t="s">
        <v>11</v>
      </c>
      <c r="AA148" s="125" t="s">
        <v>11</v>
      </c>
      <c r="AB148" s="125" t="s">
        <v>11</v>
      </c>
      <c r="AC148" s="132"/>
      <c r="AD148" s="127">
        <f t="shared" si="6"/>
        <v>0</v>
      </c>
      <c r="AE148" s="127">
        <f t="shared" si="7"/>
        <v>0</v>
      </c>
      <c r="AF148" s="127">
        <f t="shared" si="8"/>
        <v>15</v>
      </c>
      <c r="AG148" s="128" t="str" cm="1">
        <f t="array" ref="AG148">_xlfn.IFS(
SUM(AD148:AF148)=0,"Not Started",
SUM(AD148:AF148)&lt;15,"In Progress",
SUM(AD148:AF148)=15,"Completed",
SUM(AD148:AF148)&gt;15,"Error"
)</f>
        <v>Completed</v>
      </c>
    </row>
    <row r="149" spans="1:33" ht="15.5" x14ac:dyDescent="0.25">
      <c r="A149" s="270"/>
      <c r="B149" s="120" t="s">
        <v>196</v>
      </c>
      <c r="C149" s="11" t="s">
        <v>4342</v>
      </c>
      <c r="D149" s="11" t="s">
        <v>4813</v>
      </c>
      <c r="E149" s="11" t="s">
        <v>43</v>
      </c>
      <c r="F149" s="129" t="s">
        <v>48</v>
      </c>
      <c r="G149" s="121" t="s">
        <v>40</v>
      </c>
      <c r="H149" s="121" t="s">
        <v>41</v>
      </c>
      <c r="I149" s="7" t="s">
        <v>10508</v>
      </c>
      <c r="J149" s="129" t="s">
        <v>4597</v>
      </c>
      <c r="K149" s="129">
        <v>10088484671</v>
      </c>
      <c r="L149" s="130"/>
      <c r="M149" s="131"/>
      <c r="N149" s="125" t="s">
        <v>11</v>
      </c>
      <c r="O149" s="125" t="s">
        <v>11</v>
      </c>
      <c r="P149" s="125" t="s">
        <v>11</v>
      </c>
      <c r="Q149" s="125" t="s">
        <v>11</v>
      </c>
      <c r="R149" s="125" t="s">
        <v>11</v>
      </c>
      <c r="S149" s="125" t="s">
        <v>11</v>
      </c>
      <c r="T149" s="125" t="s">
        <v>11</v>
      </c>
      <c r="U149" s="125" t="s">
        <v>11</v>
      </c>
      <c r="V149" s="125" t="s">
        <v>11</v>
      </c>
      <c r="W149" s="125" t="s">
        <v>11</v>
      </c>
      <c r="X149" s="125" t="s">
        <v>11</v>
      </c>
      <c r="Y149" s="125" t="s">
        <v>11</v>
      </c>
      <c r="Z149" s="125" t="s">
        <v>11</v>
      </c>
      <c r="AA149" s="125" t="s">
        <v>11</v>
      </c>
      <c r="AB149" s="125" t="s">
        <v>11</v>
      </c>
      <c r="AC149" s="132"/>
      <c r="AD149" s="127">
        <f t="shared" si="6"/>
        <v>0</v>
      </c>
      <c r="AE149" s="127">
        <f t="shared" si="7"/>
        <v>0</v>
      </c>
      <c r="AF149" s="127">
        <f t="shared" si="8"/>
        <v>15</v>
      </c>
      <c r="AG149" s="128" t="str" cm="1">
        <f t="array" ref="AG149">_xlfn.IFS(
SUM(AD149:AF149)=0,"Not Started",
SUM(AD149:AF149)&lt;15,"In Progress",
SUM(AD149:AF149)=15,"Completed",
SUM(AD149:AF149)&gt;15,"Error"
)</f>
        <v>Completed</v>
      </c>
    </row>
    <row r="150" spans="1:33" ht="15.5" x14ac:dyDescent="0.25">
      <c r="A150" s="270"/>
      <c r="B150" s="120" t="s">
        <v>197</v>
      </c>
      <c r="C150" s="11" t="s">
        <v>4343</v>
      </c>
      <c r="D150" s="11" t="s">
        <v>4814</v>
      </c>
      <c r="E150" s="11" t="s">
        <v>51</v>
      </c>
      <c r="F150" s="129" t="s">
        <v>48</v>
      </c>
      <c r="G150" s="121" t="s">
        <v>40</v>
      </c>
      <c r="H150" s="121" t="s">
        <v>41</v>
      </c>
      <c r="I150" s="7" t="s">
        <v>10509</v>
      </c>
      <c r="J150" s="129" t="s">
        <v>4598</v>
      </c>
      <c r="K150" s="129">
        <v>10041996001</v>
      </c>
      <c r="L150" s="130"/>
      <c r="M150" s="131"/>
      <c r="N150" s="125" t="s">
        <v>11</v>
      </c>
      <c r="O150" s="125" t="s">
        <v>11</v>
      </c>
      <c r="P150" s="125" t="s">
        <v>11</v>
      </c>
      <c r="Q150" s="125" t="s">
        <v>11</v>
      </c>
      <c r="R150" s="125" t="s">
        <v>11</v>
      </c>
      <c r="S150" s="125" t="s">
        <v>11</v>
      </c>
      <c r="T150" s="125" t="s">
        <v>11</v>
      </c>
      <c r="U150" s="125" t="s">
        <v>11</v>
      </c>
      <c r="V150" s="125" t="s">
        <v>11</v>
      </c>
      <c r="W150" s="125" t="s">
        <v>11</v>
      </c>
      <c r="X150" s="125" t="s">
        <v>11</v>
      </c>
      <c r="Y150" s="125" t="s">
        <v>11</v>
      </c>
      <c r="Z150" s="125" t="s">
        <v>11</v>
      </c>
      <c r="AA150" s="125" t="s">
        <v>11</v>
      </c>
      <c r="AB150" s="125" t="s">
        <v>11</v>
      </c>
      <c r="AC150" s="132"/>
      <c r="AD150" s="127">
        <f t="shared" si="6"/>
        <v>0</v>
      </c>
      <c r="AE150" s="127">
        <f t="shared" si="7"/>
        <v>0</v>
      </c>
      <c r="AF150" s="127">
        <f t="shared" si="8"/>
        <v>15</v>
      </c>
      <c r="AG150" s="128" t="str" cm="1">
        <f t="array" ref="AG150">_xlfn.IFS(
SUM(AD150:AF150)=0,"Not Started",
SUM(AD150:AF150)&lt;15,"In Progress",
SUM(AD150:AF150)=15,"Completed",
SUM(AD150:AF150)&gt;15,"Error"
)</f>
        <v>Completed</v>
      </c>
    </row>
    <row r="151" spans="1:33" ht="15.5" x14ac:dyDescent="0.25">
      <c r="A151" s="270"/>
      <c r="B151" s="120" t="s">
        <v>198</v>
      </c>
      <c r="C151" s="11" t="s">
        <v>4344</v>
      </c>
      <c r="D151" s="11" t="s">
        <v>4815</v>
      </c>
      <c r="E151" s="11" t="s">
        <v>47</v>
      </c>
      <c r="F151" s="129" t="s">
        <v>48</v>
      </c>
      <c r="G151" s="121" t="s">
        <v>40</v>
      </c>
      <c r="H151" s="121" t="s">
        <v>41</v>
      </c>
      <c r="I151" s="7" t="s">
        <v>10510</v>
      </c>
      <c r="J151" s="129" t="s">
        <v>4599</v>
      </c>
      <c r="K151" s="129">
        <v>10041996065</v>
      </c>
      <c r="L151" s="130"/>
      <c r="M151" s="131"/>
      <c r="N151" s="125" t="s">
        <v>11</v>
      </c>
      <c r="O151" s="125" t="s">
        <v>11</v>
      </c>
      <c r="P151" s="125" t="s">
        <v>11</v>
      </c>
      <c r="Q151" s="125" t="s">
        <v>11</v>
      </c>
      <c r="R151" s="125" t="s">
        <v>11</v>
      </c>
      <c r="S151" s="125" t="s">
        <v>11</v>
      </c>
      <c r="T151" s="125" t="s">
        <v>11</v>
      </c>
      <c r="U151" s="125" t="s">
        <v>11</v>
      </c>
      <c r="V151" s="125" t="s">
        <v>11</v>
      </c>
      <c r="W151" s="125" t="s">
        <v>11</v>
      </c>
      <c r="X151" s="125" t="s">
        <v>11</v>
      </c>
      <c r="Y151" s="125" t="s">
        <v>11</v>
      </c>
      <c r="Z151" s="125" t="s">
        <v>11</v>
      </c>
      <c r="AA151" s="125" t="s">
        <v>11</v>
      </c>
      <c r="AB151" s="125" t="s">
        <v>11</v>
      </c>
      <c r="AC151" s="132"/>
      <c r="AD151" s="127">
        <f t="shared" si="6"/>
        <v>0</v>
      </c>
      <c r="AE151" s="127">
        <f t="shared" si="7"/>
        <v>0</v>
      </c>
      <c r="AF151" s="127">
        <f t="shared" si="8"/>
        <v>15</v>
      </c>
      <c r="AG151" s="128" t="str" cm="1">
        <f t="array" ref="AG151">_xlfn.IFS(
SUM(AD151:AF151)=0,"Not Started",
SUM(AD151:AF151)&lt;15,"In Progress",
SUM(AD151:AF151)=15,"Completed",
SUM(AD151:AF151)&gt;15,"Error"
)</f>
        <v>Completed</v>
      </c>
    </row>
    <row r="152" spans="1:33" ht="15.5" x14ac:dyDescent="0.25">
      <c r="A152" s="270"/>
      <c r="B152" s="120" t="s">
        <v>199</v>
      </c>
      <c r="C152" s="11" t="s">
        <v>4345</v>
      </c>
      <c r="D152" s="11" t="s">
        <v>4816</v>
      </c>
      <c r="E152" s="11" t="s">
        <v>47</v>
      </c>
      <c r="F152" s="129" t="s">
        <v>48</v>
      </c>
      <c r="G152" s="121" t="s">
        <v>40</v>
      </c>
      <c r="H152" s="121" t="s">
        <v>41</v>
      </c>
      <c r="I152" s="7" t="s">
        <v>10511</v>
      </c>
      <c r="J152" s="129" t="s">
        <v>4600</v>
      </c>
      <c r="K152" s="129">
        <v>10041181864</v>
      </c>
      <c r="L152" s="130"/>
      <c r="M152" s="131"/>
      <c r="N152" s="125" t="s">
        <v>11</v>
      </c>
      <c r="O152" s="125" t="s">
        <v>11</v>
      </c>
      <c r="P152" s="125" t="s">
        <v>11</v>
      </c>
      <c r="Q152" s="125" t="s">
        <v>11</v>
      </c>
      <c r="R152" s="125" t="s">
        <v>11</v>
      </c>
      <c r="S152" s="125" t="s">
        <v>11</v>
      </c>
      <c r="T152" s="125" t="s">
        <v>11</v>
      </c>
      <c r="U152" s="125" t="s">
        <v>11</v>
      </c>
      <c r="V152" s="125" t="s">
        <v>11</v>
      </c>
      <c r="W152" s="125" t="s">
        <v>11</v>
      </c>
      <c r="X152" s="125" t="s">
        <v>11</v>
      </c>
      <c r="Y152" s="125" t="s">
        <v>11</v>
      </c>
      <c r="Z152" s="125" t="s">
        <v>11</v>
      </c>
      <c r="AA152" s="125" t="s">
        <v>11</v>
      </c>
      <c r="AB152" s="125" t="s">
        <v>11</v>
      </c>
      <c r="AC152" s="132"/>
      <c r="AD152" s="127">
        <f t="shared" si="6"/>
        <v>0</v>
      </c>
      <c r="AE152" s="127">
        <f t="shared" si="7"/>
        <v>0</v>
      </c>
      <c r="AF152" s="127">
        <f t="shared" si="8"/>
        <v>15</v>
      </c>
      <c r="AG152" s="128" t="str" cm="1">
        <f t="array" ref="AG152">_xlfn.IFS(
SUM(AD152:AF152)=0,"Not Started",
SUM(AD152:AF152)&lt;15,"In Progress",
SUM(AD152:AF152)=15,"Completed",
SUM(AD152:AF152)&gt;15,"Error"
)</f>
        <v>Completed</v>
      </c>
    </row>
    <row r="153" spans="1:33" ht="15.5" x14ac:dyDescent="0.25">
      <c r="A153" s="270"/>
      <c r="B153" s="120" t="s">
        <v>200</v>
      </c>
      <c r="C153" s="11" t="s">
        <v>4346</v>
      </c>
      <c r="D153" s="11" t="s">
        <v>4817</v>
      </c>
      <c r="E153" s="11" t="s">
        <v>43</v>
      </c>
      <c r="F153" s="129" t="s">
        <v>48</v>
      </c>
      <c r="G153" s="121" t="s">
        <v>40</v>
      </c>
      <c r="H153" s="121" t="s">
        <v>41</v>
      </c>
      <c r="I153" s="7" t="s">
        <v>10512</v>
      </c>
      <c r="J153" s="129" t="s">
        <v>4601</v>
      </c>
      <c r="K153" s="129">
        <v>10041225092</v>
      </c>
      <c r="L153" s="130"/>
      <c r="M153" s="131"/>
      <c r="N153" s="125" t="s">
        <v>11</v>
      </c>
      <c r="O153" s="125" t="s">
        <v>11</v>
      </c>
      <c r="P153" s="125" t="s">
        <v>11</v>
      </c>
      <c r="Q153" s="125" t="s">
        <v>11</v>
      </c>
      <c r="R153" s="125" t="s">
        <v>11</v>
      </c>
      <c r="S153" s="125" t="s">
        <v>11</v>
      </c>
      <c r="T153" s="125" t="s">
        <v>11</v>
      </c>
      <c r="U153" s="125" t="s">
        <v>11</v>
      </c>
      <c r="V153" s="125" t="s">
        <v>11</v>
      </c>
      <c r="W153" s="125" t="s">
        <v>11</v>
      </c>
      <c r="X153" s="125" t="s">
        <v>11</v>
      </c>
      <c r="Y153" s="125" t="s">
        <v>11</v>
      </c>
      <c r="Z153" s="125" t="s">
        <v>11</v>
      </c>
      <c r="AA153" s="125" t="s">
        <v>11</v>
      </c>
      <c r="AB153" s="125" t="s">
        <v>11</v>
      </c>
      <c r="AC153" s="132"/>
      <c r="AD153" s="127">
        <f t="shared" si="6"/>
        <v>0</v>
      </c>
      <c r="AE153" s="127">
        <f t="shared" si="7"/>
        <v>0</v>
      </c>
      <c r="AF153" s="127">
        <f t="shared" si="8"/>
        <v>15</v>
      </c>
      <c r="AG153" s="128" t="str" cm="1">
        <f t="array" ref="AG153">_xlfn.IFS(
SUM(AD153:AF153)=0,"Not Started",
SUM(AD153:AF153)&lt;15,"In Progress",
SUM(AD153:AF153)=15,"Completed",
SUM(AD153:AF153)&gt;15,"Error"
)</f>
        <v>Completed</v>
      </c>
    </row>
    <row r="154" spans="1:33" ht="15.5" x14ac:dyDescent="0.25">
      <c r="A154" s="270"/>
      <c r="B154" s="120" t="s">
        <v>201</v>
      </c>
      <c r="C154" s="11" t="s">
        <v>4347</v>
      </c>
      <c r="D154" s="11" t="s">
        <v>4818</v>
      </c>
      <c r="E154" s="11" t="s">
        <v>47</v>
      </c>
      <c r="F154" s="129" t="s">
        <v>48</v>
      </c>
      <c r="G154" s="121" t="s">
        <v>40</v>
      </c>
      <c r="H154" s="121" t="s">
        <v>41</v>
      </c>
      <c r="I154" s="7" t="s">
        <v>10513</v>
      </c>
      <c r="J154" s="129" t="s">
        <v>4602</v>
      </c>
      <c r="K154" s="129">
        <v>10041989614</v>
      </c>
      <c r="L154" s="130"/>
      <c r="M154" s="131"/>
      <c r="N154" s="125" t="s">
        <v>11</v>
      </c>
      <c r="O154" s="125" t="s">
        <v>11</v>
      </c>
      <c r="P154" s="125" t="s">
        <v>11</v>
      </c>
      <c r="Q154" s="125" t="s">
        <v>11</v>
      </c>
      <c r="R154" s="125" t="s">
        <v>11</v>
      </c>
      <c r="S154" s="125" t="s">
        <v>11</v>
      </c>
      <c r="T154" s="125" t="s">
        <v>11</v>
      </c>
      <c r="U154" s="125" t="s">
        <v>11</v>
      </c>
      <c r="V154" s="125" t="s">
        <v>11</v>
      </c>
      <c r="W154" s="125" t="s">
        <v>11</v>
      </c>
      <c r="X154" s="125" t="s">
        <v>11</v>
      </c>
      <c r="Y154" s="125" t="s">
        <v>11</v>
      </c>
      <c r="Z154" s="125" t="s">
        <v>11</v>
      </c>
      <c r="AA154" s="125" t="s">
        <v>11</v>
      </c>
      <c r="AB154" s="125" t="s">
        <v>11</v>
      </c>
      <c r="AC154" s="132"/>
      <c r="AD154" s="127">
        <f t="shared" si="6"/>
        <v>0</v>
      </c>
      <c r="AE154" s="127">
        <f t="shared" si="7"/>
        <v>0</v>
      </c>
      <c r="AF154" s="127">
        <f t="shared" si="8"/>
        <v>15</v>
      </c>
      <c r="AG154" s="128" t="str" cm="1">
        <f t="array" ref="AG154">_xlfn.IFS(
SUM(AD154:AF154)=0,"Not Started",
SUM(AD154:AF154)&lt;15,"In Progress",
SUM(AD154:AF154)=15,"Completed",
SUM(AD154:AF154)&gt;15,"Error"
)</f>
        <v>Completed</v>
      </c>
    </row>
    <row r="155" spans="1:33" ht="15.5" x14ac:dyDescent="0.25">
      <c r="A155" s="270"/>
      <c r="B155" s="120" t="s">
        <v>202</v>
      </c>
      <c r="C155" s="11" t="s">
        <v>4348</v>
      </c>
      <c r="D155" s="11" t="s">
        <v>4819</v>
      </c>
      <c r="E155" s="11" t="s">
        <v>43</v>
      </c>
      <c r="F155" s="129" t="s">
        <v>48</v>
      </c>
      <c r="G155" s="121" t="s">
        <v>40</v>
      </c>
      <c r="H155" s="121" t="s">
        <v>41</v>
      </c>
      <c r="I155" s="7" t="s">
        <v>10514</v>
      </c>
      <c r="J155" s="129" t="s">
        <v>4603</v>
      </c>
      <c r="K155" s="129">
        <v>10082622091</v>
      </c>
      <c r="L155" s="130"/>
      <c r="M155" s="131"/>
      <c r="N155" s="125" t="s">
        <v>11</v>
      </c>
      <c r="O155" s="125" t="s">
        <v>11</v>
      </c>
      <c r="P155" s="125" t="s">
        <v>11</v>
      </c>
      <c r="Q155" s="125" t="s">
        <v>11</v>
      </c>
      <c r="R155" s="125" t="s">
        <v>11</v>
      </c>
      <c r="S155" s="125" t="s">
        <v>11</v>
      </c>
      <c r="T155" s="125" t="s">
        <v>11</v>
      </c>
      <c r="U155" s="125" t="s">
        <v>11</v>
      </c>
      <c r="V155" s="125" t="s">
        <v>11</v>
      </c>
      <c r="W155" s="125" t="s">
        <v>11</v>
      </c>
      <c r="X155" s="125" t="s">
        <v>11</v>
      </c>
      <c r="Y155" s="125" t="s">
        <v>11</v>
      </c>
      <c r="Z155" s="125" t="s">
        <v>11</v>
      </c>
      <c r="AA155" s="125" t="s">
        <v>11</v>
      </c>
      <c r="AB155" s="125" t="s">
        <v>11</v>
      </c>
      <c r="AC155" s="132"/>
      <c r="AD155" s="127">
        <f t="shared" si="6"/>
        <v>0</v>
      </c>
      <c r="AE155" s="127">
        <f t="shared" si="7"/>
        <v>0</v>
      </c>
      <c r="AF155" s="127">
        <f t="shared" si="8"/>
        <v>15</v>
      </c>
      <c r="AG155" s="128" t="str" cm="1">
        <f t="array" ref="AG155">_xlfn.IFS(
SUM(AD155:AF155)=0,"Not Started",
SUM(AD155:AF155)&lt;15,"In Progress",
SUM(AD155:AF155)=15,"Completed",
SUM(AD155:AF155)&gt;15,"Error"
)</f>
        <v>Completed</v>
      </c>
    </row>
    <row r="156" spans="1:33" ht="15.5" x14ac:dyDescent="0.25">
      <c r="A156" s="270"/>
      <c r="B156" s="120" t="s">
        <v>203</v>
      </c>
      <c r="C156" s="11" t="s">
        <v>4349</v>
      </c>
      <c r="D156" s="11" t="s">
        <v>4820</v>
      </c>
      <c r="E156" s="11" t="s">
        <v>51</v>
      </c>
      <c r="F156" s="129" t="s">
        <v>48</v>
      </c>
      <c r="G156" s="121" t="s">
        <v>40</v>
      </c>
      <c r="H156" s="121" t="s">
        <v>41</v>
      </c>
      <c r="I156" s="7" t="s">
        <v>10515</v>
      </c>
      <c r="J156" s="129" t="s">
        <v>4604</v>
      </c>
      <c r="K156" s="129">
        <v>10041568372</v>
      </c>
      <c r="L156" s="130"/>
      <c r="M156" s="131"/>
      <c r="N156" s="125" t="s">
        <v>11</v>
      </c>
      <c r="O156" s="125" t="s">
        <v>11</v>
      </c>
      <c r="P156" s="125" t="s">
        <v>11</v>
      </c>
      <c r="Q156" s="125" t="s">
        <v>11</v>
      </c>
      <c r="R156" s="125" t="s">
        <v>11</v>
      </c>
      <c r="S156" s="125" t="s">
        <v>11</v>
      </c>
      <c r="T156" s="125" t="s">
        <v>11</v>
      </c>
      <c r="U156" s="125" t="s">
        <v>11</v>
      </c>
      <c r="V156" s="125" t="s">
        <v>11</v>
      </c>
      <c r="W156" s="125" t="s">
        <v>11</v>
      </c>
      <c r="X156" s="125" t="s">
        <v>11</v>
      </c>
      <c r="Y156" s="125" t="s">
        <v>11</v>
      </c>
      <c r="Z156" s="125" t="s">
        <v>11</v>
      </c>
      <c r="AA156" s="125" t="s">
        <v>11</v>
      </c>
      <c r="AB156" s="125" t="s">
        <v>11</v>
      </c>
      <c r="AC156" s="132"/>
      <c r="AD156" s="127">
        <f t="shared" si="6"/>
        <v>0</v>
      </c>
      <c r="AE156" s="127">
        <f t="shared" si="7"/>
        <v>0</v>
      </c>
      <c r="AF156" s="127">
        <f t="shared" si="8"/>
        <v>15</v>
      </c>
      <c r="AG156" s="128" t="str" cm="1">
        <f t="array" ref="AG156">_xlfn.IFS(
SUM(AD156:AF156)=0,"Not Started",
SUM(AD156:AF156)&lt;15,"In Progress",
SUM(AD156:AF156)=15,"Completed",
SUM(AD156:AF156)&gt;15,"Error"
)</f>
        <v>Completed</v>
      </c>
    </row>
    <row r="157" spans="1:33" ht="15.5" x14ac:dyDescent="0.25">
      <c r="A157" s="270"/>
      <c r="B157" s="120" t="s">
        <v>204</v>
      </c>
      <c r="C157" s="11" t="s">
        <v>4350</v>
      </c>
      <c r="D157" s="11" t="s">
        <v>4821</v>
      </c>
      <c r="E157" s="11" t="s">
        <v>43</v>
      </c>
      <c r="F157" s="129" t="s">
        <v>48</v>
      </c>
      <c r="G157" s="121" t="s">
        <v>40</v>
      </c>
      <c r="H157" s="121" t="s">
        <v>41</v>
      </c>
      <c r="I157" s="7" t="s">
        <v>10516</v>
      </c>
      <c r="J157" s="129" t="s">
        <v>4605</v>
      </c>
      <c r="K157" s="129">
        <v>10041406445</v>
      </c>
      <c r="L157" s="130"/>
      <c r="M157" s="131"/>
      <c r="N157" s="125" t="s">
        <v>11</v>
      </c>
      <c r="O157" s="125" t="s">
        <v>11</v>
      </c>
      <c r="P157" s="125" t="s">
        <v>11</v>
      </c>
      <c r="Q157" s="125" t="s">
        <v>11</v>
      </c>
      <c r="R157" s="125" t="s">
        <v>11</v>
      </c>
      <c r="S157" s="125" t="s">
        <v>11</v>
      </c>
      <c r="T157" s="125" t="s">
        <v>11</v>
      </c>
      <c r="U157" s="125" t="s">
        <v>11</v>
      </c>
      <c r="V157" s="125" t="s">
        <v>11</v>
      </c>
      <c r="W157" s="125" t="s">
        <v>11</v>
      </c>
      <c r="X157" s="125" t="s">
        <v>11</v>
      </c>
      <c r="Y157" s="125" t="s">
        <v>11</v>
      </c>
      <c r="Z157" s="125" t="s">
        <v>11</v>
      </c>
      <c r="AA157" s="125" t="s">
        <v>11</v>
      </c>
      <c r="AB157" s="125" t="s">
        <v>11</v>
      </c>
      <c r="AC157" s="132"/>
      <c r="AD157" s="127">
        <f t="shared" si="6"/>
        <v>0</v>
      </c>
      <c r="AE157" s="127">
        <f t="shared" si="7"/>
        <v>0</v>
      </c>
      <c r="AF157" s="127">
        <f t="shared" si="8"/>
        <v>15</v>
      </c>
      <c r="AG157" s="128" t="str" cm="1">
        <f t="array" ref="AG157">_xlfn.IFS(
SUM(AD157:AF157)=0,"Not Started",
SUM(AD157:AF157)&lt;15,"In Progress",
SUM(AD157:AF157)=15,"Completed",
SUM(AD157:AF157)&gt;15,"Error"
)</f>
        <v>Completed</v>
      </c>
    </row>
    <row r="158" spans="1:33" ht="15.5" x14ac:dyDescent="0.25">
      <c r="A158" s="270"/>
      <c r="B158" s="120" t="s">
        <v>205</v>
      </c>
      <c r="C158" s="11" t="s">
        <v>4351</v>
      </c>
      <c r="D158" s="11" t="s">
        <v>4822</v>
      </c>
      <c r="E158" s="11" t="s">
        <v>47</v>
      </c>
      <c r="F158" s="129" t="s">
        <v>48</v>
      </c>
      <c r="G158" s="121" t="s">
        <v>40</v>
      </c>
      <c r="H158" s="121" t="s">
        <v>41</v>
      </c>
      <c r="I158" s="7" t="s">
        <v>10517</v>
      </c>
      <c r="J158" s="129" t="s">
        <v>4606</v>
      </c>
      <c r="K158" s="129">
        <v>10082616773</v>
      </c>
      <c r="L158" s="130"/>
      <c r="M158" s="131"/>
      <c r="N158" s="125" t="s">
        <v>11</v>
      </c>
      <c r="O158" s="125" t="s">
        <v>11</v>
      </c>
      <c r="P158" s="125" t="s">
        <v>11</v>
      </c>
      <c r="Q158" s="125" t="s">
        <v>11</v>
      </c>
      <c r="R158" s="125" t="s">
        <v>11</v>
      </c>
      <c r="S158" s="125" t="s">
        <v>11</v>
      </c>
      <c r="T158" s="125" t="s">
        <v>11</v>
      </c>
      <c r="U158" s="125" t="s">
        <v>11</v>
      </c>
      <c r="V158" s="125" t="s">
        <v>11</v>
      </c>
      <c r="W158" s="125" t="s">
        <v>11</v>
      </c>
      <c r="X158" s="125" t="s">
        <v>11</v>
      </c>
      <c r="Y158" s="125" t="s">
        <v>11</v>
      </c>
      <c r="Z158" s="125" t="s">
        <v>11</v>
      </c>
      <c r="AA158" s="125" t="s">
        <v>11</v>
      </c>
      <c r="AB158" s="125" t="s">
        <v>11</v>
      </c>
      <c r="AC158" s="132"/>
      <c r="AD158" s="127">
        <f t="shared" si="6"/>
        <v>0</v>
      </c>
      <c r="AE158" s="127">
        <f t="shared" si="7"/>
        <v>0</v>
      </c>
      <c r="AF158" s="127">
        <f t="shared" si="8"/>
        <v>15</v>
      </c>
      <c r="AG158" s="128" t="str" cm="1">
        <f t="array" ref="AG158">_xlfn.IFS(
SUM(AD158:AF158)=0,"Not Started",
SUM(AD158:AF158)&lt;15,"In Progress",
SUM(AD158:AF158)=15,"Completed",
SUM(AD158:AF158)&gt;15,"Error"
)</f>
        <v>Completed</v>
      </c>
    </row>
    <row r="159" spans="1:33" ht="15.5" x14ac:dyDescent="0.25">
      <c r="A159" s="270"/>
      <c r="B159" s="120" t="s">
        <v>206</v>
      </c>
      <c r="C159" s="11" t="s">
        <v>4352</v>
      </c>
      <c r="D159" s="11" t="s">
        <v>4823</v>
      </c>
      <c r="E159" s="11" t="s">
        <v>43</v>
      </c>
      <c r="F159" s="129" t="s">
        <v>48</v>
      </c>
      <c r="G159" s="121" t="s">
        <v>40</v>
      </c>
      <c r="H159" s="121" t="s">
        <v>41</v>
      </c>
      <c r="I159" s="7" t="s">
        <v>10518</v>
      </c>
      <c r="J159" s="129" t="s">
        <v>4607</v>
      </c>
      <c r="K159" s="129">
        <v>10041403461</v>
      </c>
      <c r="L159" s="130"/>
      <c r="M159" s="131"/>
      <c r="N159" s="125" t="s">
        <v>11</v>
      </c>
      <c r="O159" s="125" t="s">
        <v>11</v>
      </c>
      <c r="P159" s="125" t="s">
        <v>11</v>
      </c>
      <c r="Q159" s="125" t="s">
        <v>11</v>
      </c>
      <c r="R159" s="125" t="s">
        <v>11</v>
      </c>
      <c r="S159" s="125" t="s">
        <v>11</v>
      </c>
      <c r="T159" s="125" t="s">
        <v>11</v>
      </c>
      <c r="U159" s="125" t="s">
        <v>11</v>
      </c>
      <c r="V159" s="125" t="s">
        <v>11</v>
      </c>
      <c r="W159" s="125" t="s">
        <v>11</v>
      </c>
      <c r="X159" s="125" t="s">
        <v>11</v>
      </c>
      <c r="Y159" s="125" t="s">
        <v>11</v>
      </c>
      <c r="Z159" s="125" t="s">
        <v>11</v>
      </c>
      <c r="AA159" s="125" t="s">
        <v>11</v>
      </c>
      <c r="AB159" s="125" t="s">
        <v>11</v>
      </c>
      <c r="AC159" s="132"/>
      <c r="AD159" s="127">
        <f t="shared" si="6"/>
        <v>0</v>
      </c>
      <c r="AE159" s="127">
        <f t="shared" si="7"/>
        <v>0</v>
      </c>
      <c r="AF159" s="127">
        <f t="shared" si="8"/>
        <v>15</v>
      </c>
      <c r="AG159" s="128" t="str" cm="1">
        <f t="array" ref="AG159">_xlfn.IFS(
SUM(AD159:AF159)=0,"Not Started",
SUM(AD159:AF159)&lt;15,"In Progress",
SUM(AD159:AF159)=15,"Completed",
SUM(AD159:AF159)&gt;15,"Error"
)</f>
        <v>Completed</v>
      </c>
    </row>
    <row r="160" spans="1:33" ht="15.5" x14ac:dyDescent="0.25">
      <c r="A160" s="270"/>
      <c r="B160" s="120" t="s">
        <v>207</v>
      </c>
      <c r="C160" s="11" t="s">
        <v>4353</v>
      </c>
      <c r="D160" s="11" t="s">
        <v>4824</v>
      </c>
      <c r="E160" s="11" t="s">
        <v>51</v>
      </c>
      <c r="F160" s="129" t="s">
        <v>48</v>
      </c>
      <c r="G160" s="121" t="s">
        <v>40</v>
      </c>
      <c r="H160" s="121" t="s">
        <v>41</v>
      </c>
      <c r="I160" s="7" t="s">
        <v>10519</v>
      </c>
      <c r="J160" s="129" t="s">
        <v>4608</v>
      </c>
      <c r="K160" s="129" t="s">
        <v>4609</v>
      </c>
      <c r="L160" s="130"/>
      <c r="M160" s="131"/>
      <c r="N160" s="125" t="s">
        <v>11</v>
      </c>
      <c r="O160" s="125" t="s">
        <v>11</v>
      </c>
      <c r="P160" s="125" t="s">
        <v>11</v>
      </c>
      <c r="Q160" s="125" t="s">
        <v>11</v>
      </c>
      <c r="R160" s="125" t="s">
        <v>11</v>
      </c>
      <c r="S160" s="125" t="s">
        <v>11</v>
      </c>
      <c r="T160" s="125" t="s">
        <v>11</v>
      </c>
      <c r="U160" s="125" t="s">
        <v>11</v>
      </c>
      <c r="V160" s="125" t="s">
        <v>11</v>
      </c>
      <c r="W160" s="125" t="s">
        <v>11</v>
      </c>
      <c r="X160" s="125" t="s">
        <v>11</v>
      </c>
      <c r="Y160" s="125" t="s">
        <v>11</v>
      </c>
      <c r="Z160" s="125" t="s">
        <v>11</v>
      </c>
      <c r="AA160" s="125" t="s">
        <v>11</v>
      </c>
      <c r="AB160" s="125" t="s">
        <v>11</v>
      </c>
      <c r="AC160" s="132"/>
      <c r="AD160" s="127">
        <f t="shared" si="6"/>
        <v>0</v>
      </c>
      <c r="AE160" s="127">
        <f t="shared" si="7"/>
        <v>0</v>
      </c>
      <c r="AF160" s="127">
        <f t="shared" si="8"/>
        <v>15</v>
      </c>
      <c r="AG160" s="128" t="str" cm="1">
        <f t="array" ref="AG160">_xlfn.IFS(
SUM(AD160:AF160)=0,"Not Started",
SUM(AD160:AF160)&lt;15,"In Progress",
SUM(AD160:AF160)=15,"Completed",
SUM(AD160:AF160)&gt;15,"Error"
)</f>
        <v>Completed</v>
      </c>
    </row>
    <row r="161" spans="1:33" ht="15.5" x14ac:dyDescent="0.25">
      <c r="A161" s="270"/>
      <c r="B161" s="120" t="s">
        <v>208</v>
      </c>
      <c r="C161" s="11" t="s">
        <v>4354</v>
      </c>
      <c r="D161" s="11" t="s">
        <v>4825</v>
      </c>
      <c r="E161" s="11" t="s">
        <v>51</v>
      </c>
      <c r="F161" s="129"/>
      <c r="G161" s="121" t="s">
        <v>40</v>
      </c>
      <c r="H161" s="121" t="s">
        <v>41</v>
      </c>
      <c r="I161" s="7" t="s">
        <v>10520</v>
      </c>
      <c r="J161" s="129" t="s">
        <v>4610</v>
      </c>
      <c r="K161" s="129">
        <v>10041810520</v>
      </c>
      <c r="L161" s="130"/>
      <c r="M161" s="131"/>
      <c r="N161" s="125" t="s">
        <v>11</v>
      </c>
      <c r="O161" s="125" t="s">
        <v>11</v>
      </c>
      <c r="P161" s="125" t="s">
        <v>11</v>
      </c>
      <c r="Q161" s="125" t="s">
        <v>11</v>
      </c>
      <c r="R161" s="125" t="s">
        <v>11</v>
      </c>
      <c r="S161" s="125" t="s">
        <v>11</v>
      </c>
      <c r="T161" s="125" t="s">
        <v>11</v>
      </c>
      <c r="U161" s="125" t="s">
        <v>11</v>
      </c>
      <c r="V161" s="125" t="s">
        <v>11</v>
      </c>
      <c r="W161" s="125" t="s">
        <v>11</v>
      </c>
      <c r="X161" s="125" t="s">
        <v>11</v>
      </c>
      <c r="Y161" s="125" t="s">
        <v>11</v>
      </c>
      <c r="Z161" s="125" t="s">
        <v>11</v>
      </c>
      <c r="AA161" s="125" t="s">
        <v>11</v>
      </c>
      <c r="AB161" s="125" t="s">
        <v>11</v>
      </c>
      <c r="AC161" s="132"/>
      <c r="AD161" s="127">
        <f t="shared" si="6"/>
        <v>0</v>
      </c>
      <c r="AE161" s="127">
        <f t="shared" si="7"/>
        <v>0</v>
      </c>
      <c r="AF161" s="127">
        <f t="shared" si="8"/>
        <v>15</v>
      </c>
      <c r="AG161" s="128" t="str" cm="1">
        <f t="array" ref="AG161">_xlfn.IFS(
SUM(AD161:AF161)=0,"Not Started",
SUM(AD161:AF161)&lt;15,"In Progress",
SUM(AD161:AF161)=15,"Completed",
SUM(AD161:AF161)&gt;15,"Error"
)</f>
        <v>Completed</v>
      </c>
    </row>
    <row r="162" spans="1:33" ht="15.5" x14ac:dyDescent="0.25">
      <c r="A162" s="270"/>
      <c r="B162" s="120" t="s">
        <v>209</v>
      </c>
      <c r="C162" s="11" t="s">
        <v>4355</v>
      </c>
      <c r="D162" s="11" t="s">
        <v>4826</v>
      </c>
      <c r="E162" s="11" t="s">
        <v>43</v>
      </c>
      <c r="F162" s="129"/>
      <c r="G162" s="121" t="s">
        <v>40</v>
      </c>
      <c r="H162" s="121" t="s">
        <v>41</v>
      </c>
      <c r="I162" s="7" t="s">
        <v>10521</v>
      </c>
      <c r="J162" s="129" t="s">
        <v>4611</v>
      </c>
      <c r="K162" s="129">
        <v>10041498920</v>
      </c>
      <c r="L162" s="130"/>
      <c r="M162" s="131"/>
      <c r="N162" s="125" t="s">
        <v>11</v>
      </c>
      <c r="O162" s="125" t="s">
        <v>11</v>
      </c>
      <c r="P162" s="125" t="s">
        <v>11</v>
      </c>
      <c r="Q162" s="125" t="s">
        <v>11</v>
      </c>
      <c r="R162" s="125" t="s">
        <v>11</v>
      </c>
      <c r="S162" s="125" t="s">
        <v>11</v>
      </c>
      <c r="T162" s="125" t="s">
        <v>11</v>
      </c>
      <c r="U162" s="125" t="s">
        <v>11</v>
      </c>
      <c r="V162" s="125" t="s">
        <v>11</v>
      </c>
      <c r="W162" s="125" t="s">
        <v>11</v>
      </c>
      <c r="X162" s="125" t="s">
        <v>11</v>
      </c>
      <c r="Y162" s="125" t="s">
        <v>11</v>
      </c>
      <c r="Z162" s="125" t="s">
        <v>11</v>
      </c>
      <c r="AA162" s="125" t="s">
        <v>11</v>
      </c>
      <c r="AB162" s="125" t="s">
        <v>11</v>
      </c>
      <c r="AC162" s="132"/>
      <c r="AD162" s="127">
        <f t="shared" si="6"/>
        <v>0</v>
      </c>
      <c r="AE162" s="127">
        <f t="shared" si="7"/>
        <v>0</v>
      </c>
      <c r="AF162" s="127">
        <f t="shared" si="8"/>
        <v>15</v>
      </c>
      <c r="AG162" s="128" t="str" cm="1">
        <f t="array" ref="AG162">_xlfn.IFS(
SUM(AD162:AF162)=0,"Not Started",
SUM(AD162:AF162)&lt;15,"In Progress",
SUM(AD162:AF162)=15,"Completed",
SUM(AD162:AF162)&gt;15,"Error"
)</f>
        <v>Completed</v>
      </c>
    </row>
    <row r="163" spans="1:33" ht="15.5" x14ac:dyDescent="0.25">
      <c r="A163" s="270"/>
      <c r="B163" s="120" t="s">
        <v>210</v>
      </c>
      <c r="C163" s="11" t="s">
        <v>4356</v>
      </c>
      <c r="D163" s="11" t="s">
        <v>4827</v>
      </c>
      <c r="E163" s="11" t="s">
        <v>43</v>
      </c>
      <c r="F163" s="129"/>
      <c r="G163" s="121" t="s">
        <v>40</v>
      </c>
      <c r="H163" s="121" t="s">
        <v>41</v>
      </c>
      <c r="I163" s="7" t="s">
        <v>10522</v>
      </c>
      <c r="J163" s="129" t="s">
        <v>4612</v>
      </c>
      <c r="K163" s="129">
        <v>10090561651</v>
      </c>
      <c r="L163" s="130"/>
      <c r="M163" s="131"/>
      <c r="N163" s="125" t="s">
        <v>11</v>
      </c>
      <c r="O163" s="125" t="s">
        <v>11</v>
      </c>
      <c r="P163" s="125" t="s">
        <v>11</v>
      </c>
      <c r="Q163" s="125" t="s">
        <v>11</v>
      </c>
      <c r="R163" s="125" t="s">
        <v>11</v>
      </c>
      <c r="S163" s="125" t="s">
        <v>11</v>
      </c>
      <c r="T163" s="125" t="s">
        <v>11</v>
      </c>
      <c r="U163" s="125" t="s">
        <v>11</v>
      </c>
      <c r="V163" s="125" t="s">
        <v>11</v>
      </c>
      <c r="W163" s="125" t="s">
        <v>11</v>
      </c>
      <c r="X163" s="125" t="s">
        <v>11</v>
      </c>
      <c r="Y163" s="125" t="s">
        <v>11</v>
      </c>
      <c r="Z163" s="125" t="s">
        <v>11</v>
      </c>
      <c r="AA163" s="125" t="s">
        <v>11</v>
      </c>
      <c r="AB163" s="125" t="s">
        <v>11</v>
      </c>
      <c r="AC163" s="132"/>
      <c r="AD163" s="127">
        <f t="shared" si="6"/>
        <v>0</v>
      </c>
      <c r="AE163" s="127">
        <f t="shared" si="7"/>
        <v>0</v>
      </c>
      <c r="AF163" s="127">
        <f t="shared" si="8"/>
        <v>15</v>
      </c>
      <c r="AG163" s="128" t="str" cm="1">
        <f t="array" ref="AG163">_xlfn.IFS(
SUM(AD163:AF163)=0,"Not Started",
SUM(AD163:AF163)&lt;15,"In Progress",
SUM(AD163:AF163)=15,"Completed",
SUM(AD163:AF163)&gt;15,"Error"
)</f>
        <v>Completed</v>
      </c>
    </row>
    <row r="164" spans="1:33" ht="15.5" x14ac:dyDescent="0.25">
      <c r="A164" s="270"/>
      <c r="B164" s="120" t="s">
        <v>211</v>
      </c>
      <c r="C164" s="11" t="s">
        <v>4357</v>
      </c>
      <c r="D164" s="11" t="s">
        <v>4828</v>
      </c>
      <c r="E164" s="11" t="s">
        <v>47</v>
      </c>
      <c r="F164" s="129" t="s">
        <v>48</v>
      </c>
      <c r="G164" s="121" t="s">
        <v>40</v>
      </c>
      <c r="H164" s="121" t="s">
        <v>41</v>
      </c>
      <c r="I164" s="7" t="s">
        <v>10523</v>
      </c>
      <c r="J164" s="129" t="s">
        <v>4613</v>
      </c>
      <c r="K164" s="129">
        <v>10041559088</v>
      </c>
      <c r="L164" s="130"/>
      <c r="M164" s="131"/>
      <c r="N164" s="125" t="s">
        <v>11</v>
      </c>
      <c r="O164" s="125" t="s">
        <v>11</v>
      </c>
      <c r="P164" s="125" t="s">
        <v>11</v>
      </c>
      <c r="Q164" s="125" t="s">
        <v>11</v>
      </c>
      <c r="R164" s="125" t="s">
        <v>11</v>
      </c>
      <c r="S164" s="125" t="s">
        <v>11</v>
      </c>
      <c r="T164" s="125" t="s">
        <v>11</v>
      </c>
      <c r="U164" s="125" t="s">
        <v>11</v>
      </c>
      <c r="V164" s="125" t="s">
        <v>11</v>
      </c>
      <c r="W164" s="125" t="s">
        <v>11</v>
      </c>
      <c r="X164" s="125" t="s">
        <v>11</v>
      </c>
      <c r="Y164" s="125" t="s">
        <v>11</v>
      </c>
      <c r="Z164" s="125" t="s">
        <v>11</v>
      </c>
      <c r="AA164" s="125" t="s">
        <v>11</v>
      </c>
      <c r="AB164" s="125" t="s">
        <v>11</v>
      </c>
      <c r="AC164" s="132"/>
      <c r="AD164" s="127">
        <f t="shared" si="6"/>
        <v>0</v>
      </c>
      <c r="AE164" s="127">
        <f t="shared" si="7"/>
        <v>0</v>
      </c>
      <c r="AF164" s="127">
        <f t="shared" si="8"/>
        <v>15</v>
      </c>
      <c r="AG164" s="128" t="str" cm="1">
        <f t="array" ref="AG164">_xlfn.IFS(
SUM(AD164:AF164)=0,"Not Started",
SUM(AD164:AF164)&lt;15,"In Progress",
SUM(AD164:AF164)=15,"Completed",
SUM(AD164:AF164)&gt;15,"Error"
)</f>
        <v>Completed</v>
      </c>
    </row>
    <row r="165" spans="1:33" ht="15.5" x14ac:dyDescent="0.25">
      <c r="A165" s="270"/>
      <c r="B165" s="120" t="s">
        <v>212</v>
      </c>
      <c r="C165" s="11" t="s">
        <v>4358</v>
      </c>
      <c r="D165" s="11" t="s">
        <v>4829</v>
      </c>
      <c r="E165" s="11" t="s">
        <v>43</v>
      </c>
      <c r="F165" s="129" t="s">
        <v>48</v>
      </c>
      <c r="G165" s="121" t="s">
        <v>40</v>
      </c>
      <c r="H165" s="121" t="s">
        <v>41</v>
      </c>
      <c r="I165" s="7" t="s">
        <v>10524</v>
      </c>
      <c r="J165" s="129" t="s">
        <v>4614</v>
      </c>
      <c r="K165" s="129">
        <v>10088606246</v>
      </c>
      <c r="L165" s="130"/>
      <c r="M165" s="131"/>
      <c r="N165" s="125" t="s">
        <v>11</v>
      </c>
      <c r="O165" s="125" t="s">
        <v>11</v>
      </c>
      <c r="P165" s="125" t="s">
        <v>11</v>
      </c>
      <c r="Q165" s="125" t="s">
        <v>11</v>
      </c>
      <c r="R165" s="125" t="s">
        <v>11</v>
      </c>
      <c r="S165" s="125" t="s">
        <v>11</v>
      </c>
      <c r="T165" s="125" t="s">
        <v>11</v>
      </c>
      <c r="U165" s="125" t="s">
        <v>11</v>
      </c>
      <c r="V165" s="125" t="s">
        <v>11</v>
      </c>
      <c r="W165" s="125" t="s">
        <v>11</v>
      </c>
      <c r="X165" s="125" t="s">
        <v>11</v>
      </c>
      <c r="Y165" s="125" t="s">
        <v>11</v>
      </c>
      <c r="Z165" s="125" t="s">
        <v>11</v>
      </c>
      <c r="AA165" s="125" t="s">
        <v>11</v>
      </c>
      <c r="AB165" s="125" t="s">
        <v>11</v>
      </c>
      <c r="AC165" s="132"/>
      <c r="AD165" s="127">
        <f t="shared" si="6"/>
        <v>0</v>
      </c>
      <c r="AE165" s="127">
        <f t="shared" si="7"/>
        <v>0</v>
      </c>
      <c r="AF165" s="127">
        <f t="shared" si="8"/>
        <v>15</v>
      </c>
      <c r="AG165" s="128" t="str" cm="1">
        <f t="array" ref="AG165">_xlfn.IFS(
SUM(AD165:AF165)=0,"Not Started",
SUM(AD165:AF165)&lt;15,"In Progress",
SUM(AD165:AF165)=15,"Completed",
SUM(AD165:AF165)&gt;15,"Error"
)</f>
        <v>Completed</v>
      </c>
    </row>
    <row r="166" spans="1:33" ht="15.5" x14ac:dyDescent="0.25">
      <c r="A166" s="270"/>
      <c r="B166" s="120" t="s">
        <v>213</v>
      </c>
      <c r="C166" s="11" t="s">
        <v>4359</v>
      </c>
      <c r="D166" s="11" t="s">
        <v>4830</v>
      </c>
      <c r="E166" s="11" t="s">
        <v>43</v>
      </c>
      <c r="F166" s="129"/>
      <c r="G166" s="121" t="s">
        <v>40</v>
      </c>
      <c r="H166" s="121" t="s">
        <v>41</v>
      </c>
      <c r="I166" s="7" t="s">
        <v>10525</v>
      </c>
      <c r="J166" s="129" t="s">
        <v>4615</v>
      </c>
      <c r="K166" s="129">
        <v>10089311333</v>
      </c>
      <c r="L166" s="130"/>
      <c r="M166" s="131"/>
      <c r="N166" s="125" t="s">
        <v>11</v>
      </c>
      <c r="O166" s="125" t="s">
        <v>11</v>
      </c>
      <c r="P166" s="125" t="s">
        <v>11</v>
      </c>
      <c r="Q166" s="125" t="s">
        <v>11</v>
      </c>
      <c r="R166" s="125" t="s">
        <v>11</v>
      </c>
      <c r="S166" s="125" t="s">
        <v>11</v>
      </c>
      <c r="T166" s="125" t="s">
        <v>11</v>
      </c>
      <c r="U166" s="125" t="s">
        <v>11</v>
      </c>
      <c r="V166" s="125" t="s">
        <v>11</v>
      </c>
      <c r="W166" s="125" t="s">
        <v>11</v>
      </c>
      <c r="X166" s="125" t="s">
        <v>11</v>
      </c>
      <c r="Y166" s="125" t="s">
        <v>11</v>
      </c>
      <c r="Z166" s="125" t="s">
        <v>11</v>
      </c>
      <c r="AA166" s="125" t="s">
        <v>11</v>
      </c>
      <c r="AB166" s="125" t="s">
        <v>11</v>
      </c>
      <c r="AC166" s="132"/>
      <c r="AD166" s="127">
        <f t="shared" si="6"/>
        <v>0</v>
      </c>
      <c r="AE166" s="127">
        <f t="shared" si="7"/>
        <v>0</v>
      </c>
      <c r="AF166" s="127">
        <f t="shared" si="8"/>
        <v>15</v>
      </c>
      <c r="AG166" s="128" t="str" cm="1">
        <f t="array" ref="AG166">_xlfn.IFS(
SUM(AD166:AF166)=0,"Not Started",
SUM(AD166:AF166)&lt;15,"In Progress",
SUM(AD166:AF166)=15,"Completed",
SUM(AD166:AF166)&gt;15,"Error"
)</f>
        <v>Completed</v>
      </c>
    </row>
    <row r="167" spans="1:33" ht="15.5" x14ac:dyDescent="0.25">
      <c r="A167" s="270"/>
      <c r="B167" s="120" t="s">
        <v>214</v>
      </c>
      <c r="C167" s="11" t="s">
        <v>4360</v>
      </c>
      <c r="D167" s="11" t="s">
        <v>4831</v>
      </c>
      <c r="E167" s="11" t="s">
        <v>51</v>
      </c>
      <c r="F167" s="129"/>
      <c r="G167" s="121" t="s">
        <v>40</v>
      </c>
      <c r="H167" s="121" t="s">
        <v>41</v>
      </c>
      <c r="I167" s="7" t="s">
        <v>10526</v>
      </c>
      <c r="J167" s="129" t="s">
        <v>4616</v>
      </c>
      <c r="K167" s="129">
        <v>10101830521</v>
      </c>
      <c r="L167" s="130"/>
      <c r="M167" s="131"/>
      <c r="N167" s="125" t="s">
        <v>11</v>
      </c>
      <c r="O167" s="125" t="s">
        <v>11</v>
      </c>
      <c r="P167" s="125" t="s">
        <v>11</v>
      </c>
      <c r="Q167" s="125" t="s">
        <v>11</v>
      </c>
      <c r="R167" s="125" t="s">
        <v>11</v>
      </c>
      <c r="S167" s="125" t="s">
        <v>11</v>
      </c>
      <c r="T167" s="125" t="s">
        <v>11</v>
      </c>
      <c r="U167" s="125" t="s">
        <v>11</v>
      </c>
      <c r="V167" s="125" t="s">
        <v>11</v>
      </c>
      <c r="W167" s="125" t="s">
        <v>11</v>
      </c>
      <c r="X167" s="125" t="s">
        <v>11</v>
      </c>
      <c r="Y167" s="125" t="s">
        <v>11</v>
      </c>
      <c r="Z167" s="125" t="s">
        <v>11</v>
      </c>
      <c r="AA167" s="125" t="s">
        <v>11</v>
      </c>
      <c r="AB167" s="125" t="s">
        <v>11</v>
      </c>
      <c r="AC167" s="132"/>
      <c r="AD167" s="127">
        <f t="shared" si="6"/>
        <v>0</v>
      </c>
      <c r="AE167" s="127">
        <f t="shared" si="7"/>
        <v>0</v>
      </c>
      <c r="AF167" s="127">
        <f t="shared" si="8"/>
        <v>15</v>
      </c>
      <c r="AG167" s="128" t="str" cm="1">
        <f t="array" ref="AG167">_xlfn.IFS(
SUM(AD167:AF167)=0,"Not Started",
SUM(AD167:AF167)&lt;15,"In Progress",
SUM(AD167:AF167)=15,"Completed",
SUM(AD167:AF167)&gt;15,"Error"
)</f>
        <v>Completed</v>
      </c>
    </row>
    <row r="168" spans="1:33" ht="15.5" x14ac:dyDescent="0.25">
      <c r="A168" s="270"/>
      <c r="B168" s="120" t="s">
        <v>215</v>
      </c>
      <c r="C168" s="11" t="s">
        <v>4361</v>
      </c>
      <c r="D168" s="11" t="s">
        <v>4832</v>
      </c>
      <c r="E168" s="11" t="s">
        <v>43</v>
      </c>
      <c r="F168" s="129"/>
      <c r="G168" s="121" t="s">
        <v>40</v>
      </c>
      <c r="H168" s="121" t="s">
        <v>41</v>
      </c>
      <c r="I168" s="7" t="s">
        <v>10527</v>
      </c>
      <c r="J168" s="129" t="s">
        <v>4617</v>
      </c>
      <c r="K168" s="129" t="s">
        <v>4618</v>
      </c>
      <c r="L168" s="130"/>
      <c r="M168" s="131"/>
      <c r="N168" s="125" t="s">
        <v>11</v>
      </c>
      <c r="O168" s="125" t="s">
        <v>11</v>
      </c>
      <c r="P168" s="125" t="s">
        <v>11</v>
      </c>
      <c r="Q168" s="125" t="s">
        <v>11</v>
      </c>
      <c r="R168" s="125" t="s">
        <v>11</v>
      </c>
      <c r="S168" s="125" t="s">
        <v>11</v>
      </c>
      <c r="T168" s="125" t="s">
        <v>11</v>
      </c>
      <c r="U168" s="125" t="s">
        <v>11</v>
      </c>
      <c r="V168" s="125" t="s">
        <v>11</v>
      </c>
      <c r="W168" s="125" t="s">
        <v>11</v>
      </c>
      <c r="X168" s="125" t="s">
        <v>11</v>
      </c>
      <c r="Y168" s="125" t="s">
        <v>11</v>
      </c>
      <c r="Z168" s="125" t="s">
        <v>11</v>
      </c>
      <c r="AA168" s="125" t="s">
        <v>11</v>
      </c>
      <c r="AB168" s="125" t="s">
        <v>11</v>
      </c>
      <c r="AC168" s="132"/>
      <c r="AD168" s="127">
        <f t="shared" si="6"/>
        <v>0</v>
      </c>
      <c r="AE168" s="127">
        <f t="shared" si="7"/>
        <v>0</v>
      </c>
      <c r="AF168" s="127">
        <f t="shared" si="8"/>
        <v>15</v>
      </c>
      <c r="AG168" s="128" t="str" cm="1">
        <f t="array" ref="AG168">_xlfn.IFS(
SUM(AD168:AF168)=0,"Not Started",
SUM(AD168:AF168)&lt;15,"In Progress",
SUM(AD168:AF168)=15,"Completed",
SUM(AD168:AF168)&gt;15,"Error"
)</f>
        <v>Completed</v>
      </c>
    </row>
    <row r="169" spans="1:33" ht="15.5" x14ac:dyDescent="0.25">
      <c r="A169" s="270"/>
      <c r="B169" s="120" t="s">
        <v>216</v>
      </c>
      <c r="C169" s="11" t="s">
        <v>4362</v>
      </c>
      <c r="D169" s="11" t="s">
        <v>4833</v>
      </c>
      <c r="E169" s="11" t="s">
        <v>43</v>
      </c>
      <c r="F169" s="129"/>
      <c r="G169" s="121" t="s">
        <v>40</v>
      </c>
      <c r="H169" s="121" t="s">
        <v>41</v>
      </c>
      <c r="I169" s="7" t="s">
        <v>10528</v>
      </c>
      <c r="J169" s="129" t="s">
        <v>4619</v>
      </c>
      <c r="K169" s="129">
        <v>10041846729</v>
      </c>
      <c r="L169" s="130"/>
      <c r="M169" s="131"/>
      <c r="N169" s="125" t="s">
        <v>11</v>
      </c>
      <c r="O169" s="125" t="s">
        <v>11</v>
      </c>
      <c r="P169" s="125" t="s">
        <v>11</v>
      </c>
      <c r="Q169" s="125" t="s">
        <v>11</v>
      </c>
      <c r="R169" s="125" t="s">
        <v>11</v>
      </c>
      <c r="S169" s="125" t="s">
        <v>11</v>
      </c>
      <c r="T169" s="125" t="s">
        <v>11</v>
      </c>
      <c r="U169" s="125" t="s">
        <v>11</v>
      </c>
      <c r="V169" s="125" t="s">
        <v>11</v>
      </c>
      <c r="W169" s="125" t="s">
        <v>11</v>
      </c>
      <c r="X169" s="125" t="s">
        <v>11</v>
      </c>
      <c r="Y169" s="125" t="s">
        <v>11</v>
      </c>
      <c r="Z169" s="125" t="s">
        <v>11</v>
      </c>
      <c r="AA169" s="125" t="s">
        <v>11</v>
      </c>
      <c r="AB169" s="125" t="s">
        <v>11</v>
      </c>
      <c r="AC169" s="132"/>
      <c r="AD169" s="127">
        <f t="shared" si="6"/>
        <v>0</v>
      </c>
      <c r="AE169" s="127">
        <f t="shared" si="7"/>
        <v>0</v>
      </c>
      <c r="AF169" s="127">
        <f t="shared" si="8"/>
        <v>15</v>
      </c>
      <c r="AG169" s="128" t="str" cm="1">
        <f t="array" ref="AG169">_xlfn.IFS(
SUM(AD169:AF169)=0,"Not Started",
SUM(AD169:AF169)&lt;15,"In Progress",
SUM(AD169:AF169)=15,"Completed",
SUM(AD169:AF169)&gt;15,"Error"
)</f>
        <v>Completed</v>
      </c>
    </row>
    <row r="170" spans="1:33" ht="15.5" x14ac:dyDescent="0.25">
      <c r="A170" s="270"/>
      <c r="B170" s="120" t="s">
        <v>217</v>
      </c>
      <c r="C170" s="11" t="s">
        <v>4363</v>
      </c>
      <c r="D170" s="11" t="s">
        <v>4834</v>
      </c>
      <c r="E170" s="11"/>
      <c r="F170" s="129" t="s">
        <v>48</v>
      </c>
      <c r="G170" s="121" t="s">
        <v>40</v>
      </c>
      <c r="H170" s="121" t="s">
        <v>41</v>
      </c>
      <c r="I170" s="7" t="s">
        <v>10529</v>
      </c>
      <c r="J170" s="129" t="s">
        <v>4620</v>
      </c>
      <c r="K170" s="129" t="s">
        <v>4621</v>
      </c>
      <c r="L170" s="130"/>
      <c r="M170" s="131"/>
      <c r="N170" s="125" t="s">
        <v>11</v>
      </c>
      <c r="O170" s="125" t="s">
        <v>11</v>
      </c>
      <c r="P170" s="125" t="s">
        <v>11</v>
      </c>
      <c r="Q170" s="125" t="s">
        <v>11</v>
      </c>
      <c r="R170" s="125" t="s">
        <v>11</v>
      </c>
      <c r="S170" s="125" t="s">
        <v>11</v>
      </c>
      <c r="T170" s="125" t="s">
        <v>11</v>
      </c>
      <c r="U170" s="125" t="s">
        <v>11</v>
      </c>
      <c r="V170" s="125" t="s">
        <v>11</v>
      </c>
      <c r="W170" s="125" t="s">
        <v>11</v>
      </c>
      <c r="X170" s="125" t="s">
        <v>11</v>
      </c>
      <c r="Y170" s="125" t="s">
        <v>11</v>
      </c>
      <c r="Z170" s="125" t="s">
        <v>11</v>
      </c>
      <c r="AA170" s="125" t="s">
        <v>11</v>
      </c>
      <c r="AB170" s="125" t="s">
        <v>11</v>
      </c>
      <c r="AC170" s="132"/>
      <c r="AD170" s="127">
        <f t="shared" si="6"/>
        <v>0</v>
      </c>
      <c r="AE170" s="127">
        <f t="shared" si="7"/>
        <v>0</v>
      </c>
      <c r="AF170" s="127">
        <f t="shared" si="8"/>
        <v>15</v>
      </c>
      <c r="AG170" s="128" t="str" cm="1">
        <f t="array" ref="AG170">_xlfn.IFS(
SUM(AD170:AF170)=0,"Not Started",
SUM(AD170:AF170)&lt;15,"In Progress",
SUM(AD170:AF170)=15,"Completed",
SUM(AD170:AF170)&gt;15,"Error"
)</f>
        <v>Completed</v>
      </c>
    </row>
    <row r="171" spans="1:33" ht="15.5" x14ac:dyDescent="0.25">
      <c r="A171" s="270"/>
      <c r="B171" s="120" t="s">
        <v>218</v>
      </c>
      <c r="C171" s="11" t="s">
        <v>4364</v>
      </c>
      <c r="D171" s="11" t="s">
        <v>4835</v>
      </c>
      <c r="E171" s="11"/>
      <c r="F171" s="129"/>
      <c r="G171" s="121" t="s">
        <v>40</v>
      </c>
      <c r="H171" s="121" t="s">
        <v>41</v>
      </c>
      <c r="I171" s="7" t="s">
        <v>10530</v>
      </c>
      <c r="J171" s="129" t="s">
        <v>4622</v>
      </c>
      <c r="K171" s="129" t="s">
        <v>4623</v>
      </c>
      <c r="L171" s="130"/>
      <c r="M171" s="131"/>
      <c r="N171" s="125" t="s">
        <v>11</v>
      </c>
      <c r="O171" s="125" t="s">
        <v>11</v>
      </c>
      <c r="P171" s="125" t="s">
        <v>11</v>
      </c>
      <c r="Q171" s="125" t="s">
        <v>11</v>
      </c>
      <c r="R171" s="125" t="s">
        <v>11</v>
      </c>
      <c r="S171" s="125" t="s">
        <v>11</v>
      </c>
      <c r="T171" s="125" t="s">
        <v>11</v>
      </c>
      <c r="U171" s="125" t="s">
        <v>11</v>
      </c>
      <c r="V171" s="125" t="s">
        <v>11</v>
      </c>
      <c r="W171" s="125" t="s">
        <v>11</v>
      </c>
      <c r="X171" s="125" t="s">
        <v>11</v>
      </c>
      <c r="Y171" s="125" t="s">
        <v>11</v>
      </c>
      <c r="Z171" s="125" t="s">
        <v>11</v>
      </c>
      <c r="AA171" s="125" t="s">
        <v>11</v>
      </c>
      <c r="AB171" s="125" t="s">
        <v>11</v>
      </c>
      <c r="AC171" s="132"/>
      <c r="AD171" s="127">
        <f t="shared" si="6"/>
        <v>0</v>
      </c>
      <c r="AE171" s="127">
        <f t="shared" si="7"/>
        <v>0</v>
      </c>
      <c r="AF171" s="127">
        <f t="shared" si="8"/>
        <v>15</v>
      </c>
      <c r="AG171" s="128" t="str" cm="1">
        <f t="array" ref="AG171">_xlfn.IFS(
SUM(AD171:AF171)=0,"Not Started",
SUM(AD171:AF171)&lt;15,"In Progress",
SUM(AD171:AF171)=15,"Completed",
SUM(AD171:AF171)&gt;15,"Error"
)</f>
        <v>Completed</v>
      </c>
    </row>
    <row r="172" spans="1:33" ht="15.5" x14ac:dyDescent="0.25">
      <c r="A172" s="270"/>
      <c r="B172" s="120" t="s">
        <v>219</v>
      </c>
      <c r="C172" s="11" t="s">
        <v>4365</v>
      </c>
      <c r="D172" s="11" t="s">
        <v>4836</v>
      </c>
      <c r="E172" s="11" t="s">
        <v>47</v>
      </c>
      <c r="F172" s="129"/>
      <c r="G172" s="121" t="s">
        <v>40</v>
      </c>
      <c r="H172" s="121" t="s">
        <v>41</v>
      </c>
      <c r="I172" s="7" t="s">
        <v>10531</v>
      </c>
      <c r="J172" s="129" t="s">
        <v>4624</v>
      </c>
      <c r="K172" s="129" t="s">
        <v>4625</v>
      </c>
      <c r="L172" s="130"/>
      <c r="M172" s="131"/>
      <c r="N172" s="125" t="s">
        <v>11</v>
      </c>
      <c r="O172" s="125" t="s">
        <v>11</v>
      </c>
      <c r="P172" s="125" t="s">
        <v>11</v>
      </c>
      <c r="Q172" s="125" t="s">
        <v>11</v>
      </c>
      <c r="R172" s="125" t="s">
        <v>11</v>
      </c>
      <c r="S172" s="125" t="s">
        <v>11</v>
      </c>
      <c r="T172" s="125" t="s">
        <v>11</v>
      </c>
      <c r="U172" s="125" t="s">
        <v>11</v>
      </c>
      <c r="V172" s="125" t="s">
        <v>11</v>
      </c>
      <c r="W172" s="125" t="s">
        <v>11</v>
      </c>
      <c r="X172" s="125" t="s">
        <v>11</v>
      </c>
      <c r="Y172" s="125" t="s">
        <v>11</v>
      </c>
      <c r="Z172" s="125" t="s">
        <v>11</v>
      </c>
      <c r="AA172" s="125" t="s">
        <v>11</v>
      </c>
      <c r="AB172" s="125" t="s">
        <v>11</v>
      </c>
      <c r="AC172" s="132"/>
      <c r="AD172" s="127">
        <f t="shared" si="6"/>
        <v>0</v>
      </c>
      <c r="AE172" s="127">
        <f t="shared" si="7"/>
        <v>0</v>
      </c>
      <c r="AF172" s="127">
        <f t="shared" si="8"/>
        <v>15</v>
      </c>
      <c r="AG172" s="128" t="str" cm="1">
        <f t="array" ref="AG172">_xlfn.IFS(
SUM(AD172:AF172)=0,"Not Started",
SUM(AD172:AF172)&lt;15,"In Progress",
SUM(AD172:AF172)=15,"Completed",
SUM(AD172:AF172)&gt;15,"Error"
)</f>
        <v>Completed</v>
      </c>
    </row>
    <row r="173" spans="1:33" ht="15.5" x14ac:dyDescent="0.25">
      <c r="A173" s="270"/>
      <c r="B173" s="120" t="s">
        <v>220</v>
      </c>
      <c r="C173" s="11" t="s">
        <v>4366</v>
      </c>
      <c r="D173" s="11" t="s">
        <v>4837</v>
      </c>
      <c r="E173" s="11"/>
      <c r="F173" s="129"/>
      <c r="G173" s="121" t="s">
        <v>40</v>
      </c>
      <c r="H173" s="121" t="s">
        <v>41</v>
      </c>
      <c r="I173" s="7" t="s">
        <v>10532</v>
      </c>
      <c r="J173" s="129" t="s">
        <v>4626</v>
      </c>
      <c r="K173" s="129" t="s">
        <v>4627</v>
      </c>
      <c r="L173" s="130"/>
      <c r="M173" s="131"/>
      <c r="N173" s="125" t="s">
        <v>11</v>
      </c>
      <c r="O173" s="125" t="s">
        <v>11</v>
      </c>
      <c r="P173" s="125" t="s">
        <v>11</v>
      </c>
      <c r="Q173" s="125" t="s">
        <v>11</v>
      </c>
      <c r="R173" s="125" t="s">
        <v>11</v>
      </c>
      <c r="S173" s="125" t="s">
        <v>11</v>
      </c>
      <c r="T173" s="125" t="s">
        <v>11</v>
      </c>
      <c r="U173" s="125" t="s">
        <v>11</v>
      </c>
      <c r="V173" s="125" t="s">
        <v>11</v>
      </c>
      <c r="W173" s="125" t="s">
        <v>11</v>
      </c>
      <c r="X173" s="125" t="s">
        <v>11</v>
      </c>
      <c r="Y173" s="125" t="s">
        <v>11</v>
      </c>
      <c r="Z173" s="125" t="s">
        <v>11</v>
      </c>
      <c r="AA173" s="125" t="s">
        <v>11</v>
      </c>
      <c r="AB173" s="125" t="s">
        <v>11</v>
      </c>
      <c r="AC173" s="132"/>
      <c r="AD173" s="127">
        <f t="shared" si="6"/>
        <v>0</v>
      </c>
      <c r="AE173" s="127">
        <f t="shared" si="7"/>
        <v>0</v>
      </c>
      <c r="AF173" s="127">
        <f t="shared" si="8"/>
        <v>15</v>
      </c>
      <c r="AG173" s="128" t="str" cm="1">
        <f t="array" ref="AG173">_xlfn.IFS(
SUM(AD173:AF173)=0,"Not Started",
SUM(AD173:AF173)&lt;15,"In Progress",
SUM(AD173:AF173)=15,"Completed",
SUM(AD173:AF173)&gt;15,"Error"
)</f>
        <v>Completed</v>
      </c>
    </row>
    <row r="174" spans="1:33" ht="15.5" x14ac:dyDescent="0.25">
      <c r="A174" s="270"/>
      <c r="B174" s="120" t="s">
        <v>221</v>
      </c>
      <c r="C174" s="11" t="s">
        <v>4367</v>
      </c>
      <c r="D174" s="11" t="s">
        <v>4838</v>
      </c>
      <c r="E174" s="11" t="s">
        <v>43</v>
      </c>
      <c r="F174" s="129"/>
      <c r="G174" s="121" t="s">
        <v>40</v>
      </c>
      <c r="H174" s="121" t="s">
        <v>41</v>
      </c>
      <c r="I174" s="7" t="s">
        <v>10533</v>
      </c>
      <c r="J174" s="129" t="s">
        <v>4628</v>
      </c>
      <c r="K174" s="129" t="s">
        <v>4629</v>
      </c>
      <c r="L174" s="130"/>
      <c r="M174" s="131"/>
      <c r="N174" s="125" t="s">
        <v>11</v>
      </c>
      <c r="O174" s="125" t="s">
        <v>11</v>
      </c>
      <c r="P174" s="125" t="s">
        <v>11</v>
      </c>
      <c r="Q174" s="125" t="s">
        <v>11</v>
      </c>
      <c r="R174" s="125" t="s">
        <v>11</v>
      </c>
      <c r="S174" s="125" t="s">
        <v>11</v>
      </c>
      <c r="T174" s="125" t="s">
        <v>11</v>
      </c>
      <c r="U174" s="125" t="s">
        <v>11</v>
      </c>
      <c r="V174" s="125" t="s">
        <v>11</v>
      </c>
      <c r="W174" s="125" t="s">
        <v>11</v>
      </c>
      <c r="X174" s="125" t="s">
        <v>11</v>
      </c>
      <c r="Y174" s="125" t="s">
        <v>11</v>
      </c>
      <c r="Z174" s="125" t="s">
        <v>11</v>
      </c>
      <c r="AA174" s="125" t="s">
        <v>11</v>
      </c>
      <c r="AB174" s="125" t="s">
        <v>11</v>
      </c>
      <c r="AC174" s="132"/>
      <c r="AD174" s="127">
        <f t="shared" si="6"/>
        <v>0</v>
      </c>
      <c r="AE174" s="127">
        <f t="shared" si="7"/>
        <v>0</v>
      </c>
      <c r="AF174" s="127">
        <f t="shared" si="8"/>
        <v>15</v>
      </c>
      <c r="AG174" s="128" t="str" cm="1">
        <f t="array" ref="AG174">_xlfn.IFS(
SUM(AD174:AF174)=0,"Not Started",
SUM(AD174:AF174)&lt;15,"In Progress",
SUM(AD174:AF174)=15,"Completed",
SUM(AD174:AF174)&gt;15,"Error"
)</f>
        <v>Completed</v>
      </c>
    </row>
    <row r="175" spans="1:33" ht="15.5" x14ac:dyDescent="0.25">
      <c r="A175" s="270"/>
      <c r="B175" s="120" t="s">
        <v>222</v>
      </c>
      <c r="C175" s="11" t="s">
        <v>4368</v>
      </c>
      <c r="D175" s="11" t="s">
        <v>4839</v>
      </c>
      <c r="E175" s="11" t="s">
        <v>47</v>
      </c>
      <c r="F175" s="129" t="s">
        <v>44</v>
      </c>
      <c r="G175" s="121" t="s">
        <v>40</v>
      </c>
      <c r="H175" s="121" t="s">
        <v>41</v>
      </c>
      <c r="I175" s="7" t="s">
        <v>10534</v>
      </c>
      <c r="J175" s="129" t="s">
        <v>4630</v>
      </c>
      <c r="K175" s="129">
        <v>10041470339</v>
      </c>
      <c r="L175" s="130"/>
      <c r="M175" s="131"/>
      <c r="N175" s="125" t="s">
        <v>11</v>
      </c>
      <c r="O175" s="125" t="s">
        <v>11</v>
      </c>
      <c r="P175" s="125" t="s">
        <v>11</v>
      </c>
      <c r="Q175" s="125" t="s">
        <v>11</v>
      </c>
      <c r="R175" s="125" t="s">
        <v>11</v>
      </c>
      <c r="S175" s="125" t="s">
        <v>11</v>
      </c>
      <c r="T175" s="125" t="s">
        <v>11</v>
      </c>
      <c r="U175" s="125" t="s">
        <v>11</v>
      </c>
      <c r="V175" s="125" t="s">
        <v>11</v>
      </c>
      <c r="W175" s="125" t="s">
        <v>11</v>
      </c>
      <c r="X175" s="125" t="s">
        <v>11</v>
      </c>
      <c r="Y175" s="125" t="s">
        <v>11</v>
      </c>
      <c r="Z175" s="125" t="s">
        <v>11</v>
      </c>
      <c r="AA175" s="125" t="s">
        <v>11</v>
      </c>
      <c r="AB175" s="125" t="s">
        <v>11</v>
      </c>
      <c r="AC175" s="132"/>
      <c r="AD175" s="127">
        <f t="shared" si="6"/>
        <v>0</v>
      </c>
      <c r="AE175" s="127">
        <f t="shared" si="7"/>
        <v>0</v>
      </c>
      <c r="AF175" s="127">
        <f t="shared" si="8"/>
        <v>15</v>
      </c>
      <c r="AG175" s="128" t="str" cm="1">
        <f t="array" ref="AG175">_xlfn.IFS(
SUM(AD175:AF175)=0,"Not Started",
SUM(AD175:AF175)&lt;15,"In Progress",
SUM(AD175:AF175)=15,"Completed",
SUM(AD175:AF175)&gt;15,"Error"
)</f>
        <v>Completed</v>
      </c>
    </row>
    <row r="176" spans="1:33" ht="15.5" x14ac:dyDescent="0.25">
      <c r="A176" s="270"/>
      <c r="B176" s="120" t="s">
        <v>223</v>
      </c>
      <c r="C176" s="11" t="s">
        <v>4369</v>
      </c>
      <c r="D176" s="11" t="s">
        <v>4840</v>
      </c>
      <c r="E176" s="11" t="s">
        <v>51</v>
      </c>
      <c r="F176" s="129" t="s">
        <v>48</v>
      </c>
      <c r="G176" s="121" t="s">
        <v>40</v>
      </c>
      <c r="H176" s="121" t="s">
        <v>41</v>
      </c>
      <c r="I176" s="7" t="s">
        <v>10535</v>
      </c>
      <c r="J176" s="129" t="s">
        <v>4631</v>
      </c>
      <c r="K176" s="129">
        <v>10041964357</v>
      </c>
      <c r="L176" s="130"/>
      <c r="M176" s="131"/>
      <c r="N176" s="125" t="s">
        <v>11</v>
      </c>
      <c r="O176" s="125" t="s">
        <v>11</v>
      </c>
      <c r="P176" s="125" t="s">
        <v>11</v>
      </c>
      <c r="Q176" s="125" t="s">
        <v>11</v>
      </c>
      <c r="R176" s="125" t="s">
        <v>11</v>
      </c>
      <c r="S176" s="125" t="s">
        <v>11</v>
      </c>
      <c r="T176" s="125" t="s">
        <v>11</v>
      </c>
      <c r="U176" s="125" t="s">
        <v>11</v>
      </c>
      <c r="V176" s="125" t="s">
        <v>11</v>
      </c>
      <c r="W176" s="125" t="s">
        <v>11</v>
      </c>
      <c r="X176" s="125" t="s">
        <v>11</v>
      </c>
      <c r="Y176" s="125" t="s">
        <v>11</v>
      </c>
      <c r="Z176" s="125" t="s">
        <v>11</v>
      </c>
      <c r="AA176" s="125" t="s">
        <v>11</v>
      </c>
      <c r="AB176" s="125" t="s">
        <v>11</v>
      </c>
      <c r="AC176" s="132"/>
      <c r="AD176" s="127">
        <f t="shared" si="6"/>
        <v>0</v>
      </c>
      <c r="AE176" s="127">
        <f t="shared" si="7"/>
        <v>0</v>
      </c>
      <c r="AF176" s="127">
        <f t="shared" si="8"/>
        <v>15</v>
      </c>
      <c r="AG176" s="128" t="str" cm="1">
        <f t="array" ref="AG176">_xlfn.IFS(
SUM(AD176:AF176)=0,"Not Started",
SUM(AD176:AF176)&lt;15,"In Progress",
SUM(AD176:AF176)=15,"Completed",
SUM(AD176:AF176)&gt;15,"Error"
)</f>
        <v>Completed</v>
      </c>
    </row>
    <row r="177" spans="1:33" ht="15.5" x14ac:dyDescent="0.25">
      <c r="A177" s="270"/>
      <c r="B177" s="120" t="s">
        <v>224</v>
      </c>
      <c r="C177" s="11" t="s">
        <v>4370</v>
      </c>
      <c r="D177" s="11" t="s">
        <v>4841</v>
      </c>
      <c r="E177" s="11" t="s">
        <v>51</v>
      </c>
      <c r="F177" s="129" t="s">
        <v>48</v>
      </c>
      <c r="G177" s="121" t="s">
        <v>40</v>
      </c>
      <c r="H177" s="121" t="s">
        <v>41</v>
      </c>
      <c r="I177" s="7" t="s">
        <v>10536</v>
      </c>
      <c r="J177" s="129" t="s">
        <v>4632</v>
      </c>
      <c r="K177" s="129" t="s">
        <v>4633</v>
      </c>
      <c r="L177" s="130"/>
      <c r="M177" s="131"/>
      <c r="N177" s="125" t="s">
        <v>11</v>
      </c>
      <c r="O177" s="125" t="s">
        <v>11</v>
      </c>
      <c r="P177" s="125" t="s">
        <v>11</v>
      </c>
      <c r="Q177" s="125" t="s">
        <v>11</v>
      </c>
      <c r="R177" s="125" t="s">
        <v>11</v>
      </c>
      <c r="S177" s="125" t="s">
        <v>11</v>
      </c>
      <c r="T177" s="125" t="s">
        <v>11</v>
      </c>
      <c r="U177" s="125" t="s">
        <v>11</v>
      </c>
      <c r="V177" s="125" t="s">
        <v>11</v>
      </c>
      <c r="W177" s="125" t="s">
        <v>11</v>
      </c>
      <c r="X177" s="125" t="s">
        <v>11</v>
      </c>
      <c r="Y177" s="125" t="s">
        <v>11</v>
      </c>
      <c r="Z177" s="125" t="s">
        <v>11</v>
      </c>
      <c r="AA177" s="125" t="s">
        <v>11</v>
      </c>
      <c r="AB177" s="125" t="s">
        <v>11</v>
      </c>
      <c r="AC177" s="132"/>
      <c r="AD177" s="127">
        <f t="shared" si="6"/>
        <v>0</v>
      </c>
      <c r="AE177" s="127">
        <f t="shared" si="7"/>
        <v>0</v>
      </c>
      <c r="AF177" s="127">
        <f t="shared" si="8"/>
        <v>15</v>
      </c>
      <c r="AG177" s="128" t="str" cm="1">
        <f t="array" ref="AG177">_xlfn.IFS(
SUM(AD177:AF177)=0,"Not Started",
SUM(AD177:AF177)&lt;15,"In Progress",
SUM(AD177:AF177)=15,"Completed",
SUM(AD177:AF177)&gt;15,"Error"
)</f>
        <v>Completed</v>
      </c>
    </row>
    <row r="178" spans="1:33" ht="15.5" x14ac:dyDescent="0.25">
      <c r="A178" s="270"/>
      <c r="B178" s="120" t="s">
        <v>225</v>
      </c>
      <c r="C178" s="11" t="s">
        <v>4371</v>
      </c>
      <c r="D178" s="11" t="s">
        <v>4842</v>
      </c>
      <c r="E178" s="11"/>
      <c r="F178" s="129" t="s">
        <v>48</v>
      </c>
      <c r="G178" s="121" t="s">
        <v>40</v>
      </c>
      <c r="H178" s="121" t="s">
        <v>41</v>
      </c>
      <c r="I178" s="7" t="s">
        <v>10537</v>
      </c>
      <c r="J178" s="129" t="s">
        <v>4634</v>
      </c>
      <c r="K178" s="129">
        <v>10041511567</v>
      </c>
      <c r="L178" s="130"/>
      <c r="M178" s="131"/>
      <c r="N178" s="125" t="s">
        <v>11</v>
      </c>
      <c r="O178" s="125" t="s">
        <v>11</v>
      </c>
      <c r="P178" s="125" t="s">
        <v>11</v>
      </c>
      <c r="Q178" s="125" t="s">
        <v>11</v>
      </c>
      <c r="R178" s="125" t="s">
        <v>11</v>
      </c>
      <c r="S178" s="125" t="s">
        <v>11</v>
      </c>
      <c r="T178" s="125" t="s">
        <v>11</v>
      </c>
      <c r="U178" s="125" t="s">
        <v>11</v>
      </c>
      <c r="V178" s="125" t="s">
        <v>11</v>
      </c>
      <c r="W178" s="125" t="s">
        <v>11</v>
      </c>
      <c r="X178" s="125" t="s">
        <v>11</v>
      </c>
      <c r="Y178" s="125" t="s">
        <v>11</v>
      </c>
      <c r="Z178" s="125" t="s">
        <v>11</v>
      </c>
      <c r="AA178" s="125" t="s">
        <v>11</v>
      </c>
      <c r="AB178" s="125" t="s">
        <v>11</v>
      </c>
      <c r="AC178" s="132"/>
      <c r="AD178" s="127">
        <f t="shared" si="6"/>
        <v>0</v>
      </c>
      <c r="AE178" s="127">
        <f t="shared" si="7"/>
        <v>0</v>
      </c>
      <c r="AF178" s="127">
        <f t="shared" si="8"/>
        <v>15</v>
      </c>
      <c r="AG178" s="128" t="str" cm="1">
        <f t="array" ref="AG178">_xlfn.IFS(
SUM(AD178:AF178)=0,"Not Started",
SUM(AD178:AF178)&lt;15,"In Progress",
SUM(AD178:AF178)=15,"Completed",
SUM(AD178:AF178)&gt;15,"Error"
)</f>
        <v>Completed</v>
      </c>
    </row>
    <row r="179" spans="1:33" ht="15.5" x14ac:dyDescent="0.25">
      <c r="A179" s="270"/>
      <c r="B179" s="120" t="s">
        <v>226</v>
      </c>
      <c r="C179" s="11" t="s">
        <v>4372</v>
      </c>
      <c r="D179" s="11" t="s">
        <v>4843</v>
      </c>
      <c r="E179" s="11" t="s">
        <v>47</v>
      </c>
      <c r="F179" s="129" t="s">
        <v>48</v>
      </c>
      <c r="G179" s="121" t="s">
        <v>40</v>
      </c>
      <c r="H179" s="121" t="s">
        <v>41</v>
      </c>
      <c r="I179" s="7" t="s">
        <v>10538</v>
      </c>
      <c r="J179" s="129" t="s">
        <v>4635</v>
      </c>
      <c r="K179" s="129" t="s">
        <v>4636</v>
      </c>
      <c r="L179" s="130"/>
      <c r="M179" s="131"/>
      <c r="N179" s="125" t="s">
        <v>11</v>
      </c>
      <c r="O179" s="125" t="s">
        <v>11</v>
      </c>
      <c r="P179" s="125" t="s">
        <v>11</v>
      </c>
      <c r="Q179" s="125" t="s">
        <v>11</v>
      </c>
      <c r="R179" s="125" t="s">
        <v>11</v>
      </c>
      <c r="S179" s="125" t="s">
        <v>11</v>
      </c>
      <c r="T179" s="125" t="s">
        <v>11</v>
      </c>
      <c r="U179" s="125" t="s">
        <v>11</v>
      </c>
      <c r="V179" s="125" t="s">
        <v>11</v>
      </c>
      <c r="W179" s="125" t="s">
        <v>11</v>
      </c>
      <c r="X179" s="125" t="s">
        <v>11</v>
      </c>
      <c r="Y179" s="125" t="s">
        <v>11</v>
      </c>
      <c r="Z179" s="125" t="s">
        <v>11</v>
      </c>
      <c r="AA179" s="125" t="s">
        <v>11</v>
      </c>
      <c r="AB179" s="125" t="s">
        <v>11</v>
      </c>
      <c r="AC179" s="132"/>
      <c r="AD179" s="127">
        <f t="shared" si="6"/>
        <v>0</v>
      </c>
      <c r="AE179" s="127">
        <f t="shared" si="7"/>
        <v>0</v>
      </c>
      <c r="AF179" s="127">
        <f t="shared" si="8"/>
        <v>15</v>
      </c>
      <c r="AG179" s="128" t="str" cm="1">
        <f t="array" ref="AG179">_xlfn.IFS(
SUM(AD179:AF179)=0,"Not Started",
SUM(AD179:AF179)&lt;15,"In Progress",
SUM(AD179:AF179)=15,"Completed",
SUM(AD179:AF179)&gt;15,"Error"
)</f>
        <v>Completed</v>
      </c>
    </row>
    <row r="180" spans="1:33" ht="15.5" x14ac:dyDescent="0.25">
      <c r="A180" s="270"/>
      <c r="B180" s="120" t="s">
        <v>227</v>
      </c>
      <c r="C180" s="11" t="s">
        <v>4373</v>
      </c>
      <c r="D180" s="11" t="s">
        <v>4844</v>
      </c>
      <c r="E180" s="11" t="s">
        <v>51</v>
      </c>
      <c r="F180" s="129" t="s">
        <v>48</v>
      </c>
      <c r="G180" s="121" t="s">
        <v>40</v>
      </c>
      <c r="H180" s="121" t="s">
        <v>41</v>
      </c>
      <c r="I180" s="7" t="s">
        <v>10539</v>
      </c>
      <c r="J180" s="129" t="s">
        <v>4637</v>
      </c>
      <c r="K180" s="129" t="s">
        <v>4638</v>
      </c>
      <c r="L180" s="130"/>
      <c r="M180" s="131"/>
      <c r="N180" s="125" t="s">
        <v>11</v>
      </c>
      <c r="O180" s="125" t="s">
        <v>11</v>
      </c>
      <c r="P180" s="125" t="s">
        <v>11</v>
      </c>
      <c r="Q180" s="125" t="s">
        <v>11</v>
      </c>
      <c r="R180" s="125" t="s">
        <v>11</v>
      </c>
      <c r="S180" s="125" t="s">
        <v>11</v>
      </c>
      <c r="T180" s="125" t="s">
        <v>11</v>
      </c>
      <c r="U180" s="125" t="s">
        <v>11</v>
      </c>
      <c r="V180" s="125" t="s">
        <v>11</v>
      </c>
      <c r="W180" s="125" t="s">
        <v>11</v>
      </c>
      <c r="X180" s="125" t="s">
        <v>11</v>
      </c>
      <c r="Y180" s="125" t="s">
        <v>11</v>
      </c>
      <c r="Z180" s="125" t="s">
        <v>11</v>
      </c>
      <c r="AA180" s="125" t="s">
        <v>11</v>
      </c>
      <c r="AB180" s="125" t="s">
        <v>11</v>
      </c>
      <c r="AC180" s="132"/>
      <c r="AD180" s="127">
        <f t="shared" si="6"/>
        <v>0</v>
      </c>
      <c r="AE180" s="127">
        <f t="shared" si="7"/>
        <v>0</v>
      </c>
      <c r="AF180" s="127">
        <f t="shared" si="8"/>
        <v>15</v>
      </c>
      <c r="AG180" s="128" t="str" cm="1">
        <f t="array" ref="AG180">_xlfn.IFS(
SUM(AD180:AF180)=0,"Not Started",
SUM(AD180:AF180)&lt;15,"In Progress",
SUM(AD180:AF180)=15,"Completed",
SUM(AD180:AF180)&gt;15,"Error"
)</f>
        <v>Completed</v>
      </c>
    </row>
    <row r="181" spans="1:33" ht="15.5" x14ac:dyDescent="0.25">
      <c r="A181" s="270"/>
      <c r="B181" s="120" t="s">
        <v>228</v>
      </c>
      <c r="C181" s="11" t="s">
        <v>4374</v>
      </c>
      <c r="D181" s="11" t="s">
        <v>4845</v>
      </c>
      <c r="E181" s="11" t="s">
        <v>47</v>
      </c>
      <c r="F181" s="129" t="s">
        <v>48</v>
      </c>
      <c r="G181" s="121" t="s">
        <v>40</v>
      </c>
      <c r="H181" s="121" t="s">
        <v>41</v>
      </c>
      <c r="I181" s="7" t="s">
        <v>10540</v>
      </c>
      <c r="J181" s="129" t="s">
        <v>4639</v>
      </c>
      <c r="K181" s="129" t="s">
        <v>4640</v>
      </c>
      <c r="L181" s="130"/>
      <c r="M181" s="131"/>
      <c r="N181" s="125" t="s">
        <v>11</v>
      </c>
      <c r="O181" s="125" t="s">
        <v>11</v>
      </c>
      <c r="P181" s="125" t="s">
        <v>11</v>
      </c>
      <c r="Q181" s="125" t="s">
        <v>11</v>
      </c>
      <c r="R181" s="125" t="s">
        <v>11</v>
      </c>
      <c r="S181" s="125" t="s">
        <v>11</v>
      </c>
      <c r="T181" s="125" t="s">
        <v>11</v>
      </c>
      <c r="U181" s="125" t="s">
        <v>11</v>
      </c>
      <c r="V181" s="125" t="s">
        <v>11</v>
      </c>
      <c r="W181" s="125" t="s">
        <v>11</v>
      </c>
      <c r="X181" s="125" t="s">
        <v>11</v>
      </c>
      <c r="Y181" s="125" t="s">
        <v>11</v>
      </c>
      <c r="Z181" s="125" t="s">
        <v>11</v>
      </c>
      <c r="AA181" s="125" t="s">
        <v>11</v>
      </c>
      <c r="AB181" s="125" t="s">
        <v>11</v>
      </c>
      <c r="AC181" s="132"/>
      <c r="AD181" s="127">
        <f t="shared" si="6"/>
        <v>0</v>
      </c>
      <c r="AE181" s="127">
        <f t="shared" si="7"/>
        <v>0</v>
      </c>
      <c r="AF181" s="127">
        <f t="shared" si="8"/>
        <v>15</v>
      </c>
      <c r="AG181" s="128" t="str" cm="1">
        <f t="array" ref="AG181">_xlfn.IFS(
SUM(AD181:AF181)=0,"Not Started",
SUM(AD181:AF181)&lt;15,"In Progress",
SUM(AD181:AF181)=15,"Completed",
SUM(AD181:AF181)&gt;15,"Error"
)</f>
        <v>Completed</v>
      </c>
    </row>
    <row r="182" spans="1:33" ht="15.5" x14ac:dyDescent="0.25">
      <c r="A182" s="270"/>
      <c r="B182" s="120" t="s">
        <v>229</v>
      </c>
      <c r="C182" s="11" t="s">
        <v>4375</v>
      </c>
      <c r="D182" s="11" t="s">
        <v>4846</v>
      </c>
      <c r="E182" s="11" t="s">
        <v>43</v>
      </c>
      <c r="F182" s="129" t="s">
        <v>48</v>
      </c>
      <c r="G182" s="121" t="s">
        <v>40</v>
      </c>
      <c r="H182" s="121" t="s">
        <v>41</v>
      </c>
      <c r="I182" s="7" t="s">
        <v>10541</v>
      </c>
      <c r="J182" s="129" t="s">
        <v>4641</v>
      </c>
      <c r="K182" s="129">
        <v>10041920343</v>
      </c>
      <c r="L182" s="130"/>
      <c r="M182" s="131"/>
      <c r="N182" s="125" t="s">
        <v>11</v>
      </c>
      <c r="O182" s="125" t="s">
        <v>11</v>
      </c>
      <c r="P182" s="125" t="s">
        <v>11</v>
      </c>
      <c r="Q182" s="125" t="s">
        <v>11</v>
      </c>
      <c r="R182" s="125" t="s">
        <v>11</v>
      </c>
      <c r="S182" s="125" t="s">
        <v>11</v>
      </c>
      <c r="T182" s="125" t="s">
        <v>11</v>
      </c>
      <c r="U182" s="125" t="s">
        <v>11</v>
      </c>
      <c r="V182" s="125" t="s">
        <v>11</v>
      </c>
      <c r="W182" s="125" t="s">
        <v>11</v>
      </c>
      <c r="X182" s="125" t="s">
        <v>11</v>
      </c>
      <c r="Y182" s="125" t="s">
        <v>11</v>
      </c>
      <c r="Z182" s="125" t="s">
        <v>11</v>
      </c>
      <c r="AA182" s="125" t="s">
        <v>11</v>
      </c>
      <c r="AB182" s="125" t="s">
        <v>11</v>
      </c>
      <c r="AC182" s="132"/>
      <c r="AD182" s="127">
        <f t="shared" si="6"/>
        <v>0</v>
      </c>
      <c r="AE182" s="127">
        <f t="shared" si="7"/>
        <v>0</v>
      </c>
      <c r="AF182" s="127">
        <f t="shared" si="8"/>
        <v>15</v>
      </c>
      <c r="AG182" s="128" t="str" cm="1">
        <f t="array" ref="AG182">_xlfn.IFS(
SUM(AD182:AF182)=0,"Not Started",
SUM(AD182:AF182)&lt;15,"In Progress",
SUM(AD182:AF182)=15,"Completed",
SUM(AD182:AF182)&gt;15,"Error"
)</f>
        <v>Completed</v>
      </c>
    </row>
    <row r="183" spans="1:33" ht="15.5" x14ac:dyDescent="0.25">
      <c r="A183" s="270"/>
      <c r="B183" s="120" t="s">
        <v>230</v>
      </c>
      <c r="C183" s="11" t="s">
        <v>4376</v>
      </c>
      <c r="D183" s="11" t="s">
        <v>4847</v>
      </c>
      <c r="E183" s="11" t="s">
        <v>43</v>
      </c>
      <c r="F183" s="129" t="s">
        <v>48</v>
      </c>
      <c r="G183" s="121" t="s">
        <v>40</v>
      </c>
      <c r="H183" s="121" t="s">
        <v>41</v>
      </c>
      <c r="I183" s="7" t="s">
        <v>10542</v>
      </c>
      <c r="J183" s="129" t="s">
        <v>4642</v>
      </c>
      <c r="K183" s="129" t="s">
        <v>4643</v>
      </c>
      <c r="L183" s="130"/>
      <c r="M183" s="131"/>
      <c r="N183" s="125" t="s">
        <v>11</v>
      </c>
      <c r="O183" s="125" t="s">
        <v>11</v>
      </c>
      <c r="P183" s="125" t="s">
        <v>11</v>
      </c>
      <c r="Q183" s="125" t="s">
        <v>11</v>
      </c>
      <c r="R183" s="125" t="s">
        <v>11</v>
      </c>
      <c r="S183" s="125" t="s">
        <v>11</v>
      </c>
      <c r="T183" s="125" t="s">
        <v>11</v>
      </c>
      <c r="U183" s="125" t="s">
        <v>11</v>
      </c>
      <c r="V183" s="125" t="s">
        <v>11</v>
      </c>
      <c r="W183" s="125" t="s">
        <v>11</v>
      </c>
      <c r="X183" s="125" t="s">
        <v>11</v>
      </c>
      <c r="Y183" s="125" t="s">
        <v>11</v>
      </c>
      <c r="Z183" s="125" t="s">
        <v>11</v>
      </c>
      <c r="AA183" s="125" t="s">
        <v>11</v>
      </c>
      <c r="AB183" s="125" t="s">
        <v>11</v>
      </c>
      <c r="AC183" s="132"/>
      <c r="AD183" s="127">
        <f t="shared" si="6"/>
        <v>0</v>
      </c>
      <c r="AE183" s="127">
        <f t="shared" si="7"/>
        <v>0</v>
      </c>
      <c r="AF183" s="127">
        <f t="shared" si="8"/>
        <v>15</v>
      </c>
      <c r="AG183" s="128" t="str" cm="1">
        <f t="array" ref="AG183">_xlfn.IFS(
SUM(AD183:AF183)=0,"Not Started",
SUM(AD183:AF183)&lt;15,"In Progress",
SUM(AD183:AF183)=15,"Completed",
SUM(AD183:AF183)&gt;15,"Error"
)</f>
        <v>Completed</v>
      </c>
    </row>
    <row r="184" spans="1:33" ht="15.5" x14ac:dyDescent="0.25">
      <c r="A184" s="270"/>
      <c r="B184" s="120" t="s">
        <v>231</v>
      </c>
      <c r="C184" s="11" t="s">
        <v>4377</v>
      </c>
      <c r="D184" s="11" t="s">
        <v>4848</v>
      </c>
      <c r="E184" s="11" t="s">
        <v>43</v>
      </c>
      <c r="F184" s="129"/>
      <c r="G184" s="121" t="s">
        <v>40</v>
      </c>
      <c r="H184" s="121" t="s">
        <v>41</v>
      </c>
      <c r="I184" s="7" t="s">
        <v>10543</v>
      </c>
      <c r="J184" s="129" t="s">
        <v>4644</v>
      </c>
      <c r="K184" s="129" t="s">
        <v>4645</v>
      </c>
      <c r="L184" s="130"/>
      <c r="M184" s="131"/>
      <c r="N184" s="125" t="s">
        <v>11</v>
      </c>
      <c r="O184" s="125" t="s">
        <v>11</v>
      </c>
      <c r="P184" s="125" t="s">
        <v>11</v>
      </c>
      <c r="Q184" s="125" t="s">
        <v>11</v>
      </c>
      <c r="R184" s="125" t="s">
        <v>11</v>
      </c>
      <c r="S184" s="125" t="s">
        <v>11</v>
      </c>
      <c r="T184" s="125" t="s">
        <v>11</v>
      </c>
      <c r="U184" s="125" t="s">
        <v>11</v>
      </c>
      <c r="V184" s="125" t="s">
        <v>11</v>
      </c>
      <c r="W184" s="125" t="s">
        <v>11</v>
      </c>
      <c r="X184" s="125" t="s">
        <v>11</v>
      </c>
      <c r="Y184" s="125" t="s">
        <v>11</v>
      </c>
      <c r="Z184" s="125" t="s">
        <v>11</v>
      </c>
      <c r="AA184" s="125" t="s">
        <v>11</v>
      </c>
      <c r="AB184" s="125" t="s">
        <v>11</v>
      </c>
      <c r="AC184" s="132"/>
      <c r="AD184" s="127">
        <f t="shared" si="6"/>
        <v>0</v>
      </c>
      <c r="AE184" s="127">
        <f t="shared" si="7"/>
        <v>0</v>
      </c>
      <c r="AF184" s="127">
        <f t="shared" si="8"/>
        <v>15</v>
      </c>
      <c r="AG184" s="128" t="str" cm="1">
        <f t="array" ref="AG184">_xlfn.IFS(
SUM(AD184:AF184)=0,"Not Started",
SUM(AD184:AF184)&lt;15,"In Progress",
SUM(AD184:AF184)=15,"Completed",
SUM(AD184:AF184)&gt;15,"Error"
)</f>
        <v>Completed</v>
      </c>
    </row>
    <row r="185" spans="1:33" ht="15.5" x14ac:dyDescent="0.25">
      <c r="A185" s="270"/>
      <c r="B185" s="120" t="s">
        <v>232</v>
      </c>
      <c r="C185" s="11" t="s">
        <v>4378</v>
      </c>
      <c r="D185" s="11" t="s">
        <v>4849</v>
      </c>
      <c r="E185" s="11" t="s">
        <v>43</v>
      </c>
      <c r="F185" s="129"/>
      <c r="G185" s="121" t="s">
        <v>40</v>
      </c>
      <c r="H185" s="121" t="s">
        <v>41</v>
      </c>
      <c r="I185" s="7" t="s">
        <v>10544</v>
      </c>
      <c r="J185" s="129" t="s">
        <v>4646</v>
      </c>
      <c r="K185" s="129" t="s">
        <v>4647</v>
      </c>
      <c r="L185" s="130"/>
      <c r="M185" s="131"/>
      <c r="N185" s="125" t="s">
        <v>11</v>
      </c>
      <c r="O185" s="125" t="s">
        <v>11</v>
      </c>
      <c r="P185" s="125" t="s">
        <v>11</v>
      </c>
      <c r="Q185" s="125" t="s">
        <v>11</v>
      </c>
      <c r="R185" s="125" t="s">
        <v>11</v>
      </c>
      <c r="S185" s="125" t="s">
        <v>11</v>
      </c>
      <c r="T185" s="125" t="s">
        <v>11</v>
      </c>
      <c r="U185" s="125" t="s">
        <v>11</v>
      </c>
      <c r="V185" s="125" t="s">
        <v>11</v>
      </c>
      <c r="W185" s="125" t="s">
        <v>11</v>
      </c>
      <c r="X185" s="125" t="s">
        <v>11</v>
      </c>
      <c r="Y185" s="125" t="s">
        <v>11</v>
      </c>
      <c r="Z185" s="125" t="s">
        <v>11</v>
      </c>
      <c r="AA185" s="125" t="s">
        <v>11</v>
      </c>
      <c r="AB185" s="125" t="s">
        <v>11</v>
      </c>
      <c r="AC185" s="132"/>
      <c r="AD185" s="127">
        <f t="shared" si="6"/>
        <v>0</v>
      </c>
      <c r="AE185" s="127">
        <f t="shared" si="7"/>
        <v>0</v>
      </c>
      <c r="AF185" s="127">
        <f t="shared" si="8"/>
        <v>15</v>
      </c>
      <c r="AG185" s="128" t="str" cm="1">
        <f t="array" ref="AG185">_xlfn.IFS(
SUM(AD185:AF185)=0,"Not Started",
SUM(AD185:AF185)&lt;15,"In Progress",
SUM(AD185:AF185)=15,"Completed",
SUM(AD185:AF185)&gt;15,"Error"
)</f>
        <v>Completed</v>
      </c>
    </row>
    <row r="186" spans="1:33" ht="15.5" x14ac:dyDescent="0.25">
      <c r="A186" s="270"/>
      <c r="B186" s="120" t="s">
        <v>233</v>
      </c>
      <c r="C186" s="11" t="s">
        <v>4379</v>
      </c>
      <c r="D186" s="11" t="s">
        <v>4850</v>
      </c>
      <c r="E186" s="11" t="s">
        <v>43</v>
      </c>
      <c r="F186" s="129"/>
      <c r="G186" s="121" t="s">
        <v>40</v>
      </c>
      <c r="H186" s="121" t="s">
        <v>41</v>
      </c>
      <c r="I186" s="7" t="s">
        <v>10545</v>
      </c>
      <c r="J186" s="129" t="s">
        <v>4648</v>
      </c>
      <c r="K186" s="129" t="s">
        <v>4649</v>
      </c>
      <c r="L186" s="130"/>
      <c r="M186" s="131"/>
      <c r="N186" s="125" t="s">
        <v>11</v>
      </c>
      <c r="O186" s="125" t="s">
        <v>11</v>
      </c>
      <c r="P186" s="125" t="s">
        <v>11</v>
      </c>
      <c r="Q186" s="125" t="s">
        <v>11</v>
      </c>
      <c r="R186" s="125" t="s">
        <v>11</v>
      </c>
      <c r="S186" s="125" t="s">
        <v>11</v>
      </c>
      <c r="T186" s="125" t="s">
        <v>11</v>
      </c>
      <c r="U186" s="125" t="s">
        <v>11</v>
      </c>
      <c r="V186" s="125" t="s">
        <v>11</v>
      </c>
      <c r="W186" s="125" t="s">
        <v>11</v>
      </c>
      <c r="X186" s="125" t="s">
        <v>11</v>
      </c>
      <c r="Y186" s="125" t="s">
        <v>11</v>
      </c>
      <c r="Z186" s="125" t="s">
        <v>11</v>
      </c>
      <c r="AA186" s="125" t="s">
        <v>11</v>
      </c>
      <c r="AB186" s="125" t="s">
        <v>11</v>
      </c>
      <c r="AC186" s="132"/>
      <c r="AD186" s="127">
        <f t="shared" si="6"/>
        <v>0</v>
      </c>
      <c r="AE186" s="127">
        <f t="shared" si="7"/>
        <v>0</v>
      </c>
      <c r="AF186" s="127">
        <f t="shared" si="8"/>
        <v>15</v>
      </c>
      <c r="AG186" s="128" t="str" cm="1">
        <f t="array" ref="AG186">_xlfn.IFS(
SUM(AD186:AF186)=0,"Not Started",
SUM(AD186:AF186)&lt;15,"In Progress",
SUM(AD186:AF186)=15,"Completed",
SUM(AD186:AF186)&gt;15,"Error"
)</f>
        <v>Completed</v>
      </c>
    </row>
    <row r="187" spans="1:33" ht="15.5" x14ac:dyDescent="0.25">
      <c r="A187" s="270"/>
      <c r="B187" s="120" t="s">
        <v>234</v>
      </c>
      <c r="C187" s="11" t="s">
        <v>4380</v>
      </c>
      <c r="D187" s="11" t="s">
        <v>4851</v>
      </c>
      <c r="E187" s="11" t="s">
        <v>43</v>
      </c>
      <c r="F187" s="129"/>
      <c r="G187" s="121" t="s">
        <v>40</v>
      </c>
      <c r="H187" s="121" t="s">
        <v>41</v>
      </c>
      <c r="I187" s="7" t="s">
        <v>10546</v>
      </c>
      <c r="J187" s="129" t="s">
        <v>4650</v>
      </c>
      <c r="K187" s="129">
        <v>10041988724</v>
      </c>
      <c r="L187" s="130"/>
      <c r="M187" s="131"/>
      <c r="N187" s="125" t="s">
        <v>11</v>
      </c>
      <c r="O187" s="125" t="s">
        <v>11</v>
      </c>
      <c r="P187" s="125" t="s">
        <v>11</v>
      </c>
      <c r="Q187" s="125" t="s">
        <v>11</v>
      </c>
      <c r="R187" s="125" t="s">
        <v>11</v>
      </c>
      <c r="S187" s="125" t="s">
        <v>11</v>
      </c>
      <c r="T187" s="125" t="s">
        <v>11</v>
      </c>
      <c r="U187" s="125" t="s">
        <v>11</v>
      </c>
      <c r="V187" s="125" t="s">
        <v>11</v>
      </c>
      <c r="W187" s="125" t="s">
        <v>11</v>
      </c>
      <c r="X187" s="125" t="s">
        <v>11</v>
      </c>
      <c r="Y187" s="125" t="s">
        <v>11</v>
      </c>
      <c r="Z187" s="125" t="s">
        <v>11</v>
      </c>
      <c r="AA187" s="125" t="s">
        <v>11</v>
      </c>
      <c r="AB187" s="125" t="s">
        <v>11</v>
      </c>
      <c r="AC187" s="132"/>
      <c r="AD187" s="127">
        <f t="shared" si="6"/>
        <v>0</v>
      </c>
      <c r="AE187" s="127">
        <f t="shared" si="7"/>
        <v>0</v>
      </c>
      <c r="AF187" s="127">
        <f t="shared" si="8"/>
        <v>15</v>
      </c>
      <c r="AG187" s="128" t="str" cm="1">
        <f t="array" ref="AG187">_xlfn.IFS(
SUM(AD187:AF187)=0,"Not Started",
SUM(AD187:AF187)&lt;15,"In Progress",
SUM(AD187:AF187)=15,"Completed",
SUM(AD187:AF187)&gt;15,"Error"
)</f>
        <v>Completed</v>
      </c>
    </row>
    <row r="188" spans="1:33" ht="15.5" x14ac:dyDescent="0.25">
      <c r="A188" s="270"/>
      <c r="B188" s="120" t="s">
        <v>235</v>
      </c>
      <c r="C188" s="11" t="s">
        <v>4381</v>
      </c>
      <c r="D188" s="11" t="s">
        <v>4852</v>
      </c>
      <c r="E188" s="11" t="s">
        <v>43</v>
      </c>
      <c r="F188" s="129"/>
      <c r="G188" s="121" t="s">
        <v>40</v>
      </c>
      <c r="H188" s="121" t="s">
        <v>41</v>
      </c>
      <c r="I188" s="7" t="s">
        <v>10547</v>
      </c>
      <c r="J188" s="129" t="s">
        <v>4651</v>
      </c>
      <c r="K188" s="129" t="s">
        <v>4652</v>
      </c>
      <c r="L188" s="130"/>
      <c r="M188" s="131"/>
      <c r="N188" s="125" t="s">
        <v>11</v>
      </c>
      <c r="O188" s="125" t="s">
        <v>11</v>
      </c>
      <c r="P188" s="125" t="s">
        <v>11</v>
      </c>
      <c r="Q188" s="125" t="s">
        <v>11</v>
      </c>
      <c r="R188" s="125" t="s">
        <v>11</v>
      </c>
      <c r="S188" s="125" t="s">
        <v>11</v>
      </c>
      <c r="T188" s="125" t="s">
        <v>11</v>
      </c>
      <c r="U188" s="125" t="s">
        <v>11</v>
      </c>
      <c r="V188" s="125" t="s">
        <v>11</v>
      </c>
      <c r="W188" s="125" t="s">
        <v>11</v>
      </c>
      <c r="X188" s="125" t="s">
        <v>11</v>
      </c>
      <c r="Y188" s="125" t="s">
        <v>11</v>
      </c>
      <c r="Z188" s="125" t="s">
        <v>11</v>
      </c>
      <c r="AA188" s="125" t="s">
        <v>11</v>
      </c>
      <c r="AB188" s="125" t="s">
        <v>11</v>
      </c>
      <c r="AC188" s="132"/>
      <c r="AD188" s="127">
        <f t="shared" si="6"/>
        <v>0</v>
      </c>
      <c r="AE188" s="127">
        <f t="shared" si="7"/>
        <v>0</v>
      </c>
      <c r="AF188" s="127">
        <f t="shared" si="8"/>
        <v>15</v>
      </c>
      <c r="AG188" s="128" t="str" cm="1">
        <f t="array" ref="AG188">_xlfn.IFS(
SUM(AD188:AF188)=0,"Not Started",
SUM(AD188:AF188)&lt;15,"In Progress",
SUM(AD188:AF188)=15,"Completed",
SUM(AD188:AF188)&gt;15,"Error"
)</f>
        <v>Completed</v>
      </c>
    </row>
    <row r="189" spans="1:33" ht="15.5" x14ac:dyDescent="0.25">
      <c r="A189" s="270"/>
      <c r="B189" s="120" t="s">
        <v>236</v>
      </c>
      <c r="C189" s="11" t="s">
        <v>4382</v>
      </c>
      <c r="D189" s="11" t="s">
        <v>4853</v>
      </c>
      <c r="E189" s="11" t="s">
        <v>47</v>
      </c>
      <c r="F189" s="129"/>
      <c r="G189" s="121" t="s">
        <v>40</v>
      </c>
      <c r="H189" s="121" t="s">
        <v>41</v>
      </c>
      <c r="I189" s="7" t="s">
        <v>10548</v>
      </c>
      <c r="J189" s="129" t="s">
        <v>4653</v>
      </c>
      <c r="K189" s="129" t="s">
        <v>4654</v>
      </c>
      <c r="L189" s="130"/>
      <c r="M189" s="131"/>
      <c r="N189" s="125" t="s">
        <v>11</v>
      </c>
      <c r="O189" s="125" t="s">
        <v>11</v>
      </c>
      <c r="P189" s="125" t="s">
        <v>11</v>
      </c>
      <c r="Q189" s="125" t="s">
        <v>11</v>
      </c>
      <c r="R189" s="125" t="s">
        <v>11</v>
      </c>
      <c r="S189" s="125" t="s">
        <v>11</v>
      </c>
      <c r="T189" s="125" t="s">
        <v>11</v>
      </c>
      <c r="U189" s="125" t="s">
        <v>11</v>
      </c>
      <c r="V189" s="125" t="s">
        <v>11</v>
      </c>
      <c r="W189" s="125" t="s">
        <v>11</v>
      </c>
      <c r="X189" s="125" t="s">
        <v>11</v>
      </c>
      <c r="Y189" s="125" t="s">
        <v>11</v>
      </c>
      <c r="Z189" s="125" t="s">
        <v>11</v>
      </c>
      <c r="AA189" s="125" t="s">
        <v>11</v>
      </c>
      <c r="AB189" s="125" t="s">
        <v>11</v>
      </c>
      <c r="AC189" s="132"/>
      <c r="AD189" s="127">
        <f t="shared" si="6"/>
        <v>0</v>
      </c>
      <c r="AE189" s="127">
        <f t="shared" si="7"/>
        <v>0</v>
      </c>
      <c r="AF189" s="127">
        <f t="shared" si="8"/>
        <v>15</v>
      </c>
      <c r="AG189" s="128" t="str" cm="1">
        <f t="array" ref="AG189">_xlfn.IFS(
SUM(AD189:AF189)=0,"Not Started",
SUM(AD189:AF189)&lt;15,"In Progress",
SUM(AD189:AF189)=15,"Completed",
SUM(AD189:AF189)&gt;15,"Error"
)</f>
        <v>Completed</v>
      </c>
    </row>
    <row r="190" spans="1:33" ht="15.5" x14ac:dyDescent="0.25">
      <c r="A190" s="270"/>
      <c r="B190" s="120" t="s">
        <v>237</v>
      </c>
      <c r="C190" s="11" t="s">
        <v>4383</v>
      </c>
      <c r="D190" s="11" t="s">
        <v>4854</v>
      </c>
      <c r="E190" s="11"/>
      <c r="F190" s="129"/>
      <c r="G190" s="121" t="s">
        <v>40</v>
      </c>
      <c r="H190" s="121" t="s">
        <v>41</v>
      </c>
      <c r="I190" s="7" t="s">
        <v>10549</v>
      </c>
      <c r="J190" s="129" t="s">
        <v>4655</v>
      </c>
      <c r="K190" s="129">
        <v>10041778899</v>
      </c>
      <c r="L190" s="130"/>
      <c r="M190" s="131"/>
      <c r="N190" s="125" t="s">
        <v>11</v>
      </c>
      <c r="O190" s="125" t="s">
        <v>11</v>
      </c>
      <c r="P190" s="125" t="s">
        <v>11</v>
      </c>
      <c r="Q190" s="125" t="s">
        <v>11</v>
      </c>
      <c r="R190" s="125" t="s">
        <v>11</v>
      </c>
      <c r="S190" s="125" t="s">
        <v>11</v>
      </c>
      <c r="T190" s="125" t="s">
        <v>11</v>
      </c>
      <c r="U190" s="125" t="s">
        <v>11</v>
      </c>
      <c r="V190" s="125" t="s">
        <v>11</v>
      </c>
      <c r="W190" s="125" t="s">
        <v>11</v>
      </c>
      <c r="X190" s="125" t="s">
        <v>11</v>
      </c>
      <c r="Y190" s="125" t="s">
        <v>11</v>
      </c>
      <c r="Z190" s="125" t="s">
        <v>11</v>
      </c>
      <c r="AA190" s="125" t="s">
        <v>11</v>
      </c>
      <c r="AB190" s="125" t="s">
        <v>11</v>
      </c>
      <c r="AC190" s="132"/>
      <c r="AD190" s="127">
        <f t="shared" si="6"/>
        <v>0</v>
      </c>
      <c r="AE190" s="127">
        <f t="shared" si="7"/>
        <v>0</v>
      </c>
      <c r="AF190" s="127">
        <f t="shared" si="8"/>
        <v>15</v>
      </c>
      <c r="AG190" s="128" t="str" cm="1">
        <f t="array" ref="AG190">_xlfn.IFS(
SUM(AD190:AF190)=0,"Not Started",
SUM(AD190:AF190)&lt;15,"In Progress",
SUM(AD190:AF190)=15,"Completed",
SUM(AD190:AF190)&gt;15,"Error"
)</f>
        <v>Completed</v>
      </c>
    </row>
    <row r="191" spans="1:33" ht="15.5" x14ac:dyDescent="0.25">
      <c r="A191" s="270"/>
      <c r="B191" s="120" t="s">
        <v>238</v>
      </c>
      <c r="C191" s="11" t="s">
        <v>4384</v>
      </c>
      <c r="D191" s="11" t="s">
        <v>4855</v>
      </c>
      <c r="E191" s="11" t="s">
        <v>51</v>
      </c>
      <c r="F191" s="129"/>
      <c r="G191" s="121" t="s">
        <v>40</v>
      </c>
      <c r="H191" s="121" t="s">
        <v>41</v>
      </c>
      <c r="I191" s="7" t="s">
        <v>10550</v>
      </c>
      <c r="J191" s="129" t="s">
        <v>4656</v>
      </c>
      <c r="K191" s="129">
        <v>10041865742</v>
      </c>
      <c r="L191" s="130"/>
      <c r="M191" s="131"/>
      <c r="N191" s="125" t="s">
        <v>11</v>
      </c>
      <c r="O191" s="125" t="s">
        <v>11</v>
      </c>
      <c r="P191" s="125" t="s">
        <v>11</v>
      </c>
      <c r="Q191" s="125" t="s">
        <v>11</v>
      </c>
      <c r="R191" s="125" t="s">
        <v>11</v>
      </c>
      <c r="S191" s="125" t="s">
        <v>11</v>
      </c>
      <c r="T191" s="125" t="s">
        <v>11</v>
      </c>
      <c r="U191" s="125" t="s">
        <v>11</v>
      </c>
      <c r="V191" s="125" t="s">
        <v>11</v>
      </c>
      <c r="W191" s="125" t="s">
        <v>11</v>
      </c>
      <c r="X191" s="125" t="s">
        <v>11</v>
      </c>
      <c r="Y191" s="125" t="s">
        <v>11</v>
      </c>
      <c r="Z191" s="125" t="s">
        <v>11</v>
      </c>
      <c r="AA191" s="125" t="s">
        <v>11</v>
      </c>
      <c r="AB191" s="125" t="s">
        <v>11</v>
      </c>
      <c r="AC191" s="132"/>
      <c r="AD191" s="127">
        <f t="shared" si="6"/>
        <v>0</v>
      </c>
      <c r="AE191" s="127">
        <f t="shared" si="7"/>
        <v>0</v>
      </c>
      <c r="AF191" s="127">
        <f t="shared" si="8"/>
        <v>15</v>
      </c>
      <c r="AG191" s="128" t="str" cm="1">
        <f t="array" ref="AG191">_xlfn.IFS(
SUM(AD191:AF191)=0,"Not Started",
SUM(AD191:AF191)&lt;15,"In Progress",
SUM(AD191:AF191)=15,"Completed",
SUM(AD191:AF191)&gt;15,"Error"
)</f>
        <v>Completed</v>
      </c>
    </row>
    <row r="192" spans="1:33" ht="15.5" x14ac:dyDescent="0.25">
      <c r="A192" s="270"/>
      <c r="B192" s="120" t="s">
        <v>239</v>
      </c>
      <c r="C192" s="11" t="s">
        <v>4385</v>
      </c>
      <c r="D192" s="11" t="s">
        <v>4856</v>
      </c>
      <c r="E192" s="11" t="s">
        <v>51</v>
      </c>
      <c r="F192" s="129"/>
      <c r="G192" s="121" t="s">
        <v>40</v>
      </c>
      <c r="H192" s="121" t="s">
        <v>41</v>
      </c>
      <c r="I192" s="7" t="s">
        <v>10551</v>
      </c>
      <c r="J192" s="129" t="s">
        <v>4657</v>
      </c>
      <c r="K192" s="129">
        <v>10106559258</v>
      </c>
      <c r="L192" s="130"/>
      <c r="M192" s="131"/>
      <c r="N192" s="125" t="s">
        <v>11</v>
      </c>
      <c r="O192" s="125" t="s">
        <v>11</v>
      </c>
      <c r="P192" s="125" t="s">
        <v>11</v>
      </c>
      <c r="Q192" s="125" t="s">
        <v>11</v>
      </c>
      <c r="R192" s="125" t="s">
        <v>11</v>
      </c>
      <c r="S192" s="125" t="s">
        <v>11</v>
      </c>
      <c r="T192" s="125" t="s">
        <v>11</v>
      </c>
      <c r="U192" s="125" t="s">
        <v>11</v>
      </c>
      <c r="V192" s="125" t="s">
        <v>11</v>
      </c>
      <c r="W192" s="125" t="s">
        <v>11</v>
      </c>
      <c r="X192" s="125" t="s">
        <v>11</v>
      </c>
      <c r="Y192" s="125" t="s">
        <v>11</v>
      </c>
      <c r="Z192" s="125" t="s">
        <v>11</v>
      </c>
      <c r="AA192" s="125" t="s">
        <v>11</v>
      </c>
      <c r="AB192" s="125" t="s">
        <v>11</v>
      </c>
      <c r="AC192" s="132"/>
      <c r="AD192" s="127">
        <f t="shared" si="6"/>
        <v>0</v>
      </c>
      <c r="AE192" s="127">
        <f t="shared" si="7"/>
        <v>0</v>
      </c>
      <c r="AF192" s="127">
        <f t="shared" si="8"/>
        <v>15</v>
      </c>
      <c r="AG192" s="128" t="str" cm="1">
        <f t="array" ref="AG192">_xlfn.IFS(
SUM(AD192:AF192)=0,"Not Started",
SUM(AD192:AF192)&lt;15,"In Progress",
SUM(AD192:AF192)=15,"Completed",
SUM(AD192:AF192)&gt;15,"Error"
)</f>
        <v>Completed</v>
      </c>
    </row>
    <row r="193" spans="1:33" ht="15.5" x14ac:dyDescent="0.25">
      <c r="A193" s="270"/>
      <c r="B193" s="120" t="s">
        <v>240</v>
      </c>
      <c r="C193" s="11" t="s">
        <v>4386</v>
      </c>
      <c r="D193" s="11" t="s">
        <v>4857</v>
      </c>
      <c r="E193" s="11" t="s">
        <v>51</v>
      </c>
      <c r="F193" s="129"/>
      <c r="G193" s="121" t="s">
        <v>40</v>
      </c>
      <c r="H193" s="121" t="s">
        <v>41</v>
      </c>
      <c r="I193" s="7" t="s">
        <v>10552</v>
      </c>
      <c r="J193" s="129" t="s">
        <v>4658</v>
      </c>
      <c r="K193" s="129">
        <v>10104426010</v>
      </c>
      <c r="L193" s="130"/>
      <c r="M193" s="131"/>
      <c r="N193" s="125" t="s">
        <v>11</v>
      </c>
      <c r="O193" s="125" t="s">
        <v>11</v>
      </c>
      <c r="P193" s="125" t="s">
        <v>11</v>
      </c>
      <c r="Q193" s="125" t="s">
        <v>11</v>
      </c>
      <c r="R193" s="125" t="s">
        <v>11</v>
      </c>
      <c r="S193" s="125" t="s">
        <v>11</v>
      </c>
      <c r="T193" s="125" t="s">
        <v>11</v>
      </c>
      <c r="U193" s="125" t="s">
        <v>11</v>
      </c>
      <c r="V193" s="125" t="s">
        <v>11</v>
      </c>
      <c r="W193" s="125" t="s">
        <v>11</v>
      </c>
      <c r="X193" s="125" t="s">
        <v>11</v>
      </c>
      <c r="Y193" s="125" t="s">
        <v>11</v>
      </c>
      <c r="Z193" s="125" t="s">
        <v>11</v>
      </c>
      <c r="AA193" s="125" t="s">
        <v>11</v>
      </c>
      <c r="AB193" s="125" t="s">
        <v>11</v>
      </c>
      <c r="AC193" s="132"/>
      <c r="AD193" s="127">
        <f t="shared" si="6"/>
        <v>0</v>
      </c>
      <c r="AE193" s="127">
        <f t="shared" si="7"/>
        <v>0</v>
      </c>
      <c r="AF193" s="127">
        <f t="shared" si="8"/>
        <v>15</v>
      </c>
      <c r="AG193" s="128" t="str" cm="1">
        <f t="array" ref="AG193">_xlfn.IFS(
SUM(AD193:AF193)=0,"Not Started",
SUM(AD193:AF193)&lt;15,"In Progress",
SUM(AD193:AF193)=15,"Completed",
SUM(AD193:AF193)&gt;15,"Error"
)</f>
        <v>Completed</v>
      </c>
    </row>
    <row r="194" spans="1:33" ht="15.5" x14ac:dyDescent="0.25">
      <c r="A194" s="270"/>
      <c r="B194" s="120" t="s">
        <v>241</v>
      </c>
      <c r="C194" s="11" t="s">
        <v>4387</v>
      </c>
      <c r="D194" s="11" t="s">
        <v>4858</v>
      </c>
      <c r="E194" s="11" t="s">
        <v>43</v>
      </c>
      <c r="F194" s="129"/>
      <c r="G194" s="121" t="s">
        <v>40</v>
      </c>
      <c r="H194" s="121" t="s">
        <v>41</v>
      </c>
      <c r="I194" s="7" t="s">
        <v>10553</v>
      </c>
      <c r="J194" s="129" t="s">
        <v>4659</v>
      </c>
      <c r="K194" s="129">
        <v>10082602974</v>
      </c>
      <c r="L194" s="130"/>
      <c r="M194" s="131"/>
      <c r="N194" s="125" t="s">
        <v>11</v>
      </c>
      <c r="O194" s="125" t="s">
        <v>11</v>
      </c>
      <c r="P194" s="125" t="s">
        <v>11</v>
      </c>
      <c r="Q194" s="125" t="s">
        <v>11</v>
      </c>
      <c r="R194" s="125" t="s">
        <v>11</v>
      </c>
      <c r="S194" s="125" t="s">
        <v>11</v>
      </c>
      <c r="T194" s="125" t="s">
        <v>11</v>
      </c>
      <c r="U194" s="125" t="s">
        <v>11</v>
      </c>
      <c r="V194" s="125" t="s">
        <v>11</v>
      </c>
      <c r="W194" s="125" t="s">
        <v>11</v>
      </c>
      <c r="X194" s="125" t="s">
        <v>11</v>
      </c>
      <c r="Y194" s="125" t="s">
        <v>11</v>
      </c>
      <c r="Z194" s="125" t="s">
        <v>11</v>
      </c>
      <c r="AA194" s="125" t="s">
        <v>11</v>
      </c>
      <c r="AB194" s="125" t="s">
        <v>11</v>
      </c>
      <c r="AC194" s="132"/>
      <c r="AD194" s="127">
        <f t="shared" si="6"/>
        <v>0</v>
      </c>
      <c r="AE194" s="127">
        <f t="shared" si="7"/>
        <v>0</v>
      </c>
      <c r="AF194" s="127">
        <f t="shared" si="8"/>
        <v>15</v>
      </c>
      <c r="AG194" s="128" t="str" cm="1">
        <f t="array" ref="AG194">_xlfn.IFS(
SUM(AD194:AF194)=0,"Not Started",
SUM(AD194:AF194)&lt;15,"In Progress",
SUM(AD194:AF194)=15,"Completed",
SUM(AD194:AF194)&gt;15,"Error"
)</f>
        <v>Completed</v>
      </c>
    </row>
    <row r="195" spans="1:33" ht="15.5" x14ac:dyDescent="0.25">
      <c r="A195" s="270"/>
      <c r="B195" s="120" t="s">
        <v>242</v>
      </c>
      <c r="C195" s="11" t="s">
        <v>4388</v>
      </c>
      <c r="D195" s="11" t="s">
        <v>4859</v>
      </c>
      <c r="E195" s="11" t="s">
        <v>51</v>
      </c>
      <c r="F195" s="129"/>
      <c r="G195" s="121" t="s">
        <v>40</v>
      </c>
      <c r="H195" s="121" t="s">
        <v>41</v>
      </c>
      <c r="I195" s="7" t="s">
        <v>10554</v>
      </c>
      <c r="J195" s="129" t="s">
        <v>4660</v>
      </c>
      <c r="K195" s="129">
        <v>10041511816</v>
      </c>
      <c r="L195" s="130"/>
      <c r="M195" s="131"/>
      <c r="N195" s="125" t="s">
        <v>11</v>
      </c>
      <c r="O195" s="125" t="s">
        <v>11</v>
      </c>
      <c r="P195" s="125" t="s">
        <v>11</v>
      </c>
      <c r="Q195" s="125" t="s">
        <v>11</v>
      </c>
      <c r="R195" s="125" t="s">
        <v>11</v>
      </c>
      <c r="S195" s="125" t="s">
        <v>11</v>
      </c>
      <c r="T195" s="125" t="s">
        <v>11</v>
      </c>
      <c r="U195" s="125" t="s">
        <v>11</v>
      </c>
      <c r="V195" s="125" t="s">
        <v>11</v>
      </c>
      <c r="W195" s="125" t="s">
        <v>11</v>
      </c>
      <c r="X195" s="125" t="s">
        <v>11</v>
      </c>
      <c r="Y195" s="125" t="s">
        <v>11</v>
      </c>
      <c r="Z195" s="125" t="s">
        <v>11</v>
      </c>
      <c r="AA195" s="125" t="s">
        <v>11</v>
      </c>
      <c r="AB195" s="125" t="s">
        <v>11</v>
      </c>
      <c r="AC195" s="132"/>
      <c r="AD195" s="127">
        <f t="shared" si="6"/>
        <v>0</v>
      </c>
      <c r="AE195" s="127">
        <f t="shared" si="7"/>
        <v>0</v>
      </c>
      <c r="AF195" s="127">
        <f t="shared" si="8"/>
        <v>15</v>
      </c>
      <c r="AG195" s="128" t="str" cm="1">
        <f t="array" ref="AG195">_xlfn.IFS(
SUM(AD195:AF195)=0,"Not Started",
SUM(AD195:AF195)&lt;15,"In Progress",
SUM(AD195:AF195)=15,"Completed",
SUM(AD195:AF195)&gt;15,"Error"
)</f>
        <v>Completed</v>
      </c>
    </row>
    <row r="196" spans="1:33" ht="15.5" x14ac:dyDescent="0.25">
      <c r="A196" s="270"/>
      <c r="B196" s="120" t="s">
        <v>243</v>
      </c>
      <c r="C196" s="11" t="s">
        <v>4389</v>
      </c>
      <c r="D196" s="11" t="s">
        <v>4860</v>
      </c>
      <c r="E196" s="11" t="s">
        <v>51</v>
      </c>
      <c r="F196" s="129"/>
      <c r="G196" s="121" t="s">
        <v>40</v>
      </c>
      <c r="H196" s="121" t="s">
        <v>41</v>
      </c>
      <c r="I196" s="7" t="s">
        <v>10555</v>
      </c>
      <c r="J196" s="129" t="s">
        <v>4661</v>
      </c>
      <c r="K196" s="129">
        <v>10041262363</v>
      </c>
      <c r="L196" s="130"/>
      <c r="M196" s="131"/>
      <c r="N196" s="125" t="s">
        <v>11</v>
      </c>
      <c r="O196" s="125" t="s">
        <v>11</v>
      </c>
      <c r="P196" s="125" t="s">
        <v>11</v>
      </c>
      <c r="Q196" s="125" t="s">
        <v>11</v>
      </c>
      <c r="R196" s="125" t="s">
        <v>11</v>
      </c>
      <c r="S196" s="125" t="s">
        <v>11</v>
      </c>
      <c r="T196" s="125" t="s">
        <v>11</v>
      </c>
      <c r="U196" s="125" t="s">
        <v>11</v>
      </c>
      <c r="V196" s="125" t="s">
        <v>11</v>
      </c>
      <c r="W196" s="125" t="s">
        <v>11</v>
      </c>
      <c r="X196" s="125" t="s">
        <v>11</v>
      </c>
      <c r="Y196" s="125" t="s">
        <v>11</v>
      </c>
      <c r="Z196" s="125" t="s">
        <v>11</v>
      </c>
      <c r="AA196" s="125" t="s">
        <v>11</v>
      </c>
      <c r="AB196" s="125" t="s">
        <v>11</v>
      </c>
      <c r="AC196" s="132"/>
      <c r="AD196" s="127">
        <f t="shared" si="6"/>
        <v>0</v>
      </c>
      <c r="AE196" s="127">
        <f t="shared" si="7"/>
        <v>0</v>
      </c>
      <c r="AF196" s="127">
        <f t="shared" si="8"/>
        <v>15</v>
      </c>
      <c r="AG196" s="128" t="str" cm="1">
        <f t="array" ref="AG196">_xlfn.IFS(
SUM(AD196:AF196)=0,"Not Started",
SUM(AD196:AF196)&lt;15,"In Progress",
SUM(AD196:AF196)=15,"Completed",
SUM(AD196:AF196)&gt;15,"Error"
)</f>
        <v>Completed</v>
      </c>
    </row>
    <row r="197" spans="1:33" ht="15.5" x14ac:dyDescent="0.25">
      <c r="A197" s="270"/>
      <c r="B197" s="120" t="s">
        <v>244</v>
      </c>
      <c r="C197" s="11" t="s">
        <v>4390</v>
      </c>
      <c r="D197" s="11" t="s">
        <v>4861</v>
      </c>
      <c r="E197" s="11" t="s">
        <v>43</v>
      </c>
      <c r="F197" s="129"/>
      <c r="G197" s="121" t="s">
        <v>40</v>
      </c>
      <c r="H197" s="121" t="s">
        <v>41</v>
      </c>
      <c r="I197" s="7" t="s">
        <v>10556</v>
      </c>
      <c r="J197" s="129" t="s">
        <v>4662</v>
      </c>
      <c r="K197" s="129">
        <v>10041515673</v>
      </c>
      <c r="L197" s="130"/>
      <c r="M197" s="131"/>
      <c r="N197" s="125" t="s">
        <v>11</v>
      </c>
      <c r="O197" s="125" t="s">
        <v>11</v>
      </c>
      <c r="P197" s="125" t="s">
        <v>11</v>
      </c>
      <c r="Q197" s="125" t="s">
        <v>11</v>
      </c>
      <c r="R197" s="125" t="s">
        <v>11</v>
      </c>
      <c r="S197" s="125" t="s">
        <v>11</v>
      </c>
      <c r="T197" s="125" t="s">
        <v>11</v>
      </c>
      <c r="U197" s="125" t="s">
        <v>11</v>
      </c>
      <c r="V197" s="125" t="s">
        <v>11</v>
      </c>
      <c r="W197" s="125" t="s">
        <v>11</v>
      </c>
      <c r="X197" s="125" t="s">
        <v>11</v>
      </c>
      <c r="Y197" s="125" t="s">
        <v>11</v>
      </c>
      <c r="Z197" s="125" t="s">
        <v>11</v>
      </c>
      <c r="AA197" s="125" t="s">
        <v>11</v>
      </c>
      <c r="AB197" s="125" t="s">
        <v>11</v>
      </c>
      <c r="AC197" s="132"/>
      <c r="AD197" s="127">
        <f t="shared" ref="AD197:AD204" si="9">COUNTIF(N197:AB197,$AD$2)</f>
        <v>0</v>
      </c>
      <c r="AE197" s="127">
        <f t="shared" ref="AE197:AE204" si="10">COUNTIF(N197:AB197,$AE$2)</f>
        <v>0</v>
      </c>
      <c r="AF197" s="127">
        <f t="shared" ref="AF197:AF204" si="11">COUNTIF(N197:AB197,$AF$2)</f>
        <v>15</v>
      </c>
      <c r="AG197" s="128" t="str" cm="1">
        <f t="array" ref="AG197">_xlfn.IFS(
SUM(AD197:AF197)=0,"Not Started",
SUM(AD197:AF197)&lt;15,"In Progress",
SUM(AD197:AF197)=15,"Completed",
SUM(AD197:AF197)&gt;15,"Error"
)</f>
        <v>Completed</v>
      </c>
    </row>
    <row r="198" spans="1:33" ht="15.5" x14ac:dyDescent="0.25">
      <c r="A198" s="270"/>
      <c r="B198" s="120" t="s">
        <v>245</v>
      </c>
      <c r="C198" s="11" t="s">
        <v>4391</v>
      </c>
      <c r="D198" s="11" t="s">
        <v>4862</v>
      </c>
      <c r="E198" s="11" t="s">
        <v>51</v>
      </c>
      <c r="F198" s="129"/>
      <c r="G198" s="121" t="s">
        <v>40</v>
      </c>
      <c r="H198" s="121" t="s">
        <v>41</v>
      </c>
      <c r="I198" s="7" t="s">
        <v>10557</v>
      </c>
      <c r="J198" s="129" t="s">
        <v>4663</v>
      </c>
      <c r="K198" s="129">
        <v>10082579811</v>
      </c>
      <c r="L198" s="130"/>
      <c r="M198" s="131"/>
      <c r="N198" s="125" t="s">
        <v>11</v>
      </c>
      <c r="O198" s="125" t="s">
        <v>11</v>
      </c>
      <c r="P198" s="125" t="s">
        <v>11</v>
      </c>
      <c r="Q198" s="125" t="s">
        <v>11</v>
      </c>
      <c r="R198" s="125" t="s">
        <v>11</v>
      </c>
      <c r="S198" s="125" t="s">
        <v>11</v>
      </c>
      <c r="T198" s="125" t="s">
        <v>11</v>
      </c>
      <c r="U198" s="125" t="s">
        <v>11</v>
      </c>
      <c r="V198" s="125" t="s">
        <v>11</v>
      </c>
      <c r="W198" s="125" t="s">
        <v>11</v>
      </c>
      <c r="X198" s="125" t="s">
        <v>11</v>
      </c>
      <c r="Y198" s="125" t="s">
        <v>11</v>
      </c>
      <c r="Z198" s="125" t="s">
        <v>11</v>
      </c>
      <c r="AA198" s="125" t="s">
        <v>11</v>
      </c>
      <c r="AB198" s="125" t="s">
        <v>11</v>
      </c>
      <c r="AC198" s="132"/>
      <c r="AD198" s="127">
        <f t="shared" si="9"/>
        <v>0</v>
      </c>
      <c r="AE198" s="127">
        <f t="shared" si="10"/>
        <v>0</v>
      </c>
      <c r="AF198" s="127">
        <f t="shared" si="11"/>
        <v>15</v>
      </c>
      <c r="AG198" s="128" t="str" cm="1">
        <f t="array" ref="AG198">_xlfn.IFS(
SUM(AD198:AF198)=0,"Not Started",
SUM(AD198:AF198)&lt;15,"In Progress",
SUM(AD198:AF198)=15,"Completed",
SUM(AD198:AF198)&gt;15,"Error"
)</f>
        <v>Completed</v>
      </c>
    </row>
    <row r="199" spans="1:33" ht="15.5" x14ac:dyDescent="0.25">
      <c r="A199" s="270"/>
      <c r="B199" s="120" t="s">
        <v>246</v>
      </c>
      <c r="C199" s="11" t="s">
        <v>4392</v>
      </c>
      <c r="D199" s="11" t="s">
        <v>4863</v>
      </c>
      <c r="E199" s="11" t="s">
        <v>43</v>
      </c>
      <c r="F199" s="129" t="s">
        <v>48</v>
      </c>
      <c r="G199" s="121" t="s">
        <v>40</v>
      </c>
      <c r="H199" s="121" t="s">
        <v>41</v>
      </c>
      <c r="I199" s="7" t="s">
        <v>10558</v>
      </c>
      <c r="J199" s="129" t="s">
        <v>4664</v>
      </c>
      <c r="K199" s="129">
        <v>10041511683</v>
      </c>
      <c r="L199" s="130"/>
      <c r="M199" s="131"/>
      <c r="N199" s="125" t="s">
        <v>11</v>
      </c>
      <c r="O199" s="125" t="s">
        <v>11</v>
      </c>
      <c r="P199" s="125" t="s">
        <v>11</v>
      </c>
      <c r="Q199" s="125" t="s">
        <v>11</v>
      </c>
      <c r="R199" s="125" t="s">
        <v>11</v>
      </c>
      <c r="S199" s="125" t="s">
        <v>11</v>
      </c>
      <c r="T199" s="125" t="s">
        <v>11</v>
      </c>
      <c r="U199" s="125" t="s">
        <v>11</v>
      </c>
      <c r="V199" s="125" t="s">
        <v>11</v>
      </c>
      <c r="W199" s="125" t="s">
        <v>11</v>
      </c>
      <c r="X199" s="125" t="s">
        <v>11</v>
      </c>
      <c r="Y199" s="125" t="s">
        <v>11</v>
      </c>
      <c r="Z199" s="125" t="s">
        <v>11</v>
      </c>
      <c r="AA199" s="125" t="s">
        <v>11</v>
      </c>
      <c r="AB199" s="125" t="s">
        <v>11</v>
      </c>
      <c r="AC199" s="132"/>
      <c r="AD199" s="127">
        <f t="shared" si="9"/>
        <v>0</v>
      </c>
      <c r="AE199" s="127">
        <f t="shared" si="10"/>
        <v>0</v>
      </c>
      <c r="AF199" s="127">
        <f t="shared" si="11"/>
        <v>15</v>
      </c>
      <c r="AG199" s="128" t="str" cm="1">
        <f t="array" ref="AG199">_xlfn.IFS(
SUM(AD199:AF199)=0,"Not Started",
SUM(AD199:AF199)&lt;15,"In Progress",
SUM(AD199:AF199)=15,"Completed",
SUM(AD199:AF199)&gt;15,"Error"
)</f>
        <v>Completed</v>
      </c>
    </row>
    <row r="200" spans="1:33" ht="15.5" x14ac:dyDescent="0.25">
      <c r="A200" s="270"/>
      <c r="B200" s="120" t="s">
        <v>247</v>
      </c>
      <c r="C200" s="11" t="s">
        <v>4393</v>
      </c>
      <c r="D200" s="11" t="s">
        <v>4864</v>
      </c>
      <c r="E200" s="11" t="s">
        <v>51</v>
      </c>
      <c r="F200" s="129"/>
      <c r="G200" s="121" t="s">
        <v>40</v>
      </c>
      <c r="H200" s="121" t="s">
        <v>41</v>
      </c>
      <c r="I200" s="7" t="s">
        <v>10546</v>
      </c>
      <c r="J200" s="129" t="s">
        <v>4665</v>
      </c>
      <c r="K200" s="129">
        <v>10041622323</v>
      </c>
      <c r="L200" s="130"/>
      <c r="M200" s="131"/>
      <c r="N200" s="125" t="s">
        <v>11</v>
      </c>
      <c r="O200" s="125" t="s">
        <v>11</v>
      </c>
      <c r="P200" s="125" t="s">
        <v>11</v>
      </c>
      <c r="Q200" s="125" t="s">
        <v>11</v>
      </c>
      <c r="R200" s="125" t="s">
        <v>11</v>
      </c>
      <c r="S200" s="125" t="s">
        <v>11</v>
      </c>
      <c r="T200" s="125" t="s">
        <v>11</v>
      </c>
      <c r="U200" s="125" t="s">
        <v>11</v>
      </c>
      <c r="V200" s="125" t="s">
        <v>11</v>
      </c>
      <c r="W200" s="125" t="s">
        <v>11</v>
      </c>
      <c r="X200" s="125" t="s">
        <v>11</v>
      </c>
      <c r="Y200" s="125" t="s">
        <v>11</v>
      </c>
      <c r="Z200" s="125" t="s">
        <v>11</v>
      </c>
      <c r="AA200" s="125" t="s">
        <v>11</v>
      </c>
      <c r="AB200" s="125" t="s">
        <v>11</v>
      </c>
      <c r="AC200" s="132"/>
      <c r="AD200" s="127">
        <f t="shared" si="9"/>
        <v>0</v>
      </c>
      <c r="AE200" s="127">
        <f t="shared" si="10"/>
        <v>0</v>
      </c>
      <c r="AF200" s="127">
        <f t="shared" si="11"/>
        <v>15</v>
      </c>
      <c r="AG200" s="128" t="str" cm="1">
        <f t="array" ref="AG200">_xlfn.IFS(
SUM(AD200:AF200)=0,"Not Started",
SUM(AD200:AF200)&lt;15,"In Progress",
SUM(AD200:AF200)=15,"Completed",
SUM(AD200:AF200)&gt;15,"Error"
)</f>
        <v>Completed</v>
      </c>
    </row>
    <row r="201" spans="1:33" ht="15.5" x14ac:dyDescent="0.25">
      <c r="A201" s="270"/>
      <c r="B201" s="120" t="s">
        <v>248</v>
      </c>
      <c r="C201" s="11" t="s">
        <v>4394</v>
      </c>
      <c r="D201" s="11" t="s">
        <v>4865</v>
      </c>
      <c r="E201" s="11" t="s">
        <v>43</v>
      </c>
      <c r="F201" s="129" t="s">
        <v>48</v>
      </c>
      <c r="G201" s="121" t="s">
        <v>40</v>
      </c>
      <c r="H201" s="121" t="s">
        <v>41</v>
      </c>
      <c r="I201" s="7" t="s">
        <v>10559</v>
      </c>
      <c r="J201" s="129" t="s">
        <v>4666</v>
      </c>
      <c r="K201" s="129">
        <v>10041622403</v>
      </c>
      <c r="L201" s="130"/>
      <c r="M201" s="131"/>
      <c r="N201" s="125" t="s">
        <v>11</v>
      </c>
      <c r="O201" s="125" t="s">
        <v>11</v>
      </c>
      <c r="P201" s="125" t="s">
        <v>11</v>
      </c>
      <c r="Q201" s="125" t="s">
        <v>11</v>
      </c>
      <c r="R201" s="125" t="s">
        <v>11</v>
      </c>
      <c r="S201" s="125" t="s">
        <v>11</v>
      </c>
      <c r="T201" s="125" t="s">
        <v>11</v>
      </c>
      <c r="U201" s="125" t="s">
        <v>11</v>
      </c>
      <c r="V201" s="125" t="s">
        <v>11</v>
      </c>
      <c r="W201" s="125" t="s">
        <v>11</v>
      </c>
      <c r="X201" s="125" t="s">
        <v>11</v>
      </c>
      <c r="Y201" s="125" t="s">
        <v>11</v>
      </c>
      <c r="Z201" s="125" t="s">
        <v>11</v>
      </c>
      <c r="AA201" s="125" t="s">
        <v>11</v>
      </c>
      <c r="AB201" s="125" t="s">
        <v>11</v>
      </c>
      <c r="AC201" s="132"/>
      <c r="AD201" s="127">
        <f t="shared" si="9"/>
        <v>0</v>
      </c>
      <c r="AE201" s="127">
        <f t="shared" si="10"/>
        <v>0</v>
      </c>
      <c r="AF201" s="127">
        <f t="shared" si="11"/>
        <v>15</v>
      </c>
      <c r="AG201" s="128" t="str" cm="1">
        <f t="array" ref="AG201">_xlfn.IFS(
SUM(AD201:AF201)=0,"Not Started",
SUM(AD201:AF201)&lt;15,"In Progress",
SUM(AD201:AF201)=15,"Completed",
SUM(AD201:AF201)&gt;15,"Error"
)</f>
        <v>Completed</v>
      </c>
    </row>
    <row r="202" spans="1:33" ht="15.5" x14ac:dyDescent="0.25">
      <c r="A202" s="270"/>
      <c r="B202" s="120" t="s">
        <v>249</v>
      </c>
      <c r="C202" s="11" t="s">
        <v>4395</v>
      </c>
      <c r="D202" s="11" t="s">
        <v>4866</v>
      </c>
      <c r="E202" s="11" t="s">
        <v>43</v>
      </c>
      <c r="F202" s="129"/>
      <c r="G202" s="121" t="s">
        <v>40</v>
      </c>
      <c r="H202" s="121" t="s">
        <v>41</v>
      </c>
      <c r="I202" s="7" t="s">
        <v>10560</v>
      </c>
      <c r="J202" s="129" t="s">
        <v>4667</v>
      </c>
      <c r="K202" s="129">
        <v>10093225367</v>
      </c>
      <c r="L202" s="130"/>
      <c r="M202" s="131"/>
      <c r="N202" s="125" t="s">
        <v>11</v>
      </c>
      <c r="O202" s="125" t="s">
        <v>11</v>
      </c>
      <c r="P202" s="125" t="s">
        <v>11</v>
      </c>
      <c r="Q202" s="125" t="s">
        <v>11</v>
      </c>
      <c r="R202" s="125" t="s">
        <v>11</v>
      </c>
      <c r="S202" s="125" t="s">
        <v>11</v>
      </c>
      <c r="T202" s="125" t="s">
        <v>11</v>
      </c>
      <c r="U202" s="125" t="s">
        <v>11</v>
      </c>
      <c r="V202" s="125" t="s">
        <v>11</v>
      </c>
      <c r="W202" s="125" t="s">
        <v>11</v>
      </c>
      <c r="X202" s="125" t="s">
        <v>11</v>
      </c>
      <c r="Y202" s="125" t="s">
        <v>11</v>
      </c>
      <c r="Z202" s="125" t="s">
        <v>11</v>
      </c>
      <c r="AA202" s="125" t="s">
        <v>11</v>
      </c>
      <c r="AB202" s="125" t="s">
        <v>11</v>
      </c>
      <c r="AC202" s="132"/>
      <c r="AD202" s="127">
        <f t="shared" si="9"/>
        <v>0</v>
      </c>
      <c r="AE202" s="127">
        <f t="shared" si="10"/>
        <v>0</v>
      </c>
      <c r="AF202" s="127">
        <f t="shared" si="11"/>
        <v>15</v>
      </c>
      <c r="AG202" s="128" t="str" cm="1">
        <f t="array" ref="AG202">_xlfn.IFS(
SUM(AD202:AF202)=0,"Not Started",
SUM(AD202:AF202)&lt;15,"In Progress",
SUM(AD202:AF202)=15,"Completed",
SUM(AD202:AF202)&gt;15,"Error"
)</f>
        <v>Completed</v>
      </c>
    </row>
    <row r="203" spans="1:33" ht="15.5" x14ac:dyDescent="0.25">
      <c r="A203" s="271"/>
      <c r="B203" s="120" t="s">
        <v>250</v>
      </c>
      <c r="C203" s="11" t="s">
        <v>4396</v>
      </c>
      <c r="D203" s="11" t="s">
        <v>4867</v>
      </c>
      <c r="E203" s="11" t="s">
        <v>43</v>
      </c>
      <c r="F203" s="129" t="s">
        <v>48</v>
      </c>
      <c r="G203" s="121" t="s">
        <v>40</v>
      </c>
      <c r="H203" s="121" t="s">
        <v>41</v>
      </c>
      <c r="I203" s="7" t="s">
        <v>10561</v>
      </c>
      <c r="J203" s="129" t="s">
        <v>4668</v>
      </c>
      <c r="K203" s="129">
        <v>10093222543</v>
      </c>
      <c r="L203" s="130"/>
      <c r="M203" s="131"/>
      <c r="N203" s="125" t="s">
        <v>11</v>
      </c>
      <c r="O203" s="125" t="s">
        <v>11</v>
      </c>
      <c r="P203" s="125" t="s">
        <v>11</v>
      </c>
      <c r="Q203" s="125" t="s">
        <v>11</v>
      </c>
      <c r="R203" s="125" t="s">
        <v>11</v>
      </c>
      <c r="S203" s="125" t="s">
        <v>11</v>
      </c>
      <c r="T203" s="125" t="s">
        <v>11</v>
      </c>
      <c r="U203" s="125" t="s">
        <v>11</v>
      </c>
      <c r="V203" s="125" t="s">
        <v>11</v>
      </c>
      <c r="W203" s="125" t="s">
        <v>11</v>
      </c>
      <c r="X203" s="125" t="s">
        <v>11</v>
      </c>
      <c r="Y203" s="125" t="s">
        <v>11</v>
      </c>
      <c r="Z203" s="125" t="s">
        <v>11</v>
      </c>
      <c r="AA203" s="125" t="s">
        <v>11</v>
      </c>
      <c r="AB203" s="125" t="s">
        <v>11</v>
      </c>
      <c r="AC203" s="133"/>
      <c r="AD203" s="127">
        <f t="shared" si="9"/>
        <v>0</v>
      </c>
      <c r="AE203" s="127">
        <f t="shared" si="10"/>
        <v>0</v>
      </c>
      <c r="AF203" s="127">
        <f t="shared" si="11"/>
        <v>15</v>
      </c>
      <c r="AG203" s="128" t="str" cm="1">
        <f t="array" ref="AG203">_xlfn.IFS(
SUM(AD203:AF203)=0,"Not Started",
SUM(AD203:AF203)&lt;15,"In Progress",
SUM(AD203:AF203)=15,"Completed",
SUM(AD203:AF203)&gt;15,"Error"
)</f>
        <v>Completed</v>
      </c>
    </row>
    <row r="204" spans="1:33" ht="15.75" customHeight="1" x14ac:dyDescent="0.25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4"/>
      <c r="AD204" s="24">
        <f t="shared" si="9"/>
        <v>0</v>
      </c>
      <c r="AE204" s="24">
        <f t="shared" si="10"/>
        <v>0</v>
      </c>
      <c r="AF204" s="24">
        <f t="shared" si="11"/>
        <v>0</v>
      </c>
      <c r="AG204" s="40" cm="1">
        <f t="array" ref="AG204">SUM(N204:AB204/15)</f>
        <v>0</v>
      </c>
    </row>
    <row r="205" spans="1:33" ht="15.75" customHeight="1" x14ac:dyDescent="0.25">
      <c r="L205" s="257" t="s">
        <v>251</v>
      </c>
      <c r="M205" s="67" t="s">
        <v>11</v>
      </c>
      <c r="N205" s="72">
        <f t="shared" ref="N205:Z205" si="12">COUNTIF(N$3:N$203,"Completed")</f>
        <v>200</v>
      </c>
      <c r="O205" s="72">
        <f t="shared" si="12"/>
        <v>200</v>
      </c>
      <c r="P205" s="72">
        <f t="shared" si="12"/>
        <v>200</v>
      </c>
      <c r="Q205" s="72">
        <f t="shared" si="12"/>
        <v>200</v>
      </c>
      <c r="R205" s="72">
        <f t="shared" si="12"/>
        <v>200</v>
      </c>
      <c r="S205" s="72">
        <f t="shared" si="12"/>
        <v>200</v>
      </c>
      <c r="T205" s="72">
        <f t="shared" si="12"/>
        <v>200</v>
      </c>
      <c r="U205" s="72">
        <f t="shared" si="12"/>
        <v>200</v>
      </c>
      <c r="V205" s="72">
        <f t="shared" si="12"/>
        <v>200</v>
      </c>
      <c r="W205" s="72">
        <f t="shared" si="12"/>
        <v>200</v>
      </c>
      <c r="X205" s="72">
        <f t="shared" si="12"/>
        <v>200</v>
      </c>
      <c r="Y205" s="72">
        <f t="shared" si="12"/>
        <v>200</v>
      </c>
      <c r="Z205" s="72">
        <f t="shared" si="12"/>
        <v>200</v>
      </c>
      <c r="AA205" s="72">
        <f>COUNTIF(AA$2:AA$203,"Completed")</f>
        <v>200</v>
      </c>
      <c r="AB205" s="72">
        <f>COUNTIF(AB$2:AB$203,"Completed")</f>
        <v>200</v>
      </c>
      <c r="AC205" s="72">
        <f>COUNTIF(AC$2:AC$203,"Completed")</f>
        <v>0</v>
      </c>
    </row>
    <row r="206" spans="1:33" ht="15.75" customHeight="1" x14ac:dyDescent="0.25">
      <c r="L206" s="258"/>
      <c r="M206" s="67" t="s">
        <v>10</v>
      </c>
      <c r="N206" s="73">
        <f t="shared" ref="N206:Z206" si="13">COUNTIF(N$3:N$203,"In Progress")</f>
        <v>0</v>
      </c>
      <c r="O206" s="73">
        <f t="shared" si="13"/>
        <v>0</v>
      </c>
      <c r="P206" s="73">
        <f t="shared" si="13"/>
        <v>0</v>
      </c>
      <c r="Q206" s="73">
        <f t="shared" si="13"/>
        <v>0</v>
      </c>
      <c r="R206" s="73">
        <f t="shared" si="13"/>
        <v>0</v>
      </c>
      <c r="S206" s="73">
        <f t="shared" si="13"/>
        <v>0</v>
      </c>
      <c r="T206" s="73">
        <f t="shared" si="13"/>
        <v>0</v>
      </c>
      <c r="U206" s="73">
        <f t="shared" si="13"/>
        <v>0</v>
      </c>
      <c r="V206" s="73">
        <f t="shared" si="13"/>
        <v>0</v>
      </c>
      <c r="W206" s="73">
        <f t="shared" si="13"/>
        <v>0</v>
      </c>
      <c r="X206" s="73">
        <f t="shared" si="13"/>
        <v>0</v>
      </c>
      <c r="Y206" s="73">
        <f t="shared" si="13"/>
        <v>0</v>
      </c>
      <c r="Z206" s="73">
        <f t="shared" si="13"/>
        <v>0</v>
      </c>
      <c r="AA206" s="73">
        <f>COUNTIF(AA$2:AA$203,"In Progress")</f>
        <v>0</v>
      </c>
      <c r="AB206" s="73">
        <f>COUNTIF(AB$2:AB$203,"In Progress")</f>
        <v>0</v>
      </c>
      <c r="AC206" s="73">
        <f>COUNTIF(AC$2:AC$203,"In Progress")</f>
        <v>0</v>
      </c>
    </row>
    <row r="207" spans="1:33" ht="15.75" customHeight="1" x14ac:dyDescent="0.25">
      <c r="L207" s="259"/>
      <c r="M207" s="67" t="s">
        <v>9</v>
      </c>
      <c r="N207" s="74">
        <f t="shared" ref="N207:Z207" si="14">COUNTIF(N$3:N$203,"Not Started")</f>
        <v>0</v>
      </c>
      <c r="O207" s="74">
        <f t="shared" si="14"/>
        <v>0</v>
      </c>
      <c r="P207" s="74">
        <f t="shared" si="14"/>
        <v>0</v>
      </c>
      <c r="Q207" s="74">
        <f t="shared" si="14"/>
        <v>0</v>
      </c>
      <c r="R207" s="74">
        <f t="shared" si="14"/>
        <v>0</v>
      </c>
      <c r="S207" s="74">
        <f t="shared" si="14"/>
        <v>0</v>
      </c>
      <c r="T207" s="74">
        <f t="shared" si="14"/>
        <v>0</v>
      </c>
      <c r="U207" s="74">
        <f t="shared" si="14"/>
        <v>0</v>
      </c>
      <c r="V207" s="74">
        <f t="shared" si="14"/>
        <v>0</v>
      </c>
      <c r="W207" s="74">
        <f t="shared" si="14"/>
        <v>0</v>
      </c>
      <c r="X207" s="74">
        <f t="shared" si="14"/>
        <v>0</v>
      </c>
      <c r="Y207" s="74">
        <f t="shared" si="14"/>
        <v>0</v>
      </c>
      <c r="Z207" s="74">
        <f t="shared" si="14"/>
        <v>0</v>
      </c>
      <c r="AA207" s="74">
        <f>COUNTIF(AA$2:AA$203,"Not Started")</f>
        <v>0</v>
      </c>
      <c r="AB207" s="74">
        <f>COUNTIF(AB$2:AB$203,"Not Started")</f>
        <v>0</v>
      </c>
      <c r="AC207" s="74">
        <f>COUNTIF(AC$2:AC$203,"Not Started")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4:H203 J4:AC203" name="Range1"/>
    <protectedRange sqref="I4:I203" name="Range1_1"/>
  </protectedRanges>
  <mergeCells count="15">
    <mergeCell ref="A4:A203"/>
    <mergeCell ref="A204:M204"/>
    <mergeCell ref="L205:L207"/>
    <mergeCell ref="AB2:AB3"/>
    <mergeCell ref="AC2:AC3"/>
    <mergeCell ref="AD2:AD3"/>
    <mergeCell ref="AE2:AE3"/>
    <mergeCell ref="AF2:AF3"/>
    <mergeCell ref="AG2:AG3"/>
    <mergeCell ref="A2:A3"/>
    <mergeCell ref="B2:L2"/>
    <mergeCell ref="M2:M3"/>
    <mergeCell ref="N2:Q2"/>
    <mergeCell ref="R2:Z2"/>
    <mergeCell ref="AA2:AA3"/>
  </mergeCells>
  <conditionalFormatting sqref="B4:B203 AD5:AF204 E4:H203 J4:AF4 J5:AC203">
    <cfRule type="cellIs" dxfId="1929" priority="17" operator="equal">
      <formula>"In Progress"</formula>
    </cfRule>
    <cfRule type="cellIs" dxfId="1928" priority="18" operator="equal">
      <formula>"Completed"</formula>
    </cfRule>
  </conditionalFormatting>
  <conditionalFormatting sqref="N4:AB203">
    <cfRule type="cellIs" dxfId="1927" priority="13" operator="equal">
      <formula>"Not Started"</formula>
    </cfRule>
  </conditionalFormatting>
  <conditionalFormatting sqref="AG4:AG203">
    <cfRule type="cellIs" dxfId="1926" priority="14" operator="equal">
      <formula>"In Progress"</formula>
    </cfRule>
    <cfRule type="cellIs" dxfId="1925" priority="15" operator="equal">
      <formula>"Completed"</formula>
    </cfRule>
    <cfRule type="cellIs" dxfId="1924" priority="16" operator="equal">
      <formula>"Not Started"</formula>
    </cfRule>
  </conditionalFormatting>
  <conditionalFormatting sqref="C5:C203">
    <cfRule type="cellIs" dxfId="1923" priority="11" operator="equal">
      <formula>"In Progress"</formula>
    </cfRule>
    <cfRule type="cellIs" dxfId="1922" priority="12" operator="equal">
      <formula>"Completed"</formula>
    </cfRule>
  </conditionalFormatting>
  <conditionalFormatting sqref="D5:D203">
    <cfRule type="cellIs" dxfId="1921" priority="9" operator="equal">
      <formula>"In Progress"</formula>
    </cfRule>
    <cfRule type="cellIs" dxfId="1920" priority="10" operator="equal">
      <formula>"Completed"</formula>
    </cfRule>
  </conditionalFormatting>
  <conditionalFormatting sqref="C4">
    <cfRule type="cellIs" dxfId="1919" priority="7" operator="equal">
      <formula>"In Progress"</formula>
    </cfRule>
    <cfRule type="cellIs" dxfId="1918" priority="8" operator="equal">
      <formula>"Completed"</formula>
    </cfRule>
  </conditionalFormatting>
  <conditionalFormatting sqref="D4">
    <cfRule type="cellIs" dxfId="1917" priority="5" operator="equal">
      <formula>"In Progress"</formula>
    </cfRule>
    <cfRule type="cellIs" dxfId="1916" priority="6" operator="equal">
      <formula>"Completed"</formula>
    </cfRule>
  </conditionalFormatting>
  <conditionalFormatting sqref="I5:I203">
    <cfRule type="cellIs" dxfId="1915" priority="3" operator="equal">
      <formula>"In Progress"</formula>
    </cfRule>
    <cfRule type="cellIs" dxfId="1914" priority="4" operator="equal">
      <formula>"Completed"</formula>
    </cfRule>
  </conditionalFormatting>
  <conditionalFormatting sqref="I4">
    <cfRule type="cellIs" dxfId="1913" priority="1" operator="equal">
      <formula>"In Progress"</formula>
    </cfRule>
    <cfRule type="cellIs" dxfId="1912" priority="2" operator="equal">
      <formula>"Completed"</formula>
    </cfRule>
  </conditionalFormatting>
  <dataValidations count="3">
    <dataValidation type="list" allowBlank="1" showInputMessage="1" showErrorMessage="1" sqref="N4:AB203" xr:uid="{7D7F5EFB-2CE2-4F57-820A-65E672269B63}">
      <formula1>$AL$4:$AL$7</formula1>
    </dataValidation>
    <dataValidation type="list" allowBlank="1" showInputMessage="1" showErrorMessage="1" sqref="F4:F203" xr:uid="{CE90018E-4F9C-42BC-B219-B365D058A539}">
      <formula1>$AK$4:$AK$6</formula1>
    </dataValidation>
    <dataValidation type="list" allowBlank="1" showInputMessage="1" showErrorMessage="1" sqref="E4:E203" xr:uid="{19487160-B0CE-4814-9A9E-CC67B583F221}">
      <formula1>$AJ$4:$AJ$7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9FEB-7B7F-4F25-89EA-54A487FF8A06}">
  <sheetPr>
    <outlinePr summaryBelow="0" summaryRight="0"/>
  </sheetPr>
  <dimension ref="A1:AM207"/>
  <sheetViews>
    <sheetView showGridLines="0" topLeftCell="B178" zoomScale="72" zoomScaleNormal="72" workbookViewId="0">
      <pane xSplit="1" topLeftCell="N1" activePane="topRight" state="frozen"/>
      <selection activeCell="B1" sqref="B1"/>
      <selection pane="topRight" activeCell="B196" sqref="A196:XFD196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29" style="1" bestFit="1" customWidth="1"/>
    <col min="4" max="4" width="54.6328125" style="1" customWidth="1"/>
    <col min="5" max="5" width="32.453125" style="1" customWidth="1"/>
    <col min="6" max="6" width="16.6328125" style="1" bestFit="1" customWidth="1"/>
    <col min="7" max="7" width="11.08984375" style="1" customWidth="1"/>
    <col min="8" max="8" width="10.453125" style="1" customWidth="1"/>
    <col min="9" max="9" width="7.81640625" style="1" customWidth="1"/>
    <col min="10" max="10" width="37.54296875" style="1" bestFit="1" customWidth="1"/>
    <col min="11" max="11" width="17.81640625" style="1" bestFit="1" customWidth="1"/>
    <col min="12" max="12" width="18.54296875" style="1" customWidth="1"/>
    <col min="13" max="17" width="12.54296875" style="1"/>
    <col min="18" max="18" width="14.81640625" style="1" customWidth="1"/>
    <col min="19" max="19" width="14.7265625" style="1" customWidth="1"/>
    <col min="20" max="20" width="12.54296875" style="1"/>
    <col min="21" max="21" width="15.81640625" style="1" customWidth="1"/>
    <col min="22" max="22" width="20.1796875" style="1" customWidth="1"/>
    <col min="23" max="36" width="12.54296875" style="1"/>
    <col min="37" max="37" width="37.81640625" style="1" hidden="1" customWidth="1"/>
    <col min="38" max="38" width="18.453125" style="1" hidden="1" customWidth="1"/>
    <col min="39" max="39" width="0" style="1" hidden="1" customWidth="1"/>
    <col min="40" max="16384" width="12.54296875" style="1"/>
  </cols>
  <sheetData>
    <row r="1" spans="1:39" ht="37" customHeight="1" x14ac:dyDescent="0.25">
      <c r="C1" s="44" t="s">
        <v>0</v>
      </c>
      <c r="D1" s="45">
        <v>46141</v>
      </c>
    </row>
    <row r="2" spans="1:39" ht="13" customHeight="1" x14ac:dyDescent="0.25">
      <c r="A2" s="236" t="s">
        <v>1</v>
      </c>
      <c r="B2" s="274" t="s">
        <v>2</v>
      </c>
      <c r="C2" s="274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40" t="s">
        <v>3</v>
      </c>
      <c r="O2" s="241" t="s">
        <v>4</v>
      </c>
      <c r="P2" s="242"/>
      <c r="Q2" s="242"/>
      <c r="R2" s="242"/>
      <c r="S2" s="243" t="s">
        <v>5</v>
      </c>
      <c r="T2" s="243"/>
      <c r="U2" s="243"/>
      <c r="V2" s="243"/>
      <c r="W2" s="243"/>
      <c r="X2" s="243"/>
      <c r="Y2" s="243"/>
      <c r="Z2" s="243"/>
      <c r="AA2" s="243"/>
      <c r="AB2" s="244" t="s">
        <v>6</v>
      </c>
      <c r="AC2" s="251" t="s">
        <v>7</v>
      </c>
      <c r="AD2" s="252" t="s">
        <v>8</v>
      </c>
      <c r="AE2" s="235" t="s">
        <v>9</v>
      </c>
      <c r="AF2" s="235" t="s">
        <v>10</v>
      </c>
      <c r="AG2" s="235" t="s">
        <v>11</v>
      </c>
      <c r="AH2" s="235" t="s">
        <v>12</v>
      </c>
    </row>
    <row r="3" spans="1:39" s="2" customFormat="1" ht="39" x14ac:dyDescent="0.25">
      <c r="A3" s="236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245" t="s">
        <v>20</v>
      </c>
      <c r="J3" s="246"/>
      <c r="K3" s="23" t="s">
        <v>21</v>
      </c>
      <c r="L3" s="23" t="s">
        <v>22</v>
      </c>
      <c r="M3" s="23" t="s">
        <v>23</v>
      </c>
      <c r="N3" s="240"/>
      <c r="O3" s="42" t="s">
        <v>24</v>
      </c>
      <c r="P3" s="42" t="s">
        <v>25</v>
      </c>
      <c r="Q3" s="42" t="s">
        <v>26</v>
      </c>
      <c r="R3" s="42" t="s">
        <v>27</v>
      </c>
      <c r="S3" s="43" t="s">
        <v>28</v>
      </c>
      <c r="T3" s="43" t="s">
        <v>29</v>
      </c>
      <c r="U3" s="43" t="s">
        <v>30</v>
      </c>
      <c r="V3" s="43" t="s">
        <v>31</v>
      </c>
      <c r="W3" s="43" t="s">
        <v>32</v>
      </c>
      <c r="X3" s="43" t="s">
        <v>33</v>
      </c>
      <c r="Y3" s="43" t="s">
        <v>34</v>
      </c>
      <c r="Z3" s="43" t="s">
        <v>35</v>
      </c>
      <c r="AA3" s="43" t="s">
        <v>36</v>
      </c>
      <c r="AB3" s="244"/>
      <c r="AC3" s="251"/>
      <c r="AD3" s="252"/>
      <c r="AE3" s="235"/>
      <c r="AF3" s="235"/>
      <c r="AG3" s="235"/>
      <c r="AH3" s="235"/>
      <c r="AK3" s="5" t="s">
        <v>16</v>
      </c>
      <c r="AL3" s="5" t="s">
        <v>17</v>
      </c>
      <c r="AM3" s="5" t="s">
        <v>37</v>
      </c>
    </row>
    <row r="4" spans="1:39" ht="15.75" customHeight="1" x14ac:dyDescent="0.25">
      <c r="A4" s="247" t="s">
        <v>1054</v>
      </c>
      <c r="B4" s="14" t="s">
        <v>653</v>
      </c>
      <c r="C4" s="7" t="s">
        <v>5658</v>
      </c>
      <c r="D4" s="7" t="s">
        <v>3665</v>
      </c>
      <c r="E4" s="7" t="s">
        <v>47</v>
      </c>
      <c r="F4" s="7" t="s">
        <v>48</v>
      </c>
      <c r="G4" s="7" t="s">
        <v>3848</v>
      </c>
      <c r="H4" s="7" t="s">
        <v>3848</v>
      </c>
      <c r="I4" s="7"/>
      <c r="J4" s="7" t="s">
        <v>4084</v>
      </c>
      <c r="K4" s="7" t="s">
        <v>3896</v>
      </c>
      <c r="L4" s="7">
        <v>10053648903</v>
      </c>
      <c r="M4" s="7"/>
      <c r="N4" s="7"/>
      <c r="O4" s="29" t="s">
        <v>11</v>
      </c>
      <c r="P4" s="29" t="s">
        <v>11</v>
      </c>
      <c r="Q4" s="29" t="s">
        <v>11</v>
      </c>
      <c r="R4" s="29" t="s">
        <v>11</v>
      </c>
      <c r="S4" s="29" t="s">
        <v>11</v>
      </c>
      <c r="T4" s="29" t="s">
        <v>11</v>
      </c>
      <c r="U4" s="29" t="s">
        <v>11</v>
      </c>
      <c r="V4" s="29" t="s">
        <v>11</v>
      </c>
      <c r="W4" s="29" t="s">
        <v>11</v>
      </c>
      <c r="X4" s="29" t="s">
        <v>11</v>
      </c>
      <c r="Y4" s="10" t="s">
        <v>11</v>
      </c>
      <c r="Z4" s="10" t="s">
        <v>11</v>
      </c>
      <c r="AA4" s="35" t="s">
        <v>11</v>
      </c>
      <c r="AB4" s="35" t="s">
        <v>11</v>
      </c>
      <c r="AC4" s="35" t="s">
        <v>11</v>
      </c>
      <c r="AD4" s="25"/>
      <c r="AE4" s="24">
        <f>COUNTIF(O4:AC4,$AE$2)</f>
        <v>0</v>
      </c>
      <c r="AF4" s="24">
        <f>COUNTIF(O4:AC4,$AF$2)</f>
        <v>0</v>
      </c>
      <c r="AG4" s="24">
        <f>COUNTIF(O4:AC4,$AG$2)</f>
        <v>15</v>
      </c>
      <c r="AH4" s="41" t="str" cm="1">
        <f t="array" ref="AH4">_xlfn.IFS(
SUM(AE4:AG4)=0,"Not Started",
SUM(AE4:AG4)&lt;15,"In Progress",
SUM(AE4:AG4)=15,"Completed",
SUM(AE4:AG4)&gt;15,"Error"
)</f>
        <v>Completed</v>
      </c>
      <c r="AK4" s="3" t="s">
        <v>43</v>
      </c>
      <c r="AL4" s="3" t="s">
        <v>44</v>
      </c>
      <c r="AM4" s="3" t="s">
        <v>9</v>
      </c>
    </row>
    <row r="5" spans="1:39" ht="13" x14ac:dyDescent="0.25">
      <c r="A5" s="248"/>
      <c r="B5" s="7" t="s">
        <v>654</v>
      </c>
      <c r="C5" s="7" t="s">
        <v>3574</v>
      </c>
      <c r="D5" s="7" t="s">
        <v>3771</v>
      </c>
      <c r="E5" s="7" t="s">
        <v>43</v>
      </c>
      <c r="F5" s="7" t="s">
        <v>48</v>
      </c>
      <c r="G5" s="7" t="s">
        <v>3848</v>
      </c>
      <c r="H5" s="7" t="s">
        <v>3848</v>
      </c>
      <c r="I5" s="7"/>
      <c r="J5" s="7" t="s">
        <v>4166</v>
      </c>
      <c r="K5" s="7" t="s">
        <v>5669</v>
      </c>
      <c r="L5" s="7">
        <v>10053592737</v>
      </c>
      <c r="M5" s="7"/>
      <c r="N5" s="7"/>
      <c r="O5" s="179" t="s">
        <v>11</v>
      </c>
      <c r="P5" s="179" t="s">
        <v>11</v>
      </c>
      <c r="Q5" s="179" t="s">
        <v>11</v>
      </c>
      <c r="R5" s="179" t="s">
        <v>11</v>
      </c>
      <c r="S5" s="179" t="s">
        <v>11</v>
      </c>
      <c r="T5" s="179" t="s">
        <v>11</v>
      </c>
      <c r="U5" s="179" t="s">
        <v>11</v>
      </c>
      <c r="V5" s="179" t="s">
        <v>11</v>
      </c>
      <c r="W5" s="179" t="s">
        <v>11</v>
      </c>
      <c r="X5" s="179" t="s">
        <v>11</v>
      </c>
      <c r="Y5" s="139" t="s">
        <v>11</v>
      </c>
      <c r="Z5" s="139" t="s">
        <v>11</v>
      </c>
      <c r="AA5" s="180" t="s">
        <v>11</v>
      </c>
      <c r="AB5" s="180" t="s">
        <v>11</v>
      </c>
      <c r="AC5" s="35" t="s">
        <v>11</v>
      </c>
      <c r="AD5" s="26"/>
      <c r="AE5" s="24">
        <f t="shared" ref="AE5:AE68" si="0">COUNTIF(O5:AC5,$AE$2)</f>
        <v>0</v>
      </c>
      <c r="AF5" s="24">
        <f t="shared" ref="AF5:AF68" si="1">COUNTIF(O5:AC5,$AF$2)</f>
        <v>0</v>
      </c>
      <c r="AG5" s="24">
        <f t="shared" ref="AG5:AG68" si="2">COUNTIF(O5:AC5,$AG$2)</f>
        <v>15</v>
      </c>
      <c r="AH5" s="41" t="str" cm="1">
        <f t="array" ref="AH5">_xlfn.IFS(
SUM(AE5:AG5)=0,"Not Started",
SUM(AE5:AG5)&lt;15,"In Progress",
SUM(AE5:AG5)=15,"Completed",
SUM(AE5:AG5)&gt;15,"Error"
)</f>
        <v>Completed</v>
      </c>
      <c r="AK5" s="3" t="s">
        <v>47</v>
      </c>
      <c r="AL5" s="3" t="s">
        <v>48</v>
      </c>
      <c r="AM5" s="3" t="s">
        <v>10</v>
      </c>
    </row>
    <row r="6" spans="1:39" ht="13" x14ac:dyDescent="0.25">
      <c r="A6" s="248"/>
      <c r="B6" s="14" t="s">
        <v>655</v>
      </c>
      <c r="C6" s="7" t="s">
        <v>3608</v>
      </c>
      <c r="D6" s="7" t="s">
        <v>3807</v>
      </c>
      <c r="E6" s="7" t="s">
        <v>47</v>
      </c>
      <c r="F6" s="7" t="s">
        <v>48</v>
      </c>
      <c r="G6" s="7" t="s">
        <v>3848</v>
      </c>
      <c r="H6" s="7" t="s">
        <v>3848</v>
      </c>
      <c r="I6" s="7"/>
      <c r="J6" s="7" t="s">
        <v>4057</v>
      </c>
      <c r="K6" s="7" t="s">
        <v>3967</v>
      </c>
      <c r="L6" s="7">
        <v>10053133242</v>
      </c>
      <c r="M6" s="7"/>
      <c r="N6" s="7"/>
      <c r="O6" s="179" t="s">
        <v>11</v>
      </c>
      <c r="P6" s="179" t="s">
        <v>11</v>
      </c>
      <c r="Q6" s="179" t="s">
        <v>11</v>
      </c>
      <c r="R6" s="179" t="s">
        <v>11</v>
      </c>
      <c r="S6" s="179" t="s">
        <v>11</v>
      </c>
      <c r="T6" s="179" t="s">
        <v>11</v>
      </c>
      <c r="U6" s="179" t="s">
        <v>11</v>
      </c>
      <c r="V6" s="179" t="s">
        <v>11</v>
      </c>
      <c r="W6" s="179" t="s">
        <v>11</v>
      </c>
      <c r="X6" s="179" t="s">
        <v>11</v>
      </c>
      <c r="Y6" s="139" t="s">
        <v>11</v>
      </c>
      <c r="Z6" s="139" t="s">
        <v>11</v>
      </c>
      <c r="AA6" s="180" t="s">
        <v>11</v>
      </c>
      <c r="AB6" s="180" t="s">
        <v>11</v>
      </c>
      <c r="AC6" s="35" t="s">
        <v>11</v>
      </c>
      <c r="AD6" s="26"/>
      <c r="AE6" s="24">
        <f t="shared" si="0"/>
        <v>0</v>
      </c>
      <c r="AF6" s="24">
        <f t="shared" si="1"/>
        <v>0</v>
      </c>
      <c r="AG6" s="24">
        <f t="shared" si="2"/>
        <v>15</v>
      </c>
      <c r="AH6" s="41" t="str" cm="1">
        <f t="array" ref="AH6">_xlfn.IFS(
SUM(AE6:AG6)=0,"Not Started",
SUM(AE6:AG6)&lt;15,"In Progress",
SUM(AE6:AG6)=15,"Completed",
SUM(AE6:AG6)&gt;15,"Error"
)</f>
        <v>Completed</v>
      </c>
      <c r="AK6" s="3" t="s">
        <v>51</v>
      </c>
      <c r="AL6" s="3" t="s">
        <v>52</v>
      </c>
      <c r="AM6" s="3" t="s">
        <v>11</v>
      </c>
    </row>
    <row r="7" spans="1:39" ht="13" x14ac:dyDescent="0.25">
      <c r="A7" s="248"/>
      <c r="B7" s="7" t="s">
        <v>656</v>
      </c>
      <c r="C7" s="7" t="s">
        <v>3475</v>
      </c>
      <c r="D7" s="7" t="s">
        <v>3666</v>
      </c>
      <c r="E7" s="7" t="s">
        <v>51</v>
      </c>
      <c r="F7" s="7" t="s">
        <v>48</v>
      </c>
      <c r="G7" s="7" t="s">
        <v>3848</v>
      </c>
      <c r="H7" s="7" t="s">
        <v>3848</v>
      </c>
      <c r="I7" s="7"/>
      <c r="J7" s="7" t="s">
        <v>4165</v>
      </c>
      <c r="K7" s="7" t="s">
        <v>5670</v>
      </c>
      <c r="L7" s="7">
        <v>10053317849</v>
      </c>
      <c r="M7" s="7"/>
      <c r="N7" s="7"/>
      <c r="O7" s="29" t="s">
        <v>11</v>
      </c>
      <c r="P7" s="29" t="s">
        <v>11</v>
      </c>
      <c r="Q7" s="29" t="s">
        <v>11</v>
      </c>
      <c r="R7" s="29" t="s">
        <v>11</v>
      </c>
      <c r="S7" s="29" t="s">
        <v>11</v>
      </c>
      <c r="T7" s="29" t="s">
        <v>11</v>
      </c>
      <c r="U7" s="29" t="s">
        <v>11</v>
      </c>
      <c r="V7" s="29" t="s">
        <v>11</v>
      </c>
      <c r="W7" s="29" t="s">
        <v>11</v>
      </c>
      <c r="X7" s="29" t="s">
        <v>11</v>
      </c>
      <c r="Y7" s="10" t="s">
        <v>11</v>
      </c>
      <c r="Z7" s="10" t="s">
        <v>11</v>
      </c>
      <c r="AA7" s="10" t="s">
        <v>11</v>
      </c>
      <c r="AB7" s="35" t="s">
        <v>11</v>
      </c>
      <c r="AC7" s="35" t="s">
        <v>11</v>
      </c>
      <c r="AD7" s="26"/>
      <c r="AE7" s="24">
        <f t="shared" si="0"/>
        <v>0</v>
      </c>
      <c r="AF7" s="24">
        <f t="shared" si="1"/>
        <v>0</v>
      </c>
      <c r="AG7" s="24">
        <f t="shared" si="2"/>
        <v>15</v>
      </c>
      <c r="AH7" s="41" t="str" cm="1">
        <f t="array" ref="AH7">_xlfn.IFS(
SUM(AE7:AG7)=0,"Not Started",
SUM(AE7:AG7)&lt;15,"In Progress",
SUM(AE7:AG7)=15,"Completed",
SUM(AE7:AG7)&gt;15,"Error"
)</f>
        <v>Completed</v>
      </c>
      <c r="AK7" s="3" t="s">
        <v>52</v>
      </c>
      <c r="AL7" s="3"/>
      <c r="AM7" s="3" t="s">
        <v>52</v>
      </c>
    </row>
    <row r="8" spans="1:39" ht="13" x14ac:dyDescent="0.25">
      <c r="A8" s="248"/>
      <c r="B8" s="14" t="s">
        <v>657</v>
      </c>
      <c r="C8" s="7" t="s">
        <v>3590</v>
      </c>
      <c r="D8" s="7" t="s">
        <v>3788</v>
      </c>
      <c r="E8" s="7" t="s">
        <v>43</v>
      </c>
      <c r="F8" s="7" t="s">
        <v>48</v>
      </c>
      <c r="G8" s="7" t="s">
        <v>3848</v>
      </c>
      <c r="H8" s="7" t="s">
        <v>3848</v>
      </c>
      <c r="I8" s="7"/>
      <c r="J8" s="7" t="s">
        <v>4187</v>
      </c>
      <c r="K8" s="7" t="s">
        <v>3955</v>
      </c>
      <c r="L8" s="7">
        <v>10053132648</v>
      </c>
      <c r="M8" s="7"/>
      <c r="N8" s="7"/>
      <c r="O8" s="29" t="s">
        <v>11</v>
      </c>
      <c r="P8" s="29" t="s">
        <v>11</v>
      </c>
      <c r="Q8" s="29" t="s">
        <v>11</v>
      </c>
      <c r="R8" s="29" t="s">
        <v>11</v>
      </c>
      <c r="S8" s="29" t="s">
        <v>11</v>
      </c>
      <c r="T8" s="29" t="s">
        <v>11</v>
      </c>
      <c r="U8" s="29" t="s">
        <v>11</v>
      </c>
      <c r="V8" s="29" t="s">
        <v>11</v>
      </c>
      <c r="W8" s="29" t="s">
        <v>11</v>
      </c>
      <c r="X8" s="29" t="s">
        <v>11</v>
      </c>
      <c r="Y8" s="10" t="s">
        <v>11</v>
      </c>
      <c r="Z8" s="10" t="s">
        <v>11</v>
      </c>
      <c r="AA8" s="35" t="s">
        <v>11</v>
      </c>
      <c r="AB8" s="35" t="s">
        <v>11</v>
      </c>
      <c r="AC8" s="35" t="s">
        <v>11</v>
      </c>
      <c r="AD8" s="26"/>
      <c r="AE8" s="24">
        <f t="shared" si="0"/>
        <v>0</v>
      </c>
      <c r="AF8" s="24">
        <f t="shared" si="1"/>
        <v>0</v>
      </c>
      <c r="AG8" s="24">
        <f t="shared" si="2"/>
        <v>15</v>
      </c>
      <c r="AH8" s="41" t="str" cm="1">
        <f t="array" ref="AH8">_xlfn.IFS(
SUM(AE8:AG8)=0,"Not Started",
SUM(AE8:AG8)&lt;15,"In Progress",
SUM(AE8:AG8)=15,"Completed",
SUM(AE8:AG8)&gt;15,"Error"
)</f>
        <v>Completed</v>
      </c>
    </row>
    <row r="9" spans="1:39" ht="13" x14ac:dyDescent="0.25">
      <c r="A9" s="248"/>
      <c r="B9" s="7" t="s">
        <v>658</v>
      </c>
      <c r="C9" s="7" t="s">
        <v>3584</v>
      </c>
      <c r="D9" s="7" t="s">
        <v>3781</v>
      </c>
      <c r="E9" s="7" t="s">
        <v>51</v>
      </c>
      <c r="F9" s="7" t="s">
        <v>48</v>
      </c>
      <c r="G9" s="7" t="s">
        <v>3848</v>
      </c>
      <c r="H9" s="7" t="s">
        <v>3848</v>
      </c>
      <c r="I9" s="7"/>
      <c r="J9" s="7" t="s">
        <v>4050</v>
      </c>
      <c r="K9" s="7" t="s">
        <v>5671</v>
      </c>
      <c r="L9" s="7">
        <v>10053132085</v>
      </c>
      <c r="M9" s="7"/>
      <c r="N9" s="7"/>
      <c r="O9" s="29" t="s">
        <v>11</v>
      </c>
      <c r="P9" s="29" t="s">
        <v>11</v>
      </c>
      <c r="Q9" s="29" t="s">
        <v>11</v>
      </c>
      <c r="R9" s="29" t="s">
        <v>11</v>
      </c>
      <c r="S9" s="29" t="s">
        <v>11</v>
      </c>
      <c r="T9" s="29" t="s">
        <v>11</v>
      </c>
      <c r="U9" s="29" t="s">
        <v>11</v>
      </c>
      <c r="V9" s="29" t="s">
        <v>11</v>
      </c>
      <c r="W9" s="29" t="s">
        <v>11</v>
      </c>
      <c r="X9" s="29" t="s">
        <v>11</v>
      </c>
      <c r="Y9" s="10" t="s">
        <v>11</v>
      </c>
      <c r="Z9" s="10" t="s">
        <v>11</v>
      </c>
      <c r="AA9" s="35" t="s">
        <v>11</v>
      </c>
      <c r="AB9" s="35" t="s">
        <v>11</v>
      </c>
      <c r="AC9" s="35" t="s">
        <v>11</v>
      </c>
      <c r="AD9" s="26"/>
      <c r="AE9" s="24">
        <f t="shared" si="0"/>
        <v>0</v>
      </c>
      <c r="AF9" s="24">
        <f t="shared" si="1"/>
        <v>0</v>
      </c>
      <c r="AG9" s="24">
        <f t="shared" si="2"/>
        <v>15</v>
      </c>
      <c r="AH9" s="41" t="str" cm="1">
        <f t="array" ref="AH9">_xlfn.IFS(
SUM(AE9:AG9)=0,"Not Started",
SUM(AE9:AG9)&lt;15,"In Progress",
SUM(AE9:AG9)=15,"Completed",
SUM(AE9:AG9)&gt;15,"Error"
)</f>
        <v>Completed</v>
      </c>
    </row>
    <row r="10" spans="1:39" ht="13" x14ac:dyDescent="0.25">
      <c r="A10" s="248"/>
      <c r="B10" s="14" t="s">
        <v>659</v>
      </c>
      <c r="C10" s="7" t="s">
        <v>3641</v>
      </c>
      <c r="D10" s="7" t="s">
        <v>3841</v>
      </c>
      <c r="E10" s="7" t="s">
        <v>43</v>
      </c>
      <c r="F10" s="7" t="s">
        <v>48</v>
      </c>
      <c r="G10" s="7" t="s">
        <v>3848</v>
      </c>
      <c r="H10" s="7" t="s">
        <v>3848</v>
      </c>
      <c r="I10" s="7"/>
      <c r="J10" s="7" t="s">
        <v>4142</v>
      </c>
      <c r="K10" s="7" t="s">
        <v>5672</v>
      </c>
      <c r="L10" s="7">
        <v>10053213067</v>
      </c>
      <c r="M10" s="7"/>
      <c r="N10" s="7"/>
      <c r="O10" s="29" t="s">
        <v>11</v>
      </c>
      <c r="P10" s="29" t="s">
        <v>11</v>
      </c>
      <c r="Q10" s="29" t="s">
        <v>11</v>
      </c>
      <c r="R10" s="29" t="s">
        <v>11</v>
      </c>
      <c r="S10" s="29" t="s">
        <v>11</v>
      </c>
      <c r="T10" s="29" t="s">
        <v>11</v>
      </c>
      <c r="U10" s="29" t="s">
        <v>11</v>
      </c>
      <c r="V10" s="29" t="s">
        <v>11</v>
      </c>
      <c r="W10" s="29" t="s">
        <v>11</v>
      </c>
      <c r="X10" s="29" t="s">
        <v>11</v>
      </c>
      <c r="Y10" s="10" t="s">
        <v>11</v>
      </c>
      <c r="Z10" s="10" t="s">
        <v>11</v>
      </c>
      <c r="AA10" s="35" t="s">
        <v>11</v>
      </c>
      <c r="AB10" s="35" t="s">
        <v>11</v>
      </c>
      <c r="AC10" s="35" t="s">
        <v>11</v>
      </c>
      <c r="AD10" s="26"/>
      <c r="AE10" s="24">
        <f t="shared" si="0"/>
        <v>0</v>
      </c>
      <c r="AF10" s="24">
        <f t="shared" si="1"/>
        <v>0</v>
      </c>
      <c r="AG10" s="24">
        <f t="shared" si="2"/>
        <v>15</v>
      </c>
      <c r="AH10" s="41" t="str" cm="1">
        <f t="array" ref="AH10">_xlfn.IFS(
SUM(AE10:AG10)=0,"Not Started",
SUM(AE10:AG10)&lt;15,"In Progress",
SUM(AE10:AG10)=15,"Completed",
SUM(AE10:AG10)&gt;15,"Error"
)</f>
        <v>Completed</v>
      </c>
    </row>
    <row r="11" spans="1:39" ht="13" x14ac:dyDescent="0.25">
      <c r="A11" s="248"/>
      <c r="B11" s="7" t="s">
        <v>660</v>
      </c>
      <c r="C11" s="7" t="s">
        <v>3568</v>
      </c>
      <c r="D11" s="7" t="s">
        <v>3765</v>
      </c>
      <c r="E11" s="7" t="s">
        <v>51</v>
      </c>
      <c r="F11" s="7" t="s">
        <v>48</v>
      </c>
      <c r="G11" s="7" t="s">
        <v>3848</v>
      </c>
      <c r="H11" s="7" t="s">
        <v>3848</v>
      </c>
      <c r="I11" s="7"/>
      <c r="J11" s="7" t="s">
        <v>4056</v>
      </c>
      <c r="K11" s="7" t="s">
        <v>5673</v>
      </c>
      <c r="L11" s="7">
        <v>10053710115</v>
      </c>
      <c r="M11" s="7"/>
      <c r="N11" s="7"/>
      <c r="O11" s="179" t="s">
        <v>11</v>
      </c>
      <c r="P11" s="179" t="s">
        <v>11</v>
      </c>
      <c r="Q11" s="179" t="s">
        <v>11</v>
      </c>
      <c r="R11" s="179" t="s">
        <v>11</v>
      </c>
      <c r="S11" s="179" t="s">
        <v>11</v>
      </c>
      <c r="T11" s="179" t="s">
        <v>11</v>
      </c>
      <c r="U11" s="179" t="s">
        <v>11</v>
      </c>
      <c r="V11" s="179" t="s">
        <v>11</v>
      </c>
      <c r="W11" s="179" t="s">
        <v>11</v>
      </c>
      <c r="X11" s="179" t="s">
        <v>11</v>
      </c>
      <c r="Y11" s="139" t="s">
        <v>11</v>
      </c>
      <c r="Z11" s="139" t="s">
        <v>11</v>
      </c>
      <c r="AA11" s="180" t="s">
        <v>11</v>
      </c>
      <c r="AB11" s="180" t="s">
        <v>11</v>
      </c>
      <c r="AC11" s="35" t="s">
        <v>11</v>
      </c>
      <c r="AD11" s="26"/>
      <c r="AE11" s="24">
        <f t="shared" si="0"/>
        <v>0</v>
      </c>
      <c r="AF11" s="24">
        <f t="shared" si="1"/>
        <v>0</v>
      </c>
      <c r="AG11" s="24">
        <f t="shared" si="2"/>
        <v>15</v>
      </c>
      <c r="AH11" s="41" t="str" cm="1">
        <f t="array" ref="AH11">_xlfn.IFS(
SUM(AE11:AG11)=0,"Not Started",
SUM(AE11:AG11)&lt;15,"In Progress",
SUM(AE11:AG11)=15,"Completed",
SUM(AE11:AG11)&gt;15,"Error"
)</f>
        <v>Completed</v>
      </c>
    </row>
    <row r="12" spans="1:39" ht="13" x14ac:dyDescent="0.25">
      <c r="A12" s="248"/>
      <c r="B12" s="14" t="s">
        <v>661</v>
      </c>
      <c r="C12" s="7" t="s">
        <v>3462</v>
      </c>
      <c r="D12" s="7" t="s">
        <v>3651</v>
      </c>
      <c r="E12" s="7" t="s">
        <v>43</v>
      </c>
      <c r="F12" s="7" t="s">
        <v>48</v>
      </c>
      <c r="G12" s="7" t="s">
        <v>3848</v>
      </c>
      <c r="H12" s="7" t="s">
        <v>3848</v>
      </c>
      <c r="I12" s="7"/>
      <c r="J12" s="7" t="s">
        <v>4155</v>
      </c>
      <c r="K12" s="7" t="s">
        <v>5674</v>
      </c>
      <c r="L12" s="7">
        <v>10053646856</v>
      </c>
      <c r="M12" s="7"/>
      <c r="N12" s="7"/>
      <c r="O12" s="29" t="s">
        <v>11</v>
      </c>
      <c r="P12" s="29" t="s">
        <v>11</v>
      </c>
      <c r="Q12" s="29" t="s">
        <v>11</v>
      </c>
      <c r="R12" s="29" t="s">
        <v>11</v>
      </c>
      <c r="S12" s="29" t="s">
        <v>11</v>
      </c>
      <c r="T12" s="29" t="s">
        <v>11</v>
      </c>
      <c r="U12" s="29" t="s">
        <v>11</v>
      </c>
      <c r="V12" s="29" t="s">
        <v>11</v>
      </c>
      <c r="W12" s="29" t="s">
        <v>11</v>
      </c>
      <c r="X12" s="29" t="s">
        <v>11</v>
      </c>
      <c r="Y12" s="10" t="s">
        <v>11</v>
      </c>
      <c r="Z12" s="10" t="s">
        <v>11</v>
      </c>
      <c r="AA12" s="35" t="s">
        <v>11</v>
      </c>
      <c r="AB12" s="35" t="s">
        <v>11</v>
      </c>
      <c r="AC12" s="35" t="s">
        <v>11</v>
      </c>
      <c r="AD12" s="26"/>
      <c r="AE12" s="24">
        <f t="shared" si="0"/>
        <v>0</v>
      </c>
      <c r="AF12" s="24">
        <f t="shared" si="1"/>
        <v>0</v>
      </c>
      <c r="AG12" s="24">
        <f t="shared" si="2"/>
        <v>15</v>
      </c>
      <c r="AH12" s="41" t="str" cm="1">
        <f t="array" ref="AH12">_xlfn.IFS(
SUM(AE12:AG12)=0,"Not Started",
SUM(AE12:AG12)&lt;15,"In Progress",
SUM(AE12:AG12)=15,"Completed",
SUM(AE12:AG12)&gt;15,"Error"
)</f>
        <v>Completed</v>
      </c>
    </row>
    <row r="13" spans="1:39" ht="13" x14ac:dyDescent="0.25">
      <c r="A13" s="248"/>
      <c r="B13" s="7" t="s">
        <v>662</v>
      </c>
      <c r="C13" s="7" t="s">
        <v>3518</v>
      </c>
      <c r="D13" s="7" t="s">
        <v>3715</v>
      </c>
      <c r="E13" s="7" t="s">
        <v>43</v>
      </c>
      <c r="F13" s="7" t="s">
        <v>48</v>
      </c>
      <c r="G13" s="7" t="s">
        <v>3848</v>
      </c>
      <c r="H13" s="7" t="s">
        <v>3848</v>
      </c>
      <c r="I13" s="7"/>
      <c r="J13" s="7" t="s">
        <v>4134</v>
      </c>
      <c r="K13" s="7" t="s">
        <v>3898</v>
      </c>
      <c r="L13" s="7">
        <v>10020640885</v>
      </c>
      <c r="M13" s="7"/>
      <c r="N13" s="7"/>
      <c r="O13" s="29" t="s">
        <v>11</v>
      </c>
      <c r="P13" s="29" t="s">
        <v>11</v>
      </c>
      <c r="Q13" s="29" t="s">
        <v>11</v>
      </c>
      <c r="R13" s="29" t="s">
        <v>11</v>
      </c>
      <c r="S13" s="29" t="s">
        <v>11</v>
      </c>
      <c r="T13" s="29" t="s">
        <v>11</v>
      </c>
      <c r="U13" s="29" t="s">
        <v>11</v>
      </c>
      <c r="V13" s="29" t="s">
        <v>11</v>
      </c>
      <c r="W13" s="29" t="s">
        <v>11</v>
      </c>
      <c r="X13" s="29" t="s">
        <v>11</v>
      </c>
      <c r="Y13" s="10" t="s">
        <v>11</v>
      </c>
      <c r="Z13" s="10" t="s">
        <v>11</v>
      </c>
      <c r="AA13" s="35" t="s">
        <v>11</v>
      </c>
      <c r="AB13" s="35" t="s">
        <v>11</v>
      </c>
      <c r="AC13" s="35" t="s">
        <v>11</v>
      </c>
      <c r="AD13" s="26"/>
      <c r="AE13" s="24">
        <f t="shared" si="0"/>
        <v>0</v>
      </c>
      <c r="AF13" s="24">
        <f t="shared" si="1"/>
        <v>0</v>
      </c>
      <c r="AG13" s="24">
        <f t="shared" si="2"/>
        <v>15</v>
      </c>
      <c r="AH13" s="41" t="str" cm="1">
        <f t="array" ref="AH13">_xlfn.IFS(
SUM(AE13:AG13)=0,"Not Started",
SUM(AE13:AG13)&lt;15,"In Progress",
SUM(AE13:AG13)=15,"Completed",
SUM(AE13:AG13)&gt;15,"Error"
)</f>
        <v>Completed</v>
      </c>
    </row>
    <row r="14" spans="1:39" ht="15.75" customHeight="1" x14ac:dyDescent="0.25">
      <c r="A14" s="248"/>
      <c r="B14" s="14" t="s">
        <v>663</v>
      </c>
      <c r="C14" s="7" t="s">
        <v>3613</v>
      </c>
      <c r="D14" s="7" t="s">
        <v>3813</v>
      </c>
      <c r="E14" s="7" t="s">
        <v>51</v>
      </c>
      <c r="F14" s="7" t="s">
        <v>48</v>
      </c>
      <c r="G14" s="7" t="s">
        <v>3848</v>
      </c>
      <c r="H14" s="7" t="s">
        <v>3848</v>
      </c>
      <c r="I14" s="7"/>
      <c r="J14" s="7" t="s">
        <v>4064</v>
      </c>
      <c r="K14" s="7" t="s">
        <v>3949</v>
      </c>
      <c r="L14" s="7">
        <v>10020641078</v>
      </c>
      <c r="M14" s="7"/>
      <c r="N14" s="7"/>
      <c r="O14" s="29" t="s">
        <v>11</v>
      </c>
      <c r="P14" s="29" t="s">
        <v>11</v>
      </c>
      <c r="Q14" s="29" t="s">
        <v>11</v>
      </c>
      <c r="R14" s="29" t="s">
        <v>11</v>
      </c>
      <c r="S14" s="29" t="s">
        <v>11</v>
      </c>
      <c r="T14" s="29" t="s">
        <v>11</v>
      </c>
      <c r="U14" s="29" t="s">
        <v>11</v>
      </c>
      <c r="V14" s="29" t="s">
        <v>11</v>
      </c>
      <c r="W14" s="29" t="s">
        <v>11</v>
      </c>
      <c r="X14" s="29" t="s">
        <v>11</v>
      </c>
      <c r="Y14" s="10" t="s">
        <v>11</v>
      </c>
      <c r="Z14" s="10" t="s">
        <v>11</v>
      </c>
      <c r="AA14" s="35" t="s">
        <v>11</v>
      </c>
      <c r="AB14" s="35" t="s">
        <v>11</v>
      </c>
      <c r="AC14" s="35" t="s">
        <v>11</v>
      </c>
      <c r="AD14" s="26"/>
      <c r="AE14" s="24">
        <f t="shared" si="0"/>
        <v>0</v>
      </c>
      <c r="AF14" s="24">
        <f t="shared" si="1"/>
        <v>0</v>
      </c>
      <c r="AG14" s="24">
        <f t="shared" si="2"/>
        <v>15</v>
      </c>
      <c r="AH14" s="41" t="str" cm="1">
        <f t="array" ref="AH14">_xlfn.IFS(
SUM(AE14:AG14)=0,"Not Started",
SUM(AE14:AG14)&lt;15,"In Progress",
SUM(AE14:AG14)=15,"Completed",
SUM(AE14:AG14)&gt;15,"Error"
)</f>
        <v>Completed</v>
      </c>
    </row>
    <row r="15" spans="1:39" ht="15.75" customHeight="1" x14ac:dyDescent="0.25">
      <c r="A15" s="248"/>
      <c r="B15" s="7" t="s">
        <v>664</v>
      </c>
      <c r="C15" s="7" t="s">
        <v>3582</v>
      </c>
      <c r="D15" s="7" t="s">
        <v>3779</v>
      </c>
      <c r="E15" s="7" t="s">
        <v>47</v>
      </c>
      <c r="F15" s="7" t="s">
        <v>48</v>
      </c>
      <c r="G15" s="7" t="s">
        <v>3848</v>
      </c>
      <c r="H15" s="7" t="s">
        <v>3848</v>
      </c>
      <c r="I15" s="7"/>
      <c r="J15" s="7" t="s">
        <v>4070</v>
      </c>
      <c r="K15" s="7" t="s">
        <v>3971</v>
      </c>
      <c r="L15" s="7">
        <v>10020640983</v>
      </c>
      <c r="M15" s="7"/>
      <c r="N15" s="7"/>
      <c r="O15" s="29" t="s">
        <v>11</v>
      </c>
      <c r="P15" s="29" t="s">
        <v>11</v>
      </c>
      <c r="Q15" s="29" t="s">
        <v>11</v>
      </c>
      <c r="R15" s="29" t="s">
        <v>11</v>
      </c>
      <c r="S15" s="29" t="s">
        <v>11</v>
      </c>
      <c r="T15" s="29" t="s">
        <v>11</v>
      </c>
      <c r="U15" s="29" t="s">
        <v>11</v>
      </c>
      <c r="V15" s="29" t="s">
        <v>11</v>
      </c>
      <c r="W15" s="29" t="s">
        <v>11</v>
      </c>
      <c r="X15" s="29" t="s">
        <v>11</v>
      </c>
      <c r="Y15" s="10" t="s">
        <v>11</v>
      </c>
      <c r="Z15" s="10" t="s">
        <v>11</v>
      </c>
      <c r="AA15" s="10" t="s">
        <v>11</v>
      </c>
      <c r="AB15" s="35" t="s">
        <v>11</v>
      </c>
      <c r="AC15" s="35" t="s">
        <v>11</v>
      </c>
      <c r="AD15" s="26"/>
      <c r="AE15" s="24">
        <f t="shared" si="0"/>
        <v>0</v>
      </c>
      <c r="AF15" s="24">
        <f t="shared" si="1"/>
        <v>0</v>
      </c>
      <c r="AG15" s="24">
        <f t="shared" si="2"/>
        <v>15</v>
      </c>
      <c r="AH15" s="41" t="str" cm="1">
        <f t="array" ref="AH15">_xlfn.IFS(
SUM(AE15:AG15)=0,"Not Started",
SUM(AE15:AG15)&lt;15,"In Progress",
SUM(AE15:AG15)=15,"Completed",
SUM(AE15:AG15)&gt;15,"Error"
)</f>
        <v>Completed</v>
      </c>
    </row>
    <row r="16" spans="1:39" ht="15.75" customHeight="1" x14ac:dyDescent="0.25">
      <c r="A16" s="248"/>
      <c r="B16" s="14" t="s">
        <v>665</v>
      </c>
      <c r="C16" s="7" t="s">
        <v>3597</v>
      </c>
      <c r="D16" s="7" t="s">
        <v>3795</v>
      </c>
      <c r="E16" s="7" t="s">
        <v>51</v>
      </c>
      <c r="F16" s="7" t="s">
        <v>48</v>
      </c>
      <c r="G16" s="7" t="s">
        <v>3848</v>
      </c>
      <c r="H16" s="7" t="s">
        <v>3848</v>
      </c>
      <c r="I16" s="7"/>
      <c r="J16" s="7" t="s">
        <v>4110</v>
      </c>
      <c r="K16" s="7" t="s">
        <v>3961</v>
      </c>
      <c r="L16" s="7">
        <v>10053390061</v>
      </c>
      <c r="M16" s="7"/>
      <c r="N16" s="7"/>
      <c r="O16" s="29" t="s">
        <v>11</v>
      </c>
      <c r="P16" s="29" t="s">
        <v>11</v>
      </c>
      <c r="Q16" s="29" t="s">
        <v>11</v>
      </c>
      <c r="R16" s="29" t="s">
        <v>11</v>
      </c>
      <c r="S16" s="29" t="s">
        <v>11</v>
      </c>
      <c r="T16" s="29" t="s">
        <v>11</v>
      </c>
      <c r="U16" s="29" t="s">
        <v>11</v>
      </c>
      <c r="V16" s="29" t="s">
        <v>11</v>
      </c>
      <c r="W16" s="29" t="s">
        <v>11</v>
      </c>
      <c r="X16" s="29" t="s">
        <v>11</v>
      </c>
      <c r="Y16" s="10" t="s">
        <v>11</v>
      </c>
      <c r="Z16" s="10" t="s">
        <v>11</v>
      </c>
      <c r="AA16" s="10" t="s">
        <v>11</v>
      </c>
      <c r="AB16" s="35" t="s">
        <v>11</v>
      </c>
      <c r="AC16" s="35" t="s">
        <v>11</v>
      </c>
      <c r="AD16" s="26"/>
      <c r="AE16" s="24">
        <f t="shared" si="0"/>
        <v>0</v>
      </c>
      <c r="AF16" s="24">
        <f t="shared" si="1"/>
        <v>0</v>
      </c>
      <c r="AG16" s="24">
        <f t="shared" si="2"/>
        <v>15</v>
      </c>
      <c r="AH16" s="41" t="str" cm="1">
        <f t="array" ref="AH16">_xlfn.IFS(
SUM(AE16:AG16)=0,"Not Started",
SUM(AE16:AG16)&lt;15,"In Progress",
SUM(AE16:AG16)=15,"Completed",
SUM(AE16:AG16)&gt;15,"Error"
)</f>
        <v>Completed</v>
      </c>
    </row>
    <row r="17" spans="1:34" ht="15.75" customHeight="1" x14ac:dyDescent="0.25">
      <c r="A17" s="248"/>
      <c r="B17" s="7" t="s">
        <v>666</v>
      </c>
      <c r="C17" s="7" t="s">
        <v>3620</v>
      </c>
      <c r="D17" s="7" t="s">
        <v>3820</v>
      </c>
      <c r="E17" s="7" t="s">
        <v>43</v>
      </c>
      <c r="F17" s="7" t="s">
        <v>48</v>
      </c>
      <c r="G17" s="7" t="s">
        <v>3848</v>
      </c>
      <c r="H17" s="7" t="s">
        <v>3848</v>
      </c>
      <c r="I17" s="7"/>
      <c r="J17" s="7" t="s">
        <v>4096</v>
      </c>
      <c r="K17" s="7" t="s">
        <v>5675</v>
      </c>
      <c r="L17" s="7">
        <v>10053389848</v>
      </c>
      <c r="M17" s="7"/>
      <c r="N17" s="7"/>
      <c r="O17" s="179" t="s">
        <v>11</v>
      </c>
      <c r="P17" s="179" t="s">
        <v>11</v>
      </c>
      <c r="Q17" s="179" t="s">
        <v>11</v>
      </c>
      <c r="R17" s="179" t="s">
        <v>11</v>
      </c>
      <c r="S17" s="179" t="s">
        <v>11</v>
      </c>
      <c r="T17" s="179" t="s">
        <v>11</v>
      </c>
      <c r="U17" s="179" t="s">
        <v>11</v>
      </c>
      <c r="V17" s="179" t="s">
        <v>11</v>
      </c>
      <c r="W17" s="179" t="s">
        <v>11</v>
      </c>
      <c r="X17" s="179" t="s">
        <v>11</v>
      </c>
      <c r="Y17" s="139" t="s">
        <v>11</v>
      </c>
      <c r="Z17" s="139" t="s">
        <v>11</v>
      </c>
      <c r="AA17" s="139" t="s">
        <v>11</v>
      </c>
      <c r="AB17" s="180" t="s">
        <v>11</v>
      </c>
      <c r="AC17" s="35" t="s">
        <v>11</v>
      </c>
      <c r="AD17" s="26"/>
      <c r="AE17" s="24">
        <f t="shared" si="0"/>
        <v>0</v>
      </c>
      <c r="AF17" s="24">
        <f t="shared" si="1"/>
        <v>0</v>
      </c>
      <c r="AG17" s="24">
        <f t="shared" si="2"/>
        <v>15</v>
      </c>
      <c r="AH17" s="41" t="str" cm="1">
        <f t="array" ref="AH17">_xlfn.IFS(
SUM(AE17:AG17)=0,"Not Started",
SUM(AE17:AG17)&lt;15,"In Progress",
SUM(AE17:AG17)=15,"Completed",
SUM(AE17:AG17)&gt;15,"Error"
)</f>
        <v>Completed</v>
      </c>
    </row>
    <row r="18" spans="1:34" ht="15.75" customHeight="1" x14ac:dyDescent="0.25">
      <c r="A18" s="248"/>
      <c r="B18" s="14" t="s">
        <v>667</v>
      </c>
      <c r="C18" s="7" t="s">
        <v>3624</v>
      </c>
      <c r="D18" s="7" t="s">
        <v>3824</v>
      </c>
      <c r="E18" s="7" t="s">
        <v>51</v>
      </c>
      <c r="F18" s="7" t="s">
        <v>48</v>
      </c>
      <c r="G18" s="7" t="s">
        <v>3848</v>
      </c>
      <c r="H18" s="7" t="s">
        <v>3848</v>
      </c>
      <c r="I18" s="7"/>
      <c r="J18" s="7" t="s">
        <v>4016</v>
      </c>
      <c r="K18" s="7" t="s">
        <v>3980</v>
      </c>
      <c r="L18" s="7">
        <v>10053135597</v>
      </c>
      <c r="M18" s="7"/>
      <c r="N18" s="7"/>
      <c r="O18" s="29" t="s">
        <v>11</v>
      </c>
      <c r="P18" s="29" t="s">
        <v>11</v>
      </c>
      <c r="Q18" s="29" t="s">
        <v>11</v>
      </c>
      <c r="R18" s="29" t="s">
        <v>11</v>
      </c>
      <c r="S18" s="29" t="s">
        <v>11</v>
      </c>
      <c r="T18" s="29" t="s">
        <v>11</v>
      </c>
      <c r="U18" s="29" t="s">
        <v>11</v>
      </c>
      <c r="V18" s="29" t="s">
        <v>11</v>
      </c>
      <c r="W18" s="29" t="s">
        <v>11</v>
      </c>
      <c r="X18" s="29" t="s">
        <v>11</v>
      </c>
      <c r="Y18" s="10" t="s">
        <v>11</v>
      </c>
      <c r="Z18" s="10" t="s">
        <v>11</v>
      </c>
      <c r="AA18" s="10" t="s">
        <v>11</v>
      </c>
      <c r="AB18" s="10" t="s">
        <v>11</v>
      </c>
      <c r="AC18" s="35" t="s">
        <v>11</v>
      </c>
      <c r="AD18" s="26"/>
      <c r="AE18" s="24">
        <f t="shared" si="0"/>
        <v>0</v>
      </c>
      <c r="AF18" s="24">
        <f t="shared" si="1"/>
        <v>0</v>
      </c>
      <c r="AG18" s="24">
        <f t="shared" si="2"/>
        <v>15</v>
      </c>
      <c r="AH18" s="41" t="str" cm="1">
        <f t="array" ref="AH18">_xlfn.IFS(
SUM(AE18:AG18)=0,"Not Started",
SUM(AE18:AG18)&lt;15,"In Progress",
SUM(AE18:AG18)=15,"Completed",
SUM(AE18:AG18)&gt;15,"Error"
)</f>
        <v>Completed</v>
      </c>
    </row>
    <row r="19" spans="1:34" ht="15.75" customHeight="1" x14ac:dyDescent="0.25">
      <c r="A19" s="248"/>
      <c r="B19" s="7" t="s">
        <v>668</v>
      </c>
      <c r="C19" s="7" t="s">
        <v>3625</v>
      </c>
      <c r="D19" s="7" t="s">
        <v>3825</v>
      </c>
      <c r="E19" s="7" t="s">
        <v>47</v>
      </c>
      <c r="F19" s="7" t="s">
        <v>48</v>
      </c>
      <c r="G19" s="7" t="s">
        <v>3848</v>
      </c>
      <c r="H19" s="7" t="s">
        <v>3848</v>
      </c>
      <c r="I19" s="7"/>
      <c r="J19" s="7" t="s">
        <v>4169</v>
      </c>
      <c r="K19" s="7" t="s">
        <v>5676</v>
      </c>
      <c r="L19" s="7">
        <v>10053530823</v>
      </c>
      <c r="M19" s="7"/>
      <c r="N19" s="7"/>
      <c r="O19" s="29" t="s">
        <v>11</v>
      </c>
      <c r="P19" s="29" t="s">
        <v>11</v>
      </c>
      <c r="Q19" s="29" t="s">
        <v>11</v>
      </c>
      <c r="R19" s="29" t="s">
        <v>11</v>
      </c>
      <c r="S19" s="29" t="s">
        <v>11</v>
      </c>
      <c r="T19" s="29" t="s">
        <v>11</v>
      </c>
      <c r="U19" s="29" t="s">
        <v>11</v>
      </c>
      <c r="V19" s="29" t="s">
        <v>11</v>
      </c>
      <c r="W19" s="29" t="s">
        <v>11</v>
      </c>
      <c r="X19" s="29" t="s">
        <v>11</v>
      </c>
      <c r="Y19" s="29" t="s">
        <v>11</v>
      </c>
      <c r="Z19" s="29" t="s">
        <v>11</v>
      </c>
      <c r="AA19" s="29" t="s">
        <v>11</v>
      </c>
      <c r="AB19" s="180" t="s">
        <v>11</v>
      </c>
      <c r="AC19" s="35" t="s">
        <v>11</v>
      </c>
      <c r="AD19" s="26"/>
      <c r="AE19" s="24">
        <f t="shared" si="0"/>
        <v>0</v>
      </c>
      <c r="AF19" s="24">
        <f t="shared" si="1"/>
        <v>0</v>
      </c>
      <c r="AG19" s="24">
        <f t="shared" si="2"/>
        <v>15</v>
      </c>
      <c r="AH19" s="41" t="str" cm="1">
        <f t="array" ref="AH19">_xlfn.IFS(
SUM(AE19:AG19)=0,"Not Started",
SUM(AE19:AG19)&lt;15,"In Progress",
SUM(AE19:AG19)=15,"Completed",
SUM(AE19:AG19)&gt;15,"Error"
)</f>
        <v>Completed</v>
      </c>
    </row>
    <row r="20" spans="1:34" ht="15.75" customHeight="1" x14ac:dyDescent="0.25">
      <c r="A20" s="248"/>
      <c r="B20" s="14" t="s">
        <v>669</v>
      </c>
      <c r="C20" s="7" t="s">
        <v>5659</v>
      </c>
      <c r="D20" s="7" t="s">
        <v>3810</v>
      </c>
      <c r="E20" s="7" t="s">
        <v>51</v>
      </c>
      <c r="F20" s="7" t="s">
        <v>48</v>
      </c>
      <c r="G20" s="7" t="s">
        <v>3848</v>
      </c>
      <c r="H20" s="7" t="s">
        <v>3848</v>
      </c>
      <c r="I20" s="7"/>
      <c r="J20" s="7" t="s">
        <v>4158</v>
      </c>
      <c r="K20" s="7" t="s">
        <v>3968</v>
      </c>
      <c r="L20" s="7">
        <v>10053201951</v>
      </c>
      <c r="M20" s="7"/>
      <c r="N20" s="7"/>
      <c r="O20" s="179" t="s">
        <v>11</v>
      </c>
      <c r="P20" s="179" t="s">
        <v>11</v>
      </c>
      <c r="Q20" s="179" t="s">
        <v>11</v>
      </c>
      <c r="R20" s="179" t="s">
        <v>11</v>
      </c>
      <c r="S20" s="179" t="s">
        <v>11</v>
      </c>
      <c r="T20" s="179" t="s">
        <v>11</v>
      </c>
      <c r="U20" s="179" t="s">
        <v>11</v>
      </c>
      <c r="V20" s="179" t="s">
        <v>11</v>
      </c>
      <c r="W20" s="179" t="s">
        <v>11</v>
      </c>
      <c r="X20" s="179" t="s">
        <v>11</v>
      </c>
      <c r="Y20" s="139" t="s">
        <v>11</v>
      </c>
      <c r="Z20" s="139" t="s">
        <v>11</v>
      </c>
      <c r="AA20" s="139" t="s">
        <v>11</v>
      </c>
      <c r="AB20" s="180" t="s">
        <v>11</v>
      </c>
      <c r="AC20" s="35" t="s">
        <v>11</v>
      </c>
      <c r="AD20" s="26"/>
      <c r="AE20" s="24">
        <f t="shared" si="0"/>
        <v>0</v>
      </c>
      <c r="AF20" s="24">
        <f t="shared" si="1"/>
        <v>0</v>
      </c>
      <c r="AG20" s="24">
        <f t="shared" si="2"/>
        <v>15</v>
      </c>
      <c r="AH20" s="41" t="str" cm="1">
        <f t="array" ref="AH20">_xlfn.IFS(
SUM(AE20:AG20)=0,"Not Started",
SUM(AE20:AG20)&lt;15,"In Progress",
SUM(AE20:AG20)=15,"Completed",
SUM(AE20:AG20)&gt;15,"Error"
)</f>
        <v>Completed</v>
      </c>
    </row>
    <row r="21" spans="1:34" ht="13" x14ac:dyDescent="0.25">
      <c r="A21" s="248"/>
      <c r="B21" s="7" t="s">
        <v>670</v>
      </c>
      <c r="C21" s="7" t="s">
        <v>3598</v>
      </c>
      <c r="D21" s="7" t="s">
        <v>3796</v>
      </c>
      <c r="E21" s="7" t="s">
        <v>43</v>
      </c>
      <c r="F21" s="7" t="s">
        <v>48</v>
      </c>
      <c r="G21" s="7" t="s">
        <v>3848</v>
      </c>
      <c r="H21" s="7" t="s">
        <v>3848</v>
      </c>
      <c r="I21" s="7"/>
      <c r="J21" s="7" t="s">
        <v>4067</v>
      </c>
      <c r="K21" s="7" t="s">
        <v>5677</v>
      </c>
      <c r="L21" s="7">
        <v>10053208272</v>
      </c>
      <c r="M21" s="7"/>
      <c r="N21" s="7"/>
      <c r="O21" s="29" t="s">
        <v>11</v>
      </c>
      <c r="P21" s="29" t="s">
        <v>11</v>
      </c>
      <c r="Q21" s="29" t="s">
        <v>11</v>
      </c>
      <c r="R21" s="29" t="s">
        <v>11</v>
      </c>
      <c r="S21" s="29" t="s">
        <v>11</v>
      </c>
      <c r="T21" s="29" t="s">
        <v>11</v>
      </c>
      <c r="U21" s="29" t="s">
        <v>11</v>
      </c>
      <c r="V21" s="29" t="s">
        <v>11</v>
      </c>
      <c r="W21" s="29" t="s">
        <v>11</v>
      </c>
      <c r="X21" s="29" t="s">
        <v>11</v>
      </c>
      <c r="Y21" s="10" t="s">
        <v>11</v>
      </c>
      <c r="Z21" s="10" t="s">
        <v>11</v>
      </c>
      <c r="AA21" s="10" t="s">
        <v>11</v>
      </c>
      <c r="AB21" s="35" t="s">
        <v>11</v>
      </c>
      <c r="AC21" s="35" t="s">
        <v>11</v>
      </c>
      <c r="AD21" s="26"/>
      <c r="AE21" s="24">
        <f t="shared" si="0"/>
        <v>0</v>
      </c>
      <c r="AF21" s="24">
        <f t="shared" si="1"/>
        <v>0</v>
      </c>
      <c r="AG21" s="24">
        <f t="shared" si="2"/>
        <v>15</v>
      </c>
      <c r="AH21" s="41" t="str" cm="1">
        <f t="array" ref="AH21">_xlfn.IFS(
SUM(AE21:AG21)=0,"Not Started",
SUM(AE21:AG21)&lt;15,"In Progress",
SUM(AE21:AG21)=15,"Completed",
SUM(AE21:AG21)&gt;15,"Error"
)</f>
        <v>Completed</v>
      </c>
    </row>
    <row r="22" spans="1:34" ht="13" x14ac:dyDescent="0.25">
      <c r="A22" s="248"/>
      <c r="B22" s="14" t="s">
        <v>671</v>
      </c>
      <c r="C22" s="7" t="s">
        <v>5660</v>
      </c>
      <c r="D22" s="7" t="s">
        <v>3686</v>
      </c>
      <c r="E22" s="7" t="s">
        <v>43</v>
      </c>
      <c r="F22" s="7" t="s">
        <v>48</v>
      </c>
      <c r="G22" s="7" t="s">
        <v>3848</v>
      </c>
      <c r="H22" s="7" t="s">
        <v>3848</v>
      </c>
      <c r="I22" s="7"/>
      <c r="J22" s="7" t="s">
        <v>4188</v>
      </c>
      <c r="K22" s="7" t="s">
        <v>3869</v>
      </c>
      <c r="L22" s="7">
        <v>10053206330</v>
      </c>
      <c r="M22" s="7"/>
      <c r="N22" s="7"/>
      <c r="O22" s="179" t="s">
        <v>11</v>
      </c>
      <c r="P22" s="179" t="s">
        <v>11</v>
      </c>
      <c r="Q22" s="179" t="s">
        <v>11</v>
      </c>
      <c r="R22" s="179" t="s">
        <v>11</v>
      </c>
      <c r="S22" s="179" t="s">
        <v>11</v>
      </c>
      <c r="T22" s="179" t="s">
        <v>11</v>
      </c>
      <c r="U22" s="179" t="s">
        <v>11</v>
      </c>
      <c r="V22" s="179" t="s">
        <v>11</v>
      </c>
      <c r="W22" s="179" t="s">
        <v>11</v>
      </c>
      <c r="X22" s="179" t="s">
        <v>11</v>
      </c>
      <c r="Y22" s="139" t="s">
        <v>11</v>
      </c>
      <c r="Z22" s="139" t="s">
        <v>11</v>
      </c>
      <c r="AA22" s="139" t="s">
        <v>11</v>
      </c>
      <c r="AB22" s="180" t="s">
        <v>11</v>
      </c>
      <c r="AC22" s="35" t="s">
        <v>11</v>
      </c>
      <c r="AD22" s="26"/>
      <c r="AE22" s="24">
        <f t="shared" si="0"/>
        <v>0</v>
      </c>
      <c r="AF22" s="24">
        <f t="shared" si="1"/>
        <v>0</v>
      </c>
      <c r="AG22" s="24">
        <f t="shared" si="2"/>
        <v>15</v>
      </c>
      <c r="AH22" s="41" t="str" cm="1">
        <f t="array" ref="AH22">_xlfn.IFS(
SUM(AE22:AG22)=0,"Not Started",
SUM(AE22:AG22)&lt;15,"In Progress",
SUM(AE22:AG22)=15,"Completed",
SUM(AE22:AG22)&gt;15,"Error"
)</f>
        <v>Completed</v>
      </c>
    </row>
    <row r="23" spans="1:34" ht="13" x14ac:dyDescent="0.25">
      <c r="A23" s="248"/>
      <c r="B23" s="7" t="s">
        <v>672</v>
      </c>
      <c r="C23" s="7" t="s">
        <v>3569</v>
      </c>
      <c r="D23" s="7" t="s">
        <v>3766</v>
      </c>
      <c r="E23" s="7" t="s">
        <v>43</v>
      </c>
      <c r="F23" s="7" t="s">
        <v>48</v>
      </c>
      <c r="G23" s="7" t="s">
        <v>3848</v>
      </c>
      <c r="H23" s="7" t="s">
        <v>3848</v>
      </c>
      <c r="I23" s="7"/>
      <c r="J23" s="7" t="s">
        <v>4145</v>
      </c>
      <c r="K23" s="7" t="s">
        <v>5678</v>
      </c>
      <c r="L23" s="7">
        <v>10053408925</v>
      </c>
      <c r="M23" s="7"/>
      <c r="N23" s="7"/>
      <c r="O23" s="179" t="s">
        <v>11</v>
      </c>
      <c r="P23" s="179" t="s">
        <v>11</v>
      </c>
      <c r="Q23" s="179" t="s">
        <v>11</v>
      </c>
      <c r="R23" s="179" t="s">
        <v>11</v>
      </c>
      <c r="S23" s="179" t="s">
        <v>11</v>
      </c>
      <c r="T23" s="179" t="s">
        <v>11</v>
      </c>
      <c r="U23" s="179" t="s">
        <v>11</v>
      </c>
      <c r="V23" s="179" t="s">
        <v>11</v>
      </c>
      <c r="W23" s="179" t="s">
        <v>11</v>
      </c>
      <c r="X23" s="179" t="s">
        <v>11</v>
      </c>
      <c r="Y23" s="139" t="s">
        <v>11</v>
      </c>
      <c r="Z23" s="139" t="s">
        <v>11</v>
      </c>
      <c r="AA23" s="139" t="s">
        <v>11</v>
      </c>
      <c r="AB23" s="180" t="s">
        <v>11</v>
      </c>
      <c r="AC23" s="35" t="s">
        <v>11</v>
      </c>
      <c r="AD23" s="26"/>
      <c r="AE23" s="24">
        <f t="shared" si="0"/>
        <v>0</v>
      </c>
      <c r="AF23" s="24">
        <f t="shared" si="1"/>
        <v>0</v>
      </c>
      <c r="AG23" s="24">
        <f t="shared" si="2"/>
        <v>15</v>
      </c>
      <c r="AH23" s="41" t="str" cm="1">
        <f t="array" ref="AH23">_xlfn.IFS(
SUM(AE23:AG23)=0,"Not Started",
SUM(AE23:AG23)&lt;15,"In Progress",
SUM(AE23:AG23)=15,"Completed",
SUM(AE23:AG23)&gt;15,"Error"
)</f>
        <v>Completed</v>
      </c>
    </row>
    <row r="24" spans="1:34" ht="13" x14ac:dyDescent="0.25">
      <c r="A24" s="248"/>
      <c r="B24" s="14" t="s">
        <v>673</v>
      </c>
      <c r="C24" s="7" t="s">
        <v>3642</v>
      </c>
      <c r="D24" s="7" t="s">
        <v>3842</v>
      </c>
      <c r="E24" s="7" t="s">
        <v>43</v>
      </c>
      <c r="F24" s="7" t="s">
        <v>48</v>
      </c>
      <c r="G24" s="7" t="s">
        <v>3848</v>
      </c>
      <c r="H24" s="7" t="s">
        <v>3848</v>
      </c>
      <c r="I24" s="7"/>
      <c r="J24" s="7" t="s">
        <v>4035</v>
      </c>
      <c r="K24" s="7" t="s">
        <v>3991</v>
      </c>
      <c r="L24" s="7">
        <v>10053714769</v>
      </c>
      <c r="M24" s="7"/>
      <c r="N24" s="7"/>
      <c r="O24" s="29" t="s">
        <v>11</v>
      </c>
      <c r="P24" s="29" t="s">
        <v>11</v>
      </c>
      <c r="Q24" s="29" t="s">
        <v>11</v>
      </c>
      <c r="R24" s="29" t="s">
        <v>11</v>
      </c>
      <c r="S24" s="29" t="s">
        <v>11</v>
      </c>
      <c r="T24" s="29" t="s">
        <v>11</v>
      </c>
      <c r="U24" s="29" t="s">
        <v>11</v>
      </c>
      <c r="V24" s="29" t="s">
        <v>11</v>
      </c>
      <c r="W24" s="29" t="s">
        <v>11</v>
      </c>
      <c r="X24" s="29" t="s">
        <v>11</v>
      </c>
      <c r="Y24" s="10" t="s">
        <v>11</v>
      </c>
      <c r="Z24" s="10" t="s">
        <v>11</v>
      </c>
      <c r="AA24" s="10" t="s">
        <v>11</v>
      </c>
      <c r="AB24" s="35" t="s">
        <v>11</v>
      </c>
      <c r="AC24" s="35" t="s">
        <v>11</v>
      </c>
      <c r="AD24" s="26"/>
      <c r="AE24" s="24">
        <f t="shared" si="0"/>
        <v>0</v>
      </c>
      <c r="AF24" s="24">
        <f t="shared" si="1"/>
        <v>0</v>
      </c>
      <c r="AG24" s="24">
        <f t="shared" si="2"/>
        <v>15</v>
      </c>
      <c r="AH24" s="41" t="str" cm="1">
        <f t="array" ref="AH24">_xlfn.IFS(
SUM(AE24:AG24)=0,"Not Started",
SUM(AE24:AG24)&lt;15,"In Progress",
SUM(AE24:AG24)=15,"Completed",
SUM(AE24:AG24)&gt;15,"Error"
)</f>
        <v>Completed</v>
      </c>
    </row>
    <row r="25" spans="1:34" ht="13" x14ac:dyDescent="0.25">
      <c r="A25" s="248"/>
      <c r="B25" s="7" t="s">
        <v>674</v>
      </c>
      <c r="C25" s="7" t="s">
        <v>3478</v>
      </c>
      <c r="D25" s="7" t="s">
        <v>3670</v>
      </c>
      <c r="E25" s="7" t="s">
        <v>51</v>
      </c>
      <c r="F25" s="7" t="s">
        <v>48</v>
      </c>
      <c r="G25" s="7" t="s">
        <v>3848</v>
      </c>
      <c r="H25" s="7" t="s">
        <v>3848</v>
      </c>
      <c r="I25" s="7"/>
      <c r="J25" s="7" t="s">
        <v>4138</v>
      </c>
      <c r="K25" s="7" t="s">
        <v>5679</v>
      </c>
      <c r="L25" s="7">
        <v>10053467846</v>
      </c>
      <c r="M25" s="7"/>
      <c r="N25" s="7"/>
      <c r="O25" s="29" t="s">
        <v>11</v>
      </c>
      <c r="P25" s="29" t="s">
        <v>11</v>
      </c>
      <c r="Q25" s="29" t="s">
        <v>11</v>
      </c>
      <c r="R25" s="29" t="s">
        <v>11</v>
      </c>
      <c r="S25" s="29" t="s">
        <v>11</v>
      </c>
      <c r="T25" s="29" t="s">
        <v>11</v>
      </c>
      <c r="U25" s="29" t="s">
        <v>11</v>
      </c>
      <c r="V25" s="29" t="s">
        <v>11</v>
      </c>
      <c r="W25" s="29" t="s">
        <v>11</v>
      </c>
      <c r="X25" s="29" t="s">
        <v>11</v>
      </c>
      <c r="Y25" s="10" t="s">
        <v>11</v>
      </c>
      <c r="Z25" s="10" t="s">
        <v>11</v>
      </c>
      <c r="AA25" s="10" t="s">
        <v>11</v>
      </c>
      <c r="AB25" s="35" t="s">
        <v>11</v>
      </c>
      <c r="AC25" s="35" t="s">
        <v>11</v>
      </c>
      <c r="AD25" s="26"/>
      <c r="AE25" s="24">
        <f t="shared" si="0"/>
        <v>0</v>
      </c>
      <c r="AF25" s="24">
        <f t="shared" si="1"/>
        <v>0</v>
      </c>
      <c r="AG25" s="24">
        <f t="shared" si="2"/>
        <v>15</v>
      </c>
      <c r="AH25" s="41" t="str" cm="1">
        <f t="array" ref="AH25">_xlfn.IFS(
SUM(AE25:AG25)=0,"Not Started",
SUM(AE25:AG25)&lt;15,"In Progress",
SUM(AE25:AG25)=15,"Completed",
SUM(AE25:AG25)&gt;15,"Error"
)</f>
        <v>Completed</v>
      </c>
    </row>
    <row r="26" spans="1:34" ht="13" x14ac:dyDescent="0.25">
      <c r="A26" s="248"/>
      <c r="B26" s="14" t="s">
        <v>675</v>
      </c>
      <c r="C26" s="7" t="s">
        <v>3563</v>
      </c>
      <c r="D26" s="7" t="s">
        <v>3760</v>
      </c>
      <c r="E26" s="7" t="s">
        <v>51</v>
      </c>
      <c r="F26" s="7" t="s">
        <v>48</v>
      </c>
      <c r="G26" s="7" t="s">
        <v>3848</v>
      </c>
      <c r="H26" s="7" t="s">
        <v>3848</v>
      </c>
      <c r="I26" s="7"/>
      <c r="J26" s="7" t="s">
        <v>4060</v>
      </c>
      <c r="K26" s="7" t="s">
        <v>5680</v>
      </c>
      <c r="L26" s="7">
        <v>10053237541</v>
      </c>
      <c r="M26" s="7"/>
      <c r="N26" s="7"/>
      <c r="O26" s="29" t="s">
        <v>11</v>
      </c>
      <c r="P26" s="29" t="s">
        <v>11</v>
      </c>
      <c r="Q26" s="29" t="s">
        <v>11</v>
      </c>
      <c r="R26" s="29" t="s">
        <v>11</v>
      </c>
      <c r="S26" s="29" t="s">
        <v>11</v>
      </c>
      <c r="T26" s="29" t="s">
        <v>11</v>
      </c>
      <c r="U26" s="29" t="s">
        <v>11</v>
      </c>
      <c r="V26" s="29" t="s">
        <v>11</v>
      </c>
      <c r="W26" s="29" t="s">
        <v>11</v>
      </c>
      <c r="X26" s="29" t="s">
        <v>11</v>
      </c>
      <c r="Y26" s="10" t="s">
        <v>11</v>
      </c>
      <c r="Z26" s="10" t="s">
        <v>11</v>
      </c>
      <c r="AA26" s="10" t="s">
        <v>11</v>
      </c>
      <c r="AB26" s="35" t="s">
        <v>11</v>
      </c>
      <c r="AC26" s="35" t="s">
        <v>11</v>
      </c>
      <c r="AD26" s="26"/>
      <c r="AE26" s="24">
        <f t="shared" si="0"/>
        <v>0</v>
      </c>
      <c r="AF26" s="24">
        <f t="shared" si="1"/>
        <v>0</v>
      </c>
      <c r="AG26" s="24">
        <f t="shared" si="2"/>
        <v>15</v>
      </c>
      <c r="AH26" s="41" t="str" cm="1">
        <f t="array" ref="AH26">_xlfn.IFS(
SUM(AE26:AG26)=0,"Not Started",
SUM(AE26:AG26)&lt;15,"In Progress",
SUM(AE26:AG26)=15,"Completed",
SUM(AE26:AG26)&gt;15,"Error"
)</f>
        <v>Completed</v>
      </c>
    </row>
    <row r="27" spans="1:34" ht="13" x14ac:dyDescent="0.25">
      <c r="A27" s="248"/>
      <c r="B27" s="7" t="s">
        <v>676</v>
      </c>
      <c r="C27" s="7" t="s">
        <v>3575</v>
      </c>
      <c r="D27" s="7" t="s">
        <v>3772</v>
      </c>
      <c r="E27" s="7" t="s">
        <v>43</v>
      </c>
      <c r="F27" s="7" t="s">
        <v>48</v>
      </c>
      <c r="G27" s="7" t="s">
        <v>3848</v>
      </c>
      <c r="H27" s="7" t="s">
        <v>3848</v>
      </c>
      <c r="I27" s="7"/>
      <c r="J27" s="7" t="s">
        <v>4032</v>
      </c>
      <c r="K27" s="7" t="s">
        <v>3943</v>
      </c>
      <c r="L27" s="7">
        <v>10053531437</v>
      </c>
      <c r="M27" s="7"/>
      <c r="N27" s="7"/>
      <c r="O27" s="29" t="s">
        <v>11</v>
      </c>
      <c r="P27" s="29" t="s">
        <v>11</v>
      </c>
      <c r="Q27" s="29" t="s">
        <v>11</v>
      </c>
      <c r="R27" s="29" t="s">
        <v>11</v>
      </c>
      <c r="S27" s="29" t="s">
        <v>11</v>
      </c>
      <c r="T27" s="29" t="s">
        <v>11</v>
      </c>
      <c r="U27" s="29" t="s">
        <v>11</v>
      </c>
      <c r="V27" s="29" t="s">
        <v>11</v>
      </c>
      <c r="W27" s="29" t="s">
        <v>11</v>
      </c>
      <c r="X27" s="29" t="s">
        <v>11</v>
      </c>
      <c r="Y27" s="10" t="s">
        <v>11</v>
      </c>
      <c r="Z27" s="10" t="s">
        <v>11</v>
      </c>
      <c r="AA27" s="10" t="s">
        <v>11</v>
      </c>
      <c r="AB27" s="35" t="s">
        <v>11</v>
      </c>
      <c r="AC27" s="35" t="s">
        <v>11</v>
      </c>
      <c r="AD27" s="26"/>
      <c r="AE27" s="24">
        <f t="shared" si="0"/>
        <v>0</v>
      </c>
      <c r="AF27" s="24">
        <f t="shared" si="1"/>
        <v>0</v>
      </c>
      <c r="AG27" s="24">
        <f t="shared" si="2"/>
        <v>15</v>
      </c>
      <c r="AH27" s="41" t="str" cm="1">
        <f t="array" ref="AH27">_xlfn.IFS(
SUM(AE27:AG27)=0,"Not Started",
SUM(AE27:AG27)&lt;15,"In Progress",
SUM(AE27:AG27)=15,"Completed",
SUM(AE27:AG27)&gt;15,"Error"
)</f>
        <v>Completed</v>
      </c>
    </row>
    <row r="28" spans="1:34" ht="13" x14ac:dyDescent="0.25">
      <c r="A28" s="248"/>
      <c r="B28" s="14" t="s">
        <v>677</v>
      </c>
      <c r="C28" s="7" t="s">
        <v>3605</v>
      </c>
      <c r="D28" s="7" t="s">
        <v>3804</v>
      </c>
      <c r="E28" s="7" t="s">
        <v>43</v>
      </c>
      <c r="F28" s="7" t="s">
        <v>48</v>
      </c>
      <c r="G28" s="7" t="s">
        <v>3848</v>
      </c>
      <c r="H28" s="7" t="s">
        <v>3848</v>
      </c>
      <c r="I28" s="7"/>
      <c r="J28" s="7" t="s">
        <v>4113</v>
      </c>
      <c r="K28" s="7" t="s">
        <v>5681</v>
      </c>
      <c r="L28" s="7">
        <v>10053651382</v>
      </c>
      <c r="M28" s="7"/>
      <c r="N28" s="7"/>
      <c r="O28" s="179" t="s">
        <v>11</v>
      </c>
      <c r="P28" s="179" t="s">
        <v>11</v>
      </c>
      <c r="Q28" s="179" t="s">
        <v>11</v>
      </c>
      <c r="R28" s="179" t="s">
        <v>11</v>
      </c>
      <c r="S28" s="179" t="s">
        <v>11</v>
      </c>
      <c r="T28" s="179" t="s">
        <v>11</v>
      </c>
      <c r="U28" s="179" t="s">
        <v>11</v>
      </c>
      <c r="V28" s="179" t="s">
        <v>11</v>
      </c>
      <c r="W28" s="179" t="s">
        <v>11</v>
      </c>
      <c r="X28" s="179" t="s">
        <v>11</v>
      </c>
      <c r="Y28" s="139" t="s">
        <v>11</v>
      </c>
      <c r="Z28" s="139" t="s">
        <v>11</v>
      </c>
      <c r="AA28" s="139" t="s">
        <v>11</v>
      </c>
      <c r="AB28" s="35" t="s">
        <v>11</v>
      </c>
      <c r="AC28" s="35" t="s">
        <v>11</v>
      </c>
      <c r="AD28" s="26"/>
      <c r="AE28" s="24">
        <f t="shared" si="0"/>
        <v>0</v>
      </c>
      <c r="AF28" s="24">
        <f t="shared" si="1"/>
        <v>0</v>
      </c>
      <c r="AG28" s="24">
        <f t="shared" si="2"/>
        <v>15</v>
      </c>
      <c r="AH28" s="41" t="str" cm="1">
        <f t="array" ref="AH28">_xlfn.IFS(
SUM(AE28:AG28)=0,"Not Started",
SUM(AE28:AG28)&lt;15,"In Progress",
SUM(AE28:AG28)=15,"Completed",
SUM(AE28:AG28)&gt;15,"Error"
)</f>
        <v>Completed</v>
      </c>
    </row>
    <row r="29" spans="1:34" ht="13" x14ac:dyDescent="0.25">
      <c r="A29" s="248"/>
      <c r="B29" s="7" t="s">
        <v>678</v>
      </c>
      <c r="C29" s="7" t="s">
        <v>3601</v>
      </c>
      <c r="D29" s="7" t="s">
        <v>3799</v>
      </c>
      <c r="E29" s="7" t="s">
        <v>47</v>
      </c>
      <c r="F29" s="7" t="s">
        <v>48</v>
      </c>
      <c r="G29" s="7" t="s">
        <v>3848</v>
      </c>
      <c r="H29" s="7" t="s">
        <v>3848</v>
      </c>
      <c r="I29" s="7"/>
      <c r="J29" s="7" t="s">
        <v>4120</v>
      </c>
      <c r="K29" s="7" t="s">
        <v>5682</v>
      </c>
      <c r="L29" s="7">
        <v>10053651776</v>
      </c>
      <c r="M29" s="7"/>
      <c r="N29" s="7"/>
      <c r="O29" s="181" t="s">
        <v>11</v>
      </c>
      <c r="P29" s="181" t="s">
        <v>11</v>
      </c>
      <c r="Q29" s="181" t="s">
        <v>11</v>
      </c>
      <c r="R29" s="181" t="s">
        <v>11</v>
      </c>
      <c r="S29" s="181" t="s">
        <v>11</v>
      </c>
      <c r="T29" s="181" t="s">
        <v>11</v>
      </c>
      <c r="U29" s="181" t="s">
        <v>11</v>
      </c>
      <c r="V29" s="181" t="s">
        <v>11</v>
      </c>
      <c r="W29" s="181" t="s">
        <v>11</v>
      </c>
      <c r="X29" s="181" t="s">
        <v>11</v>
      </c>
      <c r="Y29" s="182" t="s">
        <v>11</v>
      </c>
      <c r="Z29" s="182" t="s">
        <v>11</v>
      </c>
      <c r="AA29" s="182" t="s">
        <v>11</v>
      </c>
      <c r="AB29" s="35" t="s">
        <v>11</v>
      </c>
      <c r="AC29" s="35" t="s">
        <v>11</v>
      </c>
      <c r="AD29" s="26"/>
      <c r="AE29" s="24">
        <f t="shared" si="0"/>
        <v>0</v>
      </c>
      <c r="AF29" s="24">
        <f t="shared" si="1"/>
        <v>0</v>
      </c>
      <c r="AG29" s="24">
        <f t="shared" si="2"/>
        <v>15</v>
      </c>
      <c r="AH29" s="41" t="str" cm="1">
        <f t="array" ref="AH29">_xlfn.IFS(
SUM(AE29:AG29)=0,"Not Started",
SUM(AE29:AG29)&lt;15,"In Progress",
SUM(AE29:AG29)=15,"Completed",
SUM(AE29:AG29)&gt;15,"Error"
)</f>
        <v>Completed</v>
      </c>
    </row>
    <row r="30" spans="1:34" ht="13" x14ac:dyDescent="0.25">
      <c r="A30" s="248"/>
      <c r="B30" s="14" t="s">
        <v>679</v>
      </c>
      <c r="C30" s="7" t="s">
        <v>3595</v>
      </c>
      <c r="D30" s="7" t="s">
        <v>3793</v>
      </c>
      <c r="E30" s="7" t="s">
        <v>43</v>
      </c>
      <c r="F30" s="7" t="s">
        <v>48</v>
      </c>
      <c r="G30" s="7" t="s">
        <v>3848</v>
      </c>
      <c r="H30" s="7" t="s">
        <v>3848</v>
      </c>
      <c r="I30" s="7"/>
      <c r="J30" s="7" t="s">
        <v>4153</v>
      </c>
      <c r="K30" s="7" t="s">
        <v>5683</v>
      </c>
      <c r="L30" s="7">
        <v>10053131954</v>
      </c>
      <c r="M30" s="7"/>
      <c r="N30" s="7"/>
      <c r="O30" s="179" t="s">
        <v>11</v>
      </c>
      <c r="P30" s="179" t="s">
        <v>11</v>
      </c>
      <c r="Q30" s="179" t="s">
        <v>11</v>
      </c>
      <c r="R30" s="179" t="s">
        <v>11</v>
      </c>
      <c r="S30" s="179" t="s">
        <v>11</v>
      </c>
      <c r="T30" s="179" t="s">
        <v>11</v>
      </c>
      <c r="U30" s="179" t="s">
        <v>11</v>
      </c>
      <c r="V30" s="179" t="s">
        <v>11</v>
      </c>
      <c r="W30" s="179" t="s">
        <v>11</v>
      </c>
      <c r="X30" s="179" t="s">
        <v>11</v>
      </c>
      <c r="Y30" s="139" t="s">
        <v>11</v>
      </c>
      <c r="Z30" s="139" t="s">
        <v>11</v>
      </c>
      <c r="AA30" s="139" t="s">
        <v>11</v>
      </c>
      <c r="AB30" s="209" t="s">
        <v>11053</v>
      </c>
      <c r="AC30" s="35" t="s">
        <v>11</v>
      </c>
      <c r="AD30" s="26"/>
      <c r="AE30" s="24">
        <f t="shared" si="0"/>
        <v>0</v>
      </c>
      <c r="AF30" s="24">
        <f t="shared" si="1"/>
        <v>0</v>
      </c>
      <c r="AG30" s="24">
        <f t="shared" si="2"/>
        <v>14</v>
      </c>
      <c r="AH30" s="41" t="str" cm="1">
        <f t="array" ref="AH30">_xlfn.IFS(
SUM(AE30:AG30)=0,"Not Started",
SUM(AE30:AG30)&lt;15,"In Progress",
SUM(AE30:AG30)=15,"Completed",
SUM(AE30:AG30)&gt;15,"Error"
)</f>
        <v>In Progress</v>
      </c>
    </row>
    <row r="31" spans="1:34" ht="13" x14ac:dyDescent="0.25">
      <c r="A31" s="248"/>
      <c r="B31" s="7" t="s">
        <v>680</v>
      </c>
      <c r="C31" s="7" t="s">
        <v>3571</v>
      </c>
      <c r="D31" s="7" t="s">
        <v>3768</v>
      </c>
      <c r="E31" s="7" t="s">
        <v>51</v>
      </c>
      <c r="F31" s="7" t="s">
        <v>48</v>
      </c>
      <c r="G31" s="7" t="s">
        <v>3848</v>
      </c>
      <c r="H31" s="7" t="s">
        <v>3848</v>
      </c>
      <c r="I31" s="7"/>
      <c r="J31" s="7" t="s">
        <v>4116</v>
      </c>
      <c r="K31" s="7" t="s">
        <v>3940</v>
      </c>
      <c r="L31" s="7">
        <v>10053625481</v>
      </c>
      <c r="M31" s="7"/>
      <c r="N31" s="7"/>
      <c r="O31" s="29" t="s">
        <v>11</v>
      </c>
      <c r="P31" s="29" t="s">
        <v>11</v>
      </c>
      <c r="Q31" s="29" t="s">
        <v>11</v>
      </c>
      <c r="R31" s="29" t="s">
        <v>11</v>
      </c>
      <c r="S31" s="29" t="s">
        <v>11</v>
      </c>
      <c r="T31" s="29" t="s">
        <v>11</v>
      </c>
      <c r="U31" s="29" t="s">
        <v>11</v>
      </c>
      <c r="V31" s="29" t="s">
        <v>11</v>
      </c>
      <c r="W31" s="29" t="s">
        <v>11</v>
      </c>
      <c r="X31" s="29" t="s">
        <v>11</v>
      </c>
      <c r="Y31" s="10" t="s">
        <v>11</v>
      </c>
      <c r="Z31" s="10" t="s">
        <v>11</v>
      </c>
      <c r="AA31" s="10" t="s">
        <v>11</v>
      </c>
      <c r="AB31" s="35" t="s">
        <v>11</v>
      </c>
      <c r="AC31" s="35" t="s">
        <v>11</v>
      </c>
      <c r="AD31" s="26"/>
      <c r="AE31" s="24">
        <f t="shared" si="0"/>
        <v>0</v>
      </c>
      <c r="AF31" s="24">
        <f t="shared" si="1"/>
        <v>0</v>
      </c>
      <c r="AG31" s="24">
        <f t="shared" si="2"/>
        <v>15</v>
      </c>
      <c r="AH31" s="41" t="str" cm="1">
        <f t="array" ref="AH31">_xlfn.IFS(
SUM(AE31:AG31)=0,"Not Started",
SUM(AE31:AG31)&lt;15,"In Progress",
SUM(AE31:AG31)=15,"Completed",
SUM(AE31:AG31)&gt;15,"Error"
)</f>
        <v>Completed</v>
      </c>
    </row>
    <row r="32" spans="1:34" ht="13" x14ac:dyDescent="0.25">
      <c r="A32" s="248"/>
      <c r="B32" s="14" t="s">
        <v>681</v>
      </c>
      <c r="C32" s="7" t="s">
        <v>3581</v>
      </c>
      <c r="D32" s="7" t="s">
        <v>3778</v>
      </c>
      <c r="E32" s="7" t="s">
        <v>43</v>
      </c>
      <c r="F32" s="7" t="s">
        <v>48</v>
      </c>
      <c r="G32" s="7" t="s">
        <v>3848</v>
      </c>
      <c r="H32" s="7" t="s">
        <v>3848</v>
      </c>
      <c r="I32" s="7"/>
      <c r="J32" s="7" t="s">
        <v>4122</v>
      </c>
      <c r="K32" s="7" t="s">
        <v>5684</v>
      </c>
      <c r="L32" s="7">
        <v>10053652129</v>
      </c>
      <c r="M32" s="7"/>
      <c r="N32" s="7"/>
      <c r="O32" s="29" t="s">
        <v>11</v>
      </c>
      <c r="P32" s="29" t="s">
        <v>11</v>
      </c>
      <c r="Q32" s="29" t="s">
        <v>11</v>
      </c>
      <c r="R32" s="29" t="s">
        <v>11</v>
      </c>
      <c r="S32" s="29" t="s">
        <v>11</v>
      </c>
      <c r="T32" s="29" t="s">
        <v>11</v>
      </c>
      <c r="U32" s="29" t="s">
        <v>11</v>
      </c>
      <c r="V32" s="29" t="s">
        <v>11</v>
      </c>
      <c r="W32" s="29" t="s">
        <v>11</v>
      </c>
      <c r="X32" s="29" t="s">
        <v>11</v>
      </c>
      <c r="Y32" s="10" t="s">
        <v>11</v>
      </c>
      <c r="Z32" s="10" t="s">
        <v>11</v>
      </c>
      <c r="AA32" s="10" t="s">
        <v>11</v>
      </c>
      <c r="AB32" s="35" t="s">
        <v>11</v>
      </c>
      <c r="AC32" s="35" t="s">
        <v>11</v>
      </c>
      <c r="AD32" s="26"/>
      <c r="AE32" s="24">
        <f t="shared" si="0"/>
        <v>0</v>
      </c>
      <c r="AF32" s="24">
        <f t="shared" si="1"/>
        <v>0</v>
      </c>
      <c r="AG32" s="24">
        <f t="shared" si="2"/>
        <v>15</v>
      </c>
      <c r="AH32" s="41" t="str" cm="1">
        <f t="array" ref="AH32">_xlfn.IFS(
SUM(AE32:AG32)=0,"Not Started",
SUM(AE32:AG32)&lt;15,"In Progress",
SUM(AE32:AG32)=15,"Completed",
SUM(AE32:AG32)&gt;15,"Error"
)</f>
        <v>Completed</v>
      </c>
    </row>
    <row r="33" spans="1:34" ht="13" x14ac:dyDescent="0.25">
      <c r="A33" s="248"/>
      <c r="B33" s="7" t="s">
        <v>682</v>
      </c>
      <c r="C33" s="7" t="s">
        <v>3635</v>
      </c>
      <c r="D33" s="7" t="s">
        <v>3835</v>
      </c>
      <c r="E33" s="7" t="s">
        <v>43</v>
      </c>
      <c r="F33" s="7" t="s">
        <v>48</v>
      </c>
      <c r="G33" s="7" t="s">
        <v>3848</v>
      </c>
      <c r="H33" s="7" t="s">
        <v>3848</v>
      </c>
      <c r="I33" s="7"/>
      <c r="J33" s="7" t="s">
        <v>4094</v>
      </c>
      <c r="K33" s="7" t="s">
        <v>5685</v>
      </c>
      <c r="L33" s="7">
        <v>10053138051</v>
      </c>
      <c r="M33" s="7"/>
      <c r="N33" s="7"/>
      <c r="O33" s="29" t="s">
        <v>11</v>
      </c>
      <c r="P33" s="29" t="s">
        <v>11</v>
      </c>
      <c r="Q33" s="29" t="s">
        <v>11</v>
      </c>
      <c r="R33" s="29" t="s">
        <v>11</v>
      </c>
      <c r="S33" s="29" t="s">
        <v>11</v>
      </c>
      <c r="T33" s="29" t="s">
        <v>11</v>
      </c>
      <c r="U33" s="29" t="s">
        <v>11</v>
      </c>
      <c r="V33" s="29" t="s">
        <v>11</v>
      </c>
      <c r="W33" s="29" t="s">
        <v>11</v>
      </c>
      <c r="X33" s="29" t="s">
        <v>11</v>
      </c>
      <c r="Y33" s="10" t="s">
        <v>11</v>
      </c>
      <c r="Z33" s="10" t="s">
        <v>11</v>
      </c>
      <c r="AA33" s="10" t="s">
        <v>11</v>
      </c>
      <c r="AB33" s="35" t="s">
        <v>11</v>
      </c>
      <c r="AC33" s="35" t="s">
        <v>11</v>
      </c>
      <c r="AD33" s="26"/>
      <c r="AE33" s="24">
        <f t="shared" si="0"/>
        <v>0</v>
      </c>
      <c r="AF33" s="24">
        <f t="shared" si="1"/>
        <v>0</v>
      </c>
      <c r="AG33" s="24">
        <f t="shared" si="2"/>
        <v>15</v>
      </c>
      <c r="AH33" s="41" t="str" cm="1">
        <f t="array" ref="AH33">_xlfn.IFS(
SUM(AE33:AG33)=0,"Not Started",
SUM(AE33:AG33)&lt;15,"In Progress",
SUM(AE33:AG33)=15,"Completed",
SUM(AE33:AG33)&gt;15,"Error"
)</f>
        <v>Completed</v>
      </c>
    </row>
    <row r="34" spans="1:34" ht="13" x14ac:dyDescent="0.25">
      <c r="A34" s="248"/>
      <c r="B34" s="14" t="s">
        <v>683</v>
      </c>
      <c r="C34" s="7" t="s">
        <v>5661</v>
      </c>
      <c r="D34" s="7" t="s">
        <v>3800</v>
      </c>
      <c r="E34" s="7" t="s">
        <v>43</v>
      </c>
      <c r="F34" s="7" t="s">
        <v>48</v>
      </c>
      <c r="G34" s="7" t="s">
        <v>3848</v>
      </c>
      <c r="H34" s="7" t="s">
        <v>3848</v>
      </c>
      <c r="I34" s="7"/>
      <c r="J34" s="7" t="s">
        <v>4137</v>
      </c>
      <c r="K34" s="7" t="s">
        <v>5686</v>
      </c>
      <c r="L34" s="7">
        <v>10053394285</v>
      </c>
      <c r="M34" s="7"/>
      <c r="N34" s="7"/>
      <c r="O34" s="29" t="s">
        <v>11</v>
      </c>
      <c r="P34" s="29" t="s">
        <v>11</v>
      </c>
      <c r="Q34" s="29" t="s">
        <v>11</v>
      </c>
      <c r="R34" s="29" t="s">
        <v>11</v>
      </c>
      <c r="S34" s="29" t="s">
        <v>11</v>
      </c>
      <c r="T34" s="29" t="s">
        <v>11</v>
      </c>
      <c r="U34" s="29" t="s">
        <v>11</v>
      </c>
      <c r="V34" s="29" t="s">
        <v>11</v>
      </c>
      <c r="W34" s="29" t="s">
        <v>11</v>
      </c>
      <c r="X34" s="29" t="s">
        <v>11</v>
      </c>
      <c r="Y34" s="10" t="s">
        <v>11</v>
      </c>
      <c r="Z34" s="10" t="s">
        <v>11</v>
      </c>
      <c r="AA34" s="10" t="s">
        <v>11</v>
      </c>
      <c r="AB34" s="35" t="s">
        <v>11</v>
      </c>
      <c r="AC34" s="35" t="s">
        <v>11</v>
      </c>
      <c r="AD34" s="26"/>
      <c r="AE34" s="24">
        <f t="shared" si="0"/>
        <v>0</v>
      </c>
      <c r="AF34" s="24">
        <f t="shared" si="1"/>
        <v>0</v>
      </c>
      <c r="AG34" s="24">
        <f t="shared" si="2"/>
        <v>15</v>
      </c>
      <c r="AH34" s="41" t="str" cm="1">
        <f t="array" ref="AH34">_xlfn.IFS(
SUM(AE34:AG34)=0,"Not Started",
SUM(AE34:AG34)&lt;15,"In Progress",
SUM(AE34:AG34)=15,"Completed",
SUM(AE34:AG34)&gt;15,"Error"
)</f>
        <v>Completed</v>
      </c>
    </row>
    <row r="35" spans="1:34" ht="13" x14ac:dyDescent="0.25">
      <c r="A35" s="248"/>
      <c r="B35" s="7" t="s">
        <v>684</v>
      </c>
      <c r="C35" s="7" t="s">
        <v>3631</v>
      </c>
      <c r="D35" s="7" t="s">
        <v>3831</v>
      </c>
      <c r="E35" s="7" t="s">
        <v>47</v>
      </c>
      <c r="F35" s="7" t="s">
        <v>48</v>
      </c>
      <c r="G35" s="7" t="s">
        <v>3848</v>
      </c>
      <c r="H35" s="7" t="s">
        <v>3848</v>
      </c>
      <c r="I35" s="7"/>
      <c r="J35" s="7" t="s">
        <v>4164</v>
      </c>
      <c r="K35" s="7" t="s">
        <v>5687</v>
      </c>
      <c r="L35" s="7">
        <v>10053288184</v>
      </c>
      <c r="M35" s="7"/>
      <c r="N35" s="7"/>
      <c r="O35" s="29" t="s">
        <v>11</v>
      </c>
      <c r="P35" s="29" t="s">
        <v>11</v>
      </c>
      <c r="Q35" s="29" t="s">
        <v>11</v>
      </c>
      <c r="R35" s="29" t="s">
        <v>11</v>
      </c>
      <c r="S35" s="29" t="s">
        <v>11</v>
      </c>
      <c r="T35" s="29" t="s">
        <v>11</v>
      </c>
      <c r="U35" s="29" t="s">
        <v>11</v>
      </c>
      <c r="V35" s="29" t="s">
        <v>11</v>
      </c>
      <c r="W35" s="29" t="s">
        <v>11</v>
      </c>
      <c r="X35" s="29" t="s">
        <v>11</v>
      </c>
      <c r="Y35" s="10" t="s">
        <v>11</v>
      </c>
      <c r="Z35" s="10" t="s">
        <v>11</v>
      </c>
      <c r="AA35" s="10" t="s">
        <v>11</v>
      </c>
      <c r="AB35" s="35" t="s">
        <v>11</v>
      </c>
      <c r="AC35" s="35" t="s">
        <v>11</v>
      </c>
      <c r="AD35" s="26"/>
      <c r="AE35" s="24">
        <f t="shared" si="0"/>
        <v>0</v>
      </c>
      <c r="AF35" s="24">
        <f t="shared" si="1"/>
        <v>0</v>
      </c>
      <c r="AG35" s="24">
        <f t="shared" si="2"/>
        <v>15</v>
      </c>
      <c r="AH35" s="41" t="str" cm="1">
        <f t="array" ref="AH35">_xlfn.IFS(
SUM(AE35:AG35)=0,"Not Started",
SUM(AE35:AG35)&lt;15,"In Progress",
SUM(AE35:AG35)=15,"Completed",
SUM(AE35:AG35)&gt;15,"Error"
)</f>
        <v>Completed</v>
      </c>
    </row>
    <row r="36" spans="1:34" ht="13" x14ac:dyDescent="0.25">
      <c r="A36" s="248"/>
      <c r="B36" s="14" t="s">
        <v>685</v>
      </c>
      <c r="C36" s="7" t="s">
        <v>3567</v>
      </c>
      <c r="D36" s="7" t="s">
        <v>3764</v>
      </c>
      <c r="E36" s="7" t="s">
        <v>43</v>
      </c>
      <c r="F36" s="7" t="s">
        <v>48</v>
      </c>
      <c r="G36" s="7" t="s">
        <v>3848</v>
      </c>
      <c r="H36" s="7" t="s">
        <v>3848</v>
      </c>
      <c r="I36" s="7"/>
      <c r="J36" s="7" t="s">
        <v>4013</v>
      </c>
      <c r="K36" s="7" t="s">
        <v>5688</v>
      </c>
      <c r="L36" s="7">
        <v>10053648215</v>
      </c>
      <c r="M36" s="7"/>
      <c r="N36" s="7"/>
      <c r="O36" s="29" t="s">
        <v>11</v>
      </c>
      <c r="P36" s="29" t="s">
        <v>11</v>
      </c>
      <c r="Q36" s="29" t="s">
        <v>11</v>
      </c>
      <c r="R36" s="29" t="s">
        <v>11</v>
      </c>
      <c r="S36" s="29" t="s">
        <v>11</v>
      </c>
      <c r="T36" s="29" t="s">
        <v>11</v>
      </c>
      <c r="U36" s="29" t="s">
        <v>11</v>
      </c>
      <c r="V36" s="29" t="s">
        <v>11</v>
      </c>
      <c r="W36" s="29" t="s">
        <v>11</v>
      </c>
      <c r="X36" s="29" t="s">
        <v>11</v>
      </c>
      <c r="Y36" s="10" t="s">
        <v>11</v>
      </c>
      <c r="Z36" s="10" t="s">
        <v>11</v>
      </c>
      <c r="AA36" s="10" t="s">
        <v>11</v>
      </c>
      <c r="AB36" s="35" t="s">
        <v>11</v>
      </c>
      <c r="AC36" s="35" t="s">
        <v>11</v>
      </c>
      <c r="AD36" s="26"/>
      <c r="AE36" s="24">
        <f t="shared" si="0"/>
        <v>0</v>
      </c>
      <c r="AF36" s="24">
        <f t="shared" si="1"/>
        <v>0</v>
      </c>
      <c r="AG36" s="24">
        <f t="shared" si="2"/>
        <v>15</v>
      </c>
      <c r="AH36" s="41" t="str" cm="1">
        <f t="array" ref="AH36">_xlfn.IFS(
SUM(AE36:AG36)=0,"Not Started",
SUM(AE36:AG36)&lt;15,"In Progress",
SUM(AE36:AG36)=15,"Completed",
SUM(AE36:AG36)&gt;15,"Error"
)</f>
        <v>Completed</v>
      </c>
    </row>
    <row r="37" spans="1:34" ht="13" x14ac:dyDescent="0.25">
      <c r="A37" s="248"/>
      <c r="B37" s="7" t="s">
        <v>686</v>
      </c>
      <c r="C37" s="7" t="s">
        <v>3609</v>
      </c>
      <c r="D37" s="7" t="s">
        <v>3808</v>
      </c>
      <c r="E37" s="7" t="s">
        <v>43</v>
      </c>
      <c r="F37" s="7" t="s">
        <v>48</v>
      </c>
      <c r="G37" s="7" t="s">
        <v>3848</v>
      </c>
      <c r="H37" s="7" t="s">
        <v>3848</v>
      </c>
      <c r="I37" s="7"/>
      <c r="J37" s="7" t="s">
        <v>4007</v>
      </c>
      <c r="K37" s="7" t="s">
        <v>5689</v>
      </c>
      <c r="L37" s="7">
        <v>10053210682</v>
      </c>
      <c r="M37" s="7"/>
      <c r="N37" s="7"/>
      <c r="O37" s="179" t="s">
        <v>11</v>
      </c>
      <c r="P37" s="179" t="s">
        <v>11</v>
      </c>
      <c r="Q37" s="179" t="s">
        <v>11</v>
      </c>
      <c r="R37" s="179" t="s">
        <v>11</v>
      </c>
      <c r="S37" s="179" t="s">
        <v>11</v>
      </c>
      <c r="T37" s="179" t="s">
        <v>11</v>
      </c>
      <c r="U37" s="179" t="s">
        <v>11</v>
      </c>
      <c r="V37" s="179" t="s">
        <v>11</v>
      </c>
      <c r="W37" s="179" t="s">
        <v>11</v>
      </c>
      <c r="X37" s="179" t="s">
        <v>11</v>
      </c>
      <c r="Y37" s="139" t="s">
        <v>11</v>
      </c>
      <c r="Z37" s="139" t="s">
        <v>11</v>
      </c>
      <c r="AA37" s="139" t="s">
        <v>11</v>
      </c>
      <c r="AB37" s="139" t="s">
        <v>11</v>
      </c>
      <c r="AC37" s="35" t="s">
        <v>11</v>
      </c>
      <c r="AD37" s="26"/>
      <c r="AE37" s="24">
        <f t="shared" si="0"/>
        <v>0</v>
      </c>
      <c r="AF37" s="24">
        <f t="shared" si="1"/>
        <v>0</v>
      </c>
      <c r="AG37" s="24">
        <f t="shared" si="2"/>
        <v>15</v>
      </c>
      <c r="AH37" s="41" t="str" cm="1">
        <f t="array" ref="AH37">_xlfn.IFS(
SUM(AE37:AG37)=0,"Not Started",
SUM(AE37:AG37)&lt;15,"In Progress",
SUM(AE37:AG37)=15,"Completed",
SUM(AE37:AG37)&gt;15,"Error"
)</f>
        <v>Completed</v>
      </c>
    </row>
    <row r="38" spans="1:34" ht="13" x14ac:dyDescent="0.25">
      <c r="A38" s="248"/>
      <c r="B38" s="14" t="s">
        <v>687</v>
      </c>
      <c r="C38" s="7" t="s">
        <v>3576</v>
      </c>
      <c r="D38" s="7" t="s">
        <v>3773</v>
      </c>
      <c r="E38" s="7" t="s">
        <v>47</v>
      </c>
      <c r="F38" s="7" t="s">
        <v>48</v>
      </c>
      <c r="G38" s="7" t="s">
        <v>3848</v>
      </c>
      <c r="H38" s="7" t="s">
        <v>3848</v>
      </c>
      <c r="I38" s="7"/>
      <c r="J38" s="7" t="s">
        <v>4111</v>
      </c>
      <c r="K38" s="7" t="s">
        <v>3944</v>
      </c>
      <c r="L38" s="7">
        <v>10053238208</v>
      </c>
      <c r="M38" s="7"/>
      <c r="N38" s="7"/>
      <c r="O38" s="29" t="s">
        <v>11</v>
      </c>
      <c r="P38" s="29" t="s">
        <v>11</v>
      </c>
      <c r="Q38" s="29" t="s">
        <v>11</v>
      </c>
      <c r="R38" s="29" t="s">
        <v>11</v>
      </c>
      <c r="S38" s="29" t="s">
        <v>11</v>
      </c>
      <c r="T38" s="29" t="s">
        <v>11</v>
      </c>
      <c r="U38" s="29" t="s">
        <v>11</v>
      </c>
      <c r="V38" s="29" t="s">
        <v>11</v>
      </c>
      <c r="W38" s="29" t="s">
        <v>11</v>
      </c>
      <c r="X38" s="29" t="s">
        <v>11</v>
      </c>
      <c r="Y38" s="10" t="s">
        <v>11</v>
      </c>
      <c r="Z38" s="10" t="s">
        <v>11</v>
      </c>
      <c r="AA38" s="10" t="s">
        <v>11</v>
      </c>
      <c r="AB38" s="35" t="s">
        <v>11</v>
      </c>
      <c r="AC38" s="35" t="s">
        <v>11</v>
      </c>
      <c r="AD38" s="26"/>
      <c r="AE38" s="24">
        <f t="shared" si="0"/>
        <v>0</v>
      </c>
      <c r="AF38" s="24">
        <f t="shared" si="1"/>
        <v>0</v>
      </c>
      <c r="AG38" s="24">
        <f t="shared" si="2"/>
        <v>15</v>
      </c>
      <c r="AH38" s="41" t="str" cm="1">
        <f t="array" ref="AH38">_xlfn.IFS(
SUM(AE38:AG38)=0,"Not Started",
SUM(AE38:AG38)&lt;15,"In Progress",
SUM(AE38:AG38)=15,"Completed",
SUM(AE38:AG38)&gt;15,"Error"
)</f>
        <v>Completed</v>
      </c>
    </row>
    <row r="39" spans="1:34" ht="13" x14ac:dyDescent="0.25">
      <c r="A39" s="248"/>
      <c r="B39" s="7" t="s">
        <v>688</v>
      </c>
      <c r="C39" s="7" t="s">
        <v>3467</v>
      </c>
      <c r="D39" s="7" t="s">
        <v>3657</v>
      </c>
      <c r="E39" s="7" t="s">
        <v>43</v>
      </c>
      <c r="F39" s="7" t="s">
        <v>48</v>
      </c>
      <c r="G39" s="7" t="s">
        <v>3848</v>
      </c>
      <c r="H39" s="7" t="s">
        <v>3848</v>
      </c>
      <c r="I39" s="7"/>
      <c r="J39" s="7" t="s">
        <v>4189</v>
      </c>
      <c r="K39" s="7" t="s">
        <v>5690</v>
      </c>
      <c r="L39" s="7">
        <v>10053258935</v>
      </c>
      <c r="M39" s="7"/>
      <c r="N39" s="7"/>
      <c r="O39" s="29" t="s">
        <v>11</v>
      </c>
      <c r="P39" s="29" t="s">
        <v>11</v>
      </c>
      <c r="Q39" s="29" t="s">
        <v>11</v>
      </c>
      <c r="R39" s="29" t="s">
        <v>11</v>
      </c>
      <c r="S39" s="29" t="s">
        <v>11</v>
      </c>
      <c r="T39" s="29" t="s">
        <v>11</v>
      </c>
      <c r="U39" s="29" t="s">
        <v>11</v>
      </c>
      <c r="V39" s="29" t="s">
        <v>11</v>
      </c>
      <c r="W39" s="29" t="s">
        <v>11</v>
      </c>
      <c r="X39" s="29" t="s">
        <v>11</v>
      </c>
      <c r="Y39" s="10" t="s">
        <v>11</v>
      </c>
      <c r="Z39" s="10" t="s">
        <v>11</v>
      </c>
      <c r="AA39" s="10" t="s">
        <v>11</v>
      </c>
      <c r="AB39" s="35" t="s">
        <v>11</v>
      </c>
      <c r="AC39" s="35" t="s">
        <v>11</v>
      </c>
      <c r="AD39" s="26"/>
      <c r="AE39" s="24">
        <f t="shared" si="0"/>
        <v>0</v>
      </c>
      <c r="AF39" s="24">
        <f t="shared" si="1"/>
        <v>0</v>
      </c>
      <c r="AG39" s="24">
        <f t="shared" si="2"/>
        <v>15</v>
      </c>
      <c r="AH39" s="41" t="str" cm="1">
        <f t="array" ref="AH39">_xlfn.IFS(
SUM(AE39:AG39)=0,"Not Started",
SUM(AE39:AG39)&lt;15,"In Progress",
SUM(AE39:AG39)=15,"Completed",
SUM(AE39:AG39)&gt;15,"Error"
)</f>
        <v>Completed</v>
      </c>
    </row>
    <row r="40" spans="1:34" ht="13" x14ac:dyDescent="0.25">
      <c r="A40" s="248"/>
      <c r="B40" s="14" t="s">
        <v>689</v>
      </c>
      <c r="C40" s="7" t="s">
        <v>3604</v>
      </c>
      <c r="D40" s="7" t="s">
        <v>3803</v>
      </c>
      <c r="E40" s="7" t="s">
        <v>43</v>
      </c>
      <c r="F40" s="7" t="s">
        <v>48</v>
      </c>
      <c r="G40" s="7" t="s">
        <v>3848</v>
      </c>
      <c r="H40" s="7" t="s">
        <v>3848</v>
      </c>
      <c r="I40" s="7"/>
      <c r="J40" s="7" t="s">
        <v>4008</v>
      </c>
      <c r="K40" s="7" t="s">
        <v>3964</v>
      </c>
      <c r="L40" s="7">
        <v>10053131257</v>
      </c>
      <c r="M40" s="7"/>
      <c r="N40" s="7"/>
      <c r="O40" s="179" t="s">
        <v>11</v>
      </c>
      <c r="P40" s="179" t="s">
        <v>11</v>
      </c>
      <c r="Q40" s="179" t="s">
        <v>11</v>
      </c>
      <c r="R40" s="179" t="s">
        <v>11</v>
      </c>
      <c r="S40" s="179" t="s">
        <v>11</v>
      </c>
      <c r="T40" s="179" t="s">
        <v>11</v>
      </c>
      <c r="U40" s="179" t="s">
        <v>11</v>
      </c>
      <c r="V40" s="179" t="s">
        <v>11</v>
      </c>
      <c r="W40" s="179" t="s">
        <v>11</v>
      </c>
      <c r="X40" s="179" t="s">
        <v>11</v>
      </c>
      <c r="Y40" s="139" t="s">
        <v>11</v>
      </c>
      <c r="Z40" s="139" t="s">
        <v>11</v>
      </c>
      <c r="AA40" s="139" t="s">
        <v>11</v>
      </c>
      <c r="AB40" s="180" t="s">
        <v>11</v>
      </c>
      <c r="AC40" s="35" t="s">
        <v>11</v>
      </c>
      <c r="AD40" s="26"/>
      <c r="AE40" s="24">
        <f t="shared" si="0"/>
        <v>0</v>
      </c>
      <c r="AF40" s="24">
        <f t="shared" si="1"/>
        <v>0</v>
      </c>
      <c r="AG40" s="24">
        <f t="shared" si="2"/>
        <v>15</v>
      </c>
      <c r="AH40" s="41" t="str" cm="1">
        <f t="array" ref="AH40">_xlfn.IFS(
SUM(AE40:AG40)=0,"Not Started",
SUM(AE40:AG40)&lt;15,"In Progress",
SUM(AE40:AG40)=15,"Completed",
SUM(AE40:AG40)&gt;15,"Error"
)</f>
        <v>Completed</v>
      </c>
    </row>
    <row r="41" spans="1:34" ht="13" x14ac:dyDescent="0.25">
      <c r="A41" s="248"/>
      <c r="B41" s="7" t="s">
        <v>690</v>
      </c>
      <c r="C41" s="7" t="s">
        <v>3461</v>
      </c>
      <c r="D41" s="7" t="s">
        <v>3650</v>
      </c>
      <c r="E41" s="7" t="s">
        <v>51</v>
      </c>
      <c r="F41" s="7" t="s">
        <v>48</v>
      </c>
      <c r="G41" s="7" t="s">
        <v>3848</v>
      </c>
      <c r="H41" s="7" t="s">
        <v>3848</v>
      </c>
      <c r="I41" s="7"/>
      <c r="J41" s="7" t="s">
        <v>4168</v>
      </c>
      <c r="K41" s="7" t="s">
        <v>3849</v>
      </c>
      <c r="L41" s="7">
        <v>10053319941</v>
      </c>
      <c r="M41" s="7"/>
      <c r="N41" s="7"/>
      <c r="O41" s="29" t="s">
        <v>11</v>
      </c>
      <c r="P41" s="29" t="s">
        <v>11</v>
      </c>
      <c r="Q41" s="29" t="s">
        <v>11</v>
      </c>
      <c r="R41" s="29" t="s">
        <v>11</v>
      </c>
      <c r="S41" s="29" t="s">
        <v>11</v>
      </c>
      <c r="T41" s="29" t="s">
        <v>11</v>
      </c>
      <c r="U41" s="29" t="s">
        <v>11</v>
      </c>
      <c r="V41" s="29" t="s">
        <v>11</v>
      </c>
      <c r="W41" s="29" t="s">
        <v>11</v>
      </c>
      <c r="X41" s="29" t="s">
        <v>11</v>
      </c>
      <c r="Y41" s="10" t="s">
        <v>11</v>
      </c>
      <c r="Z41" s="10" t="s">
        <v>11</v>
      </c>
      <c r="AA41" s="35" t="s">
        <v>11</v>
      </c>
      <c r="AB41" s="35" t="s">
        <v>11</v>
      </c>
      <c r="AC41" s="35" t="s">
        <v>11</v>
      </c>
      <c r="AD41" s="26"/>
      <c r="AE41" s="24">
        <f t="shared" si="0"/>
        <v>0</v>
      </c>
      <c r="AF41" s="24">
        <f t="shared" si="1"/>
        <v>0</v>
      </c>
      <c r="AG41" s="24">
        <f t="shared" si="2"/>
        <v>15</v>
      </c>
      <c r="AH41" s="41" t="str" cm="1">
        <f t="array" ref="AH41">_xlfn.IFS(
SUM(AE41:AG41)=0,"Not Started",
SUM(AE41:AG41)&lt;15,"In Progress",
SUM(AE41:AG41)=15,"Completed",
SUM(AE41:AG41)&gt;15,"Error"
)</f>
        <v>Completed</v>
      </c>
    </row>
    <row r="42" spans="1:34" ht="13" x14ac:dyDescent="0.25">
      <c r="A42" s="248"/>
      <c r="B42" s="14" t="s">
        <v>691</v>
      </c>
      <c r="C42" s="7" t="s">
        <v>3557</v>
      </c>
      <c r="D42" s="7" t="s">
        <v>3754</v>
      </c>
      <c r="E42" s="7" t="s">
        <v>47</v>
      </c>
      <c r="F42" s="7" t="s">
        <v>48</v>
      </c>
      <c r="G42" s="7" t="s">
        <v>3848</v>
      </c>
      <c r="H42" s="7" t="s">
        <v>3848</v>
      </c>
      <c r="I42" s="7"/>
      <c r="J42" s="7" t="s">
        <v>4020</v>
      </c>
      <c r="K42" s="7" t="s">
        <v>3932</v>
      </c>
      <c r="L42" s="7">
        <v>10053262811</v>
      </c>
      <c r="M42" s="7"/>
      <c r="N42" s="7"/>
      <c r="O42" s="29" t="s">
        <v>11</v>
      </c>
      <c r="P42" s="29" t="s">
        <v>11</v>
      </c>
      <c r="Q42" s="29" t="s">
        <v>11</v>
      </c>
      <c r="R42" s="29" t="s">
        <v>11</v>
      </c>
      <c r="S42" s="29" t="s">
        <v>11</v>
      </c>
      <c r="T42" s="29" t="s">
        <v>11</v>
      </c>
      <c r="U42" s="29" t="s">
        <v>11</v>
      </c>
      <c r="V42" s="29" t="s">
        <v>11</v>
      </c>
      <c r="W42" s="29" t="s">
        <v>11</v>
      </c>
      <c r="X42" s="29" t="s">
        <v>11</v>
      </c>
      <c r="Y42" s="10" t="s">
        <v>11</v>
      </c>
      <c r="Z42" s="10" t="s">
        <v>11</v>
      </c>
      <c r="AA42" s="35" t="s">
        <v>11</v>
      </c>
      <c r="AB42" s="35" t="s">
        <v>11</v>
      </c>
      <c r="AC42" s="35" t="s">
        <v>11</v>
      </c>
      <c r="AD42" s="26"/>
      <c r="AE42" s="24">
        <f t="shared" si="0"/>
        <v>0</v>
      </c>
      <c r="AF42" s="24">
        <f t="shared" si="1"/>
        <v>0</v>
      </c>
      <c r="AG42" s="24">
        <f t="shared" si="2"/>
        <v>15</v>
      </c>
      <c r="AH42" s="41" t="str" cm="1">
        <f t="array" ref="AH42">_xlfn.IFS(
SUM(AE42:AG42)=0,"Not Started",
SUM(AE42:AG42)&lt;15,"In Progress",
SUM(AE42:AG42)=15,"Completed",
SUM(AE42:AG42)&gt;15,"Error"
)</f>
        <v>Completed</v>
      </c>
    </row>
    <row r="43" spans="1:34" ht="13" x14ac:dyDescent="0.25">
      <c r="A43" s="248"/>
      <c r="B43" s="7" t="s">
        <v>692</v>
      </c>
      <c r="C43" s="7" t="s">
        <v>3501</v>
      </c>
      <c r="D43" s="7" t="s">
        <v>3696</v>
      </c>
      <c r="E43" s="7" t="s">
        <v>43</v>
      </c>
      <c r="F43" s="7" t="s">
        <v>48</v>
      </c>
      <c r="G43" s="7" t="s">
        <v>3848</v>
      </c>
      <c r="H43" s="7" t="s">
        <v>3848</v>
      </c>
      <c r="I43" s="7"/>
      <c r="J43" s="7" t="s">
        <v>4126</v>
      </c>
      <c r="K43" s="7" t="s">
        <v>3879</v>
      </c>
      <c r="L43" s="7">
        <v>10053200800</v>
      </c>
      <c r="M43" s="7"/>
      <c r="N43" s="7"/>
      <c r="O43" s="29" t="s">
        <v>11</v>
      </c>
      <c r="P43" s="29" t="s">
        <v>11</v>
      </c>
      <c r="Q43" s="29" t="s">
        <v>11</v>
      </c>
      <c r="R43" s="29" t="s">
        <v>11</v>
      </c>
      <c r="S43" s="29" t="s">
        <v>11</v>
      </c>
      <c r="T43" s="29" t="s">
        <v>11</v>
      </c>
      <c r="U43" s="29" t="s">
        <v>11</v>
      </c>
      <c r="V43" s="29" t="s">
        <v>11</v>
      </c>
      <c r="W43" s="29" t="s">
        <v>11</v>
      </c>
      <c r="X43" s="29" t="s">
        <v>11</v>
      </c>
      <c r="Y43" s="10" t="s">
        <v>11</v>
      </c>
      <c r="Z43" s="10" t="s">
        <v>11</v>
      </c>
      <c r="AA43" s="35" t="s">
        <v>11</v>
      </c>
      <c r="AB43" s="35" t="s">
        <v>11</v>
      </c>
      <c r="AC43" s="35" t="s">
        <v>11</v>
      </c>
      <c r="AD43" s="26"/>
      <c r="AE43" s="24">
        <f t="shared" si="0"/>
        <v>0</v>
      </c>
      <c r="AF43" s="24">
        <f t="shared" si="1"/>
        <v>0</v>
      </c>
      <c r="AG43" s="24">
        <f t="shared" si="2"/>
        <v>15</v>
      </c>
      <c r="AH43" s="41" t="str" cm="1">
        <f t="array" ref="AH43">_xlfn.IFS(
SUM(AE43:AG43)=0,"Not Started",
SUM(AE43:AG43)&lt;15,"In Progress",
SUM(AE43:AG43)=15,"Completed",
SUM(AE43:AG43)&gt;15,"Error"
)</f>
        <v>Completed</v>
      </c>
    </row>
    <row r="44" spans="1:34" ht="13" x14ac:dyDescent="0.25">
      <c r="A44" s="248"/>
      <c r="B44" s="14" t="s">
        <v>693</v>
      </c>
      <c r="C44" s="7" t="s">
        <v>3552</v>
      </c>
      <c r="D44" s="7" t="s">
        <v>3749</v>
      </c>
      <c r="E44" s="7" t="s">
        <v>43</v>
      </c>
      <c r="F44" s="7" t="s">
        <v>48</v>
      </c>
      <c r="G44" s="7" t="s">
        <v>3848</v>
      </c>
      <c r="H44" s="7" t="s">
        <v>3848</v>
      </c>
      <c r="I44" s="7"/>
      <c r="J44" s="7" t="s">
        <v>4017</v>
      </c>
      <c r="K44" s="7" t="s">
        <v>5691</v>
      </c>
      <c r="L44" s="7">
        <v>10053385231</v>
      </c>
      <c r="M44" s="7"/>
      <c r="N44" s="7"/>
      <c r="O44" s="181" t="s">
        <v>11</v>
      </c>
      <c r="P44" s="181" t="s">
        <v>11</v>
      </c>
      <c r="Q44" s="181" t="s">
        <v>11</v>
      </c>
      <c r="R44" s="181" t="s">
        <v>11</v>
      </c>
      <c r="S44" s="181" t="s">
        <v>11</v>
      </c>
      <c r="T44" s="181" t="s">
        <v>11</v>
      </c>
      <c r="U44" s="181" t="s">
        <v>11</v>
      </c>
      <c r="V44" s="181" t="s">
        <v>11</v>
      </c>
      <c r="W44" s="181" t="s">
        <v>11</v>
      </c>
      <c r="X44" s="181" t="s">
        <v>11</v>
      </c>
      <c r="Y44" s="182" t="s">
        <v>11</v>
      </c>
      <c r="Z44" s="182" t="s">
        <v>11</v>
      </c>
      <c r="AA44" s="183" t="s">
        <v>11</v>
      </c>
      <c r="AB44" s="183" t="s">
        <v>11</v>
      </c>
      <c r="AC44" s="35" t="s">
        <v>11</v>
      </c>
      <c r="AD44" s="26"/>
      <c r="AE44" s="24">
        <f t="shared" si="0"/>
        <v>0</v>
      </c>
      <c r="AF44" s="24">
        <f t="shared" si="1"/>
        <v>0</v>
      </c>
      <c r="AG44" s="24">
        <f t="shared" si="2"/>
        <v>15</v>
      </c>
      <c r="AH44" s="41" t="str" cm="1">
        <f t="array" ref="AH44">_xlfn.IFS(
SUM(AE44:AG44)=0,"Not Started",
SUM(AE44:AG44)&lt;15,"In Progress",
SUM(AE44:AG44)=15,"Completed",
SUM(AE44:AG44)&gt;15,"Error"
)</f>
        <v>Completed</v>
      </c>
    </row>
    <row r="45" spans="1:34" ht="13" x14ac:dyDescent="0.25">
      <c r="A45" s="248"/>
      <c r="B45" s="7" t="s">
        <v>694</v>
      </c>
      <c r="C45" s="7" t="s">
        <v>3619</v>
      </c>
      <c r="D45" s="7" t="s">
        <v>3819</v>
      </c>
      <c r="E45" s="7" t="s">
        <v>47</v>
      </c>
      <c r="F45" s="7" t="s">
        <v>48</v>
      </c>
      <c r="G45" s="7" t="s">
        <v>3848</v>
      </c>
      <c r="H45" s="7" t="s">
        <v>3848</v>
      </c>
      <c r="I45" s="7"/>
      <c r="J45" s="7" t="s">
        <v>4072</v>
      </c>
      <c r="K45" s="7" t="s">
        <v>3977</v>
      </c>
      <c r="L45" s="7">
        <v>10053321313</v>
      </c>
      <c r="M45" s="7"/>
      <c r="N45" s="7"/>
      <c r="O45" s="179" t="s">
        <v>11</v>
      </c>
      <c r="P45" s="179" t="s">
        <v>11</v>
      </c>
      <c r="Q45" s="179" t="s">
        <v>11</v>
      </c>
      <c r="R45" s="179" t="s">
        <v>11</v>
      </c>
      <c r="S45" s="179" t="s">
        <v>11</v>
      </c>
      <c r="T45" s="179" t="s">
        <v>11</v>
      </c>
      <c r="U45" s="179" t="s">
        <v>11</v>
      </c>
      <c r="V45" s="179" t="s">
        <v>11</v>
      </c>
      <c r="W45" s="179" t="s">
        <v>11</v>
      </c>
      <c r="X45" s="179" t="s">
        <v>11</v>
      </c>
      <c r="Y45" s="139" t="s">
        <v>11</v>
      </c>
      <c r="Z45" s="139" t="s">
        <v>11</v>
      </c>
      <c r="AA45" s="180" t="s">
        <v>11</v>
      </c>
      <c r="AB45" s="180" t="s">
        <v>11</v>
      </c>
      <c r="AC45" s="35" t="s">
        <v>11</v>
      </c>
      <c r="AD45" s="26"/>
      <c r="AE45" s="24">
        <f t="shared" si="0"/>
        <v>0</v>
      </c>
      <c r="AF45" s="24">
        <f t="shared" si="1"/>
        <v>0</v>
      </c>
      <c r="AG45" s="24">
        <f t="shared" si="2"/>
        <v>15</v>
      </c>
      <c r="AH45" s="41" t="str" cm="1">
        <f t="array" ref="AH45">_xlfn.IFS(
SUM(AE45:AG45)=0,"Not Started",
SUM(AE45:AG45)&lt;15,"In Progress",
SUM(AE45:AG45)=15,"Completed",
SUM(AE45:AG45)&gt;15,"Error"
)</f>
        <v>Completed</v>
      </c>
    </row>
    <row r="46" spans="1:34" ht="13" x14ac:dyDescent="0.25">
      <c r="A46" s="248"/>
      <c r="B46" s="14" t="s">
        <v>695</v>
      </c>
      <c r="C46" s="7" t="s">
        <v>3555</v>
      </c>
      <c r="D46" s="7" t="s">
        <v>3752</v>
      </c>
      <c r="E46" s="7" t="s">
        <v>43</v>
      </c>
      <c r="F46" s="7" t="s">
        <v>48</v>
      </c>
      <c r="G46" s="7" t="s">
        <v>3848</v>
      </c>
      <c r="H46" s="7" t="s">
        <v>3848</v>
      </c>
      <c r="I46" s="7"/>
      <c r="J46" s="7" t="s">
        <v>4114</v>
      </c>
      <c r="K46" s="7" t="s">
        <v>3931</v>
      </c>
      <c r="L46" s="7">
        <v>10053505212</v>
      </c>
      <c r="M46" s="7"/>
      <c r="N46" s="7"/>
      <c r="O46" s="29" t="s">
        <v>11</v>
      </c>
      <c r="P46" s="29" t="s">
        <v>11</v>
      </c>
      <c r="Q46" s="29" t="s">
        <v>11</v>
      </c>
      <c r="R46" s="29" t="s">
        <v>11</v>
      </c>
      <c r="S46" s="29" t="s">
        <v>11</v>
      </c>
      <c r="T46" s="29" t="s">
        <v>11</v>
      </c>
      <c r="U46" s="29" t="s">
        <v>11</v>
      </c>
      <c r="V46" s="29" t="s">
        <v>11</v>
      </c>
      <c r="W46" s="29" t="s">
        <v>11</v>
      </c>
      <c r="X46" s="29" t="s">
        <v>11</v>
      </c>
      <c r="Y46" s="10" t="s">
        <v>11</v>
      </c>
      <c r="Z46" s="10" t="s">
        <v>11</v>
      </c>
      <c r="AA46" s="35" t="s">
        <v>11</v>
      </c>
      <c r="AB46" s="35" t="s">
        <v>11</v>
      </c>
      <c r="AC46" s="35" t="s">
        <v>11</v>
      </c>
      <c r="AD46" s="26"/>
      <c r="AE46" s="24">
        <f t="shared" si="0"/>
        <v>0</v>
      </c>
      <c r="AF46" s="24">
        <f t="shared" si="1"/>
        <v>0</v>
      </c>
      <c r="AG46" s="24">
        <f t="shared" si="2"/>
        <v>15</v>
      </c>
      <c r="AH46" s="41" t="str" cm="1">
        <f t="array" ref="AH46">_xlfn.IFS(
SUM(AE46:AG46)=0,"Not Started",
SUM(AE46:AG46)&lt;15,"In Progress",
SUM(AE46:AG46)=15,"Completed",
SUM(AE46:AG46)&gt;15,"Error"
)</f>
        <v>Completed</v>
      </c>
    </row>
    <row r="47" spans="1:34" ht="13" x14ac:dyDescent="0.25">
      <c r="A47" s="248"/>
      <c r="B47" s="7" t="s">
        <v>696</v>
      </c>
      <c r="C47" s="7" t="s">
        <v>3634</v>
      </c>
      <c r="D47" s="7" t="s">
        <v>3834</v>
      </c>
      <c r="E47" s="7" t="s">
        <v>43</v>
      </c>
      <c r="F47" s="7" t="s">
        <v>48</v>
      </c>
      <c r="G47" s="7" t="s">
        <v>3848</v>
      </c>
      <c r="H47" s="7" t="s">
        <v>3848</v>
      </c>
      <c r="I47" s="7"/>
      <c r="J47" s="7" t="s">
        <v>4144</v>
      </c>
      <c r="K47" s="7" t="s">
        <v>3987</v>
      </c>
      <c r="L47" s="7">
        <v>10053214000</v>
      </c>
      <c r="M47" s="7"/>
      <c r="N47" s="7"/>
      <c r="O47" s="29" t="s">
        <v>11</v>
      </c>
      <c r="P47" s="29" t="s">
        <v>11</v>
      </c>
      <c r="Q47" s="29" t="s">
        <v>11</v>
      </c>
      <c r="R47" s="29" t="s">
        <v>11</v>
      </c>
      <c r="S47" s="29" t="s">
        <v>11</v>
      </c>
      <c r="T47" s="29" t="s">
        <v>11</v>
      </c>
      <c r="U47" s="29" t="s">
        <v>11</v>
      </c>
      <c r="V47" s="29" t="s">
        <v>11</v>
      </c>
      <c r="W47" s="29" t="s">
        <v>11</v>
      </c>
      <c r="X47" s="29" t="s">
        <v>11</v>
      </c>
      <c r="Y47" s="10" t="s">
        <v>11</v>
      </c>
      <c r="Z47" s="10" t="s">
        <v>11</v>
      </c>
      <c r="AA47" s="35" t="s">
        <v>11</v>
      </c>
      <c r="AB47" s="35" t="s">
        <v>11</v>
      </c>
      <c r="AC47" s="35" t="s">
        <v>11</v>
      </c>
      <c r="AD47" s="26"/>
      <c r="AE47" s="24">
        <f t="shared" si="0"/>
        <v>0</v>
      </c>
      <c r="AF47" s="24">
        <f t="shared" si="1"/>
        <v>0</v>
      </c>
      <c r="AG47" s="24">
        <f t="shared" si="2"/>
        <v>15</v>
      </c>
      <c r="AH47" s="41" t="str" cm="1">
        <f t="array" ref="AH47">_xlfn.IFS(
SUM(AE47:AG47)=0,"Not Started",
SUM(AE47:AG47)&lt;15,"In Progress",
SUM(AE47:AG47)=15,"Completed",
SUM(AE47:AG47)&gt;15,"Error"
)</f>
        <v>Completed</v>
      </c>
    </row>
    <row r="48" spans="1:34" ht="13" x14ac:dyDescent="0.25">
      <c r="A48" s="248"/>
      <c r="B48" s="14" t="s">
        <v>697</v>
      </c>
      <c r="C48" s="7" t="s">
        <v>3460</v>
      </c>
      <c r="D48" s="7" t="s">
        <v>3649</v>
      </c>
      <c r="E48" s="7" t="s">
        <v>51</v>
      </c>
      <c r="F48" s="7" t="s">
        <v>48</v>
      </c>
      <c r="G48" s="7" t="s">
        <v>3848</v>
      </c>
      <c r="H48" s="7" t="s">
        <v>3848</v>
      </c>
      <c r="I48" s="7"/>
      <c r="J48" s="7" t="s">
        <v>4135</v>
      </c>
      <c r="K48" s="7" t="s">
        <v>5692</v>
      </c>
      <c r="L48" s="7">
        <v>10053173641</v>
      </c>
      <c r="M48" s="7"/>
      <c r="N48" s="7"/>
      <c r="O48" s="29" t="s">
        <v>11</v>
      </c>
      <c r="P48" s="29" t="s">
        <v>11</v>
      </c>
      <c r="Q48" s="29" t="s">
        <v>11</v>
      </c>
      <c r="R48" s="29" t="s">
        <v>11</v>
      </c>
      <c r="S48" s="29" t="s">
        <v>11</v>
      </c>
      <c r="T48" s="29" t="s">
        <v>11</v>
      </c>
      <c r="U48" s="29" t="s">
        <v>11</v>
      </c>
      <c r="V48" s="29" t="s">
        <v>11</v>
      </c>
      <c r="W48" s="29" t="s">
        <v>11</v>
      </c>
      <c r="X48" s="29" t="s">
        <v>11</v>
      </c>
      <c r="Y48" s="10" t="s">
        <v>11</v>
      </c>
      <c r="Z48" s="10" t="s">
        <v>11</v>
      </c>
      <c r="AA48" s="35" t="s">
        <v>11</v>
      </c>
      <c r="AB48" s="35" t="s">
        <v>11</v>
      </c>
      <c r="AC48" s="35" t="s">
        <v>11</v>
      </c>
      <c r="AD48" s="26"/>
      <c r="AE48" s="24">
        <f t="shared" si="0"/>
        <v>0</v>
      </c>
      <c r="AF48" s="24">
        <f t="shared" si="1"/>
        <v>0</v>
      </c>
      <c r="AG48" s="24">
        <f t="shared" si="2"/>
        <v>15</v>
      </c>
      <c r="AH48" s="41" t="str" cm="1">
        <f t="array" ref="AH48">_xlfn.IFS(
SUM(AE48:AG48)=0,"Not Started",
SUM(AE48:AG48)&lt;15,"In Progress",
SUM(AE48:AG48)=15,"Completed",
SUM(AE48:AG48)&gt;15,"Error"
)</f>
        <v>Completed</v>
      </c>
    </row>
    <row r="49" spans="1:34" ht="13" x14ac:dyDescent="0.25">
      <c r="A49" s="248"/>
      <c r="B49" s="7" t="s">
        <v>698</v>
      </c>
      <c r="C49" s="7" t="s">
        <v>3564</v>
      </c>
      <c r="D49" s="7" t="s">
        <v>3761</v>
      </c>
      <c r="E49" s="7" t="s">
        <v>51</v>
      </c>
      <c r="F49" s="7" t="s">
        <v>48</v>
      </c>
      <c r="G49" s="7" t="s">
        <v>3848</v>
      </c>
      <c r="H49" s="7" t="s">
        <v>3848</v>
      </c>
      <c r="I49" s="7"/>
      <c r="J49" s="7" t="s">
        <v>4147</v>
      </c>
      <c r="K49" s="7" t="s">
        <v>5693</v>
      </c>
      <c r="L49" s="7">
        <v>10053706195</v>
      </c>
      <c r="M49" s="7"/>
      <c r="N49" s="7"/>
      <c r="O49" s="29" t="s">
        <v>11</v>
      </c>
      <c r="P49" s="29" t="s">
        <v>11</v>
      </c>
      <c r="Q49" s="29" t="s">
        <v>11</v>
      </c>
      <c r="R49" s="29" t="s">
        <v>11</v>
      </c>
      <c r="S49" s="29" t="s">
        <v>11</v>
      </c>
      <c r="T49" s="29" t="s">
        <v>11</v>
      </c>
      <c r="U49" s="29" t="s">
        <v>11</v>
      </c>
      <c r="V49" s="29" t="s">
        <v>11</v>
      </c>
      <c r="W49" s="29" t="s">
        <v>11</v>
      </c>
      <c r="X49" s="29" t="s">
        <v>11</v>
      </c>
      <c r="Y49" s="10" t="s">
        <v>11</v>
      </c>
      <c r="Z49" s="10" t="s">
        <v>11</v>
      </c>
      <c r="AA49" s="35" t="s">
        <v>11</v>
      </c>
      <c r="AB49" s="35" t="s">
        <v>11</v>
      </c>
      <c r="AC49" s="35" t="s">
        <v>11</v>
      </c>
      <c r="AD49" s="26"/>
      <c r="AE49" s="24">
        <f t="shared" si="0"/>
        <v>0</v>
      </c>
      <c r="AF49" s="24">
        <f t="shared" si="1"/>
        <v>0</v>
      </c>
      <c r="AG49" s="24">
        <f t="shared" si="2"/>
        <v>15</v>
      </c>
      <c r="AH49" s="41" t="str" cm="1">
        <f t="array" ref="AH49">_xlfn.IFS(
SUM(AE49:AG49)=0,"Not Started",
SUM(AE49:AG49)&lt;15,"In Progress",
SUM(AE49:AG49)=15,"Completed",
SUM(AE49:AG49)&gt;15,"Error"
)</f>
        <v>Completed</v>
      </c>
    </row>
    <row r="50" spans="1:34" ht="13" x14ac:dyDescent="0.25">
      <c r="A50" s="248"/>
      <c r="B50" s="14" t="s">
        <v>699</v>
      </c>
      <c r="C50" s="7" t="s">
        <v>3617</v>
      </c>
      <c r="D50" s="7" t="s">
        <v>3817</v>
      </c>
      <c r="E50" s="7" t="s">
        <v>47</v>
      </c>
      <c r="F50" s="7" t="s">
        <v>48</v>
      </c>
      <c r="G50" s="7" t="s">
        <v>3848</v>
      </c>
      <c r="H50" s="7" t="s">
        <v>3848</v>
      </c>
      <c r="I50" s="7"/>
      <c r="J50" s="7" t="s">
        <v>4130</v>
      </c>
      <c r="K50" s="7" t="s">
        <v>3975</v>
      </c>
      <c r="L50" s="7">
        <v>10053390320</v>
      </c>
      <c r="M50" s="7"/>
      <c r="N50" s="7"/>
      <c r="O50" s="29" t="s">
        <v>11</v>
      </c>
      <c r="P50" s="29" t="s">
        <v>11</v>
      </c>
      <c r="Q50" s="29" t="s">
        <v>11</v>
      </c>
      <c r="R50" s="29" t="s">
        <v>11</v>
      </c>
      <c r="S50" s="29" t="s">
        <v>11</v>
      </c>
      <c r="T50" s="29" t="s">
        <v>11</v>
      </c>
      <c r="U50" s="29" t="s">
        <v>11</v>
      </c>
      <c r="V50" s="29" t="s">
        <v>11</v>
      </c>
      <c r="W50" s="29" t="s">
        <v>11</v>
      </c>
      <c r="X50" s="29" t="s">
        <v>11</v>
      </c>
      <c r="Y50" s="10" t="s">
        <v>11</v>
      </c>
      <c r="Z50" s="10" t="s">
        <v>11</v>
      </c>
      <c r="AA50" s="35" t="s">
        <v>11</v>
      </c>
      <c r="AB50" s="139" t="s">
        <v>11</v>
      </c>
      <c r="AC50" s="35" t="s">
        <v>11</v>
      </c>
      <c r="AD50" s="26"/>
      <c r="AE50" s="24">
        <f t="shared" si="0"/>
        <v>0</v>
      </c>
      <c r="AF50" s="24">
        <f t="shared" si="1"/>
        <v>0</v>
      </c>
      <c r="AG50" s="24">
        <f t="shared" si="2"/>
        <v>15</v>
      </c>
      <c r="AH50" s="41" t="str" cm="1">
        <f t="array" ref="AH50">_xlfn.IFS(
SUM(AE50:AG50)=0,"Not Started",
SUM(AE50:AG50)&lt;15,"In Progress",
SUM(AE50:AG50)=15,"Completed",
SUM(AE50:AG50)&gt;15,"Error"
)</f>
        <v>Completed</v>
      </c>
    </row>
    <row r="51" spans="1:34" ht="13" x14ac:dyDescent="0.25">
      <c r="A51" s="248"/>
      <c r="B51" s="7" t="s">
        <v>700</v>
      </c>
      <c r="C51" s="7" t="s">
        <v>3585</v>
      </c>
      <c r="D51" s="7" t="s">
        <v>3783</v>
      </c>
      <c r="E51" s="7" t="s">
        <v>43</v>
      </c>
      <c r="F51" s="7" t="s">
        <v>48</v>
      </c>
      <c r="G51" s="7" t="s">
        <v>3848</v>
      </c>
      <c r="H51" s="7" t="s">
        <v>3848</v>
      </c>
      <c r="I51" s="7"/>
      <c r="J51" s="7" t="s">
        <v>4131</v>
      </c>
      <c r="K51" s="7" t="s">
        <v>3952</v>
      </c>
      <c r="L51" s="7">
        <v>10053711954</v>
      </c>
      <c r="M51" s="7"/>
      <c r="N51" s="7"/>
      <c r="O51" s="179" t="s">
        <v>11</v>
      </c>
      <c r="P51" s="179" t="s">
        <v>11</v>
      </c>
      <c r="Q51" s="179" t="s">
        <v>11</v>
      </c>
      <c r="R51" s="179" t="s">
        <v>11</v>
      </c>
      <c r="S51" s="179" t="s">
        <v>11</v>
      </c>
      <c r="T51" s="179" t="s">
        <v>11</v>
      </c>
      <c r="U51" s="179" t="s">
        <v>11</v>
      </c>
      <c r="V51" s="179" t="s">
        <v>11</v>
      </c>
      <c r="W51" s="179" t="s">
        <v>11</v>
      </c>
      <c r="X51" s="179" t="s">
        <v>11</v>
      </c>
      <c r="Y51" s="139" t="s">
        <v>11</v>
      </c>
      <c r="Z51" s="139" t="s">
        <v>11</v>
      </c>
      <c r="AA51" s="180" t="s">
        <v>11</v>
      </c>
      <c r="AB51" s="139" t="s">
        <v>11</v>
      </c>
      <c r="AC51" s="35" t="s">
        <v>11</v>
      </c>
      <c r="AD51" s="26"/>
      <c r="AE51" s="24">
        <f t="shared" si="0"/>
        <v>0</v>
      </c>
      <c r="AF51" s="24">
        <f t="shared" si="1"/>
        <v>0</v>
      </c>
      <c r="AG51" s="24">
        <f t="shared" si="2"/>
        <v>15</v>
      </c>
      <c r="AH51" s="41" t="str" cm="1">
        <f t="array" ref="AH51">_xlfn.IFS(
SUM(AE51:AG51)=0,"Not Started",
SUM(AE51:AG51)&lt;15,"In Progress",
SUM(AE51:AG51)=15,"Completed",
SUM(AE51:AG51)&gt;15,"Error"
)</f>
        <v>Completed</v>
      </c>
    </row>
    <row r="52" spans="1:34" ht="13" x14ac:dyDescent="0.25">
      <c r="A52" s="248"/>
      <c r="B52" s="14" t="s">
        <v>701</v>
      </c>
      <c r="C52" s="7" t="s">
        <v>5662</v>
      </c>
      <c r="D52" s="7" t="s">
        <v>3676</v>
      </c>
      <c r="E52" s="7" t="s">
        <v>43</v>
      </c>
      <c r="F52" s="7" t="s">
        <v>48</v>
      </c>
      <c r="G52" s="7" t="s">
        <v>3848</v>
      </c>
      <c r="H52" s="7" t="s">
        <v>3848</v>
      </c>
      <c r="I52" s="7"/>
      <c r="J52" s="7" t="s">
        <v>4019</v>
      </c>
      <c r="K52" s="7" t="s">
        <v>5694</v>
      </c>
      <c r="L52" s="7">
        <v>10053709400</v>
      </c>
      <c r="M52" s="7"/>
      <c r="N52" s="7"/>
      <c r="O52" s="29" t="s">
        <v>11</v>
      </c>
      <c r="P52" s="29" t="s">
        <v>11</v>
      </c>
      <c r="Q52" s="29" t="s">
        <v>11</v>
      </c>
      <c r="R52" s="29" t="s">
        <v>11</v>
      </c>
      <c r="S52" s="29" t="s">
        <v>11</v>
      </c>
      <c r="T52" s="29" t="s">
        <v>11</v>
      </c>
      <c r="U52" s="29" t="s">
        <v>11</v>
      </c>
      <c r="V52" s="29" t="s">
        <v>11</v>
      </c>
      <c r="W52" s="29" t="s">
        <v>11</v>
      </c>
      <c r="X52" s="29" t="s">
        <v>11</v>
      </c>
      <c r="Y52" s="10" t="s">
        <v>11</v>
      </c>
      <c r="Z52" s="10" t="s">
        <v>11</v>
      </c>
      <c r="AA52" s="10" t="s">
        <v>11</v>
      </c>
      <c r="AB52" s="10" t="s">
        <v>11</v>
      </c>
      <c r="AC52" s="35" t="s">
        <v>11</v>
      </c>
      <c r="AD52" s="26"/>
      <c r="AE52" s="24">
        <f t="shared" si="0"/>
        <v>0</v>
      </c>
      <c r="AF52" s="24">
        <f t="shared" si="1"/>
        <v>0</v>
      </c>
      <c r="AG52" s="24">
        <f t="shared" si="2"/>
        <v>15</v>
      </c>
      <c r="AH52" s="41" t="str" cm="1">
        <f t="array" ref="AH52">_xlfn.IFS(
SUM(AE52:AG52)=0,"Not Started",
SUM(AE52:AG52)&lt;15,"In Progress",
SUM(AE52:AG52)=15,"Completed",
SUM(AE52:AG52)&gt;15,"Error"
)</f>
        <v>Completed</v>
      </c>
    </row>
    <row r="53" spans="1:34" ht="13" x14ac:dyDescent="0.25">
      <c r="A53" s="248"/>
      <c r="B53" s="7" t="s">
        <v>702</v>
      </c>
      <c r="C53" s="7" t="s">
        <v>3466</v>
      </c>
      <c r="D53" s="7" t="s">
        <v>3655</v>
      </c>
      <c r="E53" s="7" t="s">
        <v>51</v>
      </c>
      <c r="F53" s="7" t="s">
        <v>48</v>
      </c>
      <c r="G53" s="7" t="s">
        <v>3848</v>
      </c>
      <c r="H53" s="7" t="s">
        <v>3848</v>
      </c>
      <c r="I53" s="7"/>
      <c r="J53" s="7" t="s">
        <v>4015</v>
      </c>
      <c r="K53" s="7" t="s">
        <v>5695</v>
      </c>
      <c r="L53" s="7">
        <v>10053626773</v>
      </c>
      <c r="M53" s="7"/>
      <c r="N53" s="7"/>
      <c r="O53" s="29" t="s">
        <v>11</v>
      </c>
      <c r="P53" s="29" t="s">
        <v>11</v>
      </c>
      <c r="Q53" s="29" t="s">
        <v>11</v>
      </c>
      <c r="R53" s="29" t="s">
        <v>11</v>
      </c>
      <c r="S53" s="29" t="s">
        <v>11</v>
      </c>
      <c r="T53" s="29" t="s">
        <v>11</v>
      </c>
      <c r="U53" s="29" t="s">
        <v>11</v>
      </c>
      <c r="V53" s="29" t="s">
        <v>11</v>
      </c>
      <c r="W53" s="29" t="s">
        <v>11</v>
      </c>
      <c r="X53" s="29" t="s">
        <v>11</v>
      </c>
      <c r="Y53" s="10" t="s">
        <v>11</v>
      </c>
      <c r="Z53" s="10" t="s">
        <v>11</v>
      </c>
      <c r="AA53" s="10" t="s">
        <v>11</v>
      </c>
      <c r="AB53" s="139" t="s">
        <v>11</v>
      </c>
      <c r="AC53" s="35" t="s">
        <v>11</v>
      </c>
      <c r="AD53" s="26"/>
      <c r="AE53" s="24">
        <f t="shared" si="0"/>
        <v>0</v>
      </c>
      <c r="AF53" s="24">
        <f t="shared" si="1"/>
        <v>0</v>
      </c>
      <c r="AG53" s="24">
        <f t="shared" si="2"/>
        <v>15</v>
      </c>
      <c r="AH53" s="41" t="str" cm="1">
        <f t="array" ref="AH53">_xlfn.IFS(
SUM(AE53:AG53)=0,"Not Started",
SUM(AE53:AG53)&lt;15,"In Progress",
SUM(AE53:AG53)=15,"Completed",
SUM(AE53:AG53)&gt;15,"Error"
)</f>
        <v>Completed</v>
      </c>
    </row>
    <row r="54" spans="1:34" ht="13" x14ac:dyDescent="0.25">
      <c r="A54" s="248"/>
      <c r="B54" s="14" t="s">
        <v>703</v>
      </c>
      <c r="C54" s="7" t="s">
        <v>3520</v>
      </c>
      <c r="D54" s="7" t="s">
        <v>3717</v>
      </c>
      <c r="E54" s="7" t="s">
        <v>43</v>
      </c>
      <c r="F54" s="7" t="s">
        <v>48</v>
      </c>
      <c r="G54" s="7" t="s">
        <v>3848</v>
      </c>
      <c r="H54" s="7" t="s">
        <v>3848</v>
      </c>
      <c r="I54" s="7"/>
      <c r="J54" s="7" t="s">
        <v>4071</v>
      </c>
      <c r="K54" s="7" t="s">
        <v>3899</v>
      </c>
      <c r="L54" s="7">
        <v>10053625088</v>
      </c>
      <c r="M54" s="7"/>
      <c r="N54" s="7"/>
      <c r="O54" s="29" t="s">
        <v>11</v>
      </c>
      <c r="P54" s="29" t="s">
        <v>11</v>
      </c>
      <c r="Q54" s="29" t="s">
        <v>11</v>
      </c>
      <c r="R54" s="29" t="s">
        <v>11</v>
      </c>
      <c r="S54" s="29" t="s">
        <v>11</v>
      </c>
      <c r="T54" s="29" t="s">
        <v>11</v>
      </c>
      <c r="U54" s="29" t="s">
        <v>11</v>
      </c>
      <c r="V54" s="29" t="s">
        <v>11</v>
      </c>
      <c r="W54" s="29" t="s">
        <v>11</v>
      </c>
      <c r="X54" s="29" t="s">
        <v>11</v>
      </c>
      <c r="Y54" s="10" t="s">
        <v>11</v>
      </c>
      <c r="Z54" s="10" t="s">
        <v>11</v>
      </c>
      <c r="AA54" s="10" t="s">
        <v>11</v>
      </c>
      <c r="AB54" s="35" t="s">
        <v>11</v>
      </c>
      <c r="AC54" s="35" t="s">
        <v>11</v>
      </c>
      <c r="AD54" s="26"/>
      <c r="AE54" s="24">
        <f t="shared" si="0"/>
        <v>0</v>
      </c>
      <c r="AF54" s="24">
        <f t="shared" si="1"/>
        <v>0</v>
      </c>
      <c r="AG54" s="24">
        <f t="shared" si="2"/>
        <v>15</v>
      </c>
      <c r="AH54" s="41" t="str" cm="1">
        <f t="array" ref="AH54">_xlfn.IFS(
SUM(AE54:AG54)=0,"Not Started",
SUM(AE54:AG54)&lt;15,"In Progress",
SUM(AE54:AG54)=15,"Completed",
SUM(AE54:AG54)&gt;15,"Error"
)</f>
        <v>Completed</v>
      </c>
    </row>
    <row r="55" spans="1:34" ht="13" x14ac:dyDescent="0.25">
      <c r="A55" s="248"/>
      <c r="B55" s="7" t="s">
        <v>704</v>
      </c>
      <c r="C55" s="7" t="s">
        <v>3464</v>
      </c>
      <c r="D55" s="7" t="s">
        <v>3653</v>
      </c>
      <c r="E55" s="7" t="s">
        <v>43</v>
      </c>
      <c r="F55" s="7" t="s">
        <v>48</v>
      </c>
      <c r="G55" s="7" t="s">
        <v>3848</v>
      </c>
      <c r="H55" s="7" t="s">
        <v>3848</v>
      </c>
      <c r="I55" s="7"/>
      <c r="J55" s="7" t="s">
        <v>4132</v>
      </c>
      <c r="K55" s="7" t="s">
        <v>5696</v>
      </c>
      <c r="L55" s="7">
        <v>10053170854</v>
      </c>
      <c r="M55" s="7"/>
      <c r="N55" s="7"/>
      <c r="O55" s="29" t="s">
        <v>11</v>
      </c>
      <c r="P55" s="29" t="s">
        <v>11</v>
      </c>
      <c r="Q55" s="29" t="s">
        <v>11</v>
      </c>
      <c r="R55" s="29" t="s">
        <v>11</v>
      </c>
      <c r="S55" s="29" t="s">
        <v>11</v>
      </c>
      <c r="T55" s="29" t="s">
        <v>11</v>
      </c>
      <c r="U55" s="29" t="s">
        <v>11</v>
      </c>
      <c r="V55" s="29" t="s">
        <v>11</v>
      </c>
      <c r="W55" s="29" t="s">
        <v>11</v>
      </c>
      <c r="X55" s="29" t="s">
        <v>11</v>
      </c>
      <c r="Y55" s="10" t="s">
        <v>11</v>
      </c>
      <c r="Z55" s="10" t="s">
        <v>11</v>
      </c>
      <c r="AA55" s="10" t="s">
        <v>11</v>
      </c>
      <c r="AB55" s="35" t="s">
        <v>11</v>
      </c>
      <c r="AC55" s="35" t="s">
        <v>11</v>
      </c>
      <c r="AD55" s="26"/>
      <c r="AE55" s="24">
        <f t="shared" si="0"/>
        <v>0</v>
      </c>
      <c r="AF55" s="24">
        <f t="shared" si="1"/>
        <v>0</v>
      </c>
      <c r="AG55" s="24">
        <f t="shared" si="2"/>
        <v>15</v>
      </c>
      <c r="AH55" s="41" t="str" cm="1">
        <f t="array" ref="AH55">_xlfn.IFS(
SUM(AE55:AG55)=0,"Not Started",
SUM(AE55:AG55)&lt;15,"In Progress",
SUM(AE55:AG55)=15,"Completed",
SUM(AE55:AG55)&gt;15,"Error"
)</f>
        <v>Completed</v>
      </c>
    </row>
    <row r="56" spans="1:34" ht="13" x14ac:dyDescent="0.25">
      <c r="A56" s="248"/>
      <c r="B56" s="14" t="s">
        <v>705</v>
      </c>
      <c r="C56" s="7" t="s">
        <v>3474</v>
      </c>
      <c r="D56" s="7" t="s">
        <v>3664</v>
      </c>
      <c r="E56" s="7" t="s">
        <v>43</v>
      </c>
      <c r="F56" s="7" t="s">
        <v>48</v>
      </c>
      <c r="G56" s="7" t="s">
        <v>3848</v>
      </c>
      <c r="H56" s="7" t="s">
        <v>3848</v>
      </c>
      <c r="I56" s="7"/>
      <c r="J56" s="7" t="s">
        <v>4018</v>
      </c>
      <c r="K56" s="7" t="s">
        <v>3857</v>
      </c>
      <c r="L56" s="7">
        <v>10053113553</v>
      </c>
      <c r="M56" s="7"/>
      <c r="N56" s="7"/>
      <c r="O56" s="29" t="s">
        <v>11</v>
      </c>
      <c r="P56" s="29" t="s">
        <v>11</v>
      </c>
      <c r="Q56" s="29" t="s">
        <v>11</v>
      </c>
      <c r="R56" s="29" t="s">
        <v>11</v>
      </c>
      <c r="S56" s="29" t="s">
        <v>11</v>
      </c>
      <c r="T56" s="29" t="s">
        <v>11</v>
      </c>
      <c r="U56" s="29" t="s">
        <v>11</v>
      </c>
      <c r="V56" s="29" t="s">
        <v>11</v>
      </c>
      <c r="W56" s="29" t="s">
        <v>11</v>
      </c>
      <c r="X56" s="29" t="s">
        <v>11</v>
      </c>
      <c r="Y56" s="10" t="s">
        <v>11</v>
      </c>
      <c r="Z56" s="10" t="s">
        <v>11</v>
      </c>
      <c r="AA56" s="10" t="s">
        <v>11</v>
      </c>
      <c r="AB56" s="35" t="s">
        <v>11</v>
      </c>
      <c r="AC56" s="35" t="s">
        <v>11</v>
      </c>
      <c r="AD56" s="26"/>
      <c r="AE56" s="24">
        <f t="shared" si="0"/>
        <v>0</v>
      </c>
      <c r="AF56" s="24">
        <f t="shared" si="1"/>
        <v>0</v>
      </c>
      <c r="AG56" s="24">
        <f t="shared" si="2"/>
        <v>15</v>
      </c>
      <c r="AH56" s="41" t="str" cm="1">
        <f t="array" ref="AH56">_xlfn.IFS(
SUM(AE56:AG56)=0,"Not Started",
SUM(AE56:AG56)&lt;15,"In Progress",
SUM(AE56:AG56)=15,"Completed",
SUM(AE56:AG56)&gt;15,"Error"
)</f>
        <v>Completed</v>
      </c>
    </row>
    <row r="57" spans="1:34" ht="13" x14ac:dyDescent="0.25">
      <c r="A57" s="248"/>
      <c r="B57" s="7" t="s">
        <v>706</v>
      </c>
      <c r="C57" s="7" t="s">
        <v>3472</v>
      </c>
      <c r="D57" s="7" t="s">
        <v>3662</v>
      </c>
      <c r="E57" s="7" t="s">
        <v>47</v>
      </c>
      <c r="F57" s="7" t="s">
        <v>48</v>
      </c>
      <c r="G57" s="7" t="s">
        <v>3848</v>
      </c>
      <c r="H57" s="7" t="s">
        <v>3848</v>
      </c>
      <c r="I57" s="7"/>
      <c r="J57" s="7" t="s">
        <v>4011</v>
      </c>
      <c r="K57" s="7" t="s">
        <v>3855</v>
      </c>
      <c r="L57" s="7">
        <v>10053113713</v>
      </c>
      <c r="M57" s="7"/>
      <c r="N57" s="7"/>
      <c r="O57" s="29" t="s">
        <v>11</v>
      </c>
      <c r="P57" s="29" t="s">
        <v>11</v>
      </c>
      <c r="Q57" s="29" t="s">
        <v>11</v>
      </c>
      <c r="R57" s="29" t="s">
        <v>11</v>
      </c>
      <c r="S57" s="29" t="s">
        <v>11</v>
      </c>
      <c r="T57" s="29" t="s">
        <v>11</v>
      </c>
      <c r="U57" s="29" t="s">
        <v>11</v>
      </c>
      <c r="V57" s="29" t="s">
        <v>11</v>
      </c>
      <c r="W57" s="29" t="s">
        <v>11</v>
      </c>
      <c r="X57" s="29" t="s">
        <v>11</v>
      </c>
      <c r="Y57" s="10" t="s">
        <v>11</v>
      </c>
      <c r="Z57" s="10" t="s">
        <v>11</v>
      </c>
      <c r="AA57" s="10" t="s">
        <v>11</v>
      </c>
      <c r="AB57" s="35" t="s">
        <v>11</v>
      </c>
      <c r="AC57" s="35" t="s">
        <v>11</v>
      </c>
      <c r="AD57" s="26"/>
      <c r="AE57" s="24">
        <f t="shared" si="0"/>
        <v>0</v>
      </c>
      <c r="AF57" s="24">
        <f t="shared" si="1"/>
        <v>0</v>
      </c>
      <c r="AG57" s="24">
        <f t="shared" si="2"/>
        <v>15</v>
      </c>
      <c r="AH57" s="41" t="str" cm="1">
        <f t="array" ref="AH57">_xlfn.IFS(
SUM(AE57:AG57)=0,"Not Started",
SUM(AE57:AG57)&lt;15,"In Progress",
SUM(AE57:AG57)=15,"Completed",
SUM(AE57:AG57)&gt;15,"Error"
)</f>
        <v>Completed</v>
      </c>
    </row>
    <row r="58" spans="1:34" ht="13" x14ac:dyDescent="0.25">
      <c r="A58" s="248"/>
      <c r="B58" s="14" t="s">
        <v>707</v>
      </c>
      <c r="C58" s="7" t="s">
        <v>3639</v>
      </c>
      <c r="D58" s="7" t="s">
        <v>3839</v>
      </c>
      <c r="E58" s="7" t="s">
        <v>43</v>
      </c>
      <c r="F58" s="7" t="s">
        <v>48</v>
      </c>
      <c r="G58" s="7" t="s">
        <v>3848</v>
      </c>
      <c r="H58" s="7" t="s">
        <v>3848</v>
      </c>
      <c r="I58" s="7"/>
      <c r="J58" s="7" t="s">
        <v>4156</v>
      </c>
      <c r="K58" s="7" t="s">
        <v>3990</v>
      </c>
      <c r="L58" s="7">
        <v>10053350370</v>
      </c>
      <c r="M58" s="7"/>
      <c r="N58" s="7"/>
      <c r="O58" s="29" t="s">
        <v>11</v>
      </c>
      <c r="P58" s="29" t="s">
        <v>11</v>
      </c>
      <c r="Q58" s="29" t="s">
        <v>11</v>
      </c>
      <c r="R58" s="29" t="s">
        <v>11</v>
      </c>
      <c r="S58" s="29" t="s">
        <v>11</v>
      </c>
      <c r="T58" s="29" t="s">
        <v>11</v>
      </c>
      <c r="U58" s="29" t="s">
        <v>11</v>
      </c>
      <c r="V58" s="29" t="s">
        <v>11</v>
      </c>
      <c r="W58" s="29" t="s">
        <v>11</v>
      </c>
      <c r="X58" s="29" t="s">
        <v>11</v>
      </c>
      <c r="Y58" s="10" t="s">
        <v>11</v>
      </c>
      <c r="Z58" s="10" t="s">
        <v>11</v>
      </c>
      <c r="AA58" s="10" t="s">
        <v>11</v>
      </c>
      <c r="AB58" s="10" t="s">
        <v>11</v>
      </c>
      <c r="AC58" s="35" t="s">
        <v>11</v>
      </c>
      <c r="AD58" s="26"/>
      <c r="AE58" s="24">
        <f t="shared" si="0"/>
        <v>0</v>
      </c>
      <c r="AF58" s="24">
        <f t="shared" si="1"/>
        <v>0</v>
      </c>
      <c r="AG58" s="24">
        <f t="shared" si="2"/>
        <v>15</v>
      </c>
      <c r="AH58" s="41" t="str" cm="1">
        <f t="array" ref="AH58">_xlfn.IFS(
SUM(AE58:AG58)=0,"Not Started",
SUM(AE58:AG58)&lt;15,"In Progress",
SUM(AE58:AG58)=15,"Completed",
SUM(AE58:AG58)&gt;15,"Error"
)</f>
        <v>Completed</v>
      </c>
    </row>
    <row r="59" spans="1:34" ht="13" x14ac:dyDescent="0.25">
      <c r="A59" s="248"/>
      <c r="B59" s="7" t="s">
        <v>708</v>
      </c>
      <c r="C59" s="7" t="s">
        <v>3638</v>
      </c>
      <c r="D59" s="7" t="s">
        <v>3838</v>
      </c>
      <c r="E59" s="7" t="s">
        <v>51</v>
      </c>
      <c r="F59" s="7" t="s">
        <v>48</v>
      </c>
      <c r="G59" s="7" t="s">
        <v>3848</v>
      </c>
      <c r="H59" s="7" t="s">
        <v>3848</v>
      </c>
      <c r="I59" s="7"/>
      <c r="J59" s="7" t="s">
        <v>4128</v>
      </c>
      <c r="K59" s="7" t="s">
        <v>3989</v>
      </c>
      <c r="L59" s="7">
        <v>10053350638</v>
      </c>
      <c r="M59" s="7"/>
      <c r="N59" s="7"/>
      <c r="O59" s="179" t="s">
        <v>11</v>
      </c>
      <c r="P59" s="179" t="s">
        <v>11</v>
      </c>
      <c r="Q59" s="179" t="s">
        <v>11</v>
      </c>
      <c r="R59" s="179" t="s">
        <v>11</v>
      </c>
      <c r="S59" s="179" t="s">
        <v>11</v>
      </c>
      <c r="T59" s="179" t="s">
        <v>11</v>
      </c>
      <c r="U59" s="179" t="s">
        <v>11</v>
      </c>
      <c r="V59" s="179" t="s">
        <v>11</v>
      </c>
      <c r="W59" s="179" t="s">
        <v>11</v>
      </c>
      <c r="X59" s="179" t="s">
        <v>11</v>
      </c>
      <c r="Y59" s="139" t="s">
        <v>11</v>
      </c>
      <c r="Z59" s="139" t="s">
        <v>11</v>
      </c>
      <c r="AA59" s="139" t="s">
        <v>11</v>
      </c>
      <c r="AB59" s="10" t="s">
        <v>11</v>
      </c>
      <c r="AC59" s="35" t="s">
        <v>11</v>
      </c>
      <c r="AD59" s="26"/>
      <c r="AE59" s="24">
        <f t="shared" si="0"/>
        <v>0</v>
      </c>
      <c r="AF59" s="24">
        <f t="shared" si="1"/>
        <v>0</v>
      </c>
      <c r="AG59" s="24">
        <f t="shared" si="2"/>
        <v>15</v>
      </c>
      <c r="AH59" s="41" t="str" cm="1">
        <f t="array" ref="AH59">_xlfn.IFS(
SUM(AE59:AG59)=0,"Not Started",
SUM(AE59:AG59)&lt;15,"In Progress",
SUM(AE59:AG59)=15,"Completed",
SUM(AE59:AG59)&gt;15,"Error"
)</f>
        <v>Completed</v>
      </c>
    </row>
    <row r="60" spans="1:34" ht="13" x14ac:dyDescent="0.25">
      <c r="A60" s="248"/>
      <c r="B60" s="14" t="s">
        <v>709</v>
      </c>
      <c r="C60" s="7" t="s">
        <v>3611</v>
      </c>
      <c r="D60" s="7" t="s">
        <v>3811</v>
      </c>
      <c r="E60" s="7" t="s">
        <v>47</v>
      </c>
      <c r="F60" s="7" t="s">
        <v>48</v>
      </c>
      <c r="G60" s="7" t="s">
        <v>3848</v>
      </c>
      <c r="H60" s="7" t="s">
        <v>3848</v>
      </c>
      <c r="I60" s="7"/>
      <c r="J60" s="7" t="s">
        <v>4162</v>
      </c>
      <c r="K60" s="7" t="s">
        <v>3969</v>
      </c>
      <c r="L60" s="7">
        <v>10053212570</v>
      </c>
      <c r="M60" s="7"/>
      <c r="N60" s="7"/>
      <c r="O60" s="181" t="s">
        <v>11</v>
      </c>
      <c r="P60" s="181" t="s">
        <v>11</v>
      </c>
      <c r="Q60" s="181" t="s">
        <v>11</v>
      </c>
      <c r="R60" s="181" t="s">
        <v>11</v>
      </c>
      <c r="S60" s="181" t="s">
        <v>11</v>
      </c>
      <c r="T60" s="181" t="s">
        <v>11</v>
      </c>
      <c r="U60" s="181" t="s">
        <v>11</v>
      </c>
      <c r="V60" s="181" t="s">
        <v>11</v>
      </c>
      <c r="W60" s="181" t="s">
        <v>11</v>
      </c>
      <c r="X60" s="181" t="s">
        <v>11</v>
      </c>
      <c r="Y60" s="182" t="s">
        <v>11</v>
      </c>
      <c r="Z60" s="182" t="s">
        <v>11</v>
      </c>
      <c r="AA60" s="182" t="s">
        <v>11</v>
      </c>
      <c r="AB60" s="208" t="s">
        <v>10362</v>
      </c>
      <c r="AC60" s="35" t="s">
        <v>11</v>
      </c>
      <c r="AD60" s="26"/>
      <c r="AE60" s="24">
        <f t="shared" si="0"/>
        <v>0</v>
      </c>
      <c r="AF60" s="24">
        <f t="shared" si="1"/>
        <v>0</v>
      </c>
      <c r="AG60" s="24">
        <f t="shared" si="2"/>
        <v>14</v>
      </c>
      <c r="AH60" s="41" t="str" cm="1">
        <f t="array" ref="AH60">_xlfn.IFS(
SUM(AE60:AG60)=0,"Not Started",
SUM(AE60:AG60)&lt;15,"In Progress",
SUM(AE60:AG60)=15,"Completed",
SUM(AE60:AG60)&gt;15,"Error"
)</f>
        <v>In Progress</v>
      </c>
    </row>
    <row r="61" spans="1:34" ht="13" x14ac:dyDescent="0.25">
      <c r="A61" s="248"/>
      <c r="B61" s="7" t="s">
        <v>710</v>
      </c>
      <c r="C61" s="7" t="s">
        <v>3558</v>
      </c>
      <c r="D61" s="7" t="s">
        <v>3755</v>
      </c>
      <c r="E61" s="7" t="s">
        <v>51</v>
      </c>
      <c r="F61" s="7" t="s">
        <v>48</v>
      </c>
      <c r="G61" s="7" t="s">
        <v>3848</v>
      </c>
      <c r="H61" s="7" t="s">
        <v>3848</v>
      </c>
      <c r="I61" s="7"/>
      <c r="J61" s="7" t="s">
        <v>4021</v>
      </c>
      <c r="K61" s="7" t="s">
        <v>3933</v>
      </c>
      <c r="L61" s="7">
        <v>10053350647</v>
      </c>
      <c r="M61" s="7"/>
      <c r="N61" s="7"/>
      <c r="O61" s="29" t="s">
        <v>11</v>
      </c>
      <c r="P61" s="29" t="s">
        <v>11</v>
      </c>
      <c r="Q61" s="29" t="s">
        <v>11</v>
      </c>
      <c r="R61" s="29" t="s">
        <v>11</v>
      </c>
      <c r="S61" s="29" t="s">
        <v>11</v>
      </c>
      <c r="T61" s="29" t="s">
        <v>11</v>
      </c>
      <c r="U61" s="29" t="s">
        <v>11</v>
      </c>
      <c r="V61" s="29" t="s">
        <v>11</v>
      </c>
      <c r="W61" s="29" t="s">
        <v>11</v>
      </c>
      <c r="X61" s="29" t="s">
        <v>11</v>
      </c>
      <c r="Y61" s="10" t="s">
        <v>11</v>
      </c>
      <c r="Z61" s="10" t="s">
        <v>11</v>
      </c>
      <c r="AA61" s="10" t="s">
        <v>11</v>
      </c>
      <c r="AB61" s="139" t="s">
        <v>11</v>
      </c>
      <c r="AC61" s="35" t="s">
        <v>11</v>
      </c>
      <c r="AD61" s="26"/>
      <c r="AE61" s="24">
        <f t="shared" si="0"/>
        <v>0</v>
      </c>
      <c r="AF61" s="24">
        <f t="shared" si="1"/>
        <v>0</v>
      </c>
      <c r="AG61" s="24">
        <f t="shared" si="2"/>
        <v>15</v>
      </c>
      <c r="AH61" s="41" t="str" cm="1">
        <f t="array" ref="AH61">_xlfn.IFS(
SUM(AE61:AG61)=0,"Not Started",
SUM(AE61:AG61)&lt;15,"In Progress",
SUM(AE61:AG61)=15,"Completed",
SUM(AE61:AG61)&gt;15,"Error"
)</f>
        <v>Completed</v>
      </c>
    </row>
    <row r="62" spans="1:34" ht="13" x14ac:dyDescent="0.25">
      <c r="A62" s="248"/>
      <c r="B62" s="14" t="s">
        <v>711</v>
      </c>
      <c r="C62" s="7" t="s">
        <v>3636</v>
      </c>
      <c r="D62" s="7" t="s">
        <v>3836</v>
      </c>
      <c r="E62" s="7" t="s">
        <v>47</v>
      </c>
      <c r="F62" s="7" t="s">
        <v>48</v>
      </c>
      <c r="G62" s="7" t="s">
        <v>3848</v>
      </c>
      <c r="H62" s="7" t="s">
        <v>3848</v>
      </c>
      <c r="I62" s="7"/>
      <c r="J62" s="7" t="s">
        <v>4159</v>
      </c>
      <c r="K62" s="7" t="s">
        <v>5697</v>
      </c>
      <c r="L62" s="7">
        <v>10053527819</v>
      </c>
      <c r="M62" s="7"/>
      <c r="N62" s="7"/>
      <c r="O62" s="29" t="s">
        <v>11</v>
      </c>
      <c r="P62" s="29" t="s">
        <v>11</v>
      </c>
      <c r="Q62" s="29" t="s">
        <v>11</v>
      </c>
      <c r="R62" s="29" t="s">
        <v>11</v>
      </c>
      <c r="S62" s="29" t="s">
        <v>11</v>
      </c>
      <c r="T62" s="29" t="s">
        <v>11</v>
      </c>
      <c r="U62" s="29" t="s">
        <v>11</v>
      </c>
      <c r="V62" s="29" t="s">
        <v>11</v>
      </c>
      <c r="W62" s="29" t="s">
        <v>11</v>
      </c>
      <c r="X62" s="29" t="s">
        <v>11</v>
      </c>
      <c r="Y62" s="10" t="s">
        <v>11</v>
      </c>
      <c r="Z62" s="10" t="s">
        <v>11</v>
      </c>
      <c r="AA62" s="10" t="s">
        <v>11</v>
      </c>
      <c r="AB62" s="139" t="s">
        <v>11</v>
      </c>
      <c r="AC62" s="35" t="s">
        <v>11</v>
      </c>
      <c r="AD62" s="26"/>
      <c r="AE62" s="24">
        <f t="shared" si="0"/>
        <v>0</v>
      </c>
      <c r="AF62" s="24">
        <f t="shared" si="1"/>
        <v>0</v>
      </c>
      <c r="AG62" s="24">
        <f t="shared" si="2"/>
        <v>15</v>
      </c>
      <c r="AH62" s="41" t="str" cm="1">
        <f t="array" ref="AH62">_xlfn.IFS(
SUM(AE62:AG62)=0,"Not Started",
SUM(AE62:AG62)&lt;15,"In Progress",
SUM(AE62:AG62)=15,"Completed",
SUM(AE62:AG62)&gt;15,"Error"
)</f>
        <v>Completed</v>
      </c>
    </row>
    <row r="63" spans="1:34" ht="13" x14ac:dyDescent="0.25">
      <c r="A63" s="248"/>
      <c r="B63" s="7" t="s">
        <v>712</v>
      </c>
      <c r="C63" s="7" t="s">
        <v>3587</v>
      </c>
      <c r="D63" s="7" t="s">
        <v>3785</v>
      </c>
      <c r="E63" s="7" t="s">
        <v>43</v>
      </c>
      <c r="F63" s="7" t="s">
        <v>44</v>
      </c>
      <c r="G63" s="7" t="s">
        <v>3848</v>
      </c>
      <c r="H63" s="7" t="s">
        <v>3848</v>
      </c>
      <c r="I63" s="7"/>
      <c r="J63" s="7" t="s">
        <v>4157</v>
      </c>
      <c r="K63" s="7" t="s">
        <v>5698</v>
      </c>
      <c r="L63" s="7">
        <v>10053691978</v>
      </c>
      <c r="M63" s="7"/>
      <c r="N63" s="7"/>
      <c r="O63" s="179" t="s">
        <v>11</v>
      </c>
      <c r="P63" s="179" t="s">
        <v>11</v>
      </c>
      <c r="Q63" s="179" t="s">
        <v>11</v>
      </c>
      <c r="R63" s="179" t="s">
        <v>11</v>
      </c>
      <c r="S63" s="179" t="s">
        <v>11</v>
      </c>
      <c r="T63" s="179" t="s">
        <v>11</v>
      </c>
      <c r="U63" s="179" t="s">
        <v>11</v>
      </c>
      <c r="V63" s="179" t="s">
        <v>11</v>
      </c>
      <c r="W63" s="179" t="s">
        <v>11</v>
      </c>
      <c r="X63" s="179" t="s">
        <v>11</v>
      </c>
      <c r="Y63" s="139" t="s">
        <v>11</v>
      </c>
      <c r="Z63" s="139" t="s">
        <v>11</v>
      </c>
      <c r="AA63" s="139" t="s">
        <v>11</v>
      </c>
      <c r="AB63" s="10" t="s">
        <v>11</v>
      </c>
      <c r="AC63" s="35" t="s">
        <v>11</v>
      </c>
      <c r="AD63" s="26"/>
      <c r="AE63" s="24">
        <f t="shared" si="0"/>
        <v>0</v>
      </c>
      <c r="AF63" s="24">
        <f t="shared" si="1"/>
        <v>0</v>
      </c>
      <c r="AG63" s="24">
        <f t="shared" si="2"/>
        <v>15</v>
      </c>
      <c r="AH63" s="41" t="str" cm="1">
        <f t="array" ref="AH63">_xlfn.IFS(
SUM(AE63:AG63)=0,"Not Started",
SUM(AE63:AG63)&lt;15,"In Progress",
SUM(AE63:AG63)=15,"Completed",
SUM(AE63:AG63)&gt;15,"Error"
)</f>
        <v>Completed</v>
      </c>
    </row>
    <row r="64" spans="1:34" ht="13" x14ac:dyDescent="0.25">
      <c r="A64" s="248"/>
      <c r="B64" s="14" t="s">
        <v>713</v>
      </c>
      <c r="C64" s="7" t="s">
        <v>3468</v>
      </c>
      <c r="D64" s="7" t="s">
        <v>3658</v>
      </c>
      <c r="E64" s="7" t="s">
        <v>47</v>
      </c>
      <c r="F64" s="7" t="s">
        <v>48</v>
      </c>
      <c r="G64" s="7" t="s">
        <v>3848</v>
      </c>
      <c r="H64" s="7" t="s">
        <v>3848</v>
      </c>
      <c r="I64" s="7"/>
      <c r="J64" s="7" t="s">
        <v>4115</v>
      </c>
      <c r="K64" s="7" t="s">
        <v>3851</v>
      </c>
      <c r="L64" s="7">
        <v>10053712639</v>
      </c>
      <c r="M64" s="7"/>
      <c r="N64" s="7"/>
      <c r="O64" s="29" t="s">
        <v>11</v>
      </c>
      <c r="P64" s="29" t="s">
        <v>11</v>
      </c>
      <c r="Q64" s="29" t="s">
        <v>11</v>
      </c>
      <c r="R64" s="29" t="s">
        <v>11</v>
      </c>
      <c r="S64" s="29" t="s">
        <v>11</v>
      </c>
      <c r="T64" s="29" t="s">
        <v>11</v>
      </c>
      <c r="U64" s="29" t="s">
        <v>11</v>
      </c>
      <c r="V64" s="29" t="s">
        <v>11</v>
      </c>
      <c r="W64" s="29" t="s">
        <v>11</v>
      </c>
      <c r="X64" s="29" t="s">
        <v>11</v>
      </c>
      <c r="Y64" s="10" t="s">
        <v>11</v>
      </c>
      <c r="Z64" s="10" t="s">
        <v>11</v>
      </c>
      <c r="AA64" s="10" t="s">
        <v>11</v>
      </c>
      <c r="AB64" s="180" t="s">
        <v>11</v>
      </c>
      <c r="AC64" s="35" t="s">
        <v>11</v>
      </c>
      <c r="AD64" s="26"/>
      <c r="AE64" s="24">
        <f t="shared" si="0"/>
        <v>0</v>
      </c>
      <c r="AF64" s="24">
        <f t="shared" si="1"/>
        <v>0</v>
      </c>
      <c r="AG64" s="24">
        <f t="shared" si="2"/>
        <v>15</v>
      </c>
      <c r="AH64" s="41" t="str" cm="1">
        <f t="array" ref="AH64">_xlfn.IFS(
SUM(AE64:AG64)=0,"Not Started",
SUM(AE64:AG64)&lt;15,"In Progress",
SUM(AE64:AG64)=15,"Completed",
SUM(AE64:AG64)&gt;15,"Error"
)</f>
        <v>Completed</v>
      </c>
    </row>
    <row r="65" spans="1:34" ht="13" x14ac:dyDescent="0.25">
      <c r="A65" s="248"/>
      <c r="B65" s="7" t="s">
        <v>714</v>
      </c>
      <c r="C65" s="7" t="s">
        <v>3469</v>
      </c>
      <c r="D65" s="7" t="s">
        <v>3659</v>
      </c>
      <c r="E65" s="7" t="s">
        <v>51</v>
      </c>
      <c r="F65" s="7" t="s">
        <v>48</v>
      </c>
      <c r="G65" s="7" t="s">
        <v>3848</v>
      </c>
      <c r="H65" s="7" t="s">
        <v>3848</v>
      </c>
      <c r="I65" s="7"/>
      <c r="J65" s="7" t="s">
        <v>4062</v>
      </c>
      <c r="K65" s="7" t="s">
        <v>3852</v>
      </c>
      <c r="L65" s="7">
        <v>10053236544</v>
      </c>
      <c r="M65" s="7"/>
      <c r="N65" s="7"/>
      <c r="O65" s="29" t="s">
        <v>11</v>
      </c>
      <c r="P65" s="29" t="s">
        <v>11</v>
      </c>
      <c r="Q65" s="29" t="s">
        <v>11</v>
      </c>
      <c r="R65" s="29" t="s">
        <v>11</v>
      </c>
      <c r="S65" s="29" t="s">
        <v>11</v>
      </c>
      <c r="T65" s="29" t="s">
        <v>11</v>
      </c>
      <c r="U65" s="29" t="s">
        <v>11</v>
      </c>
      <c r="V65" s="29" t="s">
        <v>11</v>
      </c>
      <c r="W65" s="29" t="s">
        <v>11</v>
      </c>
      <c r="X65" s="29" t="s">
        <v>11</v>
      </c>
      <c r="Y65" s="10" t="s">
        <v>11</v>
      </c>
      <c r="Z65" s="10" t="s">
        <v>11</v>
      </c>
      <c r="AA65" s="35" t="s">
        <v>11</v>
      </c>
      <c r="AB65" s="180" t="s">
        <v>11</v>
      </c>
      <c r="AC65" s="35" t="s">
        <v>11</v>
      </c>
      <c r="AD65" s="26"/>
      <c r="AE65" s="24">
        <f t="shared" si="0"/>
        <v>0</v>
      </c>
      <c r="AF65" s="24">
        <f t="shared" si="1"/>
        <v>0</v>
      </c>
      <c r="AG65" s="24">
        <f t="shared" si="2"/>
        <v>15</v>
      </c>
      <c r="AH65" s="41" t="str" cm="1">
        <f t="array" ref="AH65">_xlfn.IFS(
SUM(AE65:AG65)=0,"Not Started",
SUM(AE65:AG65)&lt;15,"In Progress",
SUM(AE65:AG65)=15,"Completed",
SUM(AE65:AG65)&gt;15,"Error"
)</f>
        <v>Completed</v>
      </c>
    </row>
    <row r="66" spans="1:34" ht="13" x14ac:dyDescent="0.25">
      <c r="A66" s="248"/>
      <c r="B66" s="14" t="s">
        <v>715</v>
      </c>
      <c r="C66" s="7" t="s">
        <v>3626</v>
      </c>
      <c r="D66" s="7" t="s">
        <v>3826</v>
      </c>
      <c r="E66" s="7" t="s">
        <v>47</v>
      </c>
      <c r="F66" s="7" t="s">
        <v>48</v>
      </c>
      <c r="G66" s="7" t="s">
        <v>3848</v>
      </c>
      <c r="H66" s="7" t="s">
        <v>3848</v>
      </c>
      <c r="I66" s="7"/>
      <c r="J66" s="7" t="s">
        <v>4129</v>
      </c>
      <c r="K66" s="7" t="s">
        <v>3981</v>
      </c>
      <c r="L66" s="7">
        <v>10053712129</v>
      </c>
      <c r="M66" s="7"/>
      <c r="N66" s="7"/>
      <c r="O66" s="179" t="s">
        <v>11</v>
      </c>
      <c r="P66" s="179" t="s">
        <v>11</v>
      </c>
      <c r="Q66" s="179" t="s">
        <v>11</v>
      </c>
      <c r="R66" s="179" t="s">
        <v>11</v>
      </c>
      <c r="S66" s="179" t="s">
        <v>11</v>
      </c>
      <c r="T66" s="179" t="s">
        <v>11</v>
      </c>
      <c r="U66" s="179" t="s">
        <v>11</v>
      </c>
      <c r="V66" s="179" t="s">
        <v>11</v>
      </c>
      <c r="W66" s="179" t="s">
        <v>11</v>
      </c>
      <c r="X66" s="179" t="s">
        <v>11</v>
      </c>
      <c r="Y66" s="139" t="s">
        <v>11</v>
      </c>
      <c r="Z66" s="139" t="s">
        <v>11</v>
      </c>
      <c r="AA66" s="180" t="s">
        <v>11</v>
      </c>
      <c r="AB66" s="139" t="s">
        <v>11</v>
      </c>
      <c r="AC66" s="35" t="s">
        <v>11</v>
      </c>
      <c r="AD66" s="26"/>
      <c r="AE66" s="24">
        <f t="shared" si="0"/>
        <v>0</v>
      </c>
      <c r="AF66" s="24">
        <f t="shared" si="1"/>
        <v>0</v>
      </c>
      <c r="AG66" s="24">
        <f t="shared" si="2"/>
        <v>15</v>
      </c>
      <c r="AH66" s="41" t="str" cm="1">
        <f t="array" ref="AH66">_xlfn.IFS(
SUM(AE66:AG66)=0,"Not Started",
SUM(AE66:AG66)&lt;15,"In Progress",
SUM(AE66:AG66)=15,"Completed",
SUM(AE66:AG66)&gt;15,"Error"
)</f>
        <v>Completed</v>
      </c>
    </row>
    <row r="67" spans="1:34" ht="13" x14ac:dyDescent="0.25">
      <c r="A67" s="248"/>
      <c r="B67" s="7" t="s">
        <v>716</v>
      </c>
      <c r="C67" s="7" t="s">
        <v>3615</v>
      </c>
      <c r="D67" s="7" t="s">
        <v>3815</v>
      </c>
      <c r="E67" s="7" t="s">
        <v>51</v>
      </c>
      <c r="F67" s="7" t="s">
        <v>48</v>
      </c>
      <c r="G67" s="7" t="s">
        <v>3848</v>
      </c>
      <c r="H67" s="7" t="s">
        <v>3848</v>
      </c>
      <c r="I67" s="7"/>
      <c r="J67" s="7" t="s">
        <v>4152</v>
      </c>
      <c r="K67" s="7" t="s">
        <v>3973</v>
      </c>
      <c r="L67" s="7">
        <v>10053709858</v>
      </c>
      <c r="M67" s="7"/>
      <c r="N67" s="7"/>
      <c r="O67" s="179" t="s">
        <v>11</v>
      </c>
      <c r="P67" s="179" t="s">
        <v>11</v>
      </c>
      <c r="Q67" s="179" t="s">
        <v>11</v>
      </c>
      <c r="R67" s="179" t="s">
        <v>11</v>
      </c>
      <c r="S67" s="179" t="s">
        <v>11</v>
      </c>
      <c r="T67" s="179" t="s">
        <v>11</v>
      </c>
      <c r="U67" s="179" t="s">
        <v>11</v>
      </c>
      <c r="V67" s="179" t="s">
        <v>11</v>
      </c>
      <c r="W67" s="179" t="s">
        <v>11</v>
      </c>
      <c r="X67" s="179" t="s">
        <v>11</v>
      </c>
      <c r="Y67" s="139" t="s">
        <v>11</v>
      </c>
      <c r="Z67" s="139" t="s">
        <v>11</v>
      </c>
      <c r="AA67" s="180" t="s">
        <v>11</v>
      </c>
      <c r="AB67" s="180" t="s">
        <v>11</v>
      </c>
      <c r="AC67" s="35" t="s">
        <v>11</v>
      </c>
      <c r="AD67" s="26"/>
      <c r="AE67" s="24">
        <f t="shared" si="0"/>
        <v>0</v>
      </c>
      <c r="AF67" s="24">
        <f t="shared" si="1"/>
        <v>0</v>
      </c>
      <c r="AG67" s="24">
        <f t="shared" si="2"/>
        <v>15</v>
      </c>
      <c r="AH67" s="41" t="str" cm="1">
        <f t="array" ref="AH67">_xlfn.IFS(
SUM(AE67:AG67)=0,"Not Started",
SUM(AE67:AG67)&lt;15,"In Progress",
SUM(AE67:AG67)=15,"Completed",
SUM(AE67:AG67)&gt;15,"Error"
)</f>
        <v>Completed</v>
      </c>
    </row>
    <row r="68" spans="1:34" ht="13" x14ac:dyDescent="0.25">
      <c r="A68" s="248"/>
      <c r="B68" s="14" t="s">
        <v>717</v>
      </c>
      <c r="C68" s="7" t="s">
        <v>3578</v>
      </c>
      <c r="D68" s="7" t="s">
        <v>3775</v>
      </c>
      <c r="E68" s="7" t="s">
        <v>43</v>
      </c>
      <c r="F68" s="7" t="s">
        <v>48</v>
      </c>
      <c r="G68" s="7" t="s">
        <v>3848</v>
      </c>
      <c r="H68" s="7" t="s">
        <v>3848</v>
      </c>
      <c r="I68" s="7"/>
      <c r="J68" s="7" t="s">
        <v>4069</v>
      </c>
      <c r="K68" s="7" t="s">
        <v>3946</v>
      </c>
      <c r="L68" s="7">
        <v>10053113212</v>
      </c>
      <c r="M68" s="7"/>
      <c r="N68" s="7"/>
      <c r="O68" s="179" t="s">
        <v>11</v>
      </c>
      <c r="P68" s="179" t="s">
        <v>11</v>
      </c>
      <c r="Q68" s="179" t="s">
        <v>11</v>
      </c>
      <c r="R68" s="179" t="s">
        <v>11</v>
      </c>
      <c r="S68" s="179" t="s">
        <v>11</v>
      </c>
      <c r="T68" s="179" t="s">
        <v>11</v>
      </c>
      <c r="U68" s="179" t="s">
        <v>11</v>
      </c>
      <c r="V68" s="179" t="s">
        <v>11</v>
      </c>
      <c r="W68" s="179" t="s">
        <v>11</v>
      </c>
      <c r="X68" s="179" t="s">
        <v>11</v>
      </c>
      <c r="Y68" s="139" t="s">
        <v>11</v>
      </c>
      <c r="Z68" s="139" t="s">
        <v>11</v>
      </c>
      <c r="AA68" s="180" t="s">
        <v>11</v>
      </c>
      <c r="AB68" s="180" t="s">
        <v>11</v>
      </c>
      <c r="AC68" s="35" t="s">
        <v>11</v>
      </c>
      <c r="AD68" s="26"/>
      <c r="AE68" s="24">
        <f t="shared" si="0"/>
        <v>0</v>
      </c>
      <c r="AF68" s="24">
        <f t="shared" si="1"/>
        <v>0</v>
      </c>
      <c r="AG68" s="24">
        <f t="shared" si="2"/>
        <v>15</v>
      </c>
      <c r="AH68" s="41" t="str" cm="1">
        <f t="array" ref="AH68">_xlfn.IFS(
SUM(AE68:AG68)=0,"Not Started",
SUM(AE68:AG68)&lt;15,"In Progress",
SUM(AE68:AG68)=15,"Completed",
SUM(AE68:AG68)&gt;15,"Error"
)</f>
        <v>Completed</v>
      </c>
    </row>
    <row r="69" spans="1:34" ht="13" x14ac:dyDescent="0.25">
      <c r="A69" s="248"/>
      <c r="B69" s="7" t="s">
        <v>718</v>
      </c>
      <c r="C69" s="7" t="s">
        <v>3463</v>
      </c>
      <c r="D69" s="7" t="s">
        <v>3652</v>
      </c>
      <c r="E69" s="7" t="s">
        <v>47</v>
      </c>
      <c r="F69" s="7" t="s">
        <v>48</v>
      </c>
      <c r="G69" s="7" t="s">
        <v>3848</v>
      </c>
      <c r="H69" s="7" t="s">
        <v>3848</v>
      </c>
      <c r="I69" s="7"/>
      <c r="J69" s="7" t="s">
        <v>4006</v>
      </c>
      <c r="K69" s="7" t="s">
        <v>5699</v>
      </c>
      <c r="L69" s="7">
        <v>10053172429</v>
      </c>
      <c r="M69" s="7"/>
      <c r="N69" s="7"/>
      <c r="O69" s="29" t="s">
        <v>11</v>
      </c>
      <c r="P69" s="29" t="s">
        <v>11</v>
      </c>
      <c r="Q69" s="29" t="s">
        <v>11</v>
      </c>
      <c r="R69" s="29" t="s">
        <v>11</v>
      </c>
      <c r="S69" s="29" t="s">
        <v>11</v>
      </c>
      <c r="T69" s="29" t="s">
        <v>11</v>
      </c>
      <c r="U69" s="29" t="s">
        <v>11</v>
      </c>
      <c r="V69" s="29" t="s">
        <v>11</v>
      </c>
      <c r="W69" s="29" t="s">
        <v>11</v>
      </c>
      <c r="X69" s="29" t="s">
        <v>11</v>
      </c>
      <c r="Y69" s="10" t="s">
        <v>11</v>
      </c>
      <c r="Z69" s="10" t="s">
        <v>11</v>
      </c>
      <c r="AA69" s="35" t="s">
        <v>11</v>
      </c>
      <c r="AB69" s="35" t="s">
        <v>11</v>
      </c>
      <c r="AC69" s="35" t="s">
        <v>11</v>
      </c>
      <c r="AD69" s="26"/>
      <c r="AE69" s="24">
        <f t="shared" ref="AE69:AE132" si="3">COUNTIF(O69:AC69,$AE$2)</f>
        <v>0</v>
      </c>
      <c r="AF69" s="24">
        <f t="shared" ref="AF69:AF132" si="4">COUNTIF(O69:AC69,$AF$2)</f>
        <v>0</v>
      </c>
      <c r="AG69" s="24">
        <f t="shared" ref="AG69:AG132" si="5">COUNTIF(O69:AC69,$AG$2)</f>
        <v>15</v>
      </c>
      <c r="AH69" s="41" t="str" cm="1">
        <f t="array" ref="AH69">_xlfn.IFS(
SUM(AE69:AG69)=0,"Not Started",
SUM(AE69:AG69)&lt;15,"In Progress",
SUM(AE69:AG69)=15,"Completed",
SUM(AE69:AG69)&gt;15,"Error"
)</f>
        <v>Completed</v>
      </c>
    </row>
    <row r="70" spans="1:34" ht="13" x14ac:dyDescent="0.25">
      <c r="A70" s="248"/>
      <c r="B70" s="14" t="s">
        <v>719</v>
      </c>
      <c r="C70" s="7" t="s">
        <v>3612</v>
      </c>
      <c r="D70" s="7" t="s">
        <v>3812</v>
      </c>
      <c r="E70" s="7" t="s">
        <v>47</v>
      </c>
      <c r="F70" s="7" t="s">
        <v>48</v>
      </c>
      <c r="G70" s="7" t="s">
        <v>3848</v>
      </c>
      <c r="H70" s="7" t="s">
        <v>3848</v>
      </c>
      <c r="I70" s="7"/>
      <c r="J70" s="7" t="s">
        <v>4148</v>
      </c>
      <c r="K70" s="7" t="s">
        <v>3970</v>
      </c>
      <c r="L70" s="7">
        <v>10053714099</v>
      </c>
      <c r="M70" s="7"/>
      <c r="N70" s="7"/>
      <c r="O70" s="29" t="s">
        <v>11</v>
      </c>
      <c r="P70" s="29" t="s">
        <v>11</v>
      </c>
      <c r="Q70" s="29" t="s">
        <v>11</v>
      </c>
      <c r="R70" s="29" t="s">
        <v>11</v>
      </c>
      <c r="S70" s="29" t="s">
        <v>11</v>
      </c>
      <c r="T70" s="29" t="s">
        <v>11</v>
      </c>
      <c r="U70" s="29" t="s">
        <v>11</v>
      </c>
      <c r="V70" s="29" t="s">
        <v>11</v>
      </c>
      <c r="W70" s="29" t="s">
        <v>11</v>
      </c>
      <c r="X70" s="29" t="s">
        <v>11</v>
      </c>
      <c r="Y70" s="10" t="s">
        <v>11</v>
      </c>
      <c r="Z70" s="10" t="s">
        <v>11</v>
      </c>
      <c r="AA70" s="35" t="s">
        <v>11</v>
      </c>
      <c r="AB70" s="35" t="s">
        <v>11</v>
      </c>
      <c r="AC70" s="35" t="s">
        <v>11</v>
      </c>
      <c r="AD70" s="26"/>
      <c r="AE70" s="24">
        <f t="shared" si="3"/>
        <v>0</v>
      </c>
      <c r="AF70" s="24">
        <f t="shared" si="4"/>
        <v>0</v>
      </c>
      <c r="AG70" s="24">
        <f t="shared" si="5"/>
        <v>15</v>
      </c>
      <c r="AH70" s="41" t="str" cm="1">
        <f t="array" ref="AH70">_xlfn.IFS(
SUM(AE70:AG70)=0,"Not Started",
SUM(AE70:AG70)&lt;15,"In Progress",
SUM(AE70:AG70)=15,"Completed",
SUM(AE70:AG70)&gt;15,"Error"
)</f>
        <v>Completed</v>
      </c>
    </row>
    <row r="71" spans="1:34" ht="13" x14ac:dyDescent="0.25">
      <c r="A71" s="248"/>
      <c r="B71" s="7" t="s">
        <v>720</v>
      </c>
      <c r="C71" s="7" t="s">
        <v>3577</v>
      </c>
      <c r="D71" s="7" t="s">
        <v>3774</v>
      </c>
      <c r="E71" s="7" t="s">
        <v>47</v>
      </c>
      <c r="F71" s="7" t="s">
        <v>48</v>
      </c>
      <c r="G71" s="7" t="s">
        <v>3848</v>
      </c>
      <c r="H71" s="7" t="s">
        <v>3848</v>
      </c>
      <c r="I71" s="7"/>
      <c r="J71" s="7" t="s">
        <v>4146</v>
      </c>
      <c r="K71" s="7" t="s">
        <v>3863</v>
      </c>
      <c r="L71" s="7">
        <v>10053712700</v>
      </c>
      <c r="M71" s="7"/>
      <c r="N71" s="7"/>
      <c r="O71" s="29" t="s">
        <v>11</v>
      </c>
      <c r="P71" s="29" t="s">
        <v>11</v>
      </c>
      <c r="Q71" s="29" t="s">
        <v>11</v>
      </c>
      <c r="R71" s="29" t="s">
        <v>11</v>
      </c>
      <c r="S71" s="29" t="s">
        <v>11</v>
      </c>
      <c r="T71" s="29" t="s">
        <v>11</v>
      </c>
      <c r="U71" s="29" t="s">
        <v>11</v>
      </c>
      <c r="V71" s="29" t="s">
        <v>11</v>
      </c>
      <c r="W71" s="29" t="s">
        <v>11</v>
      </c>
      <c r="X71" s="29" t="s">
        <v>11</v>
      </c>
      <c r="Y71" s="10" t="s">
        <v>11</v>
      </c>
      <c r="Z71" s="10" t="s">
        <v>11</v>
      </c>
      <c r="AA71" s="35" t="s">
        <v>11</v>
      </c>
      <c r="AB71" s="35" t="s">
        <v>11</v>
      </c>
      <c r="AC71" s="35" t="s">
        <v>11</v>
      </c>
      <c r="AD71" s="26"/>
      <c r="AE71" s="24">
        <f t="shared" si="3"/>
        <v>0</v>
      </c>
      <c r="AF71" s="24">
        <f t="shared" si="4"/>
        <v>0</v>
      </c>
      <c r="AG71" s="24">
        <f t="shared" si="5"/>
        <v>15</v>
      </c>
      <c r="AH71" s="41" t="str" cm="1">
        <f t="array" ref="AH71">_xlfn.IFS(
SUM(AE71:AG71)=0,"Not Started",
SUM(AE71:AG71)&lt;15,"In Progress",
SUM(AE71:AG71)=15,"Completed",
SUM(AE71:AG71)&gt;15,"Error"
)</f>
        <v>Completed</v>
      </c>
    </row>
    <row r="72" spans="1:34" ht="13" x14ac:dyDescent="0.25">
      <c r="A72" s="248"/>
      <c r="B72" s="14" t="s">
        <v>721</v>
      </c>
      <c r="C72" s="7" t="s">
        <v>3485</v>
      </c>
      <c r="D72" s="7" t="s">
        <v>3678</v>
      </c>
      <c r="E72" s="7" t="s">
        <v>51</v>
      </c>
      <c r="F72" s="7" t="s">
        <v>48</v>
      </c>
      <c r="G72" s="7" t="s">
        <v>3848</v>
      </c>
      <c r="H72" s="7" t="s">
        <v>3848</v>
      </c>
      <c r="I72" s="7"/>
      <c r="J72" s="7" t="s">
        <v>4141</v>
      </c>
      <c r="K72" s="7" t="s">
        <v>3945</v>
      </c>
      <c r="L72" s="7">
        <v>10053712531</v>
      </c>
      <c r="M72" s="7"/>
      <c r="N72" s="7"/>
      <c r="O72" s="29" t="s">
        <v>11</v>
      </c>
      <c r="P72" s="29" t="s">
        <v>11</v>
      </c>
      <c r="Q72" s="29" t="s">
        <v>11</v>
      </c>
      <c r="R72" s="29" t="s">
        <v>11</v>
      </c>
      <c r="S72" s="29" t="s">
        <v>11</v>
      </c>
      <c r="T72" s="29" t="s">
        <v>11</v>
      </c>
      <c r="U72" s="29" t="s">
        <v>11</v>
      </c>
      <c r="V72" s="29" t="s">
        <v>11</v>
      </c>
      <c r="W72" s="29" t="s">
        <v>11</v>
      </c>
      <c r="X72" s="29" t="s">
        <v>11</v>
      </c>
      <c r="Y72" s="10" t="s">
        <v>11</v>
      </c>
      <c r="Z72" s="10" t="s">
        <v>11</v>
      </c>
      <c r="AA72" s="35" t="s">
        <v>11</v>
      </c>
      <c r="AB72" s="35" t="s">
        <v>11</v>
      </c>
      <c r="AC72" s="35" t="s">
        <v>11</v>
      </c>
      <c r="AD72" s="26"/>
      <c r="AE72" s="24">
        <f t="shared" si="3"/>
        <v>0</v>
      </c>
      <c r="AF72" s="24">
        <f t="shared" si="4"/>
        <v>0</v>
      </c>
      <c r="AG72" s="24">
        <f t="shared" si="5"/>
        <v>15</v>
      </c>
      <c r="AH72" s="41" t="str" cm="1">
        <f t="array" ref="AH72">_xlfn.IFS(
SUM(AE72:AG72)=0,"Not Started",
SUM(AE72:AG72)&lt;15,"In Progress",
SUM(AE72:AG72)=15,"Completed",
SUM(AE72:AG72)&gt;15,"Error"
)</f>
        <v>Completed</v>
      </c>
    </row>
    <row r="73" spans="1:34" ht="13" x14ac:dyDescent="0.25">
      <c r="A73" s="248"/>
      <c r="B73" s="7" t="s">
        <v>722</v>
      </c>
      <c r="C73" s="7" t="s">
        <v>3510</v>
      </c>
      <c r="D73" s="7" t="s">
        <v>3705</v>
      </c>
      <c r="E73" s="7" t="s">
        <v>47</v>
      </c>
      <c r="F73" s="7" t="s">
        <v>48</v>
      </c>
      <c r="G73" s="7" t="s">
        <v>3848</v>
      </c>
      <c r="H73" s="7" t="s">
        <v>3848</v>
      </c>
      <c r="I73" s="7"/>
      <c r="J73" s="7" t="s">
        <v>4143</v>
      </c>
      <c r="K73" s="7" t="s">
        <v>3888</v>
      </c>
      <c r="L73" s="7">
        <v>10053529635</v>
      </c>
      <c r="M73" s="7"/>
      <c r="N73" s="7"/>
      <c r="O73" s="29" t="s">
        <v>11</v>
      </c>
      <c r="P73" s="29" t="s">
        <v>11</v>
      </c>
      <c r="Q73" s="29" t="s">
        <v>11</v>
      </c>
      <c r="R73" s="29" t="s">
        <v>11</v>
      </c>
      <c r="S73" s="29" t="s">
        <v>11</v>
      </c>
      <c r="T73" s="29" t="s">
        <v>11</v>
      </c>
      <c r="U73" s="29" t="s">
        <v>11</v>
      </c>
      <c r="V73" s="29" t="s">
        <v>11</v>
      </c>
      <c r="W73" s="29" t="s">
        <v>11</v>
      </c>
      <c r="X73" s="29" t="s">
        <v>11</v>
      </c>
      <c r="Y73" s="10" t="s">
        <v>11</v>
      </c>
      <c r="Z73" s="10" t="s">
        <v>11</v>
      </c>
      <c r="AA73" s="35" t="s">
        <v>11</v>
      </c>
      <c r="AB73" s="35" t="s">
        <v>11</v>
      </c>
      <c r="AC73" s="35" t="s">
        <v>11</v>
      </c>
      <c r="AD73" s="26"/>
      <c r="AE73" s="24">
        <f t="shared" si="3"/>
        <v>0</v>
      </c>
      <c r="AF73" s="24">
        <f t="shared" si="4"/>
        <v>0</v>
      </c>
      <c r="AG73" s="24">
        <f t="shared" si="5"/>
        <v>15</v>
      </c>
      <c r="AH73" s="41" t="str" cm="1">
        <f t="array" ref="AH73">_xlfn.IFS(
SUM(AE73:AG73)=0,"Not Started",
SUM(AE73:AG73)&lt;15,"In Progress",
SUM(AE73:AG73)=15,"Completed",
SUM(AE73:AG73)&gt;15,"Error"
)</f>
        <v>Completed</v>
      </c>
    </row>
    <row r="74" spans="1:34" ht="13" x14ac:dyDescent="0.25">
      <c r="A74" s="248"/>
      <c r="B74" s="14" t="s">
        <v>723</v>
      </c>
      <c r="C74" s="7" t="s">
        <v>3640</v>
      </c>
      <c r="D74" s="7" t="s">
        <v>3840</v>
      </c>
      <c r="E74" s="7" t="s">
        <v>47</v>
      </c>
      <c r="F74" s="7" t="s">
        <v>48</v>
      </c>
      <c r="G74" s="7" t="s">
        <v>3848</v>
      </c>
      <c r="H74" s="7" t="s">
        <v>3848</v>
      </c>
      <c r="I74" s="7"/>
      <c r="J74" s="7" t="s">
        <v>4105</v>
      </c>
      <c r="K74" s="7" t="s">
        <v>5700</v>
      </c>
      <c r="L74" s="7">
        <v>10053647764</v>
      </c>
      <c r="M74" s="7"/>
      <c r="N74" s="7"/>
      <c r="O74" s="29" t="s">
        <v>11</v>
      </c>
      <c r="P74" s="29" t="s">
        <v>11</v>
      </c>
      <c r="Q74" s="29" t="s">
        <v>11</v>
      </c>
      <c r="R74" s="29" t="s">
        <v>11</v>
      </c>
      <c r="S74" s="29" t="s">
        <v>11</v>
      </c>
      <c r="T74" s="29" t="s">
        <v>11</v>
      </c>
      <c r="U74" s="29" t="s">
        <v>11</v>
      </c>
      <c r="V74" s="29" t="s">
        <v>11</v>
      </c>
      <c r="W74" s="29" t="s">
        <v>11</v>
      </c>
      <c r="X74" s="29" t="s">
        <v>11</v>
      </c>
      <c r="Y74" s="10" t="s">
        <v>11</v>
      </c>
      <c r="Z74" s="10" t="s">
        <v>11</v>
      </c>
      <c r="AA74" s="10" t="s">
        <v>11</v>
      </c>
      <c r="AB74" s="35" t="s">
        <v>11</v>
      </c>
      <c r="AC74" s="35" t="s">
        <v>11</v>
      </c>
      <c r="AD74" s="26"/>
      <c r="AE74" s="24">
        <f t="shared" si="3"/>
        <v>0</v>
      </c>
      <c r="AF74" s="24">
        <f t="shared" si="4"/>
        <v>0</v>
      </c>
      <c r="AG74" s="24">
        <f t="shared" si="5"/>
        <v>15</v>
      </c>
      <c r="AH74" s="41" t="str" cm="1">
        <f t="array" ref="AH74">_xlfn.IFS(
SUM(AE74:AG74)=0,"Not Started",
SUM(AE74:AG74)&lt;15,"In Progress",
SUM(AE74:AG74)=15,"Completed",
SUM(AE74:AG74)&gt;15,"Error"
)</f>
        <v>Completed</v>
      </c>
    </row>
    <row r="75" spans="1:34" ht="13" x14ac:dyDescent="0.25">
      <c r="A75" s="248"/>
      <c r="B75" s="7" t="s">
        <v>724</v>
      </c>
      <c r="C75" s="7" t="s">
        <v>3489</v>
      </c>
      <c r="D75" s="7" t="s">
        <v>3682</v>
      </c>
      <c r="E75" s="7" t="s">
        <v>51</v>
      </c>
      <c r="F75" s="7" t="s">
        <v>48</v>
      </c>
      <c r="G75" s="7" t="s">
        <v>3848</v>
      </c>
      <c r="H75" s="7" t="s">
        <v>3848</v>
      </c>
      <c r="I75" s="7"/>
      <c r="J75" s="7" t="s">
        <v>4014</v>
      </c>
      <c r="K75" s="7" t="s">
        <v>5701</v>
      </c>
      <c r="L75" s="7">
        <v>10053108311</v>
      </c>
      <c r="M75" s="7"/>
      <c r="N75" s="7"/>
      <c r="O75" s="29" t="s">
        <v>11</v>
      </c>
      <c r="P75" s="29" t="s">
        <v>11</v>
      </c>
      <c r="Q75" s="29" t="s">
        <v>11</v>
      </c>
      <c r="R75" s="29" t="s">
        <v>11</v>
      </c>
      <c r="S75" s="29" t="s">
        <v>11</v>
      </c>
      <c r="T75" s="29" t="s">
        <v>11</v>
      </c>
      <c r="U75" s="29" t="s">
        <v>11</v>
      </c>
      <c r="V75" s="29" t="s">
        <v>11</v>
      </c>
      <c r="W75" s="29" t="s">
        <v>11</v>
      </c>
      <c r="X75" s="29" t="s">
        <v>11</v>
      </c>
      <c r="Y75" s="10" t="s">
        <v>11</v>
      </c>
      <c r="Z75" s="10" t="s">
        <v>11</v>
      </c>
      <c r="AA75" s="10" t="s">
        <v>11</v>
      </c>
      <c r="AB75" s="180" t="s">
        <v>11</v>
      </c>
      <c r="AC75" s="35" t="s">
        <v>11</v>
      </c>
      <c r="AD75" s="26"/>
      <c r="AE75" s="24">
        <f t="shared" si="3"/>
        <v>0</v>
      </c>
      <c r="AF75" s="24">
        <f t="shared" si="4"/>
        <v>0</v>
      </c>
      <c r="AG75" s="24">
        <f t="shared" si="5"/>
        <v>15</v>
      </c>
      <c r="AH75" s="41" t="str" cm="1">
        <f t="array" ref="AH75">_xlfn.IFS(
SUM(AE75:AG75)=0,"Not Started",
SUM(AE75:AG75)&lt;15,"In Progress",
SUM(AE75:AG75)=15,"Completed",
SUM(AE75:AG75)&gt;15,"Error"
)</f>
        <v>Completed</v>
      </c>
    </row>
    <row r="76" spans="1:34" ht="13" x14ac:dyDescent="0.25">
      <c r="A76" s="248"/>
      <c r="B76" s="14" t="s">
        <v>725</v>
      </c>
      <c r="C76" s="7" t="s">
        <v>3459</v>
      </c>
      <c r="D76" s="7" t="s">
        <v>3648</v>
      </c>
      <c r="E76" s="7" t="s">
        <v>43</v>
      </c>
      <c r="F76" s="7" t="s">
        <v>48</v>
      </c>
      <c r="G76" s="7" t="s">
        <v>3848</v>
      </c>
      <c r="H76" s="7" t="s">
        <v>3848</v>
      </c>
      <c r="I76" s="7"/>
      <c r="J76" s="7" t="s">
        <v>4139</v>
      </c>
      <c r="K76" s="7" t="s">
        <v>5702</v>
      </c>
      <c r="L76" s="7">
        <v>10053765599</v>
      </c>
      <c r="M76" s="7"/>
      <c r="N76" s="7"/>
      <c r="O76" s="29" t="s">
        <v>11</v>
      </c>
      <c r="P76" s="29" t="s">
        <v>11</v>
      </c>
      <c r="Q76" s="29" t="s">
        <v>11</v>
      </c>
      <c r="R76" s="29" t="s">
        <v>11</v>
      </c>
      <c r="S76" s="29" t="s">
        <v>11</v>
      </c>
      <c r="T76" s="29" t="s">
        <v>11</v>
      </c>
      <c r="U76" s="29" t="s">
        <v>11</v>
      </c>
      <c r="V76" s="29" t="s">
        <v>11</v>
      </c>
      <c r="W76" s="29" t="s">
        <v>11</v>
      </c>
      <c r="X76" s="29" t="s">
        <v>11</v>
      </c>
      <c r="Y76" s="10" t="s">
        <v>11</v>
      </c>
      <c r="Z76" s="10" t="s">
        <v>11</v>
      </c>
      <c r="AA76" s="10" t="s">
        <v>11</v>
      </c>
      <c r="AB76" s="139" t="s">
        <v>11</v>
      </c>
      <c r="AC76" s="35" t="s">
        <v>11</v>
      </c>
      <c r="AD76" s="26"/>
      <c r="AE76" s="24">
        <f t="shared" si="3"/>
        <v>0</v>
      </c>
      <c r="AF76" s="24">
        <f t="shared" si="4"/>
        <v>0</v>
      </c>
      <c r="AG76" s="24">
        <f t="shared" si="5"/>
        <v>15</v>
      </c>
      <c r="AH76" s="41" t="str" cm="1">
        <f t="array" ref="AH76">_xlfn.IFS(
SUM(AE76:AG76)=0,"Not Started",
SUM(AE76:AG76)&lt;15,"In Progress",
SUM(AE76:AG76)=15,"Completed",
SUM(AE76:AG76)&gt;15,"Error"
)</f>
        <v>Completed</v>
      </c>
    </row>
    <row r="77" spans="1:34" ht="13" x14ac:dyDescent="0.25">
      <c r="A77" s="248"/>
      <c r="B77" s="7" t="s">
        <v>726</v>
      </c>
      <c r="C77" s="7" t="s">
        <v>3528</v>
      </c>
      <c r="D77" s="7" t="s">
        <v>3725</v>
      </c>
      <c r="E77" s="7" t="s">
        <v>43</v>
      </c>
      <c r="F77" s="7" t="s">
        <v>48</v>
      </c>
      <c r="G77" s="7" t="s">
        <v>3848</v>
      </c>
      <c r="H77" s="7" t="s">
        <v>3848</v>
      </c>
      <c r="I77" s="7"/>
      <c r="J77" s="7" t="s">
        <v>4022</v>
      </c>
      <c r="K77" s="7" t="s">
        <v>3907</v>
      </c>
      <c r="L77" s="7">
        <v>10085371923</v>
      </c>
      <c r="M77" s="7"/>
      <c r="N77" s="7"/>
      <c r="O77" s="29" t="s">
        <v>11</v>
      </c>
      <c r="P77" s="29" t="s">
        <v>11</v>
      </c>
      <c r="Q77" s="29" t="s">
        <v>11</v>
      </c>
      <c r="R77" s="29" t="s">
        <v>11</v>
      </c>
      <c r="S77" s="29" t="s">
        <v>11</v>
      </c>
      <c r="T77" s="29" t="s">
        <v>11</v>
      </c>
      <c r="U77" s="29" t="s">
        <v>11</v>
      </c>
      <c r="V77" s="29" t="s">
        <v>11</v>
      </c>
      <c r="W77" s="29" t="s">
        <v>11</v>
      </c>
      <c r="X77" s="29" t="s">
        <v>11</v>
      </c>
      <c r="Y77" s="10" t="s">
        <v>11</v>
      </c>
      <c r="Z77" s="10" t="s">
        <v>11</v>
      </c>
      <c r="AA77" s="10" t="s">
        <v>11</v>
      </c>
      <c r="AB77" s="139" t="s">
        <v>11</v>
      </c>
      <c r="AC77" s="35" t="s">
        <v>11</v>
      </c>
      <c r="AD77" s="26"/>
      <c r="AE77" s="24">
        <f t="shared" si="3"/>
        <v>0</v>
      </c>
      <c r="AF77" s="24">
        <f t="shared" si="4"/>
        <v>0</v>
      </c>
      <c r="AG77" s="24">
        <f t="shared" si="5"/>
        <v>15</v>
      </c>
      <c r="AH77" s="41" t="str" cm="1">
        <f t="array" ref="AH77">_xlfn.IFS(
SUM(AE77:AG77)=0,"Not Started",
SUM(AE77:AG77)&lt;15,"In Progress",
SUM(AE77:AG77)=15,"Completed",
SUM(AE77:AG77)&gt;15,"Error"
)</f>
        <v>Completed</v>
      </c>
    </row>
    <row r="78" spans="1:34" ht="13" x14ac:dyDescent="0.25">
      <c r="A78" s="248"/>
      <c r="B78" s="14" t="s">
        <v>727</v>
      </c>
      <c r="C78" s="7" t="s">
        <v>3492</v>
      </c>
      <c r="D78" s="7" t="s">
        <v>3685</v>
      </c>
      <c r="E78" s="7" t="s">
        <v>43</v>
      </c>
      <c r="F78" s="7" t="s">
        <v>48</v>
      </c>
      <c r="G78" s="7" t="s">
        <v>3848</v>
      </c>
      <c r="H78" s="7" t="s">
        <v>3848</v>
      </c>
      <c r="I78" s="7"/>
      <c r="J78" s="7" t="s">
        <v>4151</v>
      </c>
      <c r="K78" s="7" t="s">
        <v>5703</v>
      </c>
      <c r="L78" s="7">
        <v>10053180977</v>
      </c>
      <c r="M78" s="7"/>
      <c r="N78" s="7"/>
      <c r="O78" s="179" t="s">
        <v>11</v>
      </c>
      <c r="P78" s="179" t="s">
        <v>11</v>
      </c>
      <c r="Q78" s="179" t="s">
        <v>11</v>
      </c>
      <c r="R78" s="179" t="s">
        <v>11</v>
      </c>
      <c r="S78" s="179" t="s">
        <v>11</v>
      </c>
      <c r="T78" s="179" t="s">
        <v>11</v>
      </c>
      <c r="U78" s="179" t="s">
        <v>11</v>
      </c>
      <c r="V78" s="179" t="s">
        <v>11</v>
      </c>
      <c r="W78" s="179" t="s">
        <v>11</v>
      </c>
      <c r="X78" s="179" t="s">
        <v>11</v>
      </c>
      <c r="Y78" s="139" t="s">
        <v>11</v>
      </c>
      <c r="Z78" s="139" t="s">
        <v>11</v>
      </c>
      <c r="AA78" s="139" t="s">
        <v>11</v>
      </c>
      <c r="AB78" s="139" t="s">
        <v>11</v>
      </c>
      <c r="AC78" s="35" t="s">
        <v>11</v>
      </c>
      <c r="AD78" s="26"/>
      <c r="AE78" s="24">
        <f t="shared" si="3"/>
        <v>0</v>
      </c>
      <c r="AF78" s="24">
        <f t="shared" si="4"/>
        <v>0</v>
      </c>
      <c r="AG78" s="24">
        <f t="shared" si="5"/>
        <v>15</v>
      </c>
      <c r="AH78" s="41" t="str" cm="1">
        <f t="array" ref="AH78">_xlfn.IFS(
SUM(AE78:AG78)=0,"Not Started",
SUM(AE78:AG78)&lt;15,"In Progress",
SUM(AE78:AG78)=15,"Completed",
SUM(AE78:AG78)&gt;15,"Error"
)</f>
        <v>Completed</v>
      </c>
    </row>
    <row r="79" spans="1:34" ht="13" x14ac:dyDescent="0.25">
      <c r="A79" s="248"/>
      <c r="B79" s="7" t="s">
        <v>728</v>
      </c>
      <c r="C79" s="7" t="s">
        <v>3484</v>
      </c>
      <c r="D79" s="7" t="s">
        <v>3677</v>
      </c>
      <c r="E79" s="7" t="s">
        <v>43</v>
      </c>
      <c r="F79" s="7" t="s">
        <v>48</v>
      </c>
      <c r="G79" s="7" t="s">
        <v>3848</v>
      </c>
      <c r="H79" s="7" t="s">
        <v>3848</v>
      </c>
      <c r="I79" s="7"/>
      <c r="J79" s="7" t="s">
        <v>4160</v>
      </c>
      <c r="K79" s="7" t="s">
        <v>5704</v>
      </c>
      <c r="L79" s="7">
        <v>10053625883</v>
      </c>
      <c r="M79" s="7"/>
      <c r="N79" s="7"/>
      <c r="O79" s="179" t="s">
        <v>11</v>
      </c>
      <c r="P79" s="179" t="s">
        <v>11</v>
      </c>
      <c r="Q79" s="179" t="s">
        <v>11</v>
      </c>
      <c r="R79" s="179" t="s">
        <v>11</v>
      </c>
      <c r="S79" s="179" t="s">
        <v>11</v>
      </c>
      <c r="T79" s="179" t="s">
        <v>11</v>
      </c>
      <c r="U79" s="179" t="s">
        <v>11</v>
      </c>
      <c r="V79" s="179" t="s">
        <v>11</v>
      </c>
      <c r="W79" s="179" t="s">
        <v>11</v>
      </c>
      <c r="X79" s="179" t="s">
        <v>11</v>
      </c>
      <c r="Y79" s="139" t="s">
        <v>11</v>
      </c>
      <c r="Z79" s="139" t="s">
        <v>11</v>
      </c>
      <c r="AA79" s="139" t="s">
        <v>11</v>
      </c>
      <c r="AB79" s="139" t="s">
        <v>11</v>
      </c>
      <c r="AC79" s="35" t="s">
        <v>11</v>
      </c>
      <c r="AD79" s="26"/>
      <c r="AE79" s="24">
        <f t="shared" si="3"/>
        <v>0</v>
      </c>
      <c r="AF79" s="24">
        <f t="shared" si="4"/>
        <v>0</v>
      </c>
      <c r="AG79" s="24">
        <f t="shared" si="5"/>
        <v>15</v>
      </c>
      <c r="AH79" s="41" t="str" cm="1">
        <f t="array" ref="AH79">_xlfn.IFS(
SUM(AE79:AG79)=0,"Not Started",
SUM(AE79:AG79)&lt;15,"In Progress",
SUM(AE79:AG79)=15,"Completed",
SUM(AE79:AG79)&gt;15,"Error"
)</f>
        <v>Completed</v>
      </c>
    </row>
    <row r="80" spans="1:34" ht="13" x14ac:dyDescent="0.25">
      <c r="A80" s="248"/>
      <c r="B80" s="14" t="s">
        <v>729</v>
      </c>
      <c r="C80" s="7" t="s">
        <v>3553</v>
      </c>
      <c r="D80" s="7" t="s">
        <v>3750</v>
      </c>
      <c r="E80" s="7" t="s">
        <v>43</v>
      </c>
      <c r="F80" s="7" t="s">
        <v>48</v>
      </c>
      <c r="G80" s="7" t="s">
        <v>3848</v>
      </c>
      <c r="H80" s="7" t="s">
        <v>3848</v>
      </c>
      <c r="I80" s="7"/>
      <c r="J80" s="7" t="s">
        <v>4028</v>
      </c>
      <c r="K80" s="7" t="s">
        <v>5705</v>
      </c>
      <c r="L80" s="7">
        <v>10053316181</v>
      </c>
      <c r="M80" s="7"/>
      <c r="N80" s="7"/>
      <c r="O80" s="29" t="s">
        <v>11</v>
      </c>
      <c r="P80" s="29" t="s">
        <v>11</v>
      </c>
      <c r="Q80" s="29" t="s">
        <v>11</v>
      </c>
      <c r="R80" s="29" t="s">
        <v>11</v>
      </c>
      <c r="S80" s="29" t="s">
        <v>11</v>
      </c>
      <c r="T80" s="29" t="s">
        <v>11</v>
      </c>
      <c r="U80" s="29" t="s">
        <v>11</v>
      </c>
      <c r="V80" s="29" t="s">
        <v>11</v>
      </c>
      <c r="W80" s="29" t="s">
        <v>11</v>
      </c>
      <c r="X80" s="29" t="s">
        <v>11</v>
      </c>
      <c r="Y80" s="10" t="s">
        <v>11</v>
      </c>
      <c r="Z80" s="10" t="s">
        <v>11</v>
      </c>
      <c r="AA80" s="10" t="s">
        <v>11</v>
      </c>
      <c r="AB80" s="10" t="s">
        <v>11</v>
      </c>
      <c r="AC80" s="35" t="s">
        <v>11</v>
      </c>
      <c r="AD80" s="26"/>
      <c r="AE80" s="24">
        <f t="shared" si="3"/>
        <v>0</v>
      </c>
      <c r="AF80" s="24">
        <f t="shared" si="4"/>
        <v>0</v>
      </c>
      <c r="AG80" s="24">
        <f t="shared" si="5"/>
        <v>15</v>
      </c>
      <c r="AH80" s="41" t="str" cm="1">
        <f t="array" ref="AH80">_xlfn.IFS(
SUM(AE80:AG80)=0,"Not Started",
SUM(AE80:AG80)&lt;15,"In Progress",
SUM(AE80:AG80)=15,"Completed",
SUM(AE80:AG80)&gt;15,"Error"
)</f>
        <v>Completed</v>
      </c>
    </row>
    <row r="81" spans="1:34" ht="13" x14ac:dyDescent="0.25">
      <c r="A81" s="248"/>
      <c r="B81" s="7" t="s">
        <v>730</v>
      </c>
      <c r="C81" s="7" t="s">
        <v>3565</v>
      </c>
      <c r="D81" s="7" t="s">
        <v>3762</v>
      </c>
      <c r="E81" s="7" t="s">
        <v>47</v>
      </c>
      <c r="F81" s="7" t="s">
        <v>48</v>
      </c>
      <c r="G81" s="7" t="s">
        <v>3848</v>
      </c>
      <c r="H81" s="7" t="s">
        <v>3848</v>
      </c>
      <c r="I81" s="7"/>
      <c r="J81" s="7" t="s">
        <v>4154</v>
      </c>
      <c r="K81" s="7" t="s">
        <v>3913</v>
      </c>
      <c r="L81" s="7">
        <v>10053316064</v>
      </c>
      <c r="M81" s="7"/>
      <c r="N81" s="7"/>
      <c r="O81" s="179" t="s">
        <v>11</v>
      </c>
      <c r="P81" s="179" t="s">
        <v>11</v>
      </c>
      <c r="Q81" s="179" t="s">
        <v>11</v>
      </c>
      <c r="R81" s="179" t="s">
        <v>11</v>
      </c>
      <c r="S81" s="179" t="s">
        <v>11</v>
      </c>
      <c r="T81" s="179" t="s">
        <v>11</v>
      </c>
      <c r="U81" s="179" t="s">
        <v>11</v>
      </c>
      <c r="V81" s="179" t="s">
        <v>11</v>
      </c>
      <c r="W81" s="179" t="s">
        <v>11</v>
      </c>
      <c r="X81" s="179" t="s">
        <v>11</v>
      </c>
      <c r="Y81" s="139" t="s">
        <v>11</v>
      </c>
      <c r="Z81" s="139" t="s">
        <v>11</v>
      </c>
      <c r="AA81" s="139" t="s">
        <v>11</v>
      </c>
      <c r="AB81" s="180" t="s">
        <v>11</v>
      </c>
      <c r="AC81" s="35" t="s">
        <v>11</v>
      </c>
      <c r="AD81" s="26"/>
      <c r="AE81" s="24">
        <f t="shared" si="3"/>
        <v>0</v>
      </c>
      <c r="AF81" s="24">
        <f t="shared" si="4"/>
        <v>0</v>
      </c>
      <c r="AG81" s="24">
        <f t="shared" si="5"/>
        <v>15</v>
      </c>
      <c r="AH81" s="41" t="str" cm="1">
        <f t="array" ref="AH81">_xlfn.IFS(
SUM(AE81:AG81)=0,"Not Started",
SUM(AE81:AG81)&lt;15,"In Progress",
SUM(AE81:AG81)=15,"Completed",
SUM(AE81:AG81)&gt;15,"Error"
)</f>
        <v>Completed</v>
      </c>
    </row>
    <row r="82" spans="1:34" ht="13" x14ac:dyDescent="0.25">
      <c r="A82" s="248"/>
      <c r="B82" s="14" t="s">
        <v>731</v>
      </c>
      <c r="C82" s="7" t="s">
        <v>5663</v>
      </c>
      <c r="D82" s="7" t="s">
        <v>3656</v>
      </c>
      <c r="E82" s="7" t="s">
        <v>43</v>
      </c>
      <c r="F82" s="7" t="s">
        <v>44</v>
      </c>
      <c r="G82" s="7" t="s">
        <v>3848</v>
      </c>
      <c r="H82" s="7" t="s">
        <v>3848</v>
      </c>
      <c r="I82" s="7"/>
      <c r="J82" s="7" t="s">
        <v>4117</v>
      </c>
      <c r="K82" s="7" t="s">
        <v>5706</v>
      </c>
      <c r="L82" s="7">
        <v>10053259979</v>
      </c>
      <c r="M82" s="7"/>
      <c r="N82" s="7"/>
      <c r="O82" s="29" t="s">
        <v>11</v>
      </c>
      <c r="P82" s="29" t="s">
        <v>11</v>
      </c>
      <c r="Q82" s="29" t="s">
        <v>11</v>
      </c>
      <c r="R82" s="29" t="s">
        <v>11</v>
      </c>
      <c r="S82" s="29" t="s">
        <v>11</v>
      </c>
      <c r="T82" s="29" t="s">
        <v>11</v>
      </c>
      <c r="U82" s="29" t="s">
        <v>11</v>
      </c>
      <c r="V82" s="29" t="s">
        <v>11</v>
      </c>
      <c r="W82" s="29" t="s">
        <v>11</v>
      </c>
      <c r="X82" s="29" t="s">
        <v>11</v>
      </c>
      <c r="Y82" s="10" t="s">
        <v>11</v>
      </c>
      <c r="Z82" s="10" t="s">
        <v>11</v>
      </c>
      <c r="AA82" s="10" t="s">
        <v>11</v>
      </c>
      <c r="AB82" s="180" t="s">
        <v>11</v>
      </c>
      <c r="AC82" s="35" t="s">
        <v>11</v>
      </c>
      <c r="AD82" s="26"/>
      <c r="AE82" s="24">
        <f t="shared" si="3"/>
        <v>0</v>
      </c>
      <c r="AF82" s="24">
        <f t="shared" si="4"/>
        <v>0</v>
      </c>
      <c r="AG82" s="24">
        <f t="shared" si="5"/>
        <v>15</v>
      </c>
      <c r="AH82" s="41" t="str" cm="1">
        <f t="array" ref="AH82">_xlfn.IFS(
SUM(AE82:AG82)=0,"Not Started",
SUM(AE82:AG82)&lt;15,"In Progress",
SUM(AE82:AG82)=15,"Completed",
SUM(AE82:AG82)&gt;15,"Error"
)</f>
        <v>Completed</v>
      </c>
    </row>
    <row r="83" spans="1:34" ht="13" x14ac:dyDescent="0.25">
      <c r="A83" s="248"/>
      <c r="B83" s="7" t="s">
        <v>732</v>
      </c>
      <c r="C83" s="7" t="s">
        <v>3628</v>
      </c>
      <c r="D83" s="7" t="s">
        <v>3828</v>
      </c>
      <c r="E83" s="7" t="s">
        <v>43</v>
      </c>
      <c r="F83" s="7" t="s">
        <v>44</v>
      </c>
      <c r="G83" s="7" t="s">
        <v>3848</v>
      </c>
      <c r="H83" s="7" t="s">
        <v>3848</v>
      </c>
      <c r="I83" s="7"/>
      <c r="J83" s="7" t="s">
        <v>4176</v>
      </c>
      <c r="K83" s="7" t="s">
        <v>5707</v>
      </c>
      <c r="L83" s="7">
        <v>10053531849</v>
      </c>
      <c r="M83" s="7"/>
      <c r="N83" s="7"/>
      <c r="O83" s="29" t="s">
        <v>11</v>
      </c>
      <c r="P83" s="29" t="s">
        <v>11</v>
      </c>
      <c r="Q83" s="29" t="s">
        <v>11</v>
      </c>
      <c r="R83" s="29" t="s">
        <v>11</v>
      </c>
      <c r="S83" s="29" t="s">
        <v>11</v>
      </c>
      <c r="T83" s="29" t="s">
        <v>11</v>
      </c>
      <c r="U83" s="29" t="s">
        <v>11</v>
      </c>
      <c r="V83" s="29" t="s">
        <v>11</v>
      </c>
      <c r="W83" s="29" t="s">
        <v>11</v>
      </c>
      <c r="X83" s="29" t="s">
        <v>11</v>
      </c>
      <c r="Y83" s="10" t="s">
        <v>11</v>
      </c>
      <c r="Z83" s="10" t="s">
        <v>11</v>
      </c>
      <c r="AA83" s="10" t="s">
        <v>11</v>
      </c>
      <c r="AB83" s="180" t="s">
        <v>11</v>
      </c>
      <c r="AC83" s="35" t="s">
        <v>11</v>
      </c>
      <c r="AD83" s="26"/>
      <c r="AE83" s="24">
        <f t="shared" si="3"/>
        <v>0</v>
      </c>
      <c r="AF83" s="24">
        <f t="shared" si="4"/>
        <v>0</v>
      </c>
      <c r="AG83" s="24">
        <f t="shared" si="5"/>
        <v>15</v>
      </c>
      <c r="AH83" s="41" t="str" cm="1">
        <f t="array" ref="AH83">_xlfn.IFS(
SUM(AE83:AG83)=0,"Not Started",
SUM(AE83:AG83)&lt;15,"In Progress",
SUM(AE83:AG83)=15,"Completed",
SUM(AE83:AG83)&gt;15,"Error"
)</f>
        <v>Completed</v>
      </c>
    </row>
    <row r="84" spans="1:34" ht="13" x14ac:dyDescent="0.25">
      <c r="A84" s="248"/>
      <c r="B84" s="14" t="s">
        <v>733</v>
      </c>
      <c r="C84" s="7" t="s">
        <v>3512</v>
      </c>
      <c r="D84" s="7" t="s">
        <v>3708</v>
      </c>
      <c r="E84" s="7" t="s">
        <v>51</v>
      </c>
      <c r="F84" s="7" t="s">
        <v>44</v>
      </c>
      <c r="G84" s="7" t="s">
        <v>3848</v>
      </c>
      <c r="H84" s="7" t="s">
        <v>3848</v>
      </c>
      <c r="I84" s="7"/>
      <c r="J84" s="7" t="s">
        <v>4003</v>
      </c>
      <c r="K84" s="7" t="s">
        <v>3891</v>
      </c>
      <c r="L84" s="7">
        <v>10105075840</v>
      </c>
      <c r="M84" s="7"/>
      <c r="N84" s="7"/>
      <c r="O84" s="29" t="s">
        <v>11</v>
      </c>
      <c r="P84" s="29" t="s">
        <v>11</v>
      </c>
      <c r="Q84" s="29" t="s">
        <v>11</v>
      </c>
      <c r="R84" s="29" t="s">
        <v>11</v>
      </c>
      <c r="S84" s="29" t="s">
        <v>11</v>
      </c>
      <c r="T84" s="29" t="s">
        <v>11</v>
      </c>
      <c r="U84" s="29" t="s">
        <v>11</v>
      </c>
      <c r="V84" s="29" t="s">
        <v>11</v>
      </c>
      <c r="W84" s="29" t="s">
        <v>11</v>
      </c>
      <c r="X84" s="29" t="s">
        <v>11</v>
      </c>
      <c r="Y84" s="10" t="s">
        <v>11</v>
      </c>
      <c r="Z84" s="10" t="s">
        <v>11</v>
      </c>
      <c r="AA84" s="10" t="s">
        <v>11</v>
      </c>
      <c r="AB84" s="180" t="s">
        <v>11</v>
      </c>
      <c r="AC84" s="35" t="s">
        <v>11</v>
      </c>
      <c r="AD84" s="26"/>
      <c r="AE84" s="24">
        <f t="shared" si="3"/>
        <v>0</v>
      </c>
      <c r="AF84" s="24">
        <f t="shared" si="4"/>
        <v>0</v>
      </c>
      <c r="AG84" s="24">
        <f t="shared" si="5"/>
        <v>15</v>
      </c>
      <c r="AH84" s="41" t="str" cm="1">
        <f t="array" ref="AH84">_xlfn.IFS(
SUM(AE84:AG84)=0,"Not Started",
SUM(AE84:AG84)&lt;15,"In Progress",
SUM(AE84:AG84)=15,"Completed",
SUM(AE84:AG84)&gt;15,"Error"
)</f>
        <v>Completed</v>
      </c>
    </row>
    <row r="85" spans="1:34" ht="13" x14ac:dyDescent="0.25">
      <c r="A85" s="248"/>
      <c r="B85" s="7" t="s">
        <v>734</v>
      </c>
      <c r="C85" s="7" t="s">
        <v>5664</v>
      </c>
      <c r="D85" s="7" t="s">
        <v>3711</v>
      </c>
      <c r="E85" s="7" t="s">
        <v>43</v>
      </c>
      <c r="F85" s="7" t="s">
        <v>44</v>
      </c>
      <c r="G85" s="7" t="s">
        <v>3848</v>
      </c>
      <c r="H85" s="7" t="s">
        <v>3848</v>
      </c>
      <c r="I85" s="7"/>
      <c r="J85" s="7" t="s">
        <v>4124</v>
      </c>
      <c r="K85" s="7" t="s">
        <v>3894</v>
      </c>
      <c r="L85" s="7">
        <v>10105075831</v>
      </c>
      <c r="M85" s="7"/>
      <c r="N85" s="7"/>
      <c r="O85" s="179" t="s">
        <v>11</v>
      </c>
      <c r="P85" s="179" t="s">
        <v>11</v>
      </c>
      <c r="Q85" s="179" t="s">
        <v>11</v>
      </c>
      <c r="R85" s="179" t="s">
        <v>11</v>
      </c>
      <c r="S85" s="179" t="s">
        <v>11</v>
      </c>
      <c r="T85" s="179" t="s">
        <v>11</v>
      </c>
      <c r="U85" s="179" t="s">
        <v>11</v>
      </c>
      <c r="V85" s="179" t="s">
        <v>11</v>
      </c>
      <c r="W85" s="179" t="s">
        <v>11</v>
      </c>
      <c r="X85" s="179" t="s">
        <v>11</v>
      </c>
      <c r="Y85" s="139" t="s">
        <v>11</v>
      </c>
      <c r="Z85" s="139" t="s">
        <v>11</v>
      </c>
      <c r="AA85" s="139" t="s">
        <v>11</v>
      </c>
      <c r="AB85" s="139" t="s">
        <v>11</v>
      </c>
      <c r="AC85" s="35" t="s">
        <v>11</v>
      </c>
      <c r="AD85" s="26"/>
      <c r="AE85" s="24">
        <f t="shared" si="3"/>
        <v>0</v>
      </c>
      <c r="AF85" s="24">
        <f t="shared" si="4"/>
        <v>0</v>
      </c>
      <c r="AG85" s="24">
        <f t="shared" si="5"/>
        <v>15</v>
      </c>
      <c r="AH85" s="41" t="str" cm="1">
        <f t="array" ref="AH85">_xlfn.IFS(
SUM(AE85:AG85)=0,"Not Started",
SUM(AE85:AG85)&lt;15,"In Progress",
SUM(AE85:AG85)=15,"Completed",
SUM(AE85:AG85)&gt;15,"Error"
)</f>
        <v>Completed</v>
      </c>
    </row>
    <row r="86" spans="1:34" ht="13" x14ac:dyDescent="0.25">
      <c r="A86" s="248"/>
      <c r="B86" s="14" t="s">
        <v>735</v>
      </c>
      <c r="C86" s="7" t="s">
        <v>3488</v>
      </c>
      <c r="D86" s="7" t="s">
        <v>3681</v>
      </c>
      <c r="E86" s="7" t="s">
        <v>47</v>
      </c>
      <c r="F86" s="7" t="s">
        <v>44</v>
      </c>
      <c r="G86" s="7" t="s">
        <v>3848</v>
      </c>
      <c r="H86" s="7" t="s">
        <v>3848</v>
      </c>
      <c r="I86" s="7"/>
      <c r="J86" s="7" t="s">
        <v>4192</v>
      </c>
      <c r="K86" s="7" t="s">
        <v>3866</v>
      </c>
      <c r="L86" s="7">
        <v>10053263327</v>
      </c>
      <c r="M86" s="7"/>
      <c r="N86" s="7"/>
      <c r="O86" s="29" t="s">
        <v>11</v>
      </c>
      <c r="P86" s="29" t="s">
        <v>11</v>
      </c>
      <c r="Q86" s="29" t="s">
        <v>11</v>
      </c>
      <c r="R86" s="29" t="s">
        <v>11</v>
      </c>
      <c r="S86" s="29" t="s">
        <v>11</v>
      </c>
      <c r="T86" s="29" t="s">
        <v>11</v>
      </c>
      <c r="U86" s="29" t="s">
        <v>11</v>
      </c>
      <c r="V86" s="29" t="s">
        <v>11</v>
      </c>
      <c r="W86" s="29" t="s">
        <v>11</v>
      </c>
      <c r="X86" s="29" t="s">
        <v>11</v>
      </c>
      <c r="Y86" s="139" t="s">
        <v>11</v>
      </c>
      <c r="Z86" s="139" t="s">
        <v>11</v>
      </c>
      <c r="AA86" s="139" t="s">
        <v>11</v>
      </c>
      <c r="AB86" s="180" t="s">
        <v>11</v>
      </c>
      <c r="AC86" s="35" t="s">
        <v>11</v>
      </c>
      <c r="AD86" s="26"/>
      <c r="AE86" s="24">
        <f t="shared" si="3"/>
        <v>0</v>
      </c>
      <c r="AF86" s="24">
        <f t="shared" si="4"/>
        <v>0</v>
      </c>
      <c r="AG86" s="24">
        <f t="shared" si="5"/>
        <v>15</v>
      </c>
      <c r="AH86" s="41" t="str" cm="1">
        <f t="array" ref="AH86">_xlfn.IFS(
SUM(AE86:AG86)=0,"Not Started",
SUM(AE86:AG86)&lt;15,"In Progress",
SUM(AE86:AG86)=15,"Completed",
SUM(AE86:AG86)&gt;15,"Error"
)</f>
        <v>Completed</v>
      </c>
    </row>
    <row r="87" spans="1:34" ht="13" x14ac:dyDescent="0.25">
      <c r="A87" s="248"/>
      <c r="B87" s="7" t="s">
        <v>736</v>
      </c>
      <c r="C87" s="7" t="s">
        <v>3491</v>
      </c>
      <c r="D87" s="7" t="s">
        <v>3684</v>
      </c>
      <c r="E87" s="7" t="s">
        <v>51</v>
      </c>
      <c r="F87" s="7" t="s">
        <v>44</v>
      </c>
      <c r="G87" s="7" t="s">
        <v>3848</v>
      </c>
      <c r="H87" s="7" t="s">
        <v>3848</v>
      </c>
      <c r="I87" s="7"/>
      <c r="J87" s="7" t="s">
        <v>4127</v>
      </c>
      <c r="K87" s="7" t="s">
        <v>3868</v>
      </c>
      <c r="L87" s="7">
        <v>10106082025</v>
      </c>
      <c r="M87" s="7"/>
      <c r="N87" s="7"/>
      <c r="O87" s="29" t="s">
        <v>11</v>
      </c>
      <c r="P87" s="29" t="s">
        <v>11</v>
      </c>
      <c r="Q87" s="29" t="s">
        <v>11</v>
      </c>
      <c r="R87" s="29" t="s">
        <v>11</v>
      </c>
      <c r="S87" s="29" t="s">
        <v>11</v>
      </c>
      <c r="T87" s="29" t="s">
        <v>11</v>
      </c>
      <c r="U87" s="29" t="s">
        <v>11</v>
      </c>
      <c r="V87" s="29" t="s">
        <v>11</v>
      </c>
      <c r="W87" s="29" t="s">
        <v>11</v>
      </c>
      <c r="X87" s="29" t="s">
        <v>11</v>
      </c>
      <c r="Y87" s="139" t="s">
        <v>11</v>
      </c>
      <c r="Z87" s="139" t="s">
        <v>11</v>
      </c>
      <c r="AA87" s="139" t="s">
        <v>11</v>
      </c>
      <c r="AB87" s="180" t="s">
        <v>11</v>
      </c>
      <c r="AC87" s="35" t="s">
        <v>11</v>
      </c>
      <c r="AD87" s="26"/>
      <c r="AE87" s="24">
        <f t="shared" si="3"/>
        <v>0</v>
      </c>
      <c r="AF87" s="24">
        <f t="shared" si="4"/>
        <v>0</v>
      </c>
      <c r="AG87" s="24">
        <f t="shared" si="5"/>
        <v>15</v>
      </c>
      <c r="AH87" s="41" t="str" cm="1">
        <f t="array" ref="AH87">_xlfn.IFS(
SUM(AE87:AG87)=0,"Not Started",
SUM(AE87:AG87)&lt;15,"In Progress",
SUM(AE87:AG87)=15,"Completed",
SUM(AE87:AG87)&gt;15,"Error"
)</f>
        <v>Completed</v>
      </c>
    </row>
    <row r="88" spans="1:34" ht="13" x14ac:dyDescent="0.25">
      <c r="A88" s="248"/>
      <c r="B88" s="14" t="s">
        <v>737</v>
      </c>
      <c r="C88" s="7" t="s">
        <v>3629</v>
      </c>
      <c r="D88" s="7" t="s">
        <v>3829</v>
      </c>
      <c r="E88" s="7" t="s">
        <v>43</v>
      </c>
      <c r="F88" s="7" t="s">
        <v>44</v>
      </c>
      <c r="G88" s="7" t="s">
        <v>3848</v>
      </c>
      <c r="H88" s="7" t="s">
        <v>3848</v>
      </c>
      <c r="I88" s="7"/>
      <c r="J88" s="7" t="s">
        <v>4066</v>
      </c>
      <c r="K88" s="7" t="s">
        <v>3983</v>
      </c>
      <c r="L88" s="7">
        <v>10053452093</v>
      </c>
      <c r="M88" s="7"/>
      <c r="N88" s="7"/>
      <c r="O88" s="29" t="s">
        <v>11</v>
      </c>
      <c r="P88" s="29" t="s">
        <v>11</v>
      </c>
      <c r="Q88" s="29" t="s">
        <v>11</v>
      </c>
      <c r="R88" s="29" t="s">
        <v>11</v>
      </c>
      <c r="S88" s="29" t="s">
        <v>11</v>
      </c>
      <c r="T88" s="29" t="s">
        <v>11</v>
      </c>
      <c r="U88" s="29" t="s">
        <v>11</v>
      </c>
      <c r="V88" s="29" t="s">
        <v>11</v>
      </c>
      <c r="W88" s="29" t="s">
        <v>11</v>
      </c>
      <c r="X88" s="29" t="s">
        <v>11</v>
      </c>
      <c r="Y88" s="208" t="s">
        <v>10362</v>
      </c>
      <c r="Z88" s="208" t="s">
        <v>10362</v>
      </c>
      <c r="AA88" s="208" t="s">
        <v>10362</v>
      </c>
      <c r="AB88" s="208" t="s">
        <v>10362</v>
      </c>
      <c r="AC88" s="35" t="s">
        <v>11</v>
      </c>
      <c r="AD88" s="26"/>
      <c r="AE88" s="24">
        <f t="shared" si="3"/>
        <v>0</v>
      </c>
      <c r="AF88" s="24">
        <f t="shared" si="4"/>
        <v>0</v>
      </c>
      <c r="AG88" s="24">
        <f t="shared" si="5"/>
        <v>11</v>
      </c>
      <c r="AH88" s="41" t="str" cm="1">
        <f t="array" ref="AH88">_xlfn.IFS(
SUM(AE88:AG88)=0,"Not Started",
SUM(AE88:AG88)&lt;15,"In Progress",
SUM(AE88:AG88)=15,"Completed",
SUM(AE88:AG88)&gt;15,"Error"
)</f>
        <v>In Progress</v>
      </c>
    </row>
    <row r="89" spans="1:34" ht="13" x14ac:dyDescent="0.25">
      <c r="A89" s="248"/>
      <c r="B89" s="7" t="s">
        <v>738</v>
      </c>
      <c r="C89" s="7" t="s">
        <v>3646</v>
      </c>
      <c r="D89" s="7" t="s">
        <v>3846</v>
      </c>
      <c r="E89" s="7" t="s">
        <v>51</v>
      </c>
      <c r="F89" s="7" t="s">
        <v>44</v>
      </c>
      <c r="G89" s="7" t="s">
        <v>3848</v>
      </c>
      <c r="H89" s="7" t="s">
        <v>3848</v>
      </c>
      <c r="I89" s="7"/>
      <c r="J89" s="7" t="s">
        <v>4029</v>
      </c>
      <c r="K89" s="7" t="s">
        <v>3995</v>
      </c>
      <c r="L89" s="7">
        <v>10104396752</v>
      </c>
      <c r="M89" s="7"/>
      <c r="N89" s="7"/>
      <c r="O89" s="29" t="s">
        <v>11</v>
      </c>
      <c r="P89" s="29" t="s">
        <v>11</v>
      </c>
      <c r="Q89" s="29" t="s">
        <v>11</v>
      </c>
      <c r="R89" s="29" t="s">
        <v>11</v>
      </c>
      <c r="S89" s="29" t="s">
        <v>11</v>
      </c>
      <c r="T89" s="29" t="s">
        <v>11</v>
      </c>
      <c r="U89" s="29" t="s">
        <v>11</v>
      </c>
      <c r="V89" s="29" t="s">
        <v>11</v>
      </c>
      <c r="W89" s="29" t="s">
        <v>11</v>
      </c>
      <c r="X89" s="29" t="s">
        <v>11</v>
      </c>
      <c r="Y89" s="208" t="s">
        <v>10362</v>
      </c>
      <c r="Z89" s="208" t="s">
        <v>10362</v>
      </c>
      <c r="AA89" s="208" t="s">
        <v>10362</v>
      </c>
      <c r="AB89" s="139" t="s">
        <v>11</v>
      </c>
      <c r="AC89" s="180" t="s">
        <v>11</v>
      </c>
      <c r="AD89" s="26"/>
      <c r="AE89" s="24">
        <f t="shared" si="3"/>
        <v>0</v>
      </c>
      <c r="AF89" s="24">
        <f t="shared" si="4"/>
        <v>0</v>
      </c>
      <c r="AG89" s="24">
        <f t="shared" si="5"/>
        <v>12</v>
      </c>
      <c r="AH89" s="41" t="str" cm="1">
        <f t="array" ref="AH89">_xlfn.IFS(
SUM(AE89:AG89)=0,"Not Started",
SUM(AE89:AG89)&lt;15,"In Progress",
SUM(AE89:AG89)=15,"Completed",
SUM(AE89:AG89)&gt;15,"Error"
)</f>
        <v>In Progress</v>
      </c>
    </row>
    <row r="90" spans="1:34" ht="13" x14ac:dyDescent="0.25">
      <c r="A90" s="248"/>
      <c r="B90" s="14" t="s">
        <v>739</v>
      </c>
      <c r="C90" s="7" t="s">
        <v>3644</v>
      </c>
      <c r="D90" s="7" t="s">
        <v>3844</v>
      </c>
      <c r="E90" s="7" t="s">
        <v>47</v>
      </c>
      <c r="F90" s="7" t="s">
        <v>44</v>
      </c>
      <c r="G90" s="7" t="s">
        <v>3848</v>
      </c>
      <c r="H90" s="7" t="s">
        <v>3848</v>
      </c>
      <c r="I90" s="7"/>
      <c r="J90" s="7" t="s">
        <v>4079</v>
      </c>
      <c r="K90" s="7" t="s">
        <v>3993</v>
      </c>
      <c r="L90" s="7">
        <v>10105356359</v>
      </c>
      <c r="M90" s="7"/>
      <c r="N90" s="7"/>
      <c r="O90" s="29" t="s">
        <v>11</v>
      </c>
      <c r="P90" s="29" t="s">
        <v>11</v>
      </c>
      <c r="Q90" s="29" t="s">
        <v>11</v>
      </c>
      <c r="R90" s="29" t="s">
        <v>11</v>
      </c>
      <c r="S90" s="29" t="s">
        <v>11</v>
      </c>
      <c r="T90" s="29" t="s">
        <v>11</v>
      </c>
      <c r="U90" s="29" t="s">
        <v>11</v>
      </c>
      <c r="V90" s="29" t="s">
        <v>11</v>
      </c>
      <c r="W90" s="29" t="s">
        <v>11</v>
      </c>
      <c r="X90" s="29" t="s">
        <v>11</v>
      </c>
      <c r="Y90" s="139" t="s">
        <v>11</v>
      </c>
      <c r="Z90" s="139" t="s">
        <v>11</v>
      </c>
      <c r="AA90" s="139" t="s">
        <v>11</v>
      </c>
      <c r="AB90" s="180" t="s">
        <v>11</v>
      </c>
      <c r="AC90" s="35" t="s">
        <v>11</v>
      </c>
      <c r="AD90" s="26"/>
      <c r="AE90" s="24">
        <f t="shared" si="3"/>
        <v>0</v>
      </c>
      <c r="AF90" s="24">
        <f t="shared" si="4"/>
        <v>0</v>
      </c>
      <c r="AG90" s="24">
        <f t="shared" si="5"/>
        <v>15</v>
      </c>
      <c r="AH90" s="41" t="str" cm="1">
        <f t="array" ref="AH90">_xlfn.IFS(
SUM(AE90:AG90)=0,"Not Started",
SUM(AE90:AG90)&lt;15,"In Progress",
SUM(AE90:AG90)=15,"Completed",
SUM(AE90:AG90)&gt;15,"Error"
)</f>
        <v>Completed</v>
      </c>
    </row>
    <row r="91" spans="1:34" ht="13" x14ac:dyDescent="0.25">
      <c r="A91" s="248"/>
      <c r="B91" s="7" t="s">
        <v>740</v>
      </c>
      <c r="C91" s="7" t="s">
        <v>3647</v>
      </c>
      <c r="D91" s="7" t="s">
        <v>3847</v>
      </c>
      <c r="E91" s="7" t="s">
        <v>43</v>
      </c>
      <c r="F91" s="7" t="s">
        <v>44</v>
      </c>
      <c r="G91" s="7" t="s">
        <v>3848</v>
      </c>
      <c r="H91" s="7" t="s">
        <v>3848</v>
      </c>
      <c r="I91" s="7"/>
      <c r="J91" s="7" t="s">
        <v>4043</v>
      </c>
      <c r="K91" s="7" t="s">
        <v>3996</v>
      </c>
      <c r="L91" s="7">
        <v>10105376478</v>
      </c>
      <c r="M91" s="7"/>
      <c r="N91" s="7"/>
      <c r="O91" s="29" t="s">
        <v>11</v>
      </c>
      <c r="P91" s="29" t="s">
        <v>11</v>
      </c>
      <c r="Q91" s="29" t="s">
        <v>11</v>
      </c>
      <c r="R91" s="29" t="s">
        <v>11</v>
      </c>
      <c r="S91" s="29" t="s">
        <v>11</v>
      </c>
      <c r="T91" s="29" t="s">
        <v>11</v>
      </c>
      <c r="U91" s="29" t="s">
        <v>11</v>
      </c>
      <c r="V91" s="29" t="s">
        <v>11</v>
      </c>
      <c r="W91" s="29" t="s">
        <v>11</v>
      </c>
      <c r="X91" s="29" t="s">
        <v>11</v>
      </c>
      <c r="Y91" s="139" t="s">
        <v>11</v>
      </c>
      <c r="Z91" s="139" t="s">
        <v>11</v>
      </c>
      <c r="AA91" s="139" t="s">
        <v>11</v>
      </c>
      <c r="AB91" s="180" t="s">
        <v>11</v>
      </c>
      <c r="AC91" s="208" t="s">
        <v>10362</v>
      </c>
      <c r="AD91" s="26"/>
      <c r="AE91" s="24">
        <f t="shared" si="3"/>
        <v>0</v>
      </c>
      <c r="AF91" s="24">
        <f t="shared" si="4"/>
        <v>0</v>
      </c>
      <c r="AG91" s="24">
        <f t="shared" si="5"/>
        <v>14</v>
      </c>
      <c r="AH91" s="41" t="str" cm="1">
        <f t="array" ref="AH91">_xlfn.IFS(
SUM(AE91:AG91)=0,"Not Started",
SUM(AE91:AG91)&lt;15,"In Progress",
SUM(AE91:AG91)=15,"Completed",
SUM(AE91:AG91)&gt;15,"Error"
)</f>
        <v>In Progress</v>
      </c>
    </row>
    <row r="92" spans="1:34" ht="13" x14ac:dyDescent="0.25">
      <c r="A92" s="248"/>
      <c r="B92" s="14" t="s">
        <v>741</v>
      </c>
      <c r="C92" s="7" t="s">
        <v>3645</v>
      </c>
      <c r="D92" s="7" t="s">
        <v>3845</v>
      </c>
      <c r="E92" s="7" t="s">
        <v>43</v>
      </c>
      <c r="F92" s="7" t="s">
        <v>44</v>
      </c>
      <c r="G92" s="7" t="s">
        <v>3848</v>
      </c>
      <c r="H92" s="7" t="s">
        <v>3848</v>
      </c>
      <c r="I92" s="7"/>
      <c r="J92" s="7" t="s">
        <v>4104</v>
      </c>
      <c r="K92" s="7" t="s">
        <v>3994</v>
      </c>
      <c r="L92" s="7">
        <v>10105348867</v>
      </c>
      <c r="M92" s="7"/>
      <c r="N92" s="7"/>
      <c r="O92" s="29" t="s">
        <v>11</v>
      </c>
      <c r="P92" s="29" t="s">
        <v>11</v>
      </c>
      <c r="Q92" s="29" t="s">
        <v>11</v>
      </c>
      <c r="R92" s="29" t="s">
        <v>11</v>
      </c>
      <c r="S92" s="29" t="s">
        <v>11</v>
      </c>
      <c r="T92" s="29" t="s">
        <v>11</v>
      </c>
      <c r="U92" s="29" t="s">
        <v>11</v>
      </c>
      <c r="V92" s="29" t="s">
        <v>11</v>
      </c>
      <c r="W92" s="29" t="s">
        <v>11</v>
      </c>
      <c r="X92" s="29" t="s">
        <v>11</v>
      </c>
      <c r="Y92" s="208" t="s">
        <v>10362</v>
      </c>
      <c r="Z92" s="208" t="s">
        <v>10362</v>
      </c>
      <c r="AA92" s="208" t="s">
        <v>10362</v>
      </c>
      <c r="AB92" s="139" t="s">
        <v>11</v>
      </c>
      <c r="AC92" s="35" t="s">
        <v>11</v>
      </c>
      <c r="AD92" s="26"/>
      <c r="AE92" s="24">
        <f t="shared" si="3"/>
        <v>0</v>
      </c>
      <c r="AF92" s="24">
        <f t="shared" si="4"/>
        <v>0</v>
      </c>
      <c r="AG92" s="24">
        <f t="shared" si="5"/>
        <v>12</v>
      </c>
      <c r="AH92" s="41" t="str" cm="1">
        <f t="array" ref="AH92">_xlfn.IFS(
SUM(AE92:AG92)=0,"Not Started",
SUM(AE92:AG92)&lt;15,"In Progress",
SUM(AE92:AG92)=15,"Completed",
SUM(AE92:AG92)&gt;15,"Error"
)</f>
        <v>In Progress</v>
      </c>
    </row>
    <row r="93" spans="1:34" ht="13" x14ac:dyDescent="0.25">
      <c r="A93" s="248"/>
      <c r="B93" s="216" t="s">
        <v>742</v>
      </c>
      <c r="C93" s="7" t="s">
        <v>3487</v>
      </c>
      <c r="D93" s="7" t="s">
        <v>3680</v>
      </c>
      <c r="E93" s="7" t="s">
        <v>43</v>
      </c>
      <c r="F93" s="7" t="s">
        <v>48</v>
      </c>
      <c r="G93" s="7" t="s">
        <v>3848</v>
      </c>
      <c r="H93" s="7" t="s">
        <v>3848</v>
      </c>
      <c r="I93" s="7"/>
      <c r="J93" s="7" t="s">
        <v>4099</v>
      </c>
      <c r="K93" s="7" t="s">
        <v>3865</v>
      </c>
      <c r="L93" s="7">
        <v>10105349640</v>
      </c>
      <c r="M93" s="7"/>
      <c r="N93" s="9">
        <v>46140</v>
      </c>
      <c r="O93" s="179" t="s">
        <v>11</v>
      </c>
      <c r="P93" s="179" t="s">
        <v>11</v>
      </c>
      <c r="Q93" s="179" t="s">
        <v>11</v>
      </c>
      <c r="R93" s="179" t="s">
        <v>11</v>
      </c>
      <c r="S93" s="179" t="s">
        <v>11</v>
      </c>
      <c r="T93" s="179" t="s">
        <v>11</v>
      </c>
      <c r="U93" s="179" t="s">
        <v>11</v>
      </c>
      <c r="V93" s="179" t="s">
        <v>11</v>
      </c>
      <c r="W93" s="179" t="s">
        <v>11</v>
      </c>
      <c r="X93" s="179" t="s">
        <v>11</v>
      </c>
      <c r="Y93" s="10" t="s">
        <v>11</v>
      </c>
      <c r="Z93" s="10" t="s">
        <v>11</v>
      </c>
      <c r="AA93" s="10" t="s">
        <v>11</v>
      </c>
      <c r="AB93" s="10" t="s">
        <v>11</v>
      </c>
      <c r="AC93" s="35" t="s">
        <v>11</v>
      </c>
      <c r="AD93" s="26"/>
      <c r="AE93" s="24">
        <f t="shared" si="3"/>
        <v>0</v>
      </c>
      <c r="AF93" s="24">
        <f t="shared" si="4"/>
        <v>0</v>
      </c>
      <c r="AG93" s="24">
        <f t="shared" si="5"/>
        <v>15</v>
      </c>
      <c r="AH93" s="41" t="str" cm="1">
        <f t="array" ref="AH93">_xlfn.IFS(
SUM(AE93:AG93)=0,"Not Started",
SUM(AE93:AG93)&lt;15,"In Progress",
SUM(AE93:AG93)=15,"Completed",
SUM(AE93:AG93)&gt;15,"Error"
)</f>
        <v>Completed</v>
      </c>
    </row>
    <row r="94" spans="1:34" ht="13" x14ac:dyDescent="0.25">
      <c r="A94" s="248"/>
      <c r="B94" s="14" t="s">
        <v>743</v>
      </c>
      <c r="C94" s="7" t="s">
        <v>5665</v>
      </c>
      <c r="D94" s="7" t="s">
        <v>3688</v>
      </c>
      <c r="E94" s="7"/>
      <c r="F94" s="7" t="s">
        <v>44</v>
      </c>
      <c r="G94" s="7" t="s">
        <v>3848</v>
      </c>
      <c r="H94" s="7" t="s">
        <v>3848</v>
      </c>
      <c r="I94" s="7"/>
      <c r="J94" s="7" t="s">
        <v>4095</v>
      </c>
      <c r="K94" s="7" t="s">
        <v>3871</v>
      </c>
      <c r="L94" s="7">
        <v>10053573188</v>
      </c>
      <c r="M94" s="7"/>
      <c r="N94" s="7"/>
      <c r="O94" s="29" t="s">
        <v>11</v>
      </c>
      <c r="P94" s="29" t="s">
        <v>11</v>
      </c>
      <c r="Q94" s="29" t="s">
        <v>11</v>
      </c>
      <c r="R94" s="29" t="s">
        <v>11</v>
      </c>
      <c r="S94" s="29" t="s">
        <v>11</v>
      </c>
      <c r="T94" s="29" t="s">
        <v>11</v>
      </c>
      <c r="U94" s="29" t="s">
        <v>11</v>
      </c>
      <c r="V94" s="29" t="s">
        <v>11</v>
      </c>
      <c r="W94" s="29" t="s">
        <v>11</v>
      </c>
      <c r="X94" s="29" t="s">
        <v>11</v>
      </c>
      <c r="Y94" s="10" t="s">
        <v>11</v>
      </c>
      <c r="Z94" s="10" t="s">
        <v>11</v>
      </c>
      <c r="AA94" s="10" t="s">
        <v>11</v>
      </c>
      <c r="AB94" s="35" t="s">
        <v>11</v>
      </c>
      <c r="AC94" s="35" t="s">
        <v>11</v>
      </c>
      <c r="AD94" s="26"/>
      <c r="AE94" s="24">
        <f t="shared" si="3"/>
        <v>0</v>
      </c>
      <c r="AF94" s="24">
        <f t="shared" si="4"/>
        <v>0</v>
      </c>
      <c r="AG94" s="24">
        <f t="shared" si="5"/>
        <v>15</v>
      </c>
      <c r="AH94" s="41" t="str" cm="1">
        <f t="array" ref="AH94">_xlfn.IFS(
SUM(AE94:AG94)=0,"Not Started",
SUM(AE94:AG94)&lt;15,"In Progress",
SUM(AE94:AG94)=15,"Completed",
SUM(AE94:AG94)&gt;15,"Error"
)</f>
        <v>Completed</v>
      </c>
    </row>
    <row r="95" spans="1:34" ht="13" x14ac:dyDescent="0.25">
      <c r="A95" s="248"/>
      <c r="B95" s="7" t="s">
        <v>744</v>
      </c>
      <c r="C95" s="7" t="s">
        <v>3630</v>
      </c>
      <c r="D95" s="7" t="s">
        <v>3830</v>
      </c>
      <c r="E95" s="7" t="s">
        <v>43</v>
      </c>
      <c r="F95" s="7" t="s">
        <v>44</v>
      </c>
      <c r="G95" s="7" t="s">
        <v>3848</v>
      </c>
      <c r="H95" s="7" t="s">
        <v>3848</v>
      </c>
      <c r="I95" s="7"/>
      <c r="J95" s="7" t="s">
        <v>4171</v>
      </c>
      <c r="K95" s="7" t="s">
        <v>3984</v>
      </c>
      <c r="L95" s="7">
        <v>10053237274</v>
      </c>
      <c r="M95" s="7"/>
      <c r="N95" s="7"/>
      <c r="O95" s="29" t="s">
        <v>11</v>
      </c>
      <c r="P95" s="29" t="s">
        <v>11</v>
      </c>
      <c r="Q95" s="29" t="s">
        <v>11</v>
      </c>
      <c r="R95" s="29" t="s">
        <v>11</v>
      </c>
      <c r="S95" s="29" t="s">
        <v>11</v>
      </c>
      <c r="T95" s="29" t="s">
        <v>11</v>
      </c>
      <c r="U95" s="29" t="s">
        <v>11</v>
      </c>
      <c r="V95" s="29" t="s">
        <v>11</v>
      </c>
      <c r="W95" s="29" t="s">
        <v>11</v>
      </c>
      <c r="X95" s="29" t="s">
        <v>11</v>
      </c>
      <c r="Y95" s="10" t="s">
        <v>11</v>
      </c>
      <c r="Z95" s="10" t="s">
        <v>11</v>
      </c>
      <c r="AA95" s="10" t="s">
        <v>11</v>
      </c>
      <c r="AB95" s="180" t="s">
        <v>11</v>
      </c>
      <c r="AC95" s="35" t="s">
        <v>11</v>
      </c>
      <c r="AD95" s="26"/>
      <c r="AE95" s="24">
        <f t="shared" si="3"/>
        <v>0</v>
      </c>
      <c r="AF95" s="24">
        <f t="shared" si="4"/>
        <v>0</v>
      </c>
      <c r="AG95" s="24">
        <f t="shared" si="5"/>
        <v>15</v>
      </c>
      <c r="AH95" s="41" t="str" cm="1">
        <f t="array" ref="AH95">_xlfn.IFS(
SUM(AE95:AG95)=0,"Not Started",
SUM(AE95:AG95)&lt;15,"In Progress",
SUM(AE95:AG95)=15,"Completed",
SUM(AE95:AG95)&gt;15,"Error"
)</f>
        <v>Completed</v>
      </c>
    </row>
    <row r="96" spans="1:34" ht="13" x14ac:dyDescent="0.25">
      <c r="A96" s="248"/>
      <c r="B96" s="14" t="s">
        <v>745</v>
      </c>
      <c r="C96" s="7" t="s">
        <v>3632</v>
      </c>
      <c r="D96" s="7" t="s">
        <v>3832</v>
      </c>
      <c r="E96" s="7" t="s">
        <v>43</v>
      </c>
      <c r="F96" s="7" t="s">
        <v>44</v>
      </c>
      <c r="G96" s="7" t="s">
        <v>3848</v>
      </c>
      <c r="H96" s="7" t="s">
        <v>3848</v>
      </c>
      <c r="I96" s="7"/>
      <c r="J96" s="7" t="s">
        <v>4174</v>
      </c>
      <c r="K96" s="7" t="s">
        <v>3985</v>
      </c>
      <c r="L96" s="7">
        <v>10053264988</v>
      </c>
      <c r="M96" s="7"/>
      <c r="N96" s="7"/>
      <c r="O96" s="29" t="s">
        <v>11</v>
      </c>
      <c r="P96" s="29" t="s">
        <v>11</v>
      </c>
      <c r="Q96" s="29" t="s">
        <v>11</v>
      </c>
      <c r="R96" s="29" t="s">
        <v>11</v>
      </c>
      <c r="S96" s="29" t="s">
        <v>11</v>
      </c>
      <c r="T96" s="29" t="s">
        <v>11</v>
      </c>
      <c r="U96" s="29" t="s">
        <v>11</v>
      </c>
      <c r="V96" s="29" t="s">
        <v>11</v>
      </c>
      <c r="W96" s="29" t="s">
        <v>11</v>
      </c>
      <c r="X96" s="29" t="s">
        <v>11</v>
      </c>
      <c r="Y96" s="10" t="s">
        <v>11</v>
      </c>
      <c r="Z96" s="10" t="s">
        <v>11</v>
      </c>
      <c r="AA96" s="10" t="s">
        <v>11</v>
      </c>
      <c r="AB96" s="208" t="s">
        <v>10362</v>
      </c>
      <c r="AC96" s="35" t="s">
        <v>11</v>
      </c>
      <c r="AD96" s="26"/>
      <c r="AE96" s="24">
        <f t="shared" si="3"/>
        <v>0</v>
      </c>
      <c r="AF96" s="24">
        <f t="shared" si="4"/>
        <v>0</v>
      </c>
      <c r="AG96" s="24">
        <f t="shared" si="5"/>
        <v>14</v>
      </c>
      <c r="AH96" s="41" t="str" cm="1">
        <f t="array" ref="AH96">_xlfn.IFS(
SUM(AE96:AG96)=0,"Not Started",
SUM(AE96:AG96)&lt;15,"In Progress",
SUM(AE96:AG96)=15,"Completed",
SUM(AE96:AG96)&gt;15,"Error"
)</f>
        <v>In Progress</v>
      </c>
    </row>
    <row r="97" spans="1:34" ht="13" x14ac:dyDescent="0.25">
      <c r="A97" s="248"/>
      <c r="B97" s="7" t="s">
        <v>746</v>
      </c>
      <c r="C97" s="7" t="s">
        <v>3610</v>
      </c>
      <c r="D97" s="7" t="s">
        <v>3809</v>
      </c>
      <c r="E97" s="7" t="s">
        <v>43</v>
      </c>
      <c r="F97" s="7" t="s">
        <v>44</v>
      </c>
      <c r="G97" s="7" t="s">
        <v>3848</v>
      </c>
      <c r="H97" s="7" t="s">
        <v>3848</v>
      </c>
      <c r="I97" s="7"/>
      <c r="J97" s="7" t="s">
        <v>4059</v>
      </c>
      <c r="K97" s="7" t="s">
        <v>3986</v>
      </c>
      <c r="L97" s="7">
        <v>10053757891</v>
      </c>
      <c r="M97" s="7"/>
      <c r="N97" s="7"/>
      <c r="O97" s="29" t="s">
        <v>11</v>
      </c>
      <c r="P97" s="29" t="s">
        <v>11</v>
      </c>
      <c r="Q97" s="29" t="s">
        <v>11</v>
      </c>
      <c r="R97" s="29" t="s">
        <v>11</v>
      </c>
      <c r="S97" s="29" t="s">
        <v>11</v>
      </c>
      <c r="T97" s="29" t="s">
        <v>11</v>
      </c>
      <c r="U97" s="29" t="s">
        <v>11</v>
      </c>
      <c r="V97" s="29" t="s">
        <v>11</v>
      </c>
      <c r="W97" s="29" t="s">
        <v>11</v>
      </c>
      <c r="X97" s="29" t="s">
        <v>11</v>
      </c>
      <c r="Y97" s="10" t="s">
        <v>11</v>
      </c>
      <c r="Z97" s="10" t="s">
        <v>11</v>
      </c>
      <c r="AA97" s="10" t="s">
        <v>11</v>
      </c>
      <c r="AB97" s="180" t="s">
        <v>11</v>
      </c>
      <c r="AC97" s="35" t="s">
        <v>11</v>
      </c>
      <c r="AD97" s="26"/>
      <c r="AE97" s="24">
        <f t="shared" si="3"/>
        <v>0</v>
      </c>
      <c r="AF97" s="24">
        <f t="shared" si="4"/>
        <v>0</v>
      </c>
      <c r="AG97" s="24">
        <f t="shared" si="5"/>
        <v>15</v>
      </c>
      <c r="AH97" s="41" t="str" cm="1">
        <f t="array" ref="AH97">_xlfn.IFS(
SUM(AE97:AG97)=0,"Not Started",
SUM(AE97:AG97)&lt;15,"In Progress",
SUM(AE97:AG97)=15,"Completed",
SUM(AE97:AG97)&gt;15,"Error"
)</f>
        <v>Completed</v>
      </c>
    </row>
    <row r="98" spans="1:34" ht="13" x14ac:dyDescent="0.25">
      <c r="A98" s="248"/>
      <c r="B98" s="14" t="s">
        <v>747</v>
      </c>
      <c r="C98" s="7" t="s">
        <v>3633</v>
      </c>
      <c r="D98" s="7" t="s">
        <v>3833</v>
      </c>
      <c r="E98" s="7" t="s">
        <v>43</v>
      </c>
      <c r="F98" s="7" t="s">
        <v>44</v>
      </c>
      <c r="G98" s="7" t="s">
        <v>3848</v>
      </c>
      <c r="H98" s="7" t="s">
        <v>3848</v>
      </c>
      <c r="I98" s="7"/>
      <c r="J98" s="7" t="s">
        <v>4012</v>
      </c>
      <c r="K98" s="7" t="s">
        <v>5708</v>
      </c>
      <c r="L98" s="7">
        <v>10053345816</v>
      </c>
      <c r="M98" s="7"/>
      <c r="N98" s="7"/>
      <c r="O98" s="29" t="s">
        <v>11</v>
      </c>
      <c r="P98" s="29" t="s">
        <v>11</v>
      </c>
      <c r="Q98" s="29" t="s">
        <v>11</v>
      </c>
      <c r="R98" s="29" t="s">
        <v>11</v>
      </c>
      <c r="S98" s="29" t="s">
        <v>11</v>
      </c>
      <c r="T98" s="29" t="s">
        <v>11</v>
      </c>
      <c r="U98" s="29" t="s">
        <v>11</v>
      </c>
      <c r="V98" s="29" t="s">
        <v>11</v>
      </c>
      <c r="W98" s="29" t="s">
        <v>11</v>
      </c>
      <c r="X98" s="29" t="s">
        <v>11</v>
      </c>
      <c r="Y98" s="10" t="s">
        <v>11</v>
      </c>
      <c r="Z98" s="10" t="s">
        <v>11</v>
      </c>
      <c r="AA98" s="10" t="s">
        <v>11</v>
      </c>
      <c r="AB98" s="180" t="s">
        <v>11</v>
      </c>
      <c r="AC98" s="35" t="s">
        <v>11</v>
      </c>
      <c r="AD98" s="26"/>
      <c r="AE98" s="24">
        <f t="shared" si="3"/>
        <v>0</v>
      </c>
      <c r="AF98" s="24">
        <f t="shared" si="4"/>
        <v>0</v>
      </c>
      <c r="AG98" s="24">
        <f t="shared" si="5"/>
        <v>15</v>
      </c>
      <c r="AH98" s="41" t="str" cm="1">
        <f t="array" ref="AH98">_xlfn.IFS(
SUM(AE98:AG98)=0,"Not Started",
SUM(AE98:AG98)&lt;15,"In Progress",
SUM(AE98:AG98)=15,"Completed",
SUM(AE98:AG98)&gt;15,"Error"
)</f>
        <v>Completed</v>
      </c>
    </row>
    <row r="99" spans="1:34" ht="13" x14ac:dyDescent="0.25">
      <c r="A99" s="248"/>
      <c r="B99" s="7" t="s">
        <v>748</v>
      </c>
      <c r="C99" s="7" t="s">
        <v>3602</v>
      </c>
      <c r="D99" s="7" t="s">
        <v>3801</v>
      </c>
      <c r="E99" s="7" t="s">
        <v>51</v>
      </c>
      <c r="F99" s="7" t="s">
        <v>44</v>
      </c>
      <c r="G99" s="7" t="s">
        <v>3848</v>
      </c>
      <c r="H99" s="7" t="s">
        <v>3848</v>
      </c>
      <c r="I99" s="7"/>
      <c r="J99" s="7" t="s">
        <v>4010</v>
      </c>
      <c r="K99" s="7" t="s">
        <v>3963</v>
      </c>
      <c r="L99" s="7">
        <v>10053178567</v>
      </c>
      <c r="M99" s="7"/>
      <c r="N99" s="7"/>
      <c r="O99" s="29" t="s">
        <v>11</v>
      </c>
      <c r="P99" s="29" t="s">
        <v>11</v>
      </c>
      <c r="Q99" s="29" t="s">
        <v>11</v>
      </c>
      <c r="R99" s="29" t="s">
        <v>11</v>
      </c>
      <c r="S99" s="29" t="s">
        <v>11</v>
      </c>
      <c r="T99" s="29" t="s">
        <v>11</v>
      </c>
      <c r="U99" s="29" t="s">
        <v>11</v>
      </c>
      <c r="V99" s="29" t="s">
        <v>11</v>
      </c>
      <c r="W99" s="29" t="s">
        <v>11</v>
      </c>
      <c r="X99" s="29" t="s">
        <v>11</v>
      </c>
      <c r="Y99" s="10" t="s">
        <v>11</v>
      </c>
      <c r="Z99" s="10" t="s">
        <v>11</v>
      </c>
      <c r="AA99" s="10" t="s">
        <v>11</v>
      </c>
      <c r="AB99" s="180" t="s">
        <v>11</v>
      </c>
      <c r="AC99" s="35" t="s">
        <v>11</v>
      </c>
      <c r="AD99" s="26"/>
      <c r="AE99" s="24">
        <f t="shared" si="3"/>
        <v>0</v>
      </c>
      <c r="AF99" s="24">
        <f t="shared" si="4"/>
        <v>0</v>
      </c>
      <c r="AG99" s="24">
        <f t="shared" si="5"/>
        <v>15</v>
      </c>
      <c r="AH99" s="41" t="str" cm="1">
        <f t="array" ref="AH99">_xlfn.IFS(
SUM(AE99:AG99)=0,"Not Started",
SUM(AE99:AG99)&lt;15,"In Progress",
SUM(AE99:AG99)=15,"Completed",
SUM(AE99:AG99)&gt;15,"Error"
)</f>
        <v>Completed</v>
      </c>
    </row>
    <row r="100" spans="1:34" ht="13" x14ac:dyDescent="0.25">
      <c r="A100" s="248"/>
      <c r="B100" s="14" t="s">
        <v>749</v>
      </c>
      <c r="C100" s="7" t="s">
        <v>3519</v>
      </c>
      <c r="D100" s="7" t="s">
        <v>3716</v>
      </c>
      <c r="E100" s="7" t="s">
        <v>51</v>
      </c>
      <c r="F100" s="7" t="s">
        <v>44</v>
      </c>
      <c r="G100" s="7" t="s">
        <v>3848</v>
      </c>
      <c r="H100" s="7" t="s">
        <v>3848</v>
      </c>
      <c r="I100" s="7"/>
      <c r="J100" s="7" t="s">
        <v>4101</v>
      </c>
      <c r="K100" s="7" t="s">
        <v>5709</v>
      </c>
      <c r="L100" s="7">
        <v>10053760421</v>
      </c>
      <c r="M100" s="7"/>
      <c r="N100" s="7"/>
      <c r="O100" s="29" t="s">
        <v>11</v>
      </c>
      <c r="P100" s="29" t="s">
        <v>11</v>
      </c>
      <c r="Q100" s="29" t="s">
        <v>11</v>
      </c>
      <c r="R100" s="29" t="s">
        <v>11</v>
      </c>
      <c r="S100" s="29" t="s">
        <v>11</v>
      </c>
      <c r="T100" s="29" t="s">
        <v>11</v>
      </c>
      <c r="U100" s="29" t="s">
        <v>11</v>
      </c>
      <c r="V100" s="29" t="s">
        <v>11</v>
      </c>
      <c r="W100" s="29" t="s">
        <v>11</v>
      </c>
      <c r="X100" s="29" t="s">
        <v>11</v>
      </c>
      <c r="Y100" s="10" t="s">
        <v>11</v>
      </c>
      <c r="Z100" s="10" t="s">
        <v>11</v>
      </c>
      <c r="AA100" s="10" t="s">
        <v>11</v>
      </c>
      <c r="AB100" s="180" t="s">
        <v>11</v>
      </c>
      <c r="AC100" s="35" t="s">
        <v>11</v>
      </c>
      <c r="AD100" s="26"/>
      <c r="AE100" s="24">
        <f t="shared" si="3"/>
        <v>0</v>
      </c>
      <c r="AF100" s="24">
        <f t="shared" si="4"/>
        <v>0</v>
      </c>
      <c r="AG100" s="24">
        <f t="shared" si="5"/>
        <v>15</v>
      </c>
      <c r="AH100" s="41" t="str" cm="1">
        <f t="array" ref="AH100">_xlfn.IFS(
SUM(AE100:AG100)=0,"Not Started",
SUM(AE100:AG100)&lt;15,"In Progress",
SUM(AE100:AG100)=15,"Completed",
SUM(AE100:AG100)&gt;15,"Error"
)</f>
        <v>Completed</v>
      </c>
    </row>
    <row r="101" spans="1:34" ht="13" x14ac:dyDescent="0.25">
      <c r="A101" s="248"/>
      <c r="B101" s="7" t="s">
        <v>750</v>
      </c>
      <c r="C101" s="7" t="s">
        <v>3637</v>
      </c>
      <c r="D101" s="7" t="s">
        <v>3837</v>
      </c>
      <c r="E101" s="7" t="s">
        <v>43</v>
      </c>
      <c r="F101" s="7" t="s">
        <v>44</v>
      </c>
      <c r="G101" s="7" t="s">
        <v>3848</v>
      </c>
      <c r="H101" s="7" t="s">
        <v>3848</v>
      </c>
      <c r="I101" s="7"/>
      <c r="J101" s="7" t="s">
        <v>4033</v>
      </c>
      <c r="K101" s="7" t="s">
        <v>3988</v>
      </c>
      <c r="L101" s="7">
        <v>10053345852</v>
      </c>
      <c r="M101" s="7"/>
      <c r="N101" s="7"/>
      <c r="O101" s="29" t="s">
        <v>11</v>
      </c>
      <c r="P101" s="29" t="s">
        <v>11</v>
      </c>
      <c r="Q101" s="29" t="s">
        <v>11</v>
      </c>
      <c r="R101" s="29" t="s">
        <v>11</v>
      </c>
      <c r="S101" s="29" t="s">
        <v>11</v>
      </c>
      <c r="T101" s="29" t="s">
        <v>11</v>
      </c>
      <c r="U101" s="29" t="s">
        <v>11</v>
      </c>
      <c r="V101" s="29" t="s">
        <v>11</v>
      </c>
      <c r="W101" s="29" t="s">
        <v>11</v>
      </c>
      <c r="X101" s="29" t="s">
        <v>11</v>
      </c>
      <c r="Y101" s="10" t="s">
        <v>11</v>
      </c>
      <c r="Z101" s="10" t="s">
        <v>11</v>
      </c>
      <c r="AA101" s="10" t="s">
        <v>11</v>
      </c>
      <c r="AB101" s="180" t="s">
        <v>11</v>
      </c>
      <c r="AC101" s="35" t="s">
        <v>11</v>
      </c>
      <c r="AD101" s="26"/>
      <c r="AE101" s="24">
        <f t="shared" si="3"/>
        <v>0</v>
      </c>
      <c r="AF101" s="24">
        <f t="shared" si="4"/>
        <v>0</v>
      </c>
      <c r="AG101" s="24">
        <f t="shared" si="5"/>
        <v>15</v>
      </c>
      <c r="AH101" s="41" t="str" cm="1">
        <f t="array" ref="AH101">_xlfn.IFS(
SUM(AE101:AG101)=0,"Not Started",
SUM(AE101:AG101)&lt;15,"In Progress",
SUM(AE101:AG101)=15,"Completed",
SUM(AE101:AG101)&gt;15,"Error"
)</f>
        <v>Completed</v>
      </c>
    </row>
    <row r="102" spans="1:34" ht="13" x14ac:dyDescent="0.25">
      <c r="A102" s="248"/>
      <c r="B102" s="14" t="s">
        <v>751</v>
      </c>
      <c r="C102" s="7" t="s">
        <v>3592</v>
      </c>
      <c r="D102" s="7" t="s">
        <v>3790</v>
      </c>
      <c r="E102" s="7" t="s">
        <v>43</v>
      </c>
      <c r="F102" s="7" t="s">
        <v>44</v>
      </c>
      <c r="G102" s="7" t="s">
        <v>3848</v>
      </c>
      <c r="H102" s="7" t="s">
        <v>3848</v>
      </c>
      <c r="I102" s="7"/>
      <c r="J102" s="7" t="s">
        <v>4193</v>
      </c>
      <c r="K102" s="7" t="s">
        <v>3957</v>
      </c>
      <c r="L102" s="7">
        <v>10053713251</v>
      </c>
      <c r="M102" s="7"/>
      <c r="N102" s="7"/>
      <c r="O102" s="29" t="s">
        <v>11</v>
      </c>
      <c r="P102" s="29" t="s">
        <v>11</v>
      </c>
      <c r="Q102" s="29" t="s">
        <v>11</v>
      </c>
      <c r="R102" s="29" t="s">
        <v>11</v>
      </c>
      <c r="S102" s="29" t="s">
        <v>11</v>
      </c>
      <c r="T102" s="29" t="s">
        <v>11</v>
      </c>
      <c r="U102" s="29" t="s">
        <v>11</v>
      </c>
      <c r="V102" s="29" t="s">
        <v>11</v>
      </c>
      <c r="W102" s="29" t="s">
        <v>11</v>
      </c>
      <c r="X102" s="29" t="s">
        <v>11</v>
      </c>
      <c r="Y102" s="10" t="s">
        <v>11</v>
      </c>
      <c r="Z102" s="10" t="s">
        <v>11</v>
      </c>
      <c r="AA102" s="10" t="s">
        <v>11</v>
      </c>
      <c r="AB102" s="180" t="s">
        <v>11</v>
      </c>
      <c r="AC102" s="35" t="s">
        <v>11</v>
      </c>
      <c r="AD102" s="26"/>
      <c r="AE102" s="24">
        <f t="shared" si="3"/>
        <v>0</v>
      </c>
      <c r="AF102" s="24">
        <f t="shared" si="4"/>
        <v>0</v>
      </c>
      <c r="AG102" s="24">
        <f t="shared" si="5"/>
        <v>15</v>
      </c>
      <c r="AH102" s="41" t="str" cm="1">
        <f t="array" ref="AH102">_xlfn.IFS(
SUM(AE102:AG102)=0,"Not Started",
SUM(AE102:AG102)&lt;15,"In Progress",
SUM(AE102:AG102)=15,"Completed",
SUM(AE102:AG102)&gt;15,"Error"
)</f>
        <v>Completed</v>
      </c>
    </row>
    <row r="103" spans="1:34" ht="13" x14ac:dyDescent="0.25">
      <c r="A103" s="248"/>
      <c r="B103" s="7" t="s">
        <v>752</v>
      </c>
      <c r="C103" s="7" t="s">
        <v>3583</v>
      </c>
      <c r="D103" s="7" t="s">
        <v>3780</v>
      </c>
      <c r="E103" s="7" t="s">
        <v>51</v>
      </c>
      <c r="F103" s="7" t="s">
        <v>44</v>
      </c>
      <c r="G103" s="7" t="s">
        <v>3848</v>
      </c>
      <c r="H103" s="7" t="s">
        <v>3848</v>
      </c>
      <c r="I103" s="7"/>
      <c r="J103" s="7" t="s">
        <v>4167</v>
      </c>
      <c r="K103" s="7" t="s">
        <v>3950</v>
      </c>
      <c r="L103" s="7">
        <v>10053713206</v>
      </c>
      <c r="M103" s="7"/>
      <c r="N103" s="7"/>
      <c r="O103" s="179" t="s">
        <v>11</v>
      </c>
      <c r="P103" s="179" t="s">
        <v>11</v>
      </c>
      <c r="Q103" s="179" t="s">
        <v>11</v>
      </c>
      <c r="R103" s="179" t="s">
        <v>11</v>
      </c>
      <c r="S103" s="179" t="s">
        <v>11</v>
      </c>
      <c r="T103" s="179" t="s">
        <v>11</v>
      </c>
      <c r="U103" s="179" t="s">
        <v>11</v>
      </c>
      <c r="V103" s="179" t="s">
        <v>11</v>
      </c>
      <c r="W103" s="179" t="s">
        <v>11</v>
      </c>
      <c r="X103" s="179" t="s">
        <v>11</v>
      </c>
      <c r="Y103" s="139" t="s">
        <v>11</v>
      </c>
      <c r="Z103" s="139" t="s">
        <v>11</v>
      </c>
      <c r="AA103" s="139" t="s">
        <v>11</v>
      </c>
      <c r="AB103" s="180" t="s">
        <v>11</v>
      </c>
      <c r="AC103" s="35" t="s">
        <v>11</v>
      </c>
      <c r="AD103" s="26"/>
      <c r="AE103" s="24">
        <f t="shared" si="3"/>
        <v>0</v>
      </c>
      <c r="AF103" s="24">
        <f t="shared" si="4"/>
        <v>0</v>
      </c>
      <c r="AG103" s="24">
        <f t="shared" si="5"/>
        <v>15</v>
      </c>
      <c r="AH103" s="41" t="str" cm="1">
        <f t="array" ref="AH103">_xlfn.IFS(
SUM(AE103:AG103)=0,"Not Started",
SUM(AE103:AG103)&lt;15,"In Progress",
SUM(AE103:AG103)=15,"Completed",
SUM(AE103:AG103)&gt;15,"Error"
)</f>
        <v>Completed</v>
      </c>
    </row>
    <row r="104" spans="1:34" ht="13" x14ac:dyDescent="0.25">
      <c r="A104" s="248"/>
      <c r="B104" s="14" t="s">
        <v>753</v>
      </c>
      <c r="C104" s="7" t="s">
        <v>3616</v>
      </c>
      <c r="D104" s="7" t="s">
        <v>3816</v>
      </c>
      <c r="E104" s="7" t="s">
        <v>43</v>
      </c>
      <c r="F104" s="7" t="s">
        <v>44</v>
      </c>
      <c r="G104" s="7" t="s">
        <v>3848</v>
      </c>
      <c r="H104" s="7" t="s">
        <v>3848</v>
      </c>
      <c r="I104" s="7"/>
      <c r="J104" s="7" t="s">
        <v>4180</v>
      </c>
      <c r="K104" s="7" t="s">
        <v>3974</v>
      </c>
      <c r="L104" s="7">
        <v>10053713055</v>
      </c>
      <c r="M104" s="7"/>
      <c r="N104" s="7"/>
      <c r="O104" s="29" t="s">
        <v>11</v>
      </c>
      <c r="P104" s="29" t="s">
        <v>11</v>
      </c>
      <c r="Q104" s="29" t="s">
        <v>11</v>
      </c>
      <c r="R104" s="29" t="s">
        <v>11</v>
      </c>
      <c r="S104" s="29" t="s">
        <v>11</v>
      </c>
      <c r="T104" s="29" t="s">
        <v>11</v>
      </c>
      <c r="U104" s="29" t="s">
        <v>11</v>
      </c>
      <c r="V104" s="29" t="s">
        <v>11</v>
      </c>
      <c r="W104" s="29" t="s">
        <v>11</v>
      </c>
      <c r="X104" s="29" t="s">
        <v>11</v>
      </c>
      <c r="Y104" s="10" t="s">
        <v>11</v>
      </c>
      <c r="Z104" s="10" t="s">
        <v>11</v>
      </c>
      <c r="AA104" s="10" t="s">
        <v>11</v>
      </c>
      <c r="AB104" s="35" t="s">
        <v>11</v>
      </c>
      <c r="AC104" s="35" t="s">
        <v>11</v>
      </c>
      <c r="AD104" s="26"/>
      <c r="AE104" s="24">
        <f t="shared" si="3"/>
        <v>0</v>
      </c>
      <c r="AF104" s="24">
        <f t="shared" si="4"/>
        <v>0</v>
      </c>
      <c r="AG104" s="24">
        <f t="shared" si="5"/>
        <v>15</v>
      </c>
      <c r="AH104" s="41" t="str" cm="1">
        <f t="array" ref="AH104">_xlfn.IFS(
SUM(AE104:AG104)=0,"Not Started",
SUM(AE104:AG104)&lt;15,"In Progress",
SUM(AE104:AG104)=15,"Completed",
SUM(AE104:AG104)&gt;15,"Error"
)</f>
        <v>Completed</v>
      </c>
    </row>
    <row r="105" spans="1:34" ht="13" x14ac:dyDescent="0.25">
      <c r="A105" s="248"/>
      <c r="B105" s="7" t="s">
        <v>754</v>
      </c>
      <c r="C105" s="7" t="s">
        <v>3579</v>
      </c>
      <c r="D105" s="7" t="s">
        <v>3776</v>
      </c>
      <c r="E105" s="7" t="s">
        <v>51</v>
      </c>
      <c r="F105" s="7" t="s">
        <v>44</v>
      </c>
      <c r="G105" s="7" t="s">
        <v>3848</v>
      </c>
      <c r="H105" s="7" t="s">
        <v>3848</v>
      </c>
      <c r="I105" s="7"/>
      <c r="J105" s="7" t="s">
        <v>4087</v>
      </c>
      <c r="K105" s="7" t="s">
        <v>3947</v>
      </c>
      <c r="L105" s="7">
        <v>10053178487</v>
      </c>
      <c r="M105" s="7"/>
      <c r="N105" s="7"/>
      <c r="O105" s="29" t="s">
        <v>11</v>
      </c>
      <c r="P105" s="29" t="s">
        <v>11</v>
      </c>
      <c r="Q105" s="29" t="s">
        <v>11</v>
      </c>
      <c r="R105" s="29" t="s">
        <v>11</v>
      </c>
      <c r="S105" s="29" t="s">
        <v>11</v>
      </c>
      <c r="T105" s="29" t="s">
        <v>11</v>
      </c>
      <c r="U105" s="29" t="s">
        <v>11</v>
      </c>
      <c r="V105" s="29" t="s">
        <v>11</v>
      </c>
      <c r="W105" s="29" t="s">
        <v>11</v>
      </c>
      <c r="X105" s="29" t="s">
        <v>11</v>
      </c>
      <c r="Y105" s="10" t="s">
        <v>11</v>
      </c>
      <c r="Z105" s="10" t="s">
        <v>11</v>
      </c>
      <c r="AA105" s="10" t="s">
        <v>11</v>
      </c>
      <c r="AB105" s="35" t="s">
        <v>11</v>
      </c>
      <c r="AC105" s="35" t="s">
        <v>11</v>
      </c>
      <c r="AD105" s="26"/>
      <c r="AE105" s="24">
        <f t="shared" si="3"/>
        <v>0</v>
      </c>
      <c r="AF105" s="24">
        <f t="shared" si="4"/>
        <v>0</v>
      </c>
      <c r="AG105" s="24">
        <f t="shared" si="5"/>
        <v>15</v>
      </c>
      <c r="AH105" s="41" t="str" cm="1">
        <f t="array" ref="AH105">_xlfn.IFS(
SUM(AE105:AG105)=0,"Not Started",
SUM(AE105:AG105)&lt;15,"In Progress",
SUM(AE105:AG105)=15,"Completed",
SUM(AE105:AG105)&gt;15,"Error"
)</f>
        <v>Completed</v>
      </c>
    </row>
    <row r="106" spans="1:34" ht="13" x14ac:dyDescent="0.25">
      <c r="A106" s="248"/>
      <c r="B106" s="14" t="s">
        <v>755</v>
      </c>
      <c r="C106" s="7" t="s">
        <v>3580</v>
      </c>
      <c r="D106" s="7" t="s">
        <v>3777</v>
      </c>
      <c r="E106" s="7" t="s">
        <v>47</v>
      </c>
      <c r="F106" s="7" t="s">
        <v>44</v>
      </c>
      <c r="G106" s="7" t="s">
        <v>3848</v>
      </c>
      <c r="H106" s="7" t="s">
        <v>3848</v>
      </c>
      <c r="I106" s="7"/>
      <c r="J106" s="7" t="s">
        <v>4048</v>
      </c>
      <c r="K106" s="7" t="s">
        <v>3948</v>
      </c>
      <c r="L106" s="7">
        <v>10053588411</v>
      </c>
      <c r="M106" s="7"/>
      <c r="N106" s="7"/>
      <c r="O106" s="29" t="s">
        <v>11</v>
      </c>
      <c r="P106" s="29" t="s">
        <v>11</v>
      </c>
      <c r="Q106" s="29" t="s">
        <v>11</v>
      </c>
      <c r="R106" s="29" t="s">
        <v>11</v>
      </c>
      <c r="S106" s="29" t="s">
        <v>11</v>
      </c>
      <c r="T106" s="29" t="s">
        <v>11</v>
      </c>
      <c r="U106" s="29" t="s">
        <v>11</v>
      </c>
      <c r="V106" s="29" t="s">
        <v>11</v>
      </c>
      <c r="W106" s="29" t="s">
        <v>11</v>
      </c>
      <c r="X106" s="29" t="s">
        <v>11</v>
      </c>
      <c r="Y106" s="10" t="s">
        <v>11</v>
      </c>
      <c r="Z106" s="10" t="s">
        <v>11</v>
      </c>
      <c r="AA106" s="10" t="s">
        <v>11</v>
      </c>
      <c r="AB106" s="180" t="s">
        <v>11</v>
      </c>
      <c r="AC106" s="35" t="s">
        <v>11</v>
      </c>
      <c r="AD106" s="26"/>
      <c r="AE106" s="24">
        <f t="shared" si="3"/>
        <v>0</v>
      </c>
      <c r="AF106" s="24">
        <f t="shared" si="4"/>
        <v>0</v>
      </c>
      <c r="AG106" s="24">
        <f t="shared" si="5"/>
        <v>15</v>
      </c>
      <c r="AH106" s="41" t="str" cm="1">
        <f t="array" ref="AH106">_xlfn.IFS(
SUM(AE106:AG106)=0,"Not Started",
SUM(AE106:AG106)&lt;15,"In Progress",
SUM(AE106:AG106)=15,"Completed",
SUM(AE106:AG106)&gt;15,"Error"
)</f>
        <v>Completed</v>
      </c>
    </row>
    <row r="107" spans="1:34" ht="13" x14ac:dyDescent="0.25">
      <c r="A107" s="248"/>
      <c r="B107" s="7" t="s">
        <v>756</v>
      </c>
      <c r="C107" s="7" t="s">
        <v>3562</v>
      </c>
      <c r="D107" s="7" t="s">
        <v>3759</v>
      </c>
      <c r="E107" s="7" t="s">
        <v>51</v>
      </c>
      <c r="F107" s="7" t="s">
        <v>48</v>
      </c>
      <c r="G107" s="7" t="s">
        <v>3848</v>
      </c>
      <c r="H107" s="7" t="s">
        <v>3848</v>
      </c>
      <c r="I107" s="7"/>
      <c r="J107" s="7" t="s">
        <v>4107</v>
      </c>
      <c r="K107" s="7" t="s">
        <v>3937</v>
      </c>
      <c r="L107" s="7">
        <v>10053131060</v>
      </c>
      <c r="M107" s="7"/>
      <c r="N107" s="7"/>
      <c r="O107" s="29" t="s">
        <v>11</v>
      </c>
      <c r="P107" s="29" t="s">
        <v>11</v>
      </c>
      <c r="Q107" s="29" t="s">
        <v>11</v>
      </c>
      <c r="R107" s="29" t="s">
        <v>11</v>
      </c>
      <c r="S107" s="29" t="s">
        <v>11</v>
      </c>
      <c r="T107" s="29" t="s">
        <v>11</v>
      </c>
      <c r="U107" s="29" t="s">
        <v>11</v>
      </c>
      <c r="V107" s="29" t="s">
        <v>11</v>
      </c>
      <c r="W107" s="29" t="s">
        <v>11</v>
      </c>
      <c r="X107" s="29" t="s">
        <v>11</v>
      </c>
      <c r="Y107" s="10" t="s">
        <v>11</v>
      </c>
      <c r="Z107" s="10" t="s">
        <v>11</v>
      </c>
      <c r="AA107" s="10" t="s">
        <v>11</v>
      </c>
      <c r="AB107" s="180" t="s">
        <v>11</v>
      </c>
      <c r="AC107" s="35" t="s">
        <v>11</v>
      </c>
      <c r="AD107" s="26"/>
      <c r="AE107" s="24">
        <f t="shared" si="3"/>
        <v>0</v>
      </c>
      <c r="AF107" s="24">
        <f t="shared" si="4"/>
        <v>0</v>
      </c>
      <c r="AG107" s="24">
        <f t="shared" si="5"/>
        <v>15</v>
      </c>
      <c r="AH107" s="41" t="str" cm="1">
        <f t="array" ref="AH107">_xlfn.IFS(
SUM(AE107:AG107)=0,"Not Started",
SUM(AE107:AG107)&lt;15,"In Progress",
SUM(AE107:AG107)=15,"Completed",
SUM(AE107:AG107)&gt;15,"Error"
)</f>
        <v>Completed</v>
      </c>
    </row>
    <row r="108" spans="1:34" ht="13" x14ac:dyDescent="0.25">
      <c r="A108" s="248"/>
      <c r="B108" s="14" t="s">
        <v>757</v>
      </c>
      <c r="C108" s="7" t="s">
        <v>3600</v>
      </c>
      <c r="D108" s="7" t="s">
        <v>3798</v>
      </c>
      <c r="E108" s="7" t="s">
        <v>51</v>
      </c>
      <c r="F108" s="7" t="s">
        <v>44</v>
      </c>
      <c r="G108" s="7" t="s">
        <v>3848</v>
      </c>
      <c r="H108" s="7" t="s">
        <v>3848</v>
      </c>
      <c r="I108" s="7"/>
      <c r="J108" s="7" t="s">
        <v>4046</v>
      </c>
      <c r="K108" s="7" t="s">
        <v>3962</v>
      </c>
      <c r="L108" s="7">
        <v>10053473281</v>
      </c>
      <c r="M108" s="7"/>
      <c r="N108" s="7"/>
      <c r="O108" s="179" t="s">
        <v>11</v>
      </c>
      <c r="P108" s="179" t="s">
        <v>11</v>
      </c>
      <c r="Q108" s="179" t="s">
        <v>11</v>
      </c>
      <c r="R108" s="179" t="s">
        <v>11</v>
      </c>
      <c r="S108" s="179" t="s">
        <v>11</v>
      </c>
      <c r="T108" s="179" t="s">
        <v>11</v>
      </c>
      <c r="U108" s="179" t="s">
        <v>11</v>
      </c>
      <c r="V108" s="179" t="s">
        <v>11</v>
      </c>
      <c r="W108" s="179" t="s">
        <v>11</v>
      </c>
      <c r="X108" s="179" t="s">
        <v>11</v>
      </c>
      <c r="Y108" s="139" t="s">
        <v>11</v>
      </c>
      <c r="Z108" s="139" t="s">
        <v>11</v>
      </c>
      <c r="AA108" s="139" t="s">
        <v>11</v>
      </c>
      <c r="AB108" s="139" t="s">
        <v>11</v>
      </c>
      <c r="AC108" s="35" t="s">
        <v>11</v>
      </c>
      <c r="AD108" s="26"/>
      <c r="AE108" s="24">
        <f t="shared" si="3"/>
        <v>0</v>
      </c>
      <c r="AF108" s="24">
        <f t="shared" si="4"/>
        <v>0</v>
      </c>
      <c r="AG108" s="24">
        <f t="shared" si="5"/>
        <v>15</v>
      </c>
      <c r="AH108" s="41" t="str" cm="1">
        <f t="array" ref="AH108">_xlfn.IFS(
SUM(AE108:AG108)=0,"Not Started",
SUM(AE108:AG108)&lt;15,"In Progress",
SUM(AE108:AG108)=15,"Completed",
SUM(AE108:AG108)&gt;15,"Error"
)</f>
        <v>Completed</v>
      </c>
    </row>
    <row r="109" spans="1:34" ht="13" x14ac:dyDescent="0.25">
      <c r="A109" s="248"/>
      <c r="B109" s="7" t="s">
        <v>758</v>
      </c>
      <c r="C109" s="7" t="s">
        <v>3627</v>
      </c>
      <c r="D109" s="7" t="s">
        <v>3827</v>
      </c>
      <c r="E109" s="7" t="s">
        <v>43</v>
      </c>
      <c r="F109" s="7" t="s">
        <v>44</v>
      </c>
      <c r="G109" s="7" t="s">
        <v>3848</v>
      </c>
      <c r="H109" s="7" t="s">
        <v>3848</v>
      </c>
      <c r="I109" s="7"/>
      <c r="J109" s="7" t="s">
        <v>4123</v>
      </c>
      <c r="K109" s="7" t="s">
        <v>3982</v>
      </c>
      <c r="L109" s="7">
        <v>10101190727</v>
      </c>
      <c r="M109" s="7"/>
      <c r="N109" s="7"/>
      <c r="O109" s="29" t="s">
        <v>11</v>
      </c>
      <c r="P109" s="29" t="s">
        <v>11</v>
      </c>
      <c r="Q109" s="29" t="s">
        <v>11</v>
      </c>
      <c r="R109" s="29" t="s">
        <v>11</v>
      </c>
      <c r="S109" s="29" t="s">
        <v>11</v>
      </c>
      <c r="T109" s="29" t="s">
        <v>11</v>
      </c>
      <c r="U109" s="29" t="s">
        <v>11</v>
      </c>
      <c r="V109" s="29" t="s">
        <v>11</v>
      </c>
      <c r="W109" s="29" t="s">
        <v>11</v>
      </c>
      <c r="X109" s="29" t="s">
        <v>11</v>
      </c>
      <c r="Y109" s="10" t="s">
        <v>11</v>
      </c>
      <c r="Z109" s="10" t="s">
        <v>11</v>
      </c>
      <c r="AA109" s="10" t="s">
        <v>11</v>
      </c>
      <c r="AB109" s="180" t="s">
        <v>11</v>
      </c>
      <c r="AC109" s="35" t="s">
        <v>11</v>
      </c>
      <c r="AD109" s="26"/>
      <c r="AE109" s="24">
        <f t="shared" si="3"/>
        <v>0</v>
      </c>
      <c r="AF109" s="24">
        <f t="shared" si="4"/>
        <v>0</v>
      </c>
      <c r="AG109" s="24">
        <f t="shared" si="5"/>
        <v>15</v>
      </c>
      <c r="AH109" s="41" t="str" cm="1">
        <f t="array" ref="AH109">_xlfn.IFS(
SUM(AE109:AG109)=0,"Not Started",
SUM(AE109:AG109)&lt;15,"In Progress",
SUM(AE109:AG109)=15,"Completed",
SUM(AE109:AG109)&gt;15,"Error"
)</f>
        <v>Completed</v>
      </c>
    </row>
    <row r="110" spans="1:34" ht="13" x14ac:dyDescent="0.25">
      <c r="A110" s="248"/>
      <c r="B110" s="14" t="s">
        <v>759</v>
      </c>
      <c r="C110" s="7" t="s">
        <v>3599</v>
      </c>
      <c r="D110" s="7" t="s">
        <v>3797</v>
      </c>
      <c r="E110" s="7" t="s">
        <v>51</v>
      </c>
      <c r="F110" s="7" t="s">
        <v>44</v>
      </c>
      <c r="G110" s="7" t="s">
        <v>3848</v>
      </c>
      <c r="H110" s="7" t="s">
        <v>3848</v>
      </c>
      <c r="I110" s="7"/>
      <c r="J110" s="7" t="s">
        <v>4027</v>
      </c>
      <c r="K110" s="7" t="s">
        <v>5710</v>
      </c>
      <c r="L110" s="7">
        <v>10053199521</v>
      </c>
      <c r="M110" s="7"/>
      <c r="N110" s="7"/>
      <c r="O110" s="179" t="s">
        <v>11</v>
      </c>
      <c r="P110" s="179" t="s">
        <v>11</v>
      </c>
      <c r="Q110" s="179" t="s">
        <v>11</v>
      </c>
      <c r="R110" s="179" t="s">
        <v>11</v>
      </c>
      <c r="S110" s="179" t="s">
        <v>11</v>
      </c>
      <c r="T110" s="179" t="s">
        <v>11</v>
      </c>
      <c r="U110" s="179" t="s">
        <v>11</v>
      </c>
      <c r="V110" s="179" t="s">
        <v>11</v>
      </c>
      <c r="W110" s="179" t="s">
        <v>11</v>
      </c>
      <c r="X110" s="179" t="s">
        <v>11</v>
      </c>
      <c r="Y110" s="139" t="s">
        <v>11</v>
      </c>
      <c r="Z110" s="139" t="s">
        <v>11</v>
      </c>
      <c r="AA110" s="139" t="s">
        <v>11</v>
      </c>
      <c r="AB110" s="180" t="s">
        <v>11</v>
      </c>
      <c r="AC110" s="35" t="s">
        <v>11</v>
      </c>
      <c r="AD110" s="26"/>
      <c r="AE110" s="24">
        <f t="shared" si="3"/>
        <v>0</v>
      </c>
      <c r="AF110" s="24">
        <f t="shared" si="4"/>
        <v>0</v>
      </c>
      <c r="AG110" s="24">
        <f t="shared" si="5"/>
        <v>15</v>
      </c>
      <c r="AH110" s="41" t="str" cm="1">
        <f t="array" ref="AH110">_xlfn.IFS(
SUM(AE110:AG110)=0,"Not Started",
SUM(AE110:AG110)&lt;15,"In Progress",
SUM(AE110:AG110)=15,"Completed",
SUM(AE110:AG110)&gt;15,"Error"
)</f>
        <v>Completed</v>
      </c>
    </row>
    <row r="111" spans="1:34" ht="13" x14ac:dyDescent="0.25">
      <c r="A111" s="248"/>
      <c r="B111" s="7" t="s">
        <v>760</v>
      </c>
      <c r="C111" s="7" t="s">
        <v>3561</v>
      </c>
      <c r="D111" s="7" t="s">
        <v>3758</v>
      </c>
      <c r="E111" s="7" t="s">
        <v>43</v>
      </c>
      <c r="F111" s="7" t="s">
        <v>44</v>
      </c>
      <c r="G111" s="7" t="s">
        <v>3848</v>
      </c>
      <c r="H111" s="7" t="s">
        <v>3848</v>
      </c>
      <c r="I111" s="7"/>
      <c r="J111" s="7" t="s">
        <v>4078</v>
      </c>
      <c r="K111" s="7" t="s">
        <v>3936</v>
      </c>
      <c r="L111" s="7">
        <v>10053757757</v>
      </c>
      <c r="M111" s="7"/>
      <c r="N111" s="7"/>
      <c r="O111" s="29" t="s">
        <v>11</v>
      </c>
      <c r="P111" s="29" t="s">
        <v>11</v>
      </c>
      <c r="Q111" s="29" t="s">
        <v>11</v>
      </c>
      <c r="R111" s="29" t="s">
        <v>11</v>
      </c>
      <c r="S111" s="29" t="s">
        <v>11</v>
      </c>
      <c r="T111" s="29" t="s">
        <v>11</v>
      </c>
      <c r="U111" s="29" t="s">
        <v>11</v>
      </c>
      <c r="V111" s="29" t="s">
        <v>11</v>
      </c>
      <c r="W111" s="29" t="s">
        <v>11</v>
      </c>
      <c r="X111" s="29" t="s">
        <v>11</v>
      </c>
      <c r="Y111" s="10" t="s">
        <v>11</v>
      </c>
      <c r="Z111" s="10" t="s">
        <v>11</v>
      </c>
      <c r="AA111" s="10" t="s">
        <v>11</v>
      </c>
      <c r="AB111" s="139" t="s">
        <v>11</v>
      </c>
      <c r="AC111" s="35" t="s">
        <v>11</v>
      </c>
      <c r="AD111" s="26"/>
      <c r="AE111" s="24">
        <f t="shared" si="3"/>
        <v>0</v>
      </c>
      <c r="AF111" s="24">
        <f t="shared" si="4"/>
        <v>0</v>
      </c>
      <c r="AG111" s="24">
        <f t="shared" si="5"/>
        <v>15</v>
      </c>
      <c r="AH111" s="41" t="str" cm="1">
        <f t="array" ref="AH111">_xlfn.IFS(
SUM(AE111:AG111)=0,"Not Started",
SUM(AE111:AG111)&lt;15,"In Progress",
SUM(AE111:AG111)=15,"Completed",
SUM(AE111:AG111)&gt;15,"Error"
)</f>
        <v>Completed</v>
      </c>
    </row>
    <row r="112" spans="1:34" ht="13" x14ac:dyDescent="0.25">
      <c r="A112" s="248"/>
      <c r="B112" s="14" t="s">
        <v>761</v>
      </c>
      <c r="C112" s="7" t="s">
        <v>3618</v>
      </c>
      <c r="D112" s="7" t="s">
        <v>3818</v>
      </c>
      <c r="E112" s="7" t="s">
        <v>47</v>
      </c>
      <c r="F112" s="7" t="s">
        <v>44</v>
      </c>
      <c r="G112" s="7" t="s">
        <v>3848</v>
      </c>
      <c r="H112" s="7" t="s">
        <v>3848</v>
      </c>
      <c r="I112" s="7"/>
      <c r="J112" s="7" t="s">
        <v>4118</v>
      </c>
      <c r="K112" s="7" t="s">
        <v>3976</v>
      </c>
      <c r="L112" s="7">
        <v>10053706408</v>
      </c>
      <c r="M112" s="7"/>
      <c r="N112" s="7"/>
      <c r="O112" s="29" t="s">
        <v>11</v>
      </c>
      <c r="P112" s="29" t="s">
        <v>11</v>
      </c>
      <c r="Q112" s="29" t="s">
        <v>11</v>
      </c>
      <c r="R112" s="29" t="s">
        <v>11</v>
      </c>
      <c r="S112" s="29" t="s">
        <v>11</v>
      </c>
      <c r="T112" s="29" t="s">
        <v>11</v>
      </c>
      <c r="U112" s="29" t="s">
        <v>11</v>
      </c>
      <c r="V112" s="29" t="s">
        <v>11</v>
      </c>
      <c r="W112" s="29" t="s">
        <v>11</v>
      </c>
      <c r="X112" s="29" t="s">
        <v>11</v>
      </c>
      <c r="Y112" s="10" t="s">
        <v>11</v>
      </c>
      <c r="Z112" s="10" t="s">
        <v>11</v>
      </c>
      <c r="AA112" s="10" t="s">
        <v>11</v>
      </c>
      <c r="AB112" s="180" t="s">
        <v>11</v>
      </c>
      <c r="AC112" s="35" t="s">
        <v>11</v>
      </c>
      <c r="AD112" s="26"/>
      <c r="AE112" s="24">
        <f t="shared" si="3"/>
        <v>0</v>
      </c>
      <c r="AF112" s="24">
        <f t="shared" si="4"/>
        <v>0</v>
      </c>
      <c r="AG112" s="24">
        <f t="shared" si="5"/>
        <v>15</v>
      </c>
      <c r="AH112" s="41" t="str" cm="1">
        <f t="array" ref="AH112">_xlfn.IFS(
SUM(AE112:AG112)=0,"Not Started",
SUM(AE112:AG112)&lt;15,"In Progress",
SUM(AE112:AG112)=15,"Completed",
SUM(AE112:AG112)&gt;15,"Error"
)</f>
        <v>Completed</v>
      </c>
    </row>
    <row r="113" spans="1:34" ht="13" x14ac:dyDescent="0.25">
      <c r="A113" s="248"/>
      <c r="B113" s="7" t="s">
        <v>762</v>
      </c>
      <c r="C113" s="7" t="s">
        <v>3566</v>
      </c>
      <c r="D113" s="7" t="s">
        <v>3763</v>
      </c>
      <c r="E113" s="7" t="s">
        <v>51</v>
      </c>
      <c r="F113" s="7" t="s">
        <v>44</v>
      </c>
      <c r="G113" s="7" t="s">
        <v>3848</v>
      </c>
      <c r="H113" s="7" t="s">
        <v>3848</v>
      </c>
      <c r="I113" s="7"/>
      <c r="J113" s="7" t="s">
        <v>4136</v>
      </c>
      <c r="K113" s="7" t="s">
        <v>3938</v>
      </c>
      <c r="L113" s="7">
        <v>10053571998</v>
      </c>
      <c r="M113" s="7"/>
      <c r="N113" s="7"/>
      <c r="O113" s="29" t="s">
        <v>11</v>
      </c>
      <c r="P113" s="29" t="s">
        <v>11</v>
      </c>
      <c r="Q113" s="29" t="s">
        <v>11</v>
      </c>
      <c r="R113" s="29" t="s">
        <v>11</v>
      </c>
      <c r="S113" s="29" t="s">
        <v>11</v>
      </c>
      <c r="T113" s="29" t="s">
        <v>11</v>
      </c>
      <c r="U113" s="29" t="s">
        <v>11</v>
      </c>
      <c r="V113" s="29" t="s">
        <v>11</v>
      </c>
      <c r="W113" s="29" t="s">
        <v>11</v>
      </c>
      <c r="X113" s="29" t="s">
        <v>11</v>
      </c>
      <c r="Y113" s="10" t="s">
        <v>11</v>
      </c>
      <c r="Z113" s="10" t="s">
        <v>11</v>
      </c>
      <c r="AA113" s="10" t="s">
        <v>11</v>
      </c>
      <c r="AB113" s="139" t="s">
        <v>11</v>
      </c>
      <c r="AC113" s="35" t="s">
        <v>11</v>
      </c>
      <c r="AD113" s="26"/>
      <c r="AE113" s="24">
        <f t="shared" si="3"/>
        <v>0</v>
      </c>
      <c r="AF113" s="24">
        <f t="shared" si="4"/>
        <v>0</v>
      </c>
      <c r="AG113" s="24">
        <f t="shared" si="5"/>
        <v>15</v>
      </c>
      <c r="AH113" s="41" t="str" cm="1">
        <f t="array" ref="AH113">_xlfn.IFS(
SUM(AE113:AG113)=0,"Not Started",
SUM(AE113:AG113)&lt;15,"In Progress",
SUM(AE113:AG113)=15,"Completed",
SUM(AE113:AG113)&gt;15,"Error"
)</f>
        <v>Completed</v>
      </c>
    </row>
    <row r="114" spans="1:34" ht="13" x14ac:dyDescent="0.25">
      <c r="A114" s="248"/>
      <c r="B114" s="14" t="s">
        <v>763</v>
      </c>
      <c r="C114" s="7" t="s">
        <v>3559</v>
      </c>
      <c r="D114" s="7" t="s">
        <v>3756</v>
      </c>
      <c r="E114" s="7" t="s">
        <v>47</v>
      </c>
      <c r="F114" s="7" t="s">
        <v>44</v>
      </c>
      <c r="G114" s="7" t="s">
        <v>3848</v>
      </c>
      <c r="H114" s="7" t="s">
        <v>3848</v>
      </c>
      <c r="I114" s="7"/>
      <c r="J114" s="7" t="s">
        <v>4140</v>
      </c>
      <c r="K114" s="7" t="s">
        <v>3934</v>
      </c>
      <c r="L114" s="7">
        <v>10053134277</v>
      </c>
      <c r="M114" s="7"/>
      <c r="N114" s="7"/>
      <c r="O114" s="181" t="s">
        <v>11</v>
      </c>
      <c r="P114" s="181" t="s">
        <v>11</v>
      </c>
      <c r="Q114" s="181" t="s">
        <v>11</v>
      </c>
      <c r="R114" s="181" t="s">
        <v>11</v>
      </c>
      <c r="S114" s="181" t="s">
        <v>11</v>
      </c>
      <c r="T114" s="181" t="s">
        <v>11</v>
      </c>
      <c r="U114" s="181" t="s">
        <v>11</v>
      </c>
      <c r="V114" s="181" t="s">
        <v>11</v>
      </c>
      <c r="W114" s="181" t="s">
        <v>11</v>
      </c>
      <c r="X114" s="181" t="s">
        <v>11</v>
      </c>
      <c r="Y114" s="182" t="s">
        <v>11</v>
      </c>
      <c r="Z114" s="182" t="s">
        <v>11</v>
      </c>
      <c r="AA114" s="182" t="s">
        <v>11</v>
      </c>
      <c r="AB114" s="139" t="s">
        <v>11</v>
      </c>
      <c r="AC114" s="35" t="s">
        <v>11</v>
      </c>
      <c r="AD114" s="26"/>
      <c r="AE114" s="24">
        <f t="shared" si="3"/>
        <v>0</v>
      </c>
      <c r="AF114" s="24">
        <f t="shared" si="4"/>
        <v>0</v>
      </c>
      <c r="AG114" s="24">
        <f t="shared" si="5"/>
        <v>15</v>
      </c>
      <c r="AH114" s="41" t="str" cm="1">
        <f t="array" ref="AH114">_xlfn.IFS(
SUM(AE114:AG114)=0,"Not Started",
SUM(AE114:AG114)&lt;15,"In Progress",
SUM(AE114:AG114)=15,"Completed",
SUM(AE114:AG114)&gt;15,"Error"
)</f>
        <v>Completed</v>
      </c>
    </row>
    <row r="115" spans="1:34" ht="13" x14ac:dyDescent="0.25">
      <c r="A115" s="248"/>
      <c r="B115" s="7" t="s">
        <v>764</v>
      </c>
      <c r="C115" s="7" t="s">
        <v>3570</v>
      </c>
      <c r="D115" s="7" t="s">
        <v>3767</v>
      </c>
      <c r="E115" s="7" t="s">
        <v>43</v>
      </c>
      <c r="F115" s="7" t="s">
        <v>44</v>
      </c>
      <c r="G115" s="7" t="s">
        <v>3848</v>
      </c>
      <c r="H115" s="7" t="s">
        <v>3848</v>
      </c>
      <c r="I115" s="7"/>
      <c r="J115" s="7" t="s">
        <v>4190</v>
      </c>
      <c r="K115" s="7" t="s">
        <v>3939</v>
      </c>
      <c r="L115" s="7">
        <v>10053134508</v>
      </c>
      <c r="M115" s="7"/>
      <c r="N115" s="7"/>
      <c r="O115" s="29" t="s">
        <v>11</v>
      </c>
      <c r="P115" s="29" t="s">
        <v>11</v>
      </c>
      <c r="Q115" s="29" t="s">
        <v>11</v>
      </c>
      <c r="R115" s="29" t="s">
        <v>11</v>
      </c>
      <c r="S115" s="29" t="s">
        <v>11</v>
      </c>
      <c r="T115" s="29" t="s">
        <v>11</v>
      </c>
      <c r="U115" s="29" t="s">
        <v>11</v>
      </c>
      <c r="V115" s="29" t="s">
        <v>11</v>
      </c>
      <c r="W115" s="29" t="s">
        <v>11</v>
      </c>
      <c r="X115" s="29" t="s">
        <v>11</v>
      </c>
      <c r="Y115" s="10" t="s">
        <v>11</v>
      </c>
      <c r="Z115" s="10" t="s">
        <v>11</v>
      </c>
      <c r="AA115" s="10" t="s">
        <v>11</v>
      </c>
      <c r="AB115" s="180" t="s">
        <v>11</v>
      </c>
      <c r="AC115" s="35" t="s">
        <v>11</v>
      </c>
      <c r="AD115" s="26"/>
      <c r="AE115" s="24">
        <f t="shared" si="3"/>
        <v>0</v>
      </c>
      <c r="AF115" s="24">
        <f t="shared" si="4"/>
        <v>0</v>
      </c>
      <c r="AG115" s="24">
        <f t="shared" si="5"/>
        <v>15</v>
      </c>
      <c r="AH115" s="41" t="str" cm="1">
        <f t="array" ref="AH115">_xlfn.IFS(
SUM(AE115:AG115)=0,"Not Started",
SUM(AE115:AG115)&lt;15,"In Progress",
SUM(AE115:AG115)=15,"Completed",
SUM(AE115:AG115)&gt;15,"Error"
)</f>
        <v>Completed</v>
      </c>
    </row>
    <row r="116" spans="1:34" ht="13" x14ac:dyDescent="0.25">
      <c r="A116" s="248"/>
      <c r="B116" s="14" t="s">
        <v>765</v>
      </c>
      <c r="C116" s="7" t="s">
        <v>3593</v>
      </c>
      <c r="D116" s="7" t="s">
        <v>3791</v>
      </c>
      <c r="E116" s="7" t="s">
        <v>47</v>
      </c>
      <c r="F116" s="7" t="s">
        <v>44</v>
      </c>
      <c r="G116" s="7" t="s">
        <v>3848</v>
      </c>
      <c r="H116" s="7" t="s">
        <v>3848</v>
      </c>
      <c r="I116" s="7"/>
      <c r="J116" s="7" t="s">
        <v>4063</v>
      </c>
      <c r="K116" s="7" t="s">
        <v>3958</v>
      </c>
      <c r="L116" s="7">
        <v>10083126409</v>
      </c>
      <c r="M116" s="7"/>
      <c r="N116" s="7"/>
      <c r="O116" s="29" t="s">
        <v>11</v>
      </c>
      <c r="P116" s="29" t="s">
        <v>11</v>
      </c>
      <c r="Q116" s="29" t="s">
        <v>11</v>
      </c>
      <c r="R116" s="29" t="s">
        <v>11</v>
      </c>
      <c r="S116" s="29" t="s">
        <v>11</v>
      </c>
      <c r="T116" s="29" t="s">
        <v>11</v>
      </c>
      <c r="U116" s="29" t="s">
        <v>11</v>
      </c>
      <c r="V116" s="29" t="s">
        <v>11</v>
      </c>
      <c r="W116" s="29" t="s">
        <v>11</v>
      </c>
      <c r="X116" s="29" t="s">
        <v>11</v>
      </c>
      <c r="Y116" s="10" t="s">
        <v>11</v>
      </c>
      <c r="Z116" s="10" t="s">
        <v>11</v>
      </c>
      <c r="AA116" s="10" t="s">
        <v>11</v>
      </c>
      <c r="AB116" s="35" t="s">
        <v>11</v>
      </c>
      <c r="AC116" s="35" t="s">
        <v>11</v>
      </c>
      <c r="AD116" s="26"/>
      <c r="AE116" s="24">
        <f t="shared" si="3"/>
        <v>0</v>
      </c>
      <c r="AF116" s="24">
        <f t="shared" si="4"/>
        <v>0</v>
      </c>
      <c r="AG116" s="24">
        <f t="shared" si="5"/>
        <v>15</v>
      </c>
      <c r="AH116" s="41" t="str" cm="1">
        <f t="array" ref="AH116">_xlfn.IFS(
SUM(AE116:AG116)=0,"Not Started",
SUM(AE116:AG116)&lt;15,"In Progress",
SUM(AE116:AG116)=15,"Completed",
SUM(AE116:AG116)&gt;15,"Error"
)</f>
        <v>Completed</v>
      </c>
    </row>
    <row r="117" spans="1:34" ht="13" x14ac:dyDescent="0.25">
      <c r="A117" s="248"/>
      <c r="B117" s="7" t="s">
        <v>766</v>
      </c>
      <c r="C117" s="7" t="s">
        <v>3622</v>
      </c>
      <c r="D117" s="7" t="s">
        <v>3822</v>
      </c>
      <c r="E117" s="7" t="s">
        <v>47</v>
      </c>
      <c r="F117" s="7" t="s">
        <v>44</v>
      </c>
      <c r="G117" s="7" t="s">
        <v>3848</v>
      </c>
      <c r="H117" s="7" t="s">
        <v>3848</v>
      </c>
      <c r="I117" s="7"/>
      <c r="J117" s="7" t="s">
        <v>4194</v>
      </c>
      <c r="K117" s="7" t="s">
        <v>3978</v>
      </c>
      <c r="L117" s="7">
        <v>10053346635</v>
      </c>
      <c r="M117" s="7"/>
      <c r="N117" s="7"/>
      <c r="O117" s="29" t="s">
        <v>11</v>
      </c>
      <c r="P117" s="29" t="s">
        <v>11</v>
      </c>
      <c r="Q117" s="29" t="s">
        <v>11</v>
      </c>
      <c r="R117" s="29" t="s">
        <v>11</v>
      </c>
      <c r="S117" s="29" t="s">
        <v>11</v>
      </c>
      <c r="T117" s="29" t="s">
        <v>11</v>
      </c>
      <c r="U117" s="29" t="s">
        <v>11</v>
      </c>
      <c r="V117" s="29" t="s">
        <v>11</v>
      </c>
      <c r="W117" s="29" t="s">
        <v>11</v>
      </c>
      <c r="X117" s="29" t="s">
        <v>11</v>
      </c>
      <c r="Y117" s="10" t="s">
        <v>11</v>
      </c>
      <c r="Z117" s="10" t="s">
        <v>11</v>
      </c>
      <c r="AA117" s="10" t="s">
        <v>11</v>
      </c>
      <c r="AB117" s="35" t="s">
        <v>11</v>
      </c>
      <c r="AC117" s="35" t="s">
        <v>11</v>
      </c>
      <c r="AD117" s="26"/>
      <c r="AE117" s="24">
        <f t="shared" si="3"/>
        <v>0</v>
      </c>
      <c r="AF117" s="24">
        <f t="shared" si="4"/>
        <v>0</v>
      </c>
      <c r="AG117" s="24">
        <f t="shared" si="5"/>
        <v>15</v>
      </c>
      <c r="AH117" s="41" t="str" cm="1">
        <f t="array" ref="AH117">_xlfn.IFS(
SUM(AE117:AG117)=0,"Not Started",
SUM(AE117:AG117)&lt;15,"In Progress",
SUM(AE117:AG117)=15,"Completed",
SUM(AE117:AG117)&gt;15,"Error"
)</f>
        <v>Completed</v>
      </c>
    </row>
    <row r="118" spans="1:34" ht="13" x14ac:dyDescent="0.25">
      <c r="A118" s="248"/>
      <c r="B118" s="14" t="s">
        <v>767</v>
      </c>
      <c r="C118" s="7" t="s">
        <v>5666</v>
      </c>
      <c r="D118" s="7" t="s">
        <v>3782</v>
      </c>
      <c r="E118" s="7" t="s">
        <v>47</v>
      </c>
      <c r="F118" s="7" t="s">
        <v>44</v>
      </c>
      <c r="G118" s="7" t="s">
        <v>3848</v>
      </c>
      <c r="H118" s="7" t="s">
        <v>3848</v>
      </c>
      <c r="I118" s="7"/>
      <c r="J118" s="7" t="s">
        <v>4121</v>
      </c>
      <c r="K118" s="7" t="s">
        <v>3951</v>
      </c>
      <c r="L118" s="7">
        <v>10053714132</v>
      </c>
      <c r="M118" s="7"/>
      <c r="N118" s="7"/>
      <c r="O118" s="29" t="s">
        <v>11</v>
      </c>
      <c r="P118" s="29" t="s">
        <v>11</v>
      </c>
      <c r="Q118" s="29" t="s">
        <v>11</v>
      </c>
      <c r="R118" s="29" t="s">
        <v>11</v>
      </c>
      <c r="S118" s="29" t="s">
        <v>11</v>
      </c>
      <c r="T118" s="29" t="s">
        <v>11</v>
      </c>
      <c r="U118" s="29" t="s">
        <v>11</v>
      </c>
      <c r="V118" s="29" t="s">
        <v>11</v>
      </c>
      <c r="W118" s="29" t="s">
        <v>11</v>
      </c>
      <c r="X118" s="29" t="s">
        <v>11</v>
      </c>
      <c r="Y118" s="10" t="s">
        <v>11</v>
      </c>
      <c r="Z118" s="10" t="s">
        <v>11</v>
      </c>
      <c r="AA118" s="10" t="s">
        <v>11</v>
      </c>
      <c r="AB118" s="35" t="s">
        <v>11</v>
      </c>
      <c r="AC118" s="35" t="s">
        <v>11</v>
      </c>
      <c r="AD118" s="26"/>
      <c r="AE118" s="24">
        <f t="shared" si="3"/>
        <v>0</v>
      </c>
      <c r="AF118" s="24">
        <f t="shared" si="4"/>
        <v>0</v>
      </c>
      <c r="AG118" s="24">
        <f t="shared" si="5"/>
        <v>15</v>
      </c>
      <c r="AH118" s="41" t="str" cm="1">
        <f t="array" ref="AH118">_xlfn.IFS(
SUM(AE118:AG118)=0,"Not Started",
SUM(AE118:AG118)&lt;15,"In Progress",
SUM(AE118:AG118)=15,"Completed",
SUM(AE118:AG118)&gt;15,"Error"
)</f>
        <v>Completed</v>
      </c>
    </row>
    <row r="119" spans="1:34" ht="13" x14ac:dyDescent="0.25">
      <c r="A119" s="248"/>
      <c r="B119" s="7" t="s">
        <v>768</v>
      </c>
      <c r="C119" s="7" t="s">
        <v>3588</v>
      </c>
      <c r="D119" s="7" t="s">
        <v>3786</v>
      </c>
      <c r="E119" s="7" t="s">
        <v>51</v>
      </c>
      <c r="F119" s="7" t="s">
        <v>48</v>
      </c>
      <c r="G119" s="7" t="s">
        <v>3848</v>
      </c>
      <c r="H119" s="7" t="s">
        <v>3848</v>
      </c>
      <c r="I119" s="7"/>
      <c r="J119" s="7" t="s">
        <v>4073</v>
      </c>
      <c r="K119" s="7" t="s">
        <v>3954</v>
      </c>
      <c r="L119" s="7">
        <v>10053409360</v>
      </c>
      <c r="M119" s="7"/>
      <c r="N119" s="7"/>
      <c r="O119" s="179" t="s">
        <v>11</v>
      </c>
      <c r="P119" s="179" t="s">
        <v>11</v>
      </c>
      <c r="Q119" s="179" t="s">
        <v>11</v>
      </c>
      <c r="R119" s="179" t="s">
        <v>11</v>
      </c>
      <c r="S119" s="179" t="s">
        <v>11</v>
      </c>
      <c r="T119" s="179" t="s">
        <v>11</v>
      </c>
      <c r="U119" s="179" t="s">
        <v>11</v>
      </c>
      <c r="V119" s="179" t="s">
        <v>11</v>
      </c>
      <c r="W119" s="179" t="s">
        <v>11</v>
      </c>
      <c r="X119" s="179" t="s">
        <v>11</v>
      </c>
      <c r="Y119" s="139" t="s">
        <v>11</v>
      </c>
      <c r="Z119" s="139" t="s">
        <v>11</v>
      </c>
      <c r="AA119" s="139" t="s">
        <v>11</v>
      </c>
      <c r="AB119" s="180" t="s">
        <v>11</v>
      </c>
      <c r="AC119" s="35" t="s">
        <v>11</v>
      </c>
      <c r="AD119" s="26"/>
      <c r="AE119" s="24">
        <f t="shared" si="3"/>
        <v>0</v>
      </c>
      <c r="AF119" s="24">
        <f t="shared" si="4"/>
        <v>0</v>
      </c>
      <c r="AG119" s="24">
        <f t="shared" si="5"/>
        <v>15</v>
      </c>
      <c r="AH119" s="41" t="str" cm="1">
        <f t="array" ref="AH119">_xlfn.IFS(
SUM(AE119:AG119)=0,"Not Started",
SUM(AE119:AG119)&lt;15,"In Progress",
SUM(AE119:AG119)=15,"Completed",
SUM(AE119:AG119)&gt;15,"Error"
)</f>
        <v>Completed</v>
      </c>
    </row>
    <row r="120" spans="1:34" ht="13" x14ac:dyDescent="0.25">
      <c r="A120" s="248"/>
      <c r="B120" s="14" t="s">
        <v>769</v>
      </c>
      <c r="C120" s="7" t="s">
        <v>3596</v>
      </c>
      <c r="D120" s="7" t="s">
        <v>3794</v>
      </c>
      <c r="E120" s="7" t="s">
        <v>43</v>
      </c>
      <c r="F120" s="7" t="s">
        <v>48</v>
      </c>
      <c r="G120" s="7" t="s">
        <v>3848</v>
      </c>
      <c r="H120" s="7" t="s">
        <v>3848</v>
      </c>
      <c r="I120" s="7"/>
      <c r="J120" s="7" t="s">
        <v>4074</v>
      </c>
      <c r="K120" s="7" t="s">
        <v>3960</v>
      </c>
      <c r="L120" s="7">
        <v>10053409092</v>
      </c>
      <c r="M120" s="7"/>
      <c r="N120" s="7"/>
      <c r="O120" s="181" t="s">
        <v>11</v>
      </c>
      <c r="P120" s="181" t="s">
        <v>11</v>
      </c>
      <c r="Q120" s="181" t="s">
        <v>11</v>
      </c>
      <c r="R120" s="181" t="s">
        <v>11</v>
      </c>
      <c r="S120" s="181" t="s">
        <v>11</v>
      </c>
      <c r="T120" s="181" t="s">
        <v>11</v>
      </c>
      <c r="U120" s="181" t="s">
        <v>11</v>
      </c>
      <c r="V120" s="181" t="s">
        <v>11</v>
      </c>
      <c r="W120" s="181" t="s">
        <v>11</v>
      </c>
      <c r="X120" s="181" t="s">
        <v>11</v>
      </c>
      <c r="Y120" s="182" t="s">
        <v>11</v>
      </c>
      <c r="Z120" s="182" t="s">
        <v>11</v>
      </c>
      <c r="AA120" s="182" t="s">
        <v>11</v>
      </c>
      <c r="AB120" s="180" t="s">
        <v>11</v>
      </c>
      <c r="AC120" s="35" t="s">
        <v>11</v>
      </c>
      <c r="AD120" s="26"/>
      <c r="AE120" s="24">
        <f t="shared" si="3"/>
        <v>0</v>
      </c>
      <c r="AF120" s="24">
        <f t="shared" si="4"/>
        <v>0</v>
      </c>
      <c r="AG120" s="24">
        <f t="shared" si="5"/>
        <v>15</v>
      </c>
      <c r="AH120" s="41" t="str" cm="1">
        <f t="array" ref="AH120">_xlfn.IFS(
SUM(AE120:AG120)=0,"Not Started",
SUM(AE120:AG120)&lt;15,"In Progress",
SUM(AE120:AG120)=15,"Completed",
SUM(AE120:AG120)&gt;15,"Error"
)</f>
        <v>Completed</v>
      </c>
    </row>
    <row r="121" spans="1:34" ht="13" x14ac:dyDescent="0.25">
      <c r="A121" s="248"/>
      <c r="B121" s="7" t="s">
        <v>770</v>
      </c>
      <c r="C121" s="7" t="s">
        <v>3591</v>
      </c>
      <c r="D121" s="7" t="s">
        <v>3789</v>
      </c>
      <c r="E121" s="7" t="s">
        <v>43</v>
      </c>
      <c r="F121" s="7" t="s">
        <v>48</v>
      </c>
      <c r="G121" s="7" t="s">
        <v>3848</v>
      </c>
      <c r="H121" s="7" t="s">
        <v>3848</v>
      </c>
      <c r="I121" s="7"/>
      <c r="J121" s="7" t="s">
        <v>4076</v>
      </c>
      <c r="K121" s="7" t="s">
        <v>3956</v>
      </c>
      <c r="L121" s="7">
        <v>10053593897</v>
      </c>
      <c r="M121" s="7"/>
      <c r="N121" s="7"/>
      <c r="O121" s="29" t="s">
        <v>11</v>
      </c>
      <c r="P121" s="29" t="s">
        <v>11</v>
      </c>
      <c r="Q121" s="29" t="s">
        <v>11</v>
      </c>
      <c r="R121" s="29" t="s">
        <v>11</v>
      </c>
      <c r="S121" s="29" t="s">
        <v>11</v>
      </c>
      <c r="T121" s="29" t="s">
        <v>11</v>
      </c>
      <c r="U121" s="29" t="s">
        <v>11</v>
      </c>
      <c r="V121" s="29" t="s">
        <v>11</v>
      </c>
      <c r="W121" s="29" t="s">
        <v>11</v>
      </c>
      <c r="X121" s="29" t="s">
        <v>11</v>
      </c>
      <c r="Y121" s="10" t="s">
        <v>11</v>
      </c>
      <c r="Z121" s="10" t="s">
        <v>11</v>
      </c>
      <c r="AA121" s="10" t="s">
        <v>11</v>
      </c>
      <c r="AB121" s="180" t="s">
        <v>11</v>
      </c>
      <c r="AC121" s="35" t="s">
        <v>11</v>
      </c>
      <c r="AD121" s="26"/>
      <c r="AE121" s="24">
        <f t="shared" si="3"/>
        <v>0</v>
      </c>
      <c r="AF121" s="24">
        <f t="shared" si="4"/>
        <v>0</v>
      </c>
      <c r="AG121" s="24">
        <f t="shared" si="5"/>
        <v>15</v>
      </c>
      <c r="AH121" s="41" t="str" cm="1">
        <f t="array" ref="AH121">_xlfn.IFS(
SUM(AE121:AG121)=0,"Not Started",
SUM(AE121:AG121)&lt;15,"In Progress",
SUM(AE121:AG121)=15,"Completed",
SUM(AE121:AG121)&gt;15,"Error"
)</f>
        <v>Completed</v>
      </c>
    </row>
    <row r="122" spans="1:34" ht="13" x14ac:dyDescent="0.25">
      <c r="A122" s="248"/>
      <c r="B122" s="14" t="s">
        <v>771</v>
      </c>
      <c r="C122" s="7" t="s">
        <v>3606</v>
      </c>
      <c r="D122" s="7" t="s">
        <v>3805</v>
      </c>
      <c r="E122" s="7" t="s">
        <v>47</v>
      </c>
      <c r="F122" s="7" t="s">
        <v>48</v>
      </c>
      <c r="G122" s="7" t="s">
        <v>3848</v>
      </c>
      <c r="H122" s="7" t="s">
        <v>3848</v>
      </c>
      <c r="I122" s="7"/>
      <c r="J122" s="7" t="s">
        <v>4186</v>
      </c>
      <c r="K122" s="7" t="s">
        <v>3965</v>
      </c>
      <c r="L122" s="7">
        <v>10053209734</v>
      </c>
      <c r="M122" s="7"/>
      <c r="N122" s="7"/>
      <c r="O122" s="29" t="s">
        <v>11</v>
      </c>
      <c r="P122" s="29" t="s">
        <v>11</v>
      </c>
      <c r="Q122" s="29" t="s">
        <v>11</v>
      </c>
      <c r="R122" s="29" t="s">
        <v>11</v>
      </c>
      <c r="S122" s="29" t="s">
        <v>11</v>
      </c>
      <c r="T122" s="29" t="s">
        <v>11</v>
      </c>
      <c r="U122" s="29" t="s">
        <v>11</v>
      </c>
      <c r="V122" s="29" t="s">
        <v>11</v>
      </c>
      <c r="W122" s="29" t="s">
        <v>11</v>
      </c>
      <c r="X122" s="29" t="s">
        <v>11</v>
      </c>
      <c r="Y122" s="10" t="s">
        <v>11</v>
      </c>
      <c r="Z122" s="10" t="s">
        <v>11</v>
      </c>
      <c r="AA122" s="10" t="s">
        <v>11</v>
      </c>
      <c r="AB122" s="180" t="s">
        <v>11</v>
      </c>
      <c r="AC122" s="35" t="s">
        <v>11</v>
      </c>
      <c r="AD122" s="26"/>
      <c r="AE122" s="24">
        <f t="shared" si="3"/>
        <v>0</v>
      </c>
      <c r="AF122" s="24">
        <f t="shared" si="4"/>
        <v>0</v>
      </c>
      <c r="AG122" s="24">
        <f t="shared" si="5"/>
        <v>15</v>
      </c>
      <c r="AH122" s="41" t="str" cm="1">
        <f t="array" ref="AH122">_xlfn.IFS(
SUM(AE122:AG122)=0,"Not Started",
SUM(AE122:AG122)&lt;15,"In Progress",
SUM(AE122:AG122)=15,"Completed",
SUM(AE122:AG122)&gt;15,"Error"
)</f>
        <v>Completed</v>
      </c>
    </row>
    <row r="123" spans="1:34" ht="13" x14ac:dyDescent="0.25">
      <c r="A123" s="248"/>
      <c r="B123" s="7" t="s">
        <v>772</v>
      </c>
      <c r="C123" s="7" t="s">
        <v>3586</v>
      </c>
      <c r="D123" s="7" t="s">
        <v>3784</v>
      </c>
      <c r="E123" s="7" t="s">
        <v>43</v>
      </c>
      <c r="F123" s="7" t="s">
        <v>48</v>
      </c>
      <c r="G123" s="7" t="s">
        <v>3848</v>
      </c>
      <c r="H123" s="7" t="s">
        <v>3848</v>
      </c>
      <c r="I123" s="7"/>
      <c r="J123" s="7" t="s">
        <v>4090</v>
      </c>
      <c r="K123" s="7" t="s">
        <v>3953</v>
      </c>
      <c r="L123" s="7">
        <v>10020647198</v>
      </c>
      <c r="M123" s="7"/>
      <c r="N123" s="7"/>
      <c r="O123" s="29" t="s">
        <v>11</v>
      </c>
      <c r="P123" s="29" t="s">
        <v>11</v>
      </c>
      <c r="Q123" s="29" t="s">
        <v>11</v>
      </c>
      <c r="R123" s="29" t="s">
        <v>11</v>
      </c>
      <c r="S123" s="29" t="s">
        <v>11</v>
      </c>
      <c r="T123" s="29" t="s">
        <v>11</v>
      </c>
      <c r="U123" s="29" t="s">
        <v>11</v>
      </c>
      <c r="V123" s="29" t="s">
        <v>11</v>
      </c>
      <c r="W123" s="29" t="s">
        <v>11</v>
      </c>
      <c r="X123" s="29" t="s">
        <v>11</v>
      </c>
      <c r="Y123" s="10" t="s">
        <v>11</v>
      </c>
      <c r="Z123" s="10" t="s">
        <v>11</v>
      </c>
      <c r="AA123" s="10" t="s">
        <v>11</v>
      </c>
      <c r="AB123" s="180" t="s">
        <v>11</v>
      </c>
      <c r="AC123" s="35" t="s">
        <v>11</v>
      </c>
      <c r="AD123" s="26"/>
      <c r="AE123" s="24">
        <f t="shared" si="3"/>
        <v>0</v>
      </c>
      <c r="AF123" s="24">
        <f t="shared" si="4"/>
        <v>0</v>
      </c>
      <c r="AG123" s="24">
        <f t="shared" si="5"/>
        <v>15</v>
      </c>
      <c r="AH123" s="41" t="str" cm="1">
        <f t="array" ref="AH123">_xlfn.IFS(
SUM(AE123:AG123)=0,"Not Started",
SUM(AE123:AG123)&lt;15,"In Progress",
SUM(AE123:AG123)=15,"Completed",
SUM(AE123:AG123)&gt;15,"Error"
)</f>
        <v>Completed</v>
      </c>
    </row>
    <row r="124" spans="1:34" ht="13" x14ac:dyDescent="0.25">
      <c r="A124" s="248"/>
      <c r="B124" s="14" t="s">
        <v>773</v>
      </c>
      <c r="C124" s="7" t="s">
        <v>3556</v>
      </c>
      <c r="D124" s="7" t="s">
        <v>3753</v>
      </c>
      <c r="E124" s="7" t="s">
        <v>43</v>
      </c>
      <c r="F124" s="7" t="s">
        <v>48</v>
      </c>
      <c r="G124" s="7" t="s">
        <v>3848</v>
      </c>
      <c r="H124" s="7" t="s">
        <v>3848</v>
      </c>
      <c r="I124" s="7"/>
      <c r="J124" s="7" t="s">
        <v>4080</v>
      </c>
      <c r="K124" s="7" t="s">
        <v>5711</v>
      </c>
      <c r="L124" s="7">
        <v>10053694826</v>
      </c>
      <c r="M124" s="7"/>
      <c r="N124" s="7"/>
      <c r="O124" s="29" t="s">
        <v>11</v>
      </c>
      <c r="P124" s="29" t="s">
        <v>11</v>
      </c>
      <c r="Q124" s="29" t="s">
        <v>11</v>
      </c>
      <c r="R124" s="29" t="s">
        <v>11</v>
      </c>
      <c r="S124" s="29" t="s">
        <v>11</v>
      </c>
      <c r="T124" s="29" t="s">
        <v>11</v>
      </c>
      <c r="U124" s="29" t="s">
        <v>11</v>
      </c>
      <c r="V124" s="29" t="s">
        <v>11</v>
      </c>
      <c r="W124" s="29" t="s">
        <v>11</v>
      </c>
      <c r="X124" s="29" t="s">
        <v>11</v>
      </c>
      <c r="Y124" s="10" t="s">
        <v>11</v>
      </c>
      <c r="Z124" s="10" t="s">
        <v>11</v>
      </c>
      <c r="AA124" s="10" t="s">
        <v>11</v>
      </c>
      <c r="AB124" s="180" t="s">
        <v>11</v>
      </c>
      <c r="AC124" s="35" t="s">
        <v>11</v>
      </c>
      <c r="AD124" s="26"/>
      <c r="AE124" s="24">
        <f t="shared" si="3"/>
        <v>0</v>
      </c>
      <c r="AF124" s="24">
        <f t="shared" si="4"/>
        <v>0</v>
      </c>
      <c r="AG124" s="24">
        <f t="shared" si="5"/>
        <v>15</v>
      </c>
      <c r="AH124" s="41" t="str" cm="1">
        <f t="array" ref="AH124">_xlfn.IFS(
SUM(AE124:AG124)=0,"Not Started",
SUM(AE124:AG124)&lt;15,"In Progress",
SUM(AE124:AG124)=15,"Completed",
SUM(AE124:AG124)&gt;15,"Error"
)</f>
        <v>Completed</v>
      </c>
    </row>
    <row r="125" spans="1:34" ht="13" x14ac:dyDescent="0.25">
      <c r="A125" s="248"/>
      <c r="B125" s="7" t="s">
        <v>774</v>
      </c>
      <c r="C125" s="7" t="s">
        <v>3572</v>
      </c>
      <c r="D125" s="7" t="s">
        <v>3769</v>
      </c>
      <c r="E125" s="7" t="s">
        <v>51</v>
      </c>
      <c r="F125" s="7" t="s">
        <v>44</v>
      </c>
      <c r="G125" s="7" t="s">
        <v>3848</v>
      </c>
      <c r="H125" s="7" t="s">
        <v>3848</v>
      </c>
      <c r="I125" s="7"/>
      <c r="J125" s="7" t="s">
        <v>4052</v>
      </c>
      <c r="K125" s="7" t="s">
        <v>3941</v>
      </c>
      <c r="L125" s="7">
        <v>10053261224</v>
      </c>
      <c r="M125" s="7"/>
      <c r="N125" s="7"/>
      <c r="O125" s="29" t="s">
        <v>11</v>
      </c>
      <c r="P125" s="29" t="s">
        <v>11</v>
      </c>
      <c r="Q125" s="29" t="s">
        <v>11</v>
      </c>
      <c r="R125" s="29" t="s">
        <v>11</v>
      </c>
      <c r="S125" s="29" t="s">
        <v>11</v>
      </c>
      <c r="T125" s="29" t="s">
        <v>11</v>
      </c>
      <c r="U125" s="29" t="s">
        <v>11</v>
      </c>
      <c r="V125" s="29" t="s">
        <v>11</v>
      </c>
      <c r="W125" s="29" t="s">
        <v>11</v>
      </c>
      <c r="X125" s="29" t="s">
        <v>11</v>
      </c>
      <c r="Y125" s="10" t="s">
        <v>11</v>
      </c>
      <c r="Z125" s="10" t="s">
        <v>11</v>
      </c>
      <c r="AA125" s="10" t="s">
        <v>11</v>
      </c>
      <c r="AB125" s="180" t="s">
        <v>11</v>
      </c>
      <c r="AC125" s="35" t="s">
        <v>11</v>
      </c>
      <c r="AD125" s="26"/>
      <c r="AE125" s="24">
        <f t="shared" si="3"/>
        <v>0</v>
      </c>
      <c r="AF125" s="24">
        <f t="shared" si="4"/>
        <v>0</v>
      </c>
      <c r="AG125" s="24">
        <f t="shared" si="5"/>
        <v>15</v>
      </c>
      <c r="AH125" s="41" t="str" cm="1">
        <f t="array" ref="AH125">_xlfn.IFS(
SUM(AE125:AG125)=0,"Not Started",
SUM(AE125:AG125)&lt;15,"In Progress",
SUM(AE125:AG125)=15,"Completed",
SUM(AE125:AG125)&gt;15,"Error"
)</f>
        <v>Completed</v>
      </c>
    </row>
    <row r="126" spans="1:34" ht="13" x14ac:dyDescent="0.25">
      <c r="A126" s="248"/>
      <c r="B126" s="14" t="s">
        <v>775</v>
      </c>
      <c r="C126" s="7" t="s">
        <v>3623</v>
      </c>
      <c r="D126" s="7" t="s">
        <v>3823</v>
      </c>
      <c r="E126" s="7" t="s">
        <v>51</v>
      </c>
      <c r="F126" s="7" t="s">
        <v>48</v>
      </c>
      <c r="G126" s="7" t="s">
        <v>3848</v>
      </c>
      <c r="H126" s="7" t="s">
        <v>3848</v>
      </c>
      <c r="I126" s="7"/>
      <c r="J126" s="7" t="s">
        <v>4175</v>
      </c>
      <c r="K126" s="7" t="s">
        <v>3979</v>
      </c>
      <c r="L126" s="7">
        <v>10053183342</v>
      </c>
      <c r="M126" s="7"/>
      <c r="N126" s="7"/>
      <c r="O126" s="29" t="s">
        <v>11</v>
      </c>
      <c r="P126" s="29" t="s">
        <v>11</v>
      </c>
      <c r="Q126" s="29" t="s">
        <v>11</v>
      </c>
      <c r="R126" s="29" t="s">
        <v>11</v>
      </c>
      <c r="S126" s="29" t="s">
        <v>11</v>
      </c>
      <c r="T126" s="29" t="s">
        <v>11</v>
      </c>
      <c r="U126" s="29" t="s">
        <v>11</v>
      </c>
      <c r="V126" s="29" t="s">
        <v>11</v>
      </c>
      <c r="W126" s="29" t="s">
        <v>11</v>
      </c>
      <c r="X126" s="29" t="s">
        <v>11</v>
      </c>
      <c r="Y126" s="10" t="s">
        <v>11</v>
      </c>
      <c r="Z126" s="10" t="s">
        <v>11</v>
      </c>
      <c r="AA126" s="10" t="s">
        <v>11</v>
      </c>
      <c r="AB126" s="180" t="s">
        <v>11</v>
      </c>
      <c r="AC126" s="35" t="s">
        <v>11</v>
      </c>
      <c r="AD126" s="26"/>
      <c r="AE126" s="24">
        <f t="shared" si="3"/>
        <v>0</v>
      </c>
      <c r="AF126" s="24">
        <f t="shared" si="4"/>
        <v>0</v>
      </c>
      <c r="AG126" s="24">
        <f t="shared" si="5"/>
        <v>15</v>
      </c>
      <c r="AH126" s="41" t="str" cm="1">
        <f t="array" ref="AH126">_xlfn.IFS(
SUM(AE126:AG126)=0,"Not Started",
SUM(AE126:AG126)&lt;15,"In Progress",
SUM(AE126:AG126)=15,"Completed",
SUM(AE126:AG126)&gt;15,"Error"
)</f>
        <v>Completed</v>
      </c>
    </row>
    <row r="127" spans="1:34" ht="13" x14ac:dyDescent="0.25">
      <c r="A127" s="248"/>
      <c r="B127" s="7" t="s">
        <v>776</v>
      </c>
      <c r="C127" s="7" t="s">
        <v>3614</v>
      </c>
      <c r="D127" s="7" t="s">
        <v>3814</v>
      </c>
      <c r="E127" s="7" t="s">
        <v>47</v>
      </c>
      <c r="F127" s="7" t="s">
        <v>48</v>
      </c>
      <c r="G127" s="7" t="s">
        <v>3848</v>
      </c>
      <c r="H127" s="7" t="s">
        <v>3848</v>
      </c>
      <c r="I127" s="7"/>
      <c r="J127" s="7" t="s">
        <v>4177</v>
      </c>
      <c r="K127" s="7" t="s">
        <v>3972</v>
      </c>
      <c r="L127" s="7">
        <v>10053405398</v>
      </c>
      <c r="M127" s="7"/>
      <c r="N127" s="7"/>
      <c r="O127" s="29" t="s">
        <v>11</v>
      </c>
      <c r="P127" s="29" t="s">
        <v>11</v>
      </c>
      <c r="Q127" s="29" t="s">
        <v>11</v>
      </c>
      <c r="R127" s="29" t="s">
        <v>11</v>
      </c>
      <c r="S127" s="29" t="s">
        <v>11</v>
      </c>
      <c r="T127" s="29" t="s">
        <v>11</v>
      </c>
      <c r="U127" s="29" t="s">
        <v>11</v>
      </c>
      <c r="V127" s="29" t="s">
        <v>11</v>
      </c>
      <c r="W127" s="29" t="s">
        <v>11</v>
      </c>
      <c r="X127" s="29" t="s">
        <v>11</v>
      </c>
      <c r="Y127" s="10" t="s">
        <v>11</v>
      </c>
      <c r="Z127" s="10" t="s">
        <v>11</v>
      </c>
      <c r="AA127" s="10" t="s">
        <v>11</v>
      </c>
      <c r="AB127" s="180" t="s">
        <v>11</v>
      </c>
      <c r="AC127" s="35" t="s">
        <v>11</v>
      </c>
      <c r="AD127" s="26"/>
      <c r="AE127" s="24">
        <f t="shared" si="3"/>
        <v>0</v>
      </c>
      <c r="AF127" s="24">
        <f t="shared" si="4"/>
        <v>0</v>
      </c>
      <c r="AG127" s="24">
        <f t="shared" si="5"/>
        <v>15</v>
      </c>
      <c r="AH127" s="41" t="str" cm="1">
        <f t="array" ref="AH127">_xlfn.IFS(
SUM(AE127:AG127)=0,"Not Started",
SUM(AE127:AG127)&lt;15,"In Progress",
SUM(AE127:AG127)=15,"Completed",
SUM(AE127:AG127)&gt;15,"Error"
)</f>
        <v>Completed</v>
      </c>
    </row>
    <row r="128" spans="1:34" ht="13" x14ac:dyDescent="0.25">
      <c r="A128" s="248"/>
      <c r="B128" s="14" t="s">
        <v>777</v>
      </c>
      <c r="C128" s="7" t="s">
        <v>3470</v>
      </c>
      <c r="D128" s="7" t="s">
        <v>3660</v>
      </c>
      <c r="E128" s="7" t="s">
        <v>43</v>
      </c>
      <c r="F128" s="7" t="s">
        <v>48</v>
      </c>
      <c r="G128" s="7" t="s">
        <v>3848</v>
      </c>
      <c r="H128" s="7" t="s">
        <v>3848</v>
      </c>
      <c r="I128" s="7"/>
      <c r="J128" s="7" t="s">
        <v>4045</v>
      </c>
      <c r="K128" s="7" t="s">
        <v>3853</v>
      </c>
      <c r="L128" s="7">
        <v>10053173758</v>
      </c>
      <c r="M128" s="7"/>
      <c r="N128" s="7"/>
      <c r="O128" s="179" t="s">
        <v>11</v>
      </c>
      <c r="P128" s="179" t="s">
        <v>11</v>
      </c>
      <c r="Q128" s="179" t="s">
        <v>11</v>
      </c>
      <c r="R128" s="179" t="s">
        <v>11</v>
      </c>
      <c r="S128" s="179" t="s">
        <v>11</v>
      </c>
      <c r="T128" s="179" t="s">
        <v>11</v>
      </c>
      <c r="U128" s="179" t="s">
        <v>11</v>
      </c>
      <c r="V128" s="179" t="s">
        <v>11</v>
      </c>
      <c r="W128" s="179" t="s">
        <v>11</v>
      </c>
      <c r="X128" s="179" t="s">
        <v>11</v>
      </c>
      <c r="Y128" s="139" t="s">
        <v>11</v>
      </c>
      <c r="Z128" s="139" t="s">
        <v>11</v>
      </c>
      <c r="AA128" s="139" t="s">
        <v>11</v>
      </c>
      <c r="AB128" s="180" t="s">
        <v>11</v>
      </c>
      <c r="AC128" s="35" t="s">
        <v>11</v>
      </c>
      <c r="AD128" s="26"/>
      <c r="AE128" s="24">
        <f t="shared" si="3"/>
        <v>0</v>
      </c>
      <c r="AF128" s="24">
        <f t="shared" si="4"/>
        <v>0</v>
      </c>
      <c r="AG128" s="24">
        <f t="shared" si="5"/>
        <v>15</v>
      </c>
      <c r="AH128" s="41" t="str" cm="1">
        <f t="array" ref="AH128">_xlfn.IFS(
SUM(AE128:AG128)=0,"Not Started",
SUM(AE128:AG128)&lt;15,"In Progress",
SUM(AE128:AG128)=15,"Completed",
SUM(AE128:AG128)&gt;15,"Error"
)</f>
        <v>Completed</v>
      </c>
    </row>
    <row r="129" spans="1:34" ht="13" x14ac:dyDescent="0.25">
      <c r="A129" s="248"/>
      <c r="B129" s="7" t="s">
        <v>778</v>
      </c>
      <c r="C129" s="7" t="s">
        <v>5667</v>
      </c>
      <c r="D129" s="7" t="s">
        <v>3667</v>
      </c>
      <c r="E129" s="7" t="s">
        <v>43</v>
      </c>
      <c r="F129" s="7" t="s">
        <v>48</v>
      </c>
      <c r="G129" s="7" t="s">
        <v>3848</v>
      </c>
      <c r="H129" s="7" t="s">
        <v>3848</v>
      </c>
      <c r="I129" s="7"/>
      <c r="J129" s="7" t="s">
        <v>4041</v>
      </c>
      <c r="K129" s="7" t="s">
        <v>3859</v>
      </c>
      <c r="L129" s="7">
        <v>10053707281</v>
      </c>
      <c r="M129" s="7"/>
      <c r="N129" s="7"/>
      <c r="O129" s="29" t="s">
        <v>11</v>
      </c>
      <c r="P129" s="29" t="s">
        <v>11</v>
      </c>
      <c r="Q129" s="29" t="s">
        <v>11</v>
      </c>
      <c r="R129" s="29" t="s">
        <v>11</v>
      </c>
      <c r="S129" s="29" t="s">
        <v>11</v>
      </c>
      <c r="T129" s="29" t="s">
        <v>11</v>
      </c>
      <c r="U129" s="29" t="s">
        <v>11</v>
      </c>
      <c r="V129" s="29" t="s">
        <v>11</v>
      </c>
      <c r="W129" s="29" t="s">
        <v>11</v>
      </c>
      <c r="X129" s="29" t="s">
        <v>11</v>
      </c>
      <c r="Y129" s="10" t="s">
        <v>11</v>
      </c>
      <c r="Z129" s="10" t="s">
        <v>11</v>
      </c>
      <c r="AA129" s="10" t="s">
        <v>11</v>
      </c>
      <c r="AB129" s="180" t="s">
        <v>11</v>
      </c>
      <c r="AC129" s="35" t="s">
        <v>11</v>
      </c>
      <c r="AD129" s="26"/>
      <c r="AE129" s="24">
        <f t="shared" si="3"/>
        <v>0</v>
      </c>
      <c r="AF129" s="24">
        <f t="shared" si="4"/>
        <v>0</v>
      </c>
      <c r="AG129" s="24">
        <f t="shared" si="5"/>
        <v>15</v>
      </c>
      <c r="AH129" s="41" t="str" cm="1">
        <f t="array" ref="AH129">_xlfn.IFS(
SUM(AE129:AG129)=0,"Not Started",
SUM(AE129:AG129)&lt;15,"In Progress",
SUM(AE129:AG129)=15,"Completed",
SUM(AE129:AG129)&gt;15,"Error"
)</f>
        <v>Completed</v>
      </c>
    </row>
    <row r="130" spans="1:34" ht="13" x14ac:dyDescent="0.25">
      <c r="A130" s="248"/>
      <c r="B130" s="14" t="s">
        <v>779</v>
      </c>
      <c r="C130" s="7" t="s">
        <v>3603</v>
      </c>
      <c r="D130" s="7" t="s">
        <v>3802</v>
      </c>
      <c r="E130" s="7" t="s">
        <v>47</v>
      </c>
      <c r="F130" s="7" t="s">
        <v>48</v>
      </c>
      <c r="G130" s="7" t="s">
        <v>3848</v>
      </c>
      <c r="H130" s="7" t="s">
        <v>3848</v>
      </c>
      <c r="I130" s="7"/>
      <c r="J130" s="7" t="s">
        <v>4036</v>
      </c>
      <c r="K130" s="7" t="s">
        <v>5712</v>
      </c>
      <c r="L130" s="7">
        <v>10053706856</v>
      </c>
      <c r="M130" s="7"/>
      <c r="N130" s="7"/>
      <c r="O130" s="181" t="s">
        <v>11</v>
      </c>
      <c r="P130" s="181" t="s">
        <v>11</v>
      </c>
      <c r="Q130" s="181" t="s">
        <v>11</v>
      </c>
      <c r="R130" s="181" t="s">
        <v>11</v>
      </c>
      <c r="S130" s="181" t="s">
        <v>11</v>
      </c>
      <c r="T130" s="181" t="s">
        <v>11</v>
      </c>
      <c r="U130" s="181" t="s">
        <v>11</v>
      </c>
      <c r="V130" s="181" t="s">
        <v>11</v>
      </c>
      <c r="W130" s="181" t="s">
        <v>11</v>
      </c>
      <c r="X130" s="181" t="s">
        <v>11</v>
      </c>
      <c r="Y130" s="182" t="s">
        <v>11</v>
      </c>
      <c r="Z130" s="182" t="s">
        <v>11</v>
      </c>
      <c r="AA130" s="182" t="s">
        <v>11</v>
      </c>
      <c r="AB130" s="10" t="s">
        <v>11</v>
      </c>
      <c r="AC130" s="35" t="s">
        <v>11</v>
      </c>
      <c r="AD130" s="26"/>
      <c r="AE130" s="24">
        <f t="shared" si="3"/>
        <v>0</v>
      </c>
      <c r="AF130" s="24">
        <f t="shared" si="4"/>
        <v>0</v>
      </c>
      <c r="AG130" s="24">
        <f t="shared" si="5"/>
        <v>15</v>
      </c>
      <c r="AH130" s="41" t="str" cm="1">
        <f t="array" ref="AH130">_xlfn.IFS(
SUM(AE130:AG130)=0,"Not Started",
SUM(AE130:AG130)&lt;15,"In Progress",
SUM(AE130:AG130)=15,"Completed",
SUM(AE130:AG130)&gt;15,"Error"
)</f>
        <v>Completed</v>
      </c>
    </row>
    <row r="131" spans="1:34" ht="13" x14ac:dyDescent="0.25">
      <c r="A131" s="248"/>
      <c r="B131" s="7" t="s">
        <v>780</v>
      </c>
      <c r="C131" s="7" t="s">
        <v>3607</v>
      </c>
      <c r="D131" s="7" t="s">
        <v>3806</v>
      </c>
      <c r="E131" s="7" t="s">
        <v>47</v>
      </c>
      <c r="F131" s="7" t="s">
        <v>48</v>
      </c>
      <c r="G131" s="7" t="s">
        <v>3848</v>
      </c>
      <c r="H131" s="7" t="s">
        <v>3848</v>
      </c>
      <c r="I131" s="7"/>
      <c r="J131" s="7" t="s">
        <v>4170</v>
      </c>
      <c r="K131" s="7" t="s">
        <v>3966</v>
      </c>
      <c r="L131" s="7">
        <v>10053409664</v>
      </c>
      <c r="M131" s="7"/>
      <c r="N131" s="7"/>
      <c r="O131" s="179" t="s">
        <v>11</v>
      </c>
      <c r="P131" s="179" t="s">
        <v>11</v>
      </c>
      <c r="Q131" s="179" t="s">
        <v>11</v>
      </c>
      <c r="R131" s="179" t="s">
        <v>11</v>
      </c>
      <c r="S131" s="179" t="s">
        <v>11</v>
      </c>
      <c r="T131" s="179" t="s">
        <v>11</v>
      </c>
      <c r="U131" s="179" t="s">
        <v>11</v>
      </c>
      <c r="V131" s="179" t="s">
        <v>11</v>
      </c>
      <c r="W131" s="179" t="s">
        <v>11</v>
      </c>
      <c r="X131" s="179" t="s">
        <v>11</v>
      </c>
      <c r="Y131" s="139" t="s">
        <v>11</v>
      </c>
      <c r="Z131" s="139" t="s">
        <v>11</v>
      </c>
      <c r="AA131" s="139" t="s">
        <v>11</v>
      </c>
      <c r="AB131" s="180" t="s">
        <v>11</v>
      </c>
      <c r="AC131" s="35" t="s">
        <v>11</v>
      </c>
      <c r="AD131" s="26"/>
      <c r="AE131" s="24">
        <f t="shared" si="3"/>
        <v>0</v>
      </c>
      <c r="AF131" s="24">
        <f t="shared" si="4"/>
        <v>0</v>
      </c>
      <c r="AG131" s="24">
        <f t="shared" si="5"/>
        <v>15</v>
      </c>
      <c r="AH131" s="41" t="str" cm="1">
        <f t="array" ref="AH131">_xlfn.IFS(
SUM(AE131:AG131)=0,"Not Started",
SUM(AE131:AG131)&lt;15,"In Progress",
SUM(AE131:AG131)=15,"Completed",
SUM(AE131:AG131)&gt;15,"Error"
)</f>
        <v>Completed</v>
      </c>
    </row>
    <row r="132" spans="1:34" ht="13" x14ac:dyDescent="0.25">
      <c r="A132" s="248"/>
      <c r="B132" s="14" t="s">
        <v>781</v>
      </c>
      <c r="C132" s="7" t="s">
        <v>3493</v>
      </c>
      <c r="D132" s="7" t="s">
        <v>3687</v>
      </c>
      <c r="E132" s="7" t="s">
        <v>47</v>
      </c>
      <c r="F132" s="7" t="s">
        <v>48</v>
      </c>
      <c r="G132" s="7" t="s">
        <v>3848</v>
      </c>
      <c r="H132" s="7" t="s">
        <v>3848</v>
      </c>
      <c r="I132" s="7"/>
      <c r="J132" s="7" t="s">
        <v>4075</v>
      </c>
      <c r="K132" s="7" t="s">
        <v>3870</v>
      </c>
      <c r="L132" s="7">
        <v>10053446283</v>
      </c>
      <c r="M132" s="7"/>
      <c r="N132" s="7"/>
      <c r="O132" s="29" t="s">
        <v>11</v>
      </c>
      <c r="P132" s="29" t="s">
        <v>11</v>
      </c>
      <c r="Q132" s="29" t="s">
        <v>11</v>
      </c>
      <c r="R132" s="29" t="s">
        <v>11</v>
      </c>
      <c r="S132" s="29" t="s">
        <v>11</v>
      </c>
      <c r="T132" s="29" t="s">
        <v>11</v>
      </c>
      <c r="U132" s="29" t="s">
        <v>11</v>
      </c>
      <c r="V132" s="29" t="s">
        <v>11</v>
      </c>
      <c r="W132" s="29" t="s">
        <v>11</v>
      </c>
      <c r="X132" s="29" t="s">
        <v>11</v>
      </c>
      <c r="Y132" s="10" t="s">
        <v>11</v>
      </c>
      <c r="Z132" s="10" t="s">
        <v>11</v>
      </c>
      <c r="AA132" s="10" t="s">
        <v>11</v>
      </c>
      <c r="AB132" s="139" t="s">
        <v>11</v>
      </c>
      <c r="AC132" s="35" t="s">
        <v>11</v>
      </c>
      <c r="AD132" s="26"/>
      <c r="AE132" s="24">
        <f t="shared" si="3"/>
        <v>0</v>
      </c>
      <c r="AF132" s="24">
        <f t="shared" si="4"/>
        <v>0</v>
      </c>
      <c r="AG132" s="24">
        <f t="shared" si="5"/>
        <v>15</v>
      </c>
      <c r="AH132" s="41" t="str" cm="1">
        <f t="array" ref="AH132">_xlfn.IFS(
SUM(AE132:AG132)=0,"Not Started",
SUM(AE132:AG132)&lt;15,"In Progress",
SUM(AE132:AG132)=15,"Completed",
SUM(AE132:AG132)&gt;15,"Error"
)</f>
        <v>Completed</v>
      </c>
    </row>
    <row r="133" spans="1:34" ht="13" x14ac:dyDescent="0.25">
      <c r="A133" s="248"/>
      <c r="B133" s="7" t="s">
        <v>782</v>
      </c>
      <c r="C133" s="7" t="s">
        <v>3476</v>
      </c>
      <c r="D133" s="7" t="s">
        <v>3668</v>
      </c>
      <c r="E133" s="7" t="s">
        <v>47</v>
      </c>
      <c r="F133" s="7" t="s">
        <v>44</v>
      </c>
      <c r="G133" s="7" t="s">
        <v>3848</v>
      </c>
      <c r="H133" s="7" t="s">
        <v>3848</v>
      </c>
      <c r="I133" s="7"/>
      <c r="J133" s="7" t="s">
        <v>4038</v>
      </c>
      <c r="K133" s="7" t="s">
        <v>3860</v>
      </c>
      <c r="L133" s="7">
        <v>10084210955</v>
      </c>
      <c r="M133" s="7"/>
      <c r="N133" s="7"/>
      <c r="O133" s="179" t="s">
        <v>11</v>
      </c>
      <c r="P133" s="179" t="s">
        <v>11</v>
      </c>
      <c r="Q133" s="179" t="s">
        <v>11</v>
      </c>
      <c r="R133" s="179" t="s">
        <v>11</v>
      </c>
      <c r="S133" s="179" t="s">
        <v>11</v>
      </c>
      <c r="T133" s="179" t="s">
        <v>11</v>
      </c>
      <c r="U133" s="179" t="s">
        <v>11</v>
      </c>
      <c r="V133" s="179" t="s">
        <v>11</v>
      </c>
      <c r="W133" s="179" t="s">
        <v>11</v>
      </c>
      <c r="X133" s="179" t="s">
        <v>11</v>
      </c>
      <c r="Y133" s="139" t="s">
        <v>11</v>
      </c>
      <c r="Z133" s="139" t="s">
        <v>11</v>
      </c>
      <c r="AA133" s="139" t="s">
        <v>11</v>
      </c>
      <c r="AB133" s="180" t="s">
        <v>11</v>
      </c>
      <c r="AC133" s="35" t="s">
        <v>11</v>
      </c>
      <c r="AD133" s="26"/>
      <c r="AE133" s="24">
        <f t="shared" ref="AE133:AE196" si="6">COUNTIF(O133:AC133,$AE$2)</f>
        <v>0</v>
      </c>
      <c r="AF133" s="24">
        <f t="shared" ref="AF133:AF196" si="7">COUNTIF(O133:AC133,$AF$2)</f>
        <v>0</v>
      </c>
      <c r="AG133" s="24">
        <f t="shared" ref="AG133:AG196" si="8">COUNTIF(O133:AC133,$AG$2)</f>
        <v>15</v>
      </c>
      <c r="AH133" s="41" t="str" cm="1">
        <f t="array" ref="AH133">_xlfn.IFS(
SUM(AE133:AG133)=0,"Not Started",
SUM(AE133:AG133)&lt;15,"In Progress",
SUM(AE133:AG133)=15,"Completed",
SUM(AE133:AG133)&gt;15,"Error"
)</f>
        <v>Completed</v>
      </c>
    </row>
    <row r="134" spans="1:34" ht="13" x14ac:dyDescent="0.25">
      <c r="A134" s="248"/>
      <c r="B134" s="14" t="s">
        <v>783</v>
      </c>
      <c r="C134" s="7" t="s">
        <v>3573</v>
      </c>
      <c r="D134" s="7" t="s">
        <v>3770</v>
      </c>
      <c r="E134" s="7" t="s">
        <v>47</v>
      </c>
      <c r="F134" s="7" t="s">
        <v>44</v>
      </c>
      <c r="G134" s="7" t="s">
        <v>3848</v>
      </c>
      <c r="H134" s="7" t="s">
        <v>3848</v>
      </c>
      <c r="I134" s="7"/>
      <c r="J134" s="7" t="s">
        <v>4083</v>
      </c>
      <c r="K134" s="7" t="s">
        <v>3942</v>
      </c>
      <c r="L134" s="7">
        <v>10053290020</v>
      </c>
      <c r="M134" s="7"/>
      <c r="N134" s="7"/>
      <c r="O134" s="29" t="s">
        <v>11</v>
      </c>
      <c r="P134" s="29" t="s">
        <v>11</v>
      </c>
      <c r="Q134" s="29" t="s">
        <v>11</v>
      </c>
      <c r="R134" s="29" t="s">
        <v>11</v>
      </c>
      <c r="S134" s="29" t="s">
        <v>11</v>
      </c>
      <c r="T134" s="29" t="s">
        <v>11</v>
      </c>
      <c r="U134" s="29" t="s">
        <v>11</v>
      </c>
      <c r="V134" s="29" t="s">
        <v>11</v>
      </c>
      <c r="W134" s="29" t="s">
        <v>11</v>
      </c>
      <c r="X134" s="29" t="s">
        <v>11</v>
      </c>
      <c r="Y134" s="10" t="s">
        <v>11</v>
      </c>
      <c r="Z134" s="10" t="s">
        <v>11</v>
      </c>
      <c r="AA134" s="10" t="s">
        <v>11</v>
      </c>
      <c r="AB134" s="35" t="s">
        <v>11</v>
      </c>
      <c r="AC134" s="35" t="s">
        <v>11</v>
      </c>
      <c r="AD134" s="26"/>
      <c r="AE134" s="24">
        <f t="shared" si="6"/>
        <v>0</v>
      </c>
      <c r="AF134" s="24">
        <f t="shared" si="7"/>
        <v>0</v>
      </c>
      <c r="AG134" s="24">
        <f t="shared" si="8"/>
        <v>15</v>
      </c>
      <c r="AH134" s="41" t="str" cm="1">
        <f t="array" ref="AH134">_xlfn.IFS(
SUM(AE134:AG134)=0,"Not Started",
SUM(AE134:AG134)&lt;15,"In Progress",
SUM(AE134:AG134)=15,"Completed",
SUM(AE134:AG134)&gt;15,"Error"
)</f>
        <v>Completed</v>
      </c>
    </row>
    <row r="135" spans="1:34" ht="13" x14ac:dyDescent="0.25">
      <c r="A135" s="248"/>
      <c r="B135" s="7" t="s">
        <v>784</v>
      </c>
      <c r="C135" s="7" t="s">
        <v>3483</v>
      </c>
      <c r="D135" s="7" t="s">
        <v>3675</v>
      </c>
      <c r="E135" s="7" t="s">
        <v>43</v>
      </c>
      <c r="F135" s="7" t="s">
        <v>44</v>
      </c>
      <c r="G135" s="7" t="s">
        <v>3848</v>
      </c>
      <c r="H135" s="7" t="s">
        <v>3848</v>
      </c>
      <c r="I135" s="7"/>
      <c r="J135" s="7" t="s">
        <v>4005</v>
      </c>
      <c r="K135" s="7" t="s">
        <v>5713</v>
      </c>
      <c r="L135" s="7">
        <v>10053197311</v>
      </c>
      <c r="M135" s="7"/>
      <c r="N135" s="7"/>
      <c r="O135" s="29" t="s">
        <v>11</v>
      </c>
      <c r="P135" s="29" t="s">
        <v>11</v>
      </c>
      <c r="Q135" s="29" t="s">
        <v>11</v>
      </c>
      <c r="R135" s="29" t="s">
        <v>11</v>
      </c>
      <c r="S135" s="29" t="s">
        <v>11</v>
      </c>
      <c r="T135" s="29" t="s">
        <v>11</v>
      </c>
      <c r="U135" s="29" t="s">
        <v>11</v>
      </c>
      <c r="V135" s="29" t="s">
        <v>11</v>
      </c>
      <c r="W135" s="29" t="s">
        <v>11</v>
      </c>
      <c r="X135" s="29" t="s">
        <v>11</v>
      </c>
      <c r="Y135" s="10" t="s">
        <v>11</v>
      </c>
      <c r="Z135" s="10" t="s">
        <v>11</v>
      </c>
      <c r="AA135" s="10" t="s">
        <v>11</v>
      </c>
      <c r="AB135" s="35" t="s">
        <v>11</v>
      </c>
      <c r="AC135" s="35" t="s">
        <v>11</v>
      </c>
      <c r="AD135" s="26"/>
      <c r="AE135" s="24">
        <f t="shared" si="6"/>
        <v>0</v>
      </c>
      <c r="AF135" s="24">
        <f t="shared" si="7"/>
        <v>0</v>
      </c>
      <c r="AG135" s="24">
        <f t="shared" si="8"/>
        <v>15</v>
      </c>
      <c r="AH135" s="41" t="str" cm="1">
        <f t="array" ref="AH135">_xlfn.IFS(
SUM(AE135:AG135)=0,"Not Started",
SUM(AE135:AG135)&lt;15,"In Progress",
SUM(AE135:AG135)=15,"Completed",
SUM(AE135:AG135)&gt;15,"Error"
)</f>
        <v>Completed</v>
      </c>
    </row>
    <row r="136" spans="1:34" ht="13" x14ac:dyDescent="0.25">
      <c r="A136" s="248"/>
      <c r="B136" s="14" t="s">
        <v>785</v>
      </c>
      <c r="C136" s="7" t="s">
        <v>5668</v>
      </c>
      <c r="D136" s="7" t="s">
        <v>3707</v>
      </c>
      <c r="E136" s="7" t="s">
        <v>43</v>
      </c>
      <c r="F136" s="7" t="s">
        <v>44</v>
      </c>
      <c r="G136" s="7" t="s">
        <v>3848</v>
      </c>
      <c r="H136" s="7" t="s">
        <v>3848</v>
      </c>
      <c r="I136" s="7"/>
      <c r="J136" s="7" t="s">
        <v>4044</v>
      </c>
      <c r="K136" s="7" t="s">
        <v>3890</v>
      </c>
      <c r="L136" s="7">
        <v>10084219370</v>
      </c>
      <c r="M136" s="7"/>
      <c r="N136" s="7"/>
      <c r="O136" s="179" t="s">
        <v>11</v>
      </c>
      <c r="P136" s="179" t="s">
        <v>11</v>
      </c>
      <c r="Q136" s="179" t="s">
        <v>11</v>
      </c>
      <c r="R136" s="179" t="s">
        <v>11</v>
      </c>
      <c r="S136" s="179" t="s">
        <v>11</v>
      </c>
      <c r="T136" s="179" t="s">
        <v>11</v>
      </c>
      <c r="U136" s="179" t="s">
        <v>11</v>
      </c>
      <c r="V136" s="179" t="s">
        <v>11</v>
      </c>
      <c r="W136" s="179" t="s">
        <v>11</v>
      </c>
      <c r="X136" s="179" t="s">
        <v>11</v>
      </c>
      <c r="Y136" s="139" t="s">
        <v>11</v>
      </c>
      <c r="Z136" s="139" t="s">
        <v>11</v>
      </c>
      <c r="AA136" s="139" t="s">
        <v>11</v>
      </c>
      <c r="AB136" s="180" t="s">
        <v>11</v>
      </c>
      <c r="AC136" s="35" t="s">
        <v>11</v>
      </c>
      <c r="AD136" s="26"/>
      <c r="AE136" s="24">
        <f t="shared" si="6"/>
        <v>0</v>
      </c>
      <c r="AF136" s="24">
        <f t="shared" si="7"/>
        <v>0</v>
      </c>
      <c r="AG136" s="24">
        <f t="shared" si="8"/>
        <v>15</v>
      </c>
      <c r="AH136" s="41" t="str" cm="1">
        <f t="array" ref="AH136">_xlfn.IFS(
SUM(AE136:AG136)=0,"Not Started",
SUM(AE136:AG136)&lt;15,"In Progress",
SUM(AE136:AG136)=15,"Completed",
SUM(AE136:AG136)&gt;15,"Error"
)</f>
        <v>Completed</v>
      </c>
    </row>
    <row r="137" spans="1:34" ht="13" x14ac:dyDescent="0.25">
      <c r="A137" s="248"/>
      <c r="B137" s="7" t="s">
        <v>786</v>
      </c>
      <c r="C137" s="7" t="s">
        <v>3465</v>
      </c>
      <c r="D137" s="7" t="s">
        <v>3654</v>
      </c>
      <c r="E137" s="7" t="s">
        <v>47</v>
      </c>
      <c r="F137" s="7" t="s">
        <v>44</v>
      </c>
      <c r="G137" s="7" t="s">
        <v>3848</v>
      </c>
      <c r="H137" s="7" t="s">
        <v>3848</v>
      </c>
      <c r="I137" s="7"/>
      <c r="J137" s="7" t="s">
        <v>4112</v>
      </c>
      <c r="K137" s="7" t="s">
        <v>3850</v>
      </c>
      <c r="L137" s="7">
        <v>10053148881</v>
      </c>
      <c r="M137" s="7"/>
      <c r="N137" s="7"/>
      <c r="O137" s="29" t="s">
        <v>11</v>
      </c>
      <c r="P137" s="29" t="s">
        <v>11</v>
      </c>
      <c r="Q137" s="29" t="s">
        <v>11</v>
      </c>
      <c r="R137" s="29" t="s">
        <v>11</v>
      </c>
      <c r="S137" s="29" t="s">
        <v>11</v>
      </c>
      <c r="T137" s="29" t="s">
        <v>11</v>
      </c>
      <c r="U137" s="29" t="s">
        <v>11</v>
      </c>
      <c r="V137" s="29" t="s">
        <v>11</v>
      </c>
      <c r="W137" s="29" t="s">
        <v>11</v>
      </c>
      <c r="X137" s="29" t="s">
        <v>11</v>
      </c>
      <c r="Y137" s="10" t="s">
        <v>11</v>
      </c>
      <c r="Z137" s="10" t="s">
        <v>11</v>
      </c>
      <c r="AA137" s="10" t="s">
        <v>11</v>
      </c>
      <c r="AB137" s="35" t="s">
        <v>11</v>
      </c>
      <c r="AC137" s="35" t="s">
        <v>11</v>
      </c>
      <c r="AD137" s="26"/>
      <c r="AE137" s="24">
        <f t="shared" si="6"/>
        <v>0</v>
      </c>
      <c r="AF137" s="24">
        <f t="shared" si="7"/>
        <v>0</v>
      </c>
      <c r="AG137" s="24">
        <f t="shared" si="8"/>
        <v>15</v>
      </c>
      <c r="AH137" s="41" t="str" cm="1">
        <f t="array" ref="AH137">_xlfn.IFS(
SUM(AE137:AG137)=0,"Not Started",
SUM(AE137:AG137)&lt;15,"In Progress",
SUM(AE137:AG137)=15,"Completed",
SUM(AE137:AG137)&gt;15,"Error"
)</f>
        <v>Completed</v>
      </c>
    </row>
    <row r="138" spans="1:34" ht="13" x14ac:dyDescent="0.25">
      <c r="A138" s="248"/>
      <c r="B138" s="14" t="s">
        <v>787</v>
      </c>
      <c r="C138" s="7" t="s">
        <v>3490</v>
      </c>
      <c r="D138" s="7" t="s">
        <v>3683</v>
      </c>
      <c r="E138" s="7" t="s">
        <v>43</v>
      </c>
      <c r="F138" s="7" t="s">
        <v>44</v>
      </c>
      <c r="G138" s="7" t="s">
        <v>3848</v>
      </c>
      <c r="H138" s="7" t="s">
        <v>3848</v>
      </c>
      <c r="I138" s="7"/>
      <c r="J138" s="7" t="s">
        <v>4106</v>
      </c>
      <c r="K138" s="7" t="s">
        <v>3867</v>
      </c>
      <c r="L138" s="7">
        <v>10053445123</v>
      </c>
      <c r="M138" s="7"/>
      <c r="N138" s="7"/>
      <c r="O138" s="179" t="s">
        <v>11</v>
      </c>
      <c r="P138" s="179" t="s">
        <v>11</v>
      </c>
      <c r="Q138" s="179" t="s">
        <v>11</v>
      </c>
      <c r="R138" s="179" t="s">
        <v>11</v>
      </c>
      <c r="S138" s="179" t="s">
        <v>11</v>
      </c>
      <c r="T138" s="179" t="s">
        <v>11</v>
      </c>
      <c r="U138" s="179" t="s">
        <v>11</v>
      </c>
      <c r="V138" s="179" t="s">
        <v>11</v>
      </c>
      <c r="W138" s="179" t="s">
        <v>11</v>
      </c>
      <c r="X138" s="179" t="s">
        <v>11</v>
      </c>
      <c r="Y138" s="139" t="s">
        <v>11</v>
      </c>
      <c r="Z138" s="139" t="s">
        <v>11</v>
      </c>
      <c r="AA138" s="139" t="s">
        <v>11</v>
      </c>
      <c r="AB138" s="139" t="s">
        <v>11</v>
      </c>
      <c r="AC138" s="35" t="s">
        <v>11</v>
      </c>
      <c r="AD138" s="26"/>
      <c r="AE138" s="24">
        <f t="shared" si="6"/>
        <v>0</v>
      </c>
      <c r="AF138" s="24">
        <f t="shared" si="7"/>
        <v>0</v>
      </c>
      <c r="AG138" s="24">
        <f t="shared" si="8"/>
        <v>15</v>
      </c>
      <c r="AH138" s="41" t="str" cm="1">
        <f t="array" ref="AH138">_xlfn.IFS(
SUM(AE138:AG138)=0,"Not Started",
SUM(AE138:AG138)&lt;15,"In Progress",
SUM(AE138:AG138)=15,"Completed",
SUM(AE138:AG138)&gt;15,"Error"
)</f>
        <v>Completed</v>
      </c>
    </row>
    <row r="139" spans="1:34" ht="13" x14ac:dyDescent="0.25">
      <c r="A139" s="248"/>
      <c r="B139" s="7" t="s">
        <v>788</v>
      </c>
      <c r="C139" s="7" t="s">
        <v>3516</v>
      </c>
      <c r="D139" s="7" t="s">
        <v>3713</v>
      </c>
      <c r="E139" s="7" t="s">
        <v>47</v>
      </c>
      <c r="F139" s="7" t="s">
        <v>44</v>
      </c>
      <c r="G139" s="7" t="s">
        <v>3848</v>
      </c>
      <c r="H139" s="7" t="s">
        <v>3848</v>
      </c>
      <c r="I139" s="7"/>
      <c r="J139" s="7" t="s">
        <v>4065</v>
      </c>
      <c r="K139" s="7" t="s">
        <v>3858</v>
      </c>
      <c r="L139" s="7">
        <v>10093887792</v>
      </c>
      <c r="M139" s="7"/>
      <c r="N139" s="7"/>
      <c r="O139" s="181" t="s">
        <v>11</v>
      </c>
      <c r="P139" s="181" t="s">
        <v>11</v>
      </c>
      <c r="Q139" s="181" t="s">
        <v>11</v>
      </c>
      <c r="R139" s="181" t="s">
        <v>11</v>
      </c>
      <c r="S139" s="181" t="s">
        <v>11</v>
      </c>
      <c r="T139" s="181" t="s">
        <v>11</v>
      </c>
      <c r="U139" s="181" t="s">
        <v>11</v>
      </c>
      <c r="V139" s="181" t="s">
        <v>11</v>
      </c>
      <c r="W139" s="181" t="s">
        <v>11</v>
      </c>
      <c r="X139" s="181" t="s">
        <v>11</v>
      </c>
      <c r="Y139" s="139" t="s">
        <v>11</v>
      </c>
      <c r="Z139" s="139" t="s">
        <v>11</v>
      </c>
      <c r="AA139" s="139" t="s">
        <v>11</v>
      </c>
      <c r="AB139" s="208" t="s">
        <v>10362</v>
      </c>
      <c r="AC139" s="35" t="s">
        <v>11</v>
      </c>
      <c r="AD139" s="26"/>
      <c r="AE139" s="24">
        <f t="shared" si="6"/>
        <v>0</v>
      </c>
      <c r="AF139" s="24">
        <f t="shared" si="7"/>
        <v>0</v>
      </c>
      <c r="AG139" s="24">
        <f t="shared" si="8"/>
        <v>14</v>
      </c>
      <c r="AH139" s="41" t="str" cm="1">
        <f t="array" ref="AH139">_xlfn.IFS(
SUM(AE139:AG139)=0,"Not Started",
SUM(AE139:AG139)&lt;15,"In Progress",
SUM(AE139:AG139)=15,"Completed",
SUM(AE139:AG139)&gt;15,"Error"
)</f>
        <v>In Progress</v>
      </c>
    </row>
    <row r="140" spans="1:34" ht="13" x14ac:dyDescent="0.25">
      <c r="A140" s="248"/>
      <c r="B140" s="14" t="s">
        <v>789</v>
      </c>
      <c r="C140" s="7" t="s">
        <v>3560</v>
      </c>
      <c r="D140" s="7" t="s">
        <v>3757</v>
      </c>
      <c r="E140" s="7" t="s">
        <v>47</v>
      </c>
      <c r="F140" s="7" t="s">
        <v>44</v>
      </c>
      <c r="G140" s="7" t="s">
        <v>3848</v>
      </c>
      <c r="H140" s="7" t="s">
        <v>3848</v>
      </c>
      <c r="I140" s="7"/>
      <c r="J140" s="7" t="s">
        <v>4042</v>
      </c>
      <c r="K140" s="7" t="s">
        <v>3935</v>
      </c>
      <c r="L140" s="7">
        <v>10102758271</v>
      </c>
      <c r="M140" s="7"/>
      <c r="N140" s="7"/>
      <c r="O140" s="29" t="s">
        <v>11</v>
      </c>
      <c r="P140" s="29" t="s">
        <v>11</v>
      </c>
      <c r="Q140" s="29" t="s">
        <v>11</v>
      </c>
      <c r="R140" s="29" t="s">
        <v>11</v>
      </c>
      <c r="S140" s="29" t="s">
        <v>11</v>
      </c>
      <c r="T140" s="29" t="s">
        <v>11</v>
      </c>
      <c r="U140" s="29" t="s">
        <v>11</v>
      </c>
      <c r="V140" s="29" t="s">
        <v>11</v>
      </c>
      <c r="W140" s="29" t="s">
        <v>11</v>
      </c>
      <c r="X140" s="29" t="s">
        <v>11</v>
      </c>
      <c r="Y140" s="10" t="s">
        <v>11</v>
      </c>
      <c r="Z140" s="10" t="s">
        <v>11</v>
      </c>
      <c r="AA140" s="10" t="s">
        <v>11</v>
      </c>
      <c r="AB140" s="35" t="s">
        <v>11</v>
      </c>
      <c r="AC140" s="35" t="s">
        <v>11</v>
      </c>
      <c r="AD140" s="26"/>
      <c r="AE140" s="24">
        <f t="shared" si="6"/>
        <v>0</v>
      </c>
      <c r="AF140" s="24">
        <f t="shared" si="7"/>
        <v>0</v>
      </c>
      <c r="AG140" s="24">
        <f t="shared" si="8"/>
        <v>15</v>
      </c>
      <c r="AH140" s="41" t="str" cm="1">
        <f t="array" ref="AH140">_xlfn.IFS(
SUM(AE140:AG140)=0,"Not Started",
SUM(AE140:AG140)&lt;15,"In Progress",
SUM(AE140:AG140)=15,"Completed",
SUM(AE140:AG140)&gt;15,"Error"
)</f>
        <v>Completed</v>
      </c>
    </row>
    <row r="141" spans="1:34" ht="13" x14ac:dyDescent="0.25">
      <c r="A141" s="248"/>
      <c r="B141" s="7" t="s">
        <v>790</v>
      </c>
      <c r="C141" s="7" t="s">
        <v>3589</v>
      </c>
      <c r="D141" s="7" t="s">
        <v>3787</v>
      </c>
      <c r="E141" s="7" t="s">
        <v>51</v>
      </c>
      <c r="F141" s="7" t="s">
        <v>44</v>
      </c>
      <c r="G141" s="7" t="s">
        <v>3848</v>
      </c>
      <c r="H141" s="7" t="s">
        <v>3848</v>
      </c>
      <c r="I141" s="7"/>
      <c r="J141" s="7" t="s">
        <v>4172</v>
      </c>
      <c r="K141" s="7" t="s">
        <v>5714</v>
      </c>
      <c r="L141" s="7">
        <v>10105036270</v>
      </c>
      <c r="M141" s="7"/>
      <c r="N141" s="7"/>
      <c r="O141" s="29" t="s">
        <v>11</v>
      </c>
      <c r="P141" s="29" t="s">
        <v>11</v>
      </c>
      <c r="Q141" s="29" t="s">
        <v>11</v>
      </c>
      <c r="R141" s="29" t="s">
        <v>11</v>
      </c>
      <c r="S141" s="29" t="s">
        <v>11</v>
      </c>
      <c r="T141" s="29" t="s">
        <v>11</v>
      </c>
      <c r="U141" s="29" t="s">
        <v>11</v>
      </c>
      <c r="V141" s="29" t="s">
        <v>11</v>
      </c>
      <c r="W141" s="29" t="s">
        <v>11</v>
      </c>
      <c r="X141" s="29" t="s">
        <v>11</v>
      </c>
      <c r="Y141" s="139" t="s">
        <v>11</v>
      </c>
      <c r="Z141" s="139" t="s">
        <v>11</v>
      </c>
      <c r="AA141" s="139" t="s">
        <v>11</v>
      </c>
      <c r="AB141" s="180" t="s">
        <v>11</v>
      </c>
      <c r="AC141" s="35" t="s">
        <v>11</v>
      </c>
      <c r="AD141" s="26"/>
      <c r="AE141" s="24">
        <f t="shared" si="6"/>
        <v>0</v>
      </c>
      <c r="AF141" s="24">
        <f t="shared" si="7"/>
        <v>0</v>
      </c>
      <c r="AG141" s="24">
        <f t="shared" si="8"/>
        <v>15</v>
      </c>
      <c r="AH141" s="41" t="str" cm="1">
        <f t="array" ref="AH141">_xlfn.IFS(
SUM(AE141:AG141)=0,"Not Started",
SUM(AE141:AG141)&lt;15,"In Progress",
SUM(AE141:AG141)=15,"Completed",
SUM(AE141:AG141)&gt;15,"Error"
)</f>
        <v>Completed</v>
      </c>
    </row>
    <row r="142" spans="1:34" ht="13" x14ac:dyDescent="0.25">
      <c r="A142" s="248"/>
      <c r="B142" s="14" t="s">
        <v>791</v>
      </c>
      <c r="C142" s="7" t="s">
        <v>3643</v>
      </c>
      <c r="D142" s="7" t="s">
        <v>3843</v>
      </c>
      <c r="E142" s="7" t="s">
        <v>43</v>
      </c>
      <c r="F142" s="7" t="s">
        <v>44</v>
      </c>
      <c r="G142" s="7" t="s">
        <v>3848</v>
      </c>
      <c r="H142" s="7" t="s">
        <v>3848</v>
      </c>
      <c r="I142" s="7"/>
      <c r="J142" s="7" t="s">
        <v>4053</v>
      </c>
      <c r="K142" s="7" t="s">
        <v>3992</v>
      </c>
      <c r="L142" s="7">
        <v>10105343987</v>
      </c>
      <c r="M142" s="7"/>
      <c r="N142" s="7"/>
      <c r="O142" s="179" t="s">
        <v>11</v>
      </c>
      <c r="P142" s="179" t="s">
        <v>11</v>
      </c>
      <c r="Q142" s="179" t="s">
        <v>11</v>
      </c>
      <c r="R142" s="179" t="s">
        <v>11</v>
      </c>
      <c r="S142" s="179" t="s">
        <v>11</v>
      </c>
      <c r="T142" s="179" t="s">
        <v>11</v>
      </c>
      <c r="U142" s="179" t="s">
        <v>11</v>
      </c>
      <c r="V142" s="179" t="s">
        <v>11</v>
      </c>
      <c r="W142" s="179" t="s">
        <v>11</v>
      </c>
      <c r="X142" s="179" t="s">
        <v>11</v>
      </c>
      <c r="Y142" s="208" t="s">
        <v>10362</v>
      </c>
      <c r="Z142" s="208" t="s">
        <v>10362</v>
      </c>
      <c r="AA142" s="208" t="s">
        <v>10362</v>
      </c>
      <c r="AB142" s="180" t="s">
        <v>11</v>
      </c>
      <c r="AC142" s="35" t="s">
        <v>11</v>
      </c>
      <c r="AD142" s="26"/>
      <c r="AE142" s="24">
        <f t="shared" si="6"/>
        <v>0</v>
      </c>
      <c r="AF142" s="24">
        <f t="shared" si="7"/>
        <v>0</v>
      </c>
      <c r="AG142" s="24">
        <f t="shared" si="8"/>
        <v>12</v>
      </c>
      <c r="AH142" s="41" t="str" cm="1">
        <f t="array" ref="AH142">_xlfn.IFS(
SUM(AE142:AG142)=0,"Not Started",
SUM(AE142:AG142)&lt;15,"In Progress",
SUM(AE142:AG142)=15,"Completed",
SUM(AE142:AG142)&gt;15,"Error"
)</f>
        <v>In Progress</v>
      </c>
    </row>
    <row r="143" spans="1:34" ht="13" x14ac:dyDescent="0.25">
      <c r="A143" s="248"/>
      <c r="B143" s="7" t="s">
        <v>792</v>
      </c>
      <c r="C143" s="7" t="s">
        <v>3471</v>
      </c>
      <c r="D143" s="7" t="s">
        <v>3661</v>
      </c>
      <c r="E143" s="7" t="s">
        <v>51</v>
      </c>
      <c r="F143" s="7" t="s">
        <v>44</v>
      </c>
      <c r="G143" s="7" t="s">
        <v>3848</v>
      </c>
      <c r="H143" s="7" t="s">
        <v>3848</v>
      </c>
      <c r="I143" s="7"/>
      <c r="J143" s="7" t="s">
        <v>4185</v>
      </c>
      <c r="K143" s="7" t="s">
        <v>3854</v>
      </c>
      <c r="L143" s="7">
        <v>10053349708</v>
      </c>
      <c r="M143" s="7"/>
      <c r="N143" s="7"/>
      <c r="O143" s="29" t="s">
        <v>11</v>
      </c>
      <c r="P143" s="29" t="s">
        <v>11</v>
      </c>
      <c r="Q143" s="29" t="s">
        <v>11</v>
      </c>
      <c r="R143" s="29" t="s">
        <v>11</v>
      </c>
      <c r="S143" s="29" t="s">
        <v>11</v>
      </c>
      <c r="T143" s="29" t="s">
        <v>11</v>
      </c>
      <c r="U143" s="29" t="s">
        <v>11</v>
      </c>
      <c r="V143" s="29" t="s">
        <v>11</v>
      </c>
      <c r="W143" s="29" t="s">
        <v>11</v>
      </c>
      <c r="X143" s="29" t="s">
        <v>11</v>
      </c>
      <c r="Y143" s="10" t="s">
        <v>11</v>
      </c>
      <c r="Z143" s="10" t="s">
        <v>11</v>
      </c>
      <c r="AA143" s="10" t="s">
        <v>11</v>
      </c>
      <c r="AB143" s="180" t="s">
        <v>11</v>
      </c>
      <c r="AC143" s="35" t="s">
        <v>11</v>
      </c>
      <c r="AD143" s="26"/>
      <c r="AE143" s="24">
        <f t="shared" si="6"/>
        <v>0</v>
      </c>
      <c r="AF143" s="24">
        <f t="shared" si="7"/>
        <v>0</v>
      </c>
      <c r="AG143" s="24">
        <f t="shared" si="8"/>
        <v>15</v>
      </c>
      <c r="AH143" s="41" t="str" cm="1">
        <f t="array" ref="AH143">_xlfn.IFS(
SUM(AE143:AG143)=0,"Not Started",
SUM(AE143:AG143)&lt;15,"In Progress",
SUM(AE143:AG143)=15,"Completed",
SUM(AE143:AG143)&gt;15,"Error"
)</f>
        <v>Completed</v>
      </c>
    </row>
    <row r="144" spans="1:34" ht="13" x14ac:dyDescent="0.25">
      <c r="A144" s="248"/>
      <c r="B144" s="14" t="s">
        <v>793</v>
      </c>
      <c r="C144" s="7" t="s">
        <v>3473</v>
      </c>
      <c r="D144" s="7" t="s">
        <v>3663</v>
      </c>
      <c r="E144" s="7" t="s">
        <v>51</v>
      </c>
      <c r="F144" s="7" t="s">
        <v>44</v>
      </c>
      <c r="G144" s="7" t="s">
        <v>3848</v>
      </c>
      <c r="H144" s="7" t="s">
        <v>3848</v>
      </c>
      <c r="I144" s="7"/>
      <c r="J144" s="7" t="s">
        <v>4161</v>
      </c>
      <c r="K144" s="7" t="s">
        <v>3856</v>
      </c>
      <c r="L144" s="7">
        <v>10053242873</v>
      </c>
      <c r="M144" s="7"/>
      <c r="N144" s="7"/>
      <c r="O144" s="29" t="s">
        <v>11</v>
      </c>
      <c r="P144" s="29" t="s">
        <v>11</v>
      </c>
      <c r="Q144" s="29" t="s">
        <v>11</v>
      </c>
      <c r="R144" s="29" t="s">
        <v>11</v>
      </c>
      <c r="S144" s="29" t="s">
        <v>11</v>
      </c>
      <c r="T144" s="29" t="s">
        <v>11</v>
      </c>
      <c r="U144" s="29" t="s">
        <v>11</v>
      </c>
      <c r="V144" s="29" t="s">
        <v>11</v>
      </c>
      <c r="W144" s="29" t="s">
        <v>11</v>
      </c>
      <c r="X144" s="29" t="s">
        <v>11</v>
      </c>
      <c r="Y144" s="10" t="s">
        <v>11</v>
      </c>
      <c r="Z144" s="10" t="s">
        <v>11</v>
      </c>
      <c r="AA144" s="10" t="s">
        <v>11</v>
      </c>
      <c r="AB144" s="180" t="s">
        <v>11</v>
      </c>
      <c r="AC144" s="35" t="s">
        <v>11</v>
      </c>
      <c r="AD144" s="26"/>
      <c r="AE144" s="24">
        <f t="shared" si="6"/>
        <v>0</v>
      </c>
      <c r="AF144" s="24">
        <f t="shared" si="7"/>
        <v>0</v>
      </c>
      <c r="AG144" s="24">
        <f t="shared" si="8"/>
        <v>15</v>
      </c>
      <c r="AH144" s="41" t="str" cm="1">
        <f t="array" ref="AH144">_xlfn.IFS(
SUM(AE144:AG144)=0,"Not Started",
SUM(AE144:AG144)&lt;15,"In Progress",
SUM(AE144:AG144)=15,"Completed",
SUM(AE144:AG144)&gt;15,"Error"
)</f>
        <v>Completed</v>
      </c>
    </row>
    <row r="145" spans="1:34" ht="13" x14ac:dyDescent="0.25">
      <c r="A145" s="248"/>
      <c r="B145" s="7" t="s">
        <v>794</v>
      </c>
      <c r="C145" s="7" t="s">
        <v>3477</v>
      </c>
      <c r="D145" s="7" t="s">
        <v>3669</v>
      </c>
      <c r="E145" s="7" t="s">
        <v>51</v>
      </c>
      <c r="F145" s="7" t="s">
        <v>48</v>
      </c>
      <c r="G145" s="7" t="s">
        <v>3848</v>
      </c>
      <c r="H145" s="7" t="s">
        <v>3848</v>
      </c>
      <c r="I145" s="7"/>
      <c r="J145" s="7" t="s">
        <v>4009</v>
      </c>
      <c r="K145" s="7" t="s">
        <v>5715</v>
      </c>
      <c r="L145" s="7">
        <v>10053650652</v>
      </c>
      <c r="M145" s="7"/>
      <c r="N145" s="7"/>
      <c r="O145" s="29" t="s">
        <v>11</v>
      </c>
      <c r="P145" s="29" t="s">
        <v>11</v>
      </c>
      <c r="Q145" s="29" t="s">
        <v>11</v>
      </c>
      <c r="R145" s="29" t="s">
        <v>11</v>
      </c>
      <c r="S145" s="29" t="s">
        <v>11</v>
      </c>
      <c r="T145" s="29" t="s">
        <v>11</v>
      </c>
      <c r="U145" s="29" t="s">
        <v>11</v>
      </c>
      <c r="V145" s="29" t="s">
        <v>11</v>
      </c>
      <c r="W145" s="29" t="s">
        <v>11</v>
      </c>
      <c r="X145" s="29" t="s">
        <v>11</v>
      </c>
      <c r="Y145" s="10" t="s">
        <v>11</v>
      </c>
      <c r="Z145" s="10" t="s">
        <v>11</v>
      </c>
      <c r="AA145" s="10" t="s">
        <v>11</v>
      </c>
      <c r="AB145" s="180" t="s">
        <v>11</v>
      </c>
      <c r="AC145" s="35" t="s">
        <v>11</v>
      </c>
      <c r="AD145" s="26"/>
      <c r="AE145" s="24">
        <f t="shared" si="6"/>
        <v>0</v>
      </c>
      <c r="AF145" s="24">
        <f t="shared" si="7"/>
        <v>0</v>
      </c>
      <c r="AG145" s="24">
        <f t="shared" si="8"/>
        <v>15</v>
      </c>
      <c r="AH145" s="41" t="str" cm="1">
        <f t="array" ref="AH145">_xlfn.IFS(
SUM(AE145:AG145)=0,"Not Started",
SUM(AE145:AG145)&lt;15,"In Progress",
SUM(AE145:AG145)=15,"Completed",
SUM(AE145:AG145)&gt;15,"Error"
)</f>
        <v>Completed</v>
      </c>
    </row>
    <row r="146" spans="1:34" ht="13" x14ac:dyDescent="0.25">
      <c r="A146" s="248"/>
      <c r="B146" s="14" t="s">
        <v>795</v>
      </c>
      <c r="C146" s="7" t="s">
        <v>3479</v>
      </c>
      <c r="D146" s="7" t="s">
        <v>3671</v>
      </c>
      <c r="E146" s="7" t="s">
        <v>43</v>
      </c>
      <c r="F146" s="7" t="s">
        <v>44</v>
      </c>
      <c r="G146" s="7" t="s">
        <v>3848</v>
      </c>
      <c r="H146" s="7" t="s">
        <v>3848</v>
      </c>
      <c r="I146" s="7"/>
      <c r="J146" s="7" t="s">
        <v>4051</v>
      </c>
      <c r="K146" s="7" t="s">
        <v>5716</v>
      </c>
      <c r="L146" s="7">
        <v>10053445080</v>
      </c>
      <c r="M146" s="7"/>
      <c r="N146" s="7"/>
      <c r="O146" s="179" t="s">
        <v>11</v>
      </c>
      <c r="P146" s="179" t="s">
        <v>11</v>
      </c>
      <c r="Q146" s="179" t="s">
        <v>11</v>
      </c>
      <c r="R146" s="179" t="s">
        <v>11</v>
      </c>
      <c r="S146" s="179" t="s">
        <v>11</v>
      </c>
      <c r="T146" s="179" t="s">
        <v>11</v>
      </c>
      <c r="U146" s="179" t="s">
        <v>11</v>
      </c>
      <c r="V146" s="179" t="s">
        <v>11</v>
      </c>
      <c r="W146" s="179" t="s">
        <v>11</v>
      </c>
      <c r="X146" s="179" t="s">
        <v>11</v>
      </c>
      <c r="Y146" s="139" t="s">
        <v>11</v>
      </c>
      <c r="Z146" s="139" t="s">
        <v>11</v>
      </c>
      <c r="AA146" s="139" t="s">
        <v>11</v>
      </c>
      <c r="AB146" s="208" t="s">
        <v>10362</v>
      </c>
      <c r="AC146" s="35" t="s">
        <v>11</v>
      </c>
      <c r="AD146" s="26"/>
      <c r="AE146" s="24">
        <f t="shared" si="6"/>
        <v>0</v>
      </c>
      <c r="AF146" s="24">
        <f t="shared" si="7"/>
        <v>0</v>
      </c>
      <c r="AG146" s="24">
        <f t="shared" si="8"/>
        <v>14</v>
      </c>
      <c r="AH146" s="41" t="str" cm="1">
        <f t="array" ref="AH146">_xlfn.IFS(
SUM(AE146:AG146)=0,"Not Started",
SUM(AE146:AG146)&lt;15,"In Progress",
SUM(AE146:AG146)=15,"Completed",
SUM(AE146:AG146)&gt;15,"Error"
)</f>
        <v>In Progress</v>
      </c>
    </row>
    <row r="147" spans="1:34" ht="13" x14ac:dyDescent="0.25">
      <c r="A147" s="248"/>
      <c r="B147" s="7" t="s">
        <v>796</v>
      </c>
      <c r="C147" s="7" t="s">
        <v>3480</v>
      </c>
      <c r="D147" s="7" t="s">
        <v>3672</v>
      </c>
      <c r="E147" s="7" t="s">
        <v>47</v>
      </c>
      <c r="F147" s="7" t="s">
        <v>44</v>
      </c>
      <c r="G147" s="7" t="s">
        <v>3848</v>
      </c>
      <c r="H147" s="7" t="s">
        <v>3848</v>
      </c>
      <c r="I147" s="7"/>
      <c r="J147" s="7" t="s">
        <v>3999</v>
      </c>
      <c r="K147" s="7" t="s">
        <v>3861</v>
      </c>
      <c r="L147" s="7">
        <v>10053645760</v>
      </c>
      <c r="M147" s="7"/>
      <c r="N147" s="7"/>
      <c r="O147" s="29" t="s">
        <v>11</v>
      </c>
      <c r="P147" s="29" t="s">
        <v>11</v>
      </c>
      <c r="Q147" s="29" t="s">
        <v>11</v>
      </c>
      <c r="R147" s="29" t="s">
        <v>11</v>
      </c>
      <c r="S147" s="29" t="s">
        <v>11</v>
      </c>
      <c r="T147" s="29" t="s">
        <v>11</v>
      </c>
      <c r="U147" s="29" t="s">
        <v>11</v>
      </c>
      <c r="V147" s="29" t="s">
        <v>11</v>
      </c>
      <c r="W147" s="29" t="s">
        <v>11</v>
      </c>
      <c r="X147" s="29" t="s">
        <v>11</v>
      </c>
      <c r="Y147" s="10" t="s">
        <v>11</v>
      </c>
      <c r="Z147" s="10" t="s">
        <v>11</v>
      </c>
      <c r="AA147" s="10" t="s">
        <v>11</v>
      </c>
      <c r="AB147" s="180" t="s">
        <v>11</v>
      </c>
      <c r="AC147" s="35" t="s">
        <v>11</v>
      </c>
      <c r="AD147" s="26"/>
      <c r="AE147" s="24">
        <f t="shared" si="6"/>
        <v>0</v>
      </c>
      <c r="AF147" s="24">
        <f t="shared" si="7"/>
        <v>0</v>
      </c>
      <c r="AG147" s="24">
        <f t="shared" si="8"/>
        <v>15</v>
      </c>
      <c r="AH147" s="41" t="str" cm="1">
        <f t="array" ref="AH147">_xlfn.IFS(
SUM(AE147:AG147)=0,"Not Started",
SUM(AE147:AG147)&lt;15,"In Progress",
SUM(AE147:AG147)=15,"Completed",
SUM(AE147:AG147)&gt;15,"Error"
)</f>
        <v>Completed</v>
      </c>
    </row>
    <row r="148" spans="1:34" ht="13" x14ac:dyDescent="0.25">
      <c r="A148" s="248"/>
      <c r="B148" s="14" t="s">
        <v>797</v>
      </c>
      <c r="C148" s="7" t="s">
        <v>3481</v>
      </c>
      <c r="D148" s="7" t="s">
        <v>3673</v>
      </c>
      <c r="E148" s="7" t="s">
        <v>43</v>
      </c>
      <c r="F148" s="7" t="s">
        <v>44</v>
      </c>
      <c r="G148" s="7" t="s">
        <v>3848</v>
      </c>
      <c r="H148" s="7" t="s">
        <v>3848</v>
      </c>
      <c r="I148" s="7"/>
      <c r="J148" s="7" t="s">
        <v>4054</v>
      </c>
      <c r="K148" s="7" t="s">
        <v>5717</v>
      </c>
      <c r="L148" s="7">
        <v>10053393813</v>
      </c>
      <c r="M148" s="7"/>
      <c r="N148" s="7"/>
      <c r="O148" s="29" t="s">
        <v>11</v>
      </c>
      <c r="P148" s="29" t="s">
        <v>11</v>
      </c>
      <c r="Q148" s="29" t="s">
        <v>11</v>
      </c>
      <c r="R148" s="29" t="s">
        <v>11</v>
      </c>
      <c r="S148" s="29" t="s">
        <v>11</v>
      </c>
      <c r="T148" s="29" t="s">
        <v>11</v>
      </c>
      <c r="U148" s="29" t="s">
        <v>11</v>
      </c>
      <c r="V148" s="29" t="s">
        <v>11</v>
      </c>
      <c r="W148" s="29" t="s">
        <v>11</v>
      </c>
      <c r="X148" s="29" t="s">
        <v>11</v>
      </c>
      <c r="Y148" s="10" t="s">
        <v>11</v>
      </c>
      <c r="Z148" s="10" t="s">
        <v>11</v>
      </c>
      <c r="AA148" s="10" t="s">
        <v>11</v>
      </c>
      <c r="AB148" s="180" t="s">
        <v>11</v>
      </c>
      <c r="AC148" s="35" t="s">
        <v>11</v>
      </c>
      <c r="AD148" s="26"/>
      <c r="AE148" s="24">
        <f t="shared" si="6"/>
        <v>0</v>
      </c>
      <c r="AF148" s="24">
        <f t="shared" si="7"/>
        <v>0</v>
      </c>
      <c r="AG148" s="24">
        <f t="shared" si="8"/>
        <v>15</v>
      </c>
      <c r="AH148" s="41" t="str" cm="1">
        <f t="array" ref="AH148">_xlfn.IFS(
SUM(AE148:AG148)=0,"Not Started",
SUM(AE148:AG148)&lt;15,"In Progress",
SUM(AE148:AG148)=15,"Completed",
SUM(AE148:AG148)&gt;15,"Error"
)</f>
        <v>Completed</v>
      </c>
    </row>
    <row r="149" spans="1:34" ht="13" x14ac:dyDescent="0.25">
      <c r="A149" s="248"/>
      <c r="B149" s="7" t="s">
        <v>798</v>
      </c>
      <c r="C149" s="7" t="s">
        <v>3482</v>
      </c>
      <c r="D149" s="7" t="s">
        <v>3674</v>
      </c>
      <c r="E149" s="7" t="s">
        <v>43</v>
      </c>
      <c r="F149" s="7" t="s">
        <v>44</v>
      </c>
      <c r="G149" s="7" t="s">
        <v>3848</v>
      </c>
      <c r="H149" s="7" t="s">
        <v>3848</v>
      </c>
      <c r="I149" s="7"/>
      <c r="J149" s="7" t="s">
        <v>4077</v>
      </c>
      <c r="K149" s="7" t="s">
        <v>3862</v>
      </c>
      <c r="L149" s="7">
        <v>10053132334</v>
      </c>
      <c r="M149" s="7"/>
      <c r="N149" s="7"/>
      <c r="O149" s="29" t="s">
        <v>11</v>
      </c>
      <c r="P149" s="29" t="s">
        <v>11</v>
      </c>
      <c r="Q149" s="29" t="s">
        <v>11</v>
      </c>
      <c r="R149" s="29" t="s">
        <v>11</v>
      </c>
      <c r="S149" s="29" t="s">
        <v>11</v>
      </c>
      <c r="T149" s="29" t="s">
        <v>11</v>
      </c>
      <c r="U149" s="29" t="s">
        <v>11</v>
      </c>
      <c r="V149" s="29" t="s">
        <v>11</v>
      </c>
      <c r="W149" s="29" t="s">
        <v>11</v>
      </c>
      <c r="X149" s="29" t="s">
        <v>11</v>
      </c>
      <c r="Y149" s="10" t="s">
        <v>11</v>
      </c>
      <c r="Z149" s="10" t="s">
        <v>11</v>
      </c>
      <c r="AA149" s="10" t="s">
        <v>11</v>
      </c>
      <c r="AB149" s="180" t="s">
        <v>11</v>
      </c>
      <c r="AC149" s="35" t="s">
        <v>11</v>
      </c>
      <c r="AD149" s="26"/>
      <c r="AE149" s="24">
        <f t="shared" si="6"/>
        <v>0</v>
      </c>
      <c r="AF149" s="24">
        <f t="shared" si="7"/>
        <v>0</v>
      </c>
      <c r="AG149" s="24">
        <f t="shared" si="8"/>
        <v>15</v>
      </c>
      <c r="AH149" s="41" t="str" cm="1">
        <f t="array" ref="AH149">_xlfn.IFS(
SUM(AE149:AG149)=0,"Not Started",
SUM(AE149:AG149)&lt;15,"In Progress",
SUM(AE149:AG149)=15,"Completed",
SUM(AE149:AG149)&gt;15,"Error"
)</f>
        <v>Completed</v>
      </c>
    </row>
    <row r="150" spans="1:34" ht="13" x14ac:dyDescent="0.25">
      <c r="A150" s="248"/>
      <c r="B150" s="14" t="s">
        <v>799</v>
      </c>
      <c r="C150" s="7" t="s">
        <v>3486</v>
      </c>
      <c r="D150" s="7" t="s">
        <v>3679</v>
      </c>
      <c r="E150" s="7" t="s">
        <v>43</v>
      </c>
      <c r="F150" s="7" t="s">
        <v>44</v>
      </c>
      <c r="G150" s="7" t="s">
        <v>3848</v>
      </c>
      <c r="H150" s="7" t="s">
        <v>3848</v>
      </c>
      <c r="I150" s="7"/>
      <c r="J150" s="7" t="s">
        <v>4061</v>
      </c>
      <c r="K150" s="7" t="s">
        <v>3864</v>
      </c>
      <c r="L150" s="7">
        <v>10053649910</v>
      </c>
      <c r="M150" s="7"/>
      <c r="N150" s="7"/>
      <c r="O150" s="179" t="s">
        <v>11</v>
      </c>
      <c r="P150" s="179" t="s">
        <v>11</v>
      </c>
      <c r="Q150" s="179" t="s">
        <v>11</v>
      </c>
      <c r="R150" s="179" t="s">
        <v>11</v>
      </c>
      <c r="S150" s="179" t="s">
        <v>11</v>
      </c>
      <c r="T150" s="179" t="s">
        <v>11</v>
      </c>
      <c r="U150" s="179" t="s">
        <v>11</v>
      </c>
      <c r="V150" s="179" t="s">
        <v>11</v>
      </c>
      <c r="W150" s="179" t="s">
        <v>11</v>
      </c>
      <c r="X150" s="179" t="s">
        <v>11</v>
      </c>
      <c r="Y150" s="139" t="s">
        <v>11</v>
      </c>
      <c r="Z150" s="139" t="s">
        <v>11</v>
      </c>
      <c r="AA150" s="139" t="s">
        <v>11</v>
      </c>
      <c r="AB150" s="180" t="s">
        <v>11</v>
      </c>
      <c r="AC150" s="35" t="s">
        <v>11</v>
      </c>
      <c r="AD150" s="26"/>
      <c r="AE150" s="24">
        <f t="shared" si="6"/>
        <v>0</v>
      </c>
      <c r="AF150" s="24">
        <f t="shared" si="7"/>
        <v>0</v>
      </c>
      <c r="AG150" s="24">
        <f t="shared" si="8"/>
        <v>15</v>
      </c>
      <c r="AH150" s="41" t="str" cm="1">
        <f t="array" ref="AH150">_xlfn.IFS(
SUM(AE150:AG150)=0,"Not Started",
SUM(AE150:AG150)&lt;15,"In Progress",
SUM(AE150:AG150)=15,"Completed",
SUM(AE150:AG150)&gt;15,"Error"
)</f>
        <v>Completed</v>
      </c>
    </row>
    <row r="151" spans="1:34" ht="13" x14ac:dyDescent="0.25">
      <c r="A151" s="248"/>
      <c r="B151" s="7" t="s">
        <v>800</v>
      </c>
      <c r="C151" s="7" t="s">
        <v>3494</v>
      </c>
      <c r="D151" s="7" t="s">
        <v>3689</v>
      </c>
      <c r="E151" s="7" t="s">
        <v>43</v>
      </c>
      <c r="F151" s="7" t="s">
        <v>44</v>
      </c>
      <c r="G151" s="7" t="s">
        <v>3848</v>
      </c>
      <c r="H151" s="7" t="s">
        <v>3848</v>
      </c>
      <c r="I151" s="7"/>
      <c r="J151" s="7" t="s">
        <v>4103</v>
      </c>
      <c r="K151" s="7" t="s">
        <v>3872</v>
      </c>
      <c r="L151" s="7">
        <v>10053133028</v>
      </c>
      <c r="M151" s="7"/>
      <c r="N151" s="7"/>
      <c r="O151" s="29" t="s">
        <v>11</v>
      </c>
      <c r="P151" s="29" t="s">
        <v>11</v>
      </c>
      <c r="Q151" s="29" t="s">
        <v>11</v>
      </c>
      <c r="R151" s="29" t="s">
        <v>11</v>
      </c>
      <c r="S151" s="29" t="s">
        <v>11</v>
      </c>
      <c r="T151" s="29" t="s">
        <v>11</v>
      </c>
      <c r="U151" s="29" t="s">
        <v>11</v>
      </c>
      <c r="V151" s="29" t="s">
        <v>11</v>
      </c>
      <c r="W151" s="29" t="s">
        <v>11</v>
      </c>
      <c r="X151" s="29" t="s">
        <v>11</v>
      </c>
      <c r="Y151" s="10" t="s">
        <v>11</v>
      </c>
      <c r="Z151" s="10" t="s">
        <v>11</v>
      </c>
      <c r="AA151" s="10" t="s">
        <v>11</v>
      </c>
      <c r="AB151" s="139" t="s">
        <v>11</v>
      </c>
      <c r="AC151" s="35" t="s">
        <v>11</v>
      </c>
      <c r="AD151" s="26"/>
      <c r="AE151" s="24">
        <f t="shared" si="6"/>
        <v>0</v>
      </c>
      <c r="AF151" s="24">
        <f t="shared" si="7"/>
        <v>0</v>
      </c>
      <c r="AG151" s="24">
        <f t="shared" si="8"/>
        <v>15</v>
      </c>
      <c r="AH151" s="41" t="str" cm="1">
        <f t="array" ref="AH151">_xlfn.IFS(
SUM(AE151:AG151)=0,"Not Started",
SUM(AE151:AG151)&lt;15,"In Progress",
SUM(AE151:AG151)=15,"Completed",
SUM(AE151:AG151)&gt;15,"Error"
)</f>
        <v>Completed</v>
      </c>
    </row>
    <row r="152" spans="1:34" ht="13" x14ac:dyDescent="0.25">
      <c r="A152" s="248"/>
      <c r="B152" s="14" t="s">
        <v>801</v>
      </c>
      <c r="C152" s="7" t="s">
        <v>3495</v>
      </c>
      <c r="D152" s="7" t="s">
        <v>3690</v>
      </c>
      <c r="E152" s="7" t="s">
        <v>43</v>
      </c>
      <c r="F152" s="7" t="s">
        <v>48</v>
      </c>
      <c r="G152" s="7" t="s">
        <v>3848</v>
      </c>
      <c r="H152" s="7" t="s">
        <v>3848</v>
      </c>
      <c r="I152" s="7"/>
      <c r="J152" s="7" t="s">
        <v>4181</v>
      </c>
      <c r="K152" s="7" t="s">
        <v>3873</v>
      </c>
      <c r="L152" s="7">
        <v>10053760153</v>
      </c>
      <c r="M152" s="7"/>
      <c r="N152" s="7"/>
      <c r="O152" s="29" t="s">
        <v>11</v>
      </c>
      <c r="P152" s="29" t="s">
        <v>11</v>
      </c>
      <c r="Q152" s="29" t="s">
        <v>11</v>
      </c>
      <c r="R152" s="29" t="s">
        <v>11</v>
      </c>
      <c r="S152" s="29" t="s">
        <v>11</v>
      </c>
      <c r="T152" s="29" t="s">
        <v>11</v>
      </c>
      <c r="U152" s="29" t="s">
        <v>11</v>
      </c>
      <c r="V152" s="29" t="s">
        <v>11</v>
      </c>
      <c r="W152" s="29" t="s">
        <v>11</v>
      </c>
      <c r="X152" s="29" t="s">
        <v>11</v>
      </c>
      <c r="Y152" s="10" t="s">
        <v>11</v>
      </c>
      <c r="Z152" s="10" t="s">
        <v>11</v>
      </c>
      <c r="AA152" s="10" t="s">
        <v>11</v>
      </c>
      <c r="AB152" s="180" t="s">
        <v>11</v>
      </c>
      <c r="AC152" s="35" t="s">
        <v>11</v>
      </c>
      <c r="AD152" s="26"/>
      <c r="AE152" s="24">
        <f t="shared" si="6"/>
        <v>0</v>
      </c>
      <c r="AF152" s="24">
        <f t="shared" si="7"/>
        <v>0</v>
      </c>
      <c r="AG152" s="24">
        <f t="shared" si="8"/>
        <v>15</v>
      </c>
      <c r="AH152" s="41" t="str" cm="1">
        <f t="array" ref="AH152">_xlfn.IFS(
SUM(AE152:AG152)=0,"Not Started",
SUM(AE152:AG152)&lt;15,"In Progress",
SUM(AE152:AG152)=15,"Completed",
SUM(AE152:AG152)&gt;15,"Error"
)</f>
        <v>Completed</v>
      </c>
    </row>
    <row r="153" spans="1:34" ht="13" x14ac:dyDescent="0.25">
      <c r="A153" s="248"/>
      <c r="B153" s="7" t="s">
        <v>802</v>
      </c>
      <c r="C153" s="7" t="s">
        <v>3496</v>
      </c>
      <c r="D153" s="7" t="s">
        <v>3691</v>
      </c>
      <c r="E153" s="7" t="s">
        <v>51</v>
      </c>
      <c r="F153" s="7" t="s">
        <v>48</v>
      </c>
      <c r="G153" s="7" t="s">
        <v>3848</v>
      </c>
      <c r="H153" s="7" t="s">
        <v>3848</v>
      </c>
      <c r="I153" s="7"/>
      <c r="J153" s="7" t="s">
        <v>4085</v>
      </c>
      <c r="K153" s="7" t="s">
        <v>3874</v>
      </c>
      <c r="L153" s="7">
        <v>10053409682</v>
      </c>
      <c r="M153" s="7"/>
      <c r="N153" s="7"/>
      <c r="O153" s="29" t="s">
        <v>11</v>
      </c>
      <c r="P153" s="29" t="s">
        <v>11</v>
      </c>
      <c r="Q153" s="29" t="s">
        <v>11</v>
      </c>
      <c r="R153" s="29" t="s">
        <v>11</v>
      </c>
      <c r="S153" s="29" t="s">
        <v>11</v>
      </c>
      <c r="T153" s="29" t="s">
        <v>11</v>
      </c>
      <c r="U153" s="29" t="s">
        <v>11</v>
      </c>
      <c r="V153" s="29" t="s">
        <v>11</v>
      </c>
      <c r="W153" s="29" t="s">
        <v>11</v>
      </c>
      <c r="X153" s="29" t="s">
        <v>11</v>
      </c>
      <c r="Y153" s="10" t="s">
        <v>11</v>
      </c>
      <c r="Z153" s="10" t="s">
        <v>11</v>
      </c>
      <c r="AA153" s="10" t="s">
        <v>11</v>
      </c>
      <c r="AB153" s="210" t="s">
        <v>10362</v>
      </c>
      <c r="AC153" s="35" t="s">
        <v>11</v>
      </c>
      <c r="AD153" s="26"/>
      <c r="AE153" s="24">
        <f t="shared" si="6"/>
        <v>0</v>
      </c>
      <c r="AF153" s="24">
        <f t="shared" si="7"/>
        <v>0</v>
      </c>
      <c r="AG153" s="24">
        <f t="shared" si="8"/>
        <v>14</v>
      </c>
      <c r="AH153" s="41" t="str" cm="1">
        <f t="array" ref="AH153">_xlfn.IFS(
SUM(AE153:AG153)=0,"Not Started",
SUM(AE153:AG153)&lt;15,"In Progress",
SUM(AE153:AG153)=15,"Completed",
SUM(AE153:AG153)&gt;15,"Error"
)</f>
        <v>In Progress</v>
      </c>
    </row>
    <row r="154" spans="1:34" ht="13" x14ac:dyDescent="0.25">
      <c r="A154" s="248"/>
      <c r="B154" s="14" t="s">
        <v>803</v>
      </c>
      <c r="C154" s="7" t="s">
        <v>3497</v>
      </c>
      <c r="D154" s="7" t="s">
        <v>3692</v>
      </c>
      <c r="E154" s="7" t="s">
        <v>51</v>
      </c>
      <c r="F154" s="7" t="s">
        <v>44</v>
      </c>
      <c r="G154" s="7" t="s">
        <v>3848</v>
      </c>
      <c r="H154" s="7" t="s">
        <v>3848</v>
      </c>
      <c r="I154" s="7"/>
      <c r="J154" s="7" t="s">
        <v>4183</v>
      </c>
      <c r="K154" s="7" t="s">
        <v>3875</v>
      </c>
      <c r="L154" s="7">
        <v>10053350594</v>
      </c>
      <c r="M154" s="7"/>
      <c r="N154" s="7"/>
      <c r="O154" s="29" t="s">
        <v>11</v>
      </c>
      <c r="P154" s="29" t="s">
        <v>11</v>
      </c>
      <c r="Q154" s="29" t="s">
        <v>11</v>
      </c>
      <c r="R154" s="29" t="s">
        <v>11</v>
      </c>
      <c r="S154" s="29" t="s">
        <v>11</v>
      </c>
      <c r="T154" s="29" t="s">
        <v>11</v>
      </c>
      <c r="U154" s="29" t="s">
        <v>11</v>
      </c>
      <c r="V154" s="29" t="s">
        <v>11</v>
      </c>
      <c r="W154" s="29" t="s">
        <v>11</v>
      </c>
      <c r="X154" s="29" t="s">
        <v>11</v>
      </c>
      <c r="Y154" s="10" t="s">
        <v>11</v>
      </c>
      <c r="Z154" s="10" t="s">
        <v>11</v>
      </c>
      <c r="AA154" s="10" t="s">
        <v>11</v>
      </c>
      <c r="AB154" s="180" t="s">
        <v>11</v>
      </c>
      <c r="AC154" s="35" t="s">
        <v>11</v>
      </c>
      <c r="AD154" s="26"/>
      <c r="AE154" s="24">
        <f t="shared" si="6"/>
        <v>0</v>
      </c>
      <c r="AF154" s="24">
        <f t="shared" si="7"/>
        <v>0</v>
      </c>
      <c r="AG154" s="24">
        <f t="shared" si="8"/>
        <v>15</v>
      </c>
      <c r="AH154" s="41" t="str" cm="1">
        <f t="array" ref="AH154">_xlfn.IFS(
SUM(AE154:AG154)=0,"Not Started",
SUM(AE154:AG154)&lt;15,"In Progress",
SUM(AE154:AG154)=15,"Completed",
SUM(AE154:AG154)&gt;15,"Error"
)</f>
        <v>Completed</v>
      </c>
    </row>
    <row r="155" spans="1:34" ht="13" x14ac:dyDescent="0.25">
      <c r="A155" s="248"/>
      <c r="B155" s="7" t="s">
        <v>804</v>
      </c>
      <c r="C155" s="7" t="s">
        <v>3498</v>
      </c>
      <c r="D155" s="7" t="s">
        <v>3693</v>
      </c>
      <c r="E155" s="7" t="s">
        <v>43</v>
      </c>
      <c r="F155" s="7" t="s">
        <v>44</v>
      </c>
      <c r="G155" s="7" t="s">
        <v>3848</v>
      </c>
      <c r="H155" s="7" t="s">
        <v>3848</v>
      </c>
      <c r="I155" s="7"/>
      <c r="J155" s="7" t="s">
        <v>4108</v>
      </c>
      <c r="K155" s="7" t="s">
        <v>3876</v>
      </c>
      <c r="L155" s="7">
        <v>10053196171</v>
      </c>
      <c r="M155" s="7"/>
      <c r="N155" s="7"/>
      <c r="O155" s="29" t="s">
        <v>11</v>
      </c>
      <c r="P155" s="29" t="s">
        <v>11</v>
      </c>
      <c r="Q155" s="29" t="s">
        <v>11</v>
      </c>
      <c r="R155" s="29" t="s">
        <v>11</v>
      </c>
      <c r="S155" s="29" t="s">
        <v>11</v>
      </c>
      <c r="T155" s="29" t="s">
        <v>11</v>
      </c>
      <c r="U155" s="29" t="s">
        <v>11</v>
      </c>
      <c r="V155" s="29" t="s">
        <v>11</v>
      </c>
      <c r="W155" s="29" t="s">
        <v>11</v>
      </c>
      <c r="X155" s="29" t="s">
        <v>11</v>
      </c>
      <c r="Y155" s="10" t="s">
        <v>11</v>
      </c>
      <c r="Z155" s="10" t="s">
        <v>11</v>
      </c>
      <c r="AA155" s="10" t="s">
        <v>11</v>
      </c>
      <c r="AB155" s="180" t="s">
        <v>11</v>
      </c>
      <c r="AC155" s="35" t="s">
        <v>11</v>
      </c>
      <c r="AD155" s="26"/>
      <c r="AE155" s="24">
        <f t="shared" si="6"/>
        <v>0</v>
      </c>
      <c r="AF155" s="24">
        <f t="shared" si="7"/>
        <v>0</v>
      </c>
      <c r="AG155" s="24">
        <f t="shared" si="8"/>
        <v>15</v>
      </c>
      <c r="AH155" s="41" t="str" cm="1">
        <f t="array" ref="AH155">_xlfn.IFS(
SUM(AE155:AG155)=0,"Not Started",
SUM(AE155:AG155)&lt;15,"In Progress",
SUM(AE155:AG155)=15,"Completed",
SUM(AE155:AG155)&gt;15,"Error"
)</f>
        <v>Completed</v>
      </c>
    </row>
    <row r="156" spans="1:34" ht="13" x14ac:dyDescent="0.25">
      <c r="A156" s="248"/>
      <c r="B156" s="14" t="s">
        <v>805</v>
      </c>
      <c r="C156" s="7" t="s">
        <v>3499</v>
      </c>
      <c r="D156" s="7" t="s">
        <v>3694</v>
      </c>
      <c r="E156" s="7" t="s">
        <v>51</v>
      </c>
      <c r="F156" s="7" t="s">
        <v>44</v>
      </c>
      <c r="G156" s="7" t="s">
        <v>3848</v>
      </c>
      <c r="H156" s="7" t="s">
        <v>3848</v>
      </c>
      <c r="I156" s="7"/>
      <c r="J156" s="7" t="s">
        <v>4034</v>
      </c>
      <c r="K156" s="7" t="s">
        <v>3877</v>
      </c>
      <c r="L156" s="7">
        <v>10053145851</v>
      </c>
      <c r="M156" s="7"/>
      <c r="N156" s="7"/>
      <c r="O156" s="29" t="s">
        <v>11</v>
      </c>
      <c r="P156" s="29" t="s">
        <v>11</v>
      </c>
      <c r="Q156" s="29" t="s">
        <v>11</v>
      </c>
      <c r="R156" s="29" t="s">
        <v>11</v>
      </c>
      <c r="S156" s="29" t="s">
        <v>11</v>
      </c>
      <c r="T156" s="29" t="s">
        <v>11</v>
      </c>
      <c r="U156" s="29" t="s">
        <v>11</v>
      </c>
      <c r="V156" s="29" t="s">
        <v>11</v>
      </c>
      <c r="W156" s="29" t="s">
        <v>11</v>
      </c>
      <c r="X156" s="29" t="s">
        <v>11</v>
      </c>
      <c r="Y156" s="10" t="s">
        <v>11</v>
      </c>
      <c r="Z156" s="10" t="s">
        <v>11</v>
      </c>
      <c r="AA156" s="10" t="s">
        <v>11</v>
      </c>
      <c r="AB156" s="180" t="s">
        <v>11</v>
      </c>
      <c r="AC156" s="35" t="s">
        <v>11</v>
      </c>
      <c r="AD156" s="26"/>
      <c r="AE156" s="24">
        <f t="shared" si="6"/>
        <v>0</v>
      </c>
      <c r="AF156" s="24">
        <f t="shared" si="7"/>
        <v>0</v>
      </c>
      <c r="AG156" s="24">
        <f t="shared" si="8"/>
        <v>15</v>
      </c>
      <c r="AH156" s="41" t="str" cm="1">
        <f t="array" ref="AH156">_xlfn.IFS(
SUM(AE156:AG156)=0,"Not Started",
SUM(AE156:AG156)&lt;15,"In Progress",
SUM(AE156:AG156)=15,"Completed",
SUM(AE156:AG156)&gt;15,"Error"
)</f>
        <v>Completed</v>
      </c>
    </row>
    <row r="157" spans="1:34" ht="13" x14ac:dyDescent="0.25">
      <c r="A157" s="248"/>
      <c r="B157" s="7" t="s">
        <v>806</v>
      </c>
      <c r="C157" s="7" t="s">
        <v>3500</v>
      </c>
      <c r="D157" s="7" t="s">
        <v>3695</v>
      </c>
      <c r="E157" s="7" t="s">
        <v>51</v>
      </c>
      <c r="F157" s="7" t="s">
        <v>48</v>
      </c>
      <c r="G157" s="7" t="s">
        <v>3848</v>
      </c>
      <c r="H157" s="7" t="s">
        <v>3848</v>
      </c>
      <c r="I157" s="7"/>
      <c r="J157" s="7" t="s">
        <v>4047</v>
      </c>
      <c r="K157" s="7" t="s">
        <v>3878</v>
      </c>
      <c r="L157" s="7">
        <v>10102798268</v>
      </c>
      <c r="M157" s="7"/>
      <c r="N157" s="7"/>
      <c r="O157" s="29" t="s">
        <v>11</v>
      </c>
      <c r="P157" s="29" t="s">
        <v>11</v>
      </c>
      <c r="Q157" s="29" t="s">
        <v>11</v>
      </c>
      <c r="R157" s="29" t="s">
        <v>11</v>
      </c>
      <c r="S157" s="29" t="s">
        <v>11</v>
      </c>
      <c r="T157" s="29" t="s">
        <v>11</v>
      </c>
      <c r="U157" s="29" t="s">
        <v>11</v>
      </c>
      <c r="V157" s="29" t="s">
        <v>11</v>
      </c>
      <c r="W157" s="29" t="s">
        <v>11</v>
      </c>
      <c r="X157" s="29" t="s">
        <v>11</v>
      </c>
      <c r="Y157" s="10" t="s">
        <v>11</v>
      </c>
      <c r="Z157" s="10" t="s">
        <v>11</v>
      </c>
      <c r="AA157" s="10" t="s">
        <v>11</v>
      </c>
      <c r="AB157" s="180" t="s">
        <v>11</v>
      </c>
      <c r="AC157" s="35" t="s">
        <v>11</v>
      </c>
      <c r="AD157" s="26"/>
      <c r="AE157" s="24">
        <f t="shared" si="6"/>
        <v>0</v>
      </c>
      <c r="AF157" s="24">
        <f t="shared" si="7"/>
        <v>0</v>
      </c>
      <c r="AG157" s="24">
        <f t="shared" si="8"/>
        <v>15</v>
      </c>
      <c r="AH157" s="41" t="str" cm="1">
        <f t="array" ref="AH157">_xlfn.IFS(
SUM(AE157:AG157)=0,"Not Started",
SUM(AE157:AG157)&lt;15,"In Progress",
SUM(AE157:AG157)=15,"Completed",
SUM(AE157:AG157)&gt;15,"Error"
)</f>
        <v>Completed</v>
      </c>
    </row>
    <row r="158" spans="1:34" ht="13" x14ac:dyDescent="0.25">
      <c r="A158" s="248"/>
      <c r="B158" s="14" t="s">
        <v>807</v>
      </c>
      <c r="C158" s="7" t="s">
        <v>3502</v>
      </c>
      <c r="D158" s="7" t="s">
        <v>3697</v>
      </c>
      <c r="E158" s="7" t="s">
        <v>43</v>
      </c>
      <c r="F158" s="7" t="s">
        <v>48</v>
      </c>
      <c r="G158" s="7" t="s">
        <v>3848</v>
      </c>
      <c r="H158" s="7" t="s">
        <v>3848</v>
      </c>
      <c r="I158" s="7"/>
      <c r="J158" s="7" t="s">
        <v>4091</v>
      </c>
      <c r="K158" s="7" t="s">
        <v>3880</v>
      </c>
      <c r="L158" s="7">
        <v>10053471482</v>
      </c>
      <c r="M158" s="7"/>
      <c r="N158" s="7"/>
      <c r="O158" s="29" t="s">
        <v>11</v>
      </c>
      <c r="P158" s="29" t="s">
        <v>11</v>
      </c>
      <c r="Q158" s="29" t="s">
        <v>11</v>
      </c>
      <c r="R158" s="29" t="s">
        <v>11</v>
      </c>
      <c r="S158" s="29" t="s">
        <v>11</v>
      </c>
      <c r="T158" s="29" t="s">
        <v>11</v>
      </c>
      <c r="U158" s="29" t="s">
        <v>11</v>
      </c>
      <c r="V158" s="29" t="s">
        <v>11</v>
      </c>
      <c r="W158" s="29" t="s">
        <v>11</v>
      </c>
      <c r="X158" s="29" t="s">
        <v>11</v>
      </c>
      <c r="Y158" s="10" t="s">
        <v>11</v>
      </c>
      <c r="Z158" s="10" t="s">
        <v>11</v>
      </c>
      <c r="AA158" s="10" t="s">
        <v>11</v>
      </c>
      <c r="AB158" s="180" t="s">
        <v>11</v>
      </c>
      <c r="AC158" s="35" t="s">
        <v>11</v>
      </c>
      <c r="AD158" s="26"/>
      <c r="AE158" s="24">
        <f t="shared" si="6"/>
        <v>0</v>
      </c>
      <c r="AF158" s="24">
        <f t="shared" si="7"/>
        <v>0</v>
      </c>
      <c r="AG158" s="24">
        <f t="shared" si="8"/>
        <v>15</v>
      </c>
      <c r="AH158" s="41" t="str" cm="1">
        <f t="array" ref="AH158">_xlfn.IFS(
SUM(AE158:AG158)=0,"Not Started",
SUM(AE158:AG158)&lt;15,"In Progress",
SUM(AE158:AG158)=15,"Completed",
SUM(AE158:AG158)&gt;15,"Error"
)</f>
        <v>Completed</v>
      </c>
    </row>
    <row r="159" spans="1:34" ht="13" x14ac:dyDescent="0.25">
      <c r="A159" s="248"/>
      <c r="B159" s="7" t="s">
        <v>808</v>
      </c>
      <c r="C159" s="7" t="s">
        <v>3503</v>
      </c>
      <c r="D159" s="7" t="s">
        <v>3698</v>
      </c>
      <c r="E159" s="7" t="s">
        <v>43</v>
      </c>
      <c r="F159" s="7" t="s">
        <v>48</v>
      </c>
      <c r="G159" s="7" t="s">
        <v>3848</v>
      </c>
      <c r="H159" s="7" t="s">
        <v>3848</v>
      </c>
      <c r="I159" s="7"/>
      <c r="J159" s="7" t="s">
        <v>4092</v>
      </c>
      <c r="K159" s="7" t="s">
        <v>3881</v>
      </c>
      <c r="L159" s="7">
        <v>10053237078</v>
      </c>
      <c r="M159" s="7"/>
      <c r="N159" s="7"/>
      <c r="O159" s="29" t="s">
        <v>11</v>
      </c>
      <c r="P159" s="29" t="s">
        <v>11</v>
      </c>
      <c r="Q159" s="29" t="s">
        <v>11</v>
      </c>
      <c r="R159" s="29" t="s">
        <v>11</v>
      </c>
      <c r="S159" s="29" t="s">
        <v>11</v>
      </c>
      <c r="T159" s="29" t="s">
        <v>11</v>
      </c>
      <c r="U159" s="29" t="s">
        <v>11</v>
      </c>
      <c r="V159" s="29" t="s">
        <v>11</v>
      </c>
      <c r="W159" s="29" t="s">
        <v>11</v>
      </c>
      <c r="X159" s="29" t="s">
        <v>11</v>
      </c>
      <c r="Y159" s="10" t="s">
        <v>11</v>
      </c>
      <c r="Z159" s="10" t="s">
        <v>11</v>
      </c>
      <c r="AA159" s="10" t="s">
        <v>11</v>
      </c>
      <c r="AB159" s="35" t="s">
        <v>11</v>
      </c>
      <c r="AC159" s="35" t="s">
        <v>11</v>
      </c>
      <c r="AD159" s="26"/>
      <c r="AE159" s="24">
        <f t="shared" si="6"/>
        <v>0</v>
      </c>
      <c r="AF159" s="24">
        <f t="shared" si="7"/>
        <v>0</v>
      </c>
      <c r="AG159" s="24">
        <f t="shared" si="8"/>
        <v>15</v>
      </c>
      <c r="AH159" s="41" t="str" cm="1">
        <f t="array" ref="AH159">_xlfn.IFS(
SUM(AE159:AG159)=0,"Not Started",
SUM(AE159:AG159)&lt;15,"In Progress",
SUM(AE159:AG159)=15,"Completed",
SUM(AE159:AG159)&gt;15,"Error"
)</f>
        <v>Completed</v>
      </c>
    </row>
    <row r="160" spans="1:34" ht="13" x14ac:dyDescent="0.25">
      <c r="A160" s="248"/>
      <c r="B160" s="14" t="s">
        <v>809</v>
      </c>
      <c r="C160" s="7" t="s">
        <v>3504</v>
      </c>
      <c r="D160" s="7" t="s">
        <v>3699</v>
      </c>
      <c r="E160" s="7" t="s">
        <v>51</v>
      </c>
      <c r="F160" s="7" t="s">
        <v>44</v>
      </c>
      <c r="G160" s="7" t="s">
        <v>3848</v>
      </c>
      <c r="H160" s="7" t="s">
        <v>3848</v>
      </c>
      <c r="I160" s="7"/>
      <c r="J160" s="7" t="s">
        <v>4109</v>
      </c>
      <c r="K160" s="7" t="s">
        <v>3882</v>
      </c>
      <c r="L160" s="7">
        <v>10020628405</v>
      </c>
      <c r="M160" s="7"/>
      <c r="N160" s="7"/>
      <c r="O160" s="29" t="s">
        <v>11</v>
      </c>
      <c r="P160" s="29" t="s">
        <v>11</v>
      </c>
      <c r="Q160" s="29" t="s">
        <v>11</v>
      </c>
      <c r="R160" s="29" t="s">
        <v>11</v>
      </c>
      <c r="S160" s="29" t="s">
        <v>11</v>
      </c>
      <c r="T160" s="29" t="s">
        <v>11</v>
      </c>
      <c r="U160" s="29" t="s">
        <v>11</v>
      </c>
      <c r="V160" s="29" t="s">
        <v>11</v>
      </c>
      <c r="W160" s="29" t="s">
        <v>11</v>
      </c>
      <c r="X160" s="29" t="s">
        <v>11</v>
      </c>
      <c r="Y160" s="10" t="s">
        <v>11</v>
      </c>
      <c r="Z160" s="10" t="s">
        <v>11</v>
      </c>
      <c r="AA160" s="10" t="s">
        <v>11</v>
      </c>
      <c r="AB160" s="180" t="s">
        <v>11</v>
      </c>
      <c r="AC160" s="35" t="s">
        <v>11</v>
      </c>
      <c r="AD160" s="26"/>
      <c r="AE160" s="24">
        <f t="shared" si="6"/>
        <v>0</v>
      </c>
      <c r="AF160" s="24">
        <f t="shared" si="7"/>
        <v>0</v>
      </c>
      <c r="AG160" s="24">
        <f t="shared" si="8"/>
        <v>15</v>
      </c>
      <c r="AH160" s="41" t="str" cm="1">
        <f t="array" ref="AH160">_xlfn.IFS(
SUM(AE160:AG160)=0,"Not Started",
SUM(AE160:AG160)&lt;15,"In Progress",
SUM(AE160:AG160)=15,"Completed",
SUM(AE160:AG160)&gt;15,"Error"
)</f>
        <v>Completed</v>
      </c>
    </row>
    <row r="161" spans="1:34" ht="13" x14ac:dyDescent="0.25">
      <c r="A161" s="248"/>
      <c r="B161" s="7" t="s">
        <v>810</v>
      </c>
      <c r="C161" s="7" t="s">
        <v>3505</v>
      </c>
      <c r="D161" s="7" t="s">
        <v>3700</v>
      </c>
      <c r="E161" s="7" t="s">
        <v>51</v>
      </c>
      <c r="F161" s="7" t="s">
        <v>44</v>
      </c>
      <c r="G161" s="7" t="s">
        <v>3848</v>
      </c>
      <c r="H161" s="7" t="s">
        <v>3848</v>
      </c>
      <c r="I161" s="7"/>
      <c r="J161" s="7" t="s">
        <v>4082</v>
      </c>
      <c r="K161" s="7" t="s">
        <v>3883</v>
      </c>
      <c r="L161" s="7">
        <v>10053181348</v>
      </c>
      <c r="M161" s="7"/>
      <c r="N161" s="7"/>
      <c r="O161" s="29" t="s">
        <v>11</v>
      </c>
      <c r="P161" s="29" t="s">
        <v>11</v>
      </c>
      <c r="Q161" s="29" t="s">
        <v>11</v>
      </c>
      <c r="R161" s="29" t="s">
        <v>11</v>
      </c>
      <c r="S161" s="29" t="s">
        <v>11</v>
      </c>
      <c r="T161" s="29" t="s">
        <v>11</v>
      </c>
      <c r="U161" s="29" t="s">
        <v>11</v>
      </c>
      <c r="V161" s="29" t="s">
        <v>11</v>
      </c>
      <c r="W161" s="29" t="s">
        <v>11</v>
      </c>
      <c r="X161" s="29" t="s">
        <v>11</v>
      </c>
      <c r="Y161" s="10" t="s">
        <v>11</v>
      </c>
      <c r="Z161" s="10" t="s">
        <v>11</v>
      </c>
      <c r="AA161" s="10" t="s">
        <v>11</v>
      </c>
      <c r="AB161" s="211" t="s">
        <v>11053</v>
      </c>
      <c r="AC161" s="35" t="s">
        <v>11</v>
      </c>
      <c r="AD161" s="26"/>
      <c r="AE161" s="24">
        <f t="shared" si="6"/>
        <v>0</v>
      </c>
      <c r="AF161" s="24">
        <f t="shared" si="7"/>
        <v>0</v>
      </c>
      <c r="AG161" s="24">
        <f t="shared" si="8"/>
        <v>14</v>
      </c>
      <c r="AH161" s="41" t="str" cm="1">
        <f t="array" ref="AH161">_xlfn.IFS(
SUM(AE161:AG161)=0,"Not Started",
SUM(AE161:AG161)&lt;15,"In Progress",
SUM(AE161:AG161)=15,"Completed",
SUM(AE161:AG161)&gt;15,"Error"
)</f>
        <v>In Progress</v>
      </c>
    </row>
    <row r="162" spans="1:34" ht="13" x14ac:dyDescent="0.25">
      <c r="A162" s="248"/>
      <c r="B162" s="14" t="s">
        <v>811</v>
      </c>
      <c r="C162" s="7" t="s">
        <v>3506</v>
      </c>
      <c r="D162" s="7" t="s">
        <v>3701</v>
      </c>
      <c r="E162" s="7" t="s">
        <v>47</v>
      </c>
      <c r="F162" s="7" t="s">
        <v>44</v>
      </c>
      <c r="G162" s="7" t="s">
        <v>3848</v>
      </c>
      <c r="H162" s="7" t="s">
        <v>3848</v>
      </c>
      <c r="I162" s="7"/>
      <c r="J162" s="7" t="s">
        <v>4081</v>
      </c>
      <c r="K162" s="7" t="s">
        <v>3884</v>
      </c>
      <c r="L162" s="7">
        <v>10053236375</v>
      </c>
      <c r="M162" s="7"/>
      <c r="N162" s="7"/>
      <c r="O162" s="179" t="s">
        <v>11</v>
      </c>
      <c r="P162" s="179" t="s">
        <v>11</v>
      </c>
      <c r="Q162" s="179" t="s">
        <v>11</v>
      </c>
      <c r="R162" s="179" t="s">
        <v>11</v>
      </c>
      <c r="S162" s="179" t="s">
        <v>11</v>
      </c>
      <c r="T162" s="179" t="s">
        <v>11</v>
      </c>
      <c r="U162" s="179" t="s">
        <v>11</v>
      </c>
      <c r="V162" s="179" t="s">
        <v>11</v>
      </c>
      <c r="W162" s="179" t="s">
        <v>11</v>
      </c>
      <c r="X162" s="179" t="s">
        <v>11</v>
      </c>
      <c r="Y162" s="139" t="s">
        <v>11</v>
      </c>
      <c r="Z162" s="139" t="s">
        <v>11</v>
      </c>
      <c r="AA162" s="139" t="s">
        <v>11</v>
      </c>
      <c r="AB162" s="180" t="s">
        <v>11</v>
      </c>
      <c r="AC162" s="35" t="s">
        <v>11</v>
      </c>
      <c r="AD162" s="26"/>
      <c r="AE162" s="24">
        <f t="shared" si="6"/>
        <v>0</v>
      </c>
      <c r="AF162" s="24">
        <f t="shared" si="7"/>
        <v>0</v>
      </c>
      <c r="AG162" s="24">
        <f t="shared" si="8"/>
        <v>15</v>
      </c>
      <c r="AH162" s="41" t="str" cm="1">
        <f t="array" ref="AH162">_xlfn.IFS(
SUM(AE162:AG162)=0,"Not Started",
SUM(AE162:AG162)&lt;15,"In Progress",
SUM(AE162:AG162)=15,"Completed",
SUM(AE162:AG162)&gt;15,"Error"
)</f>
        <v>Completed</v>
      </c>
    </row>
    <row r="163" spans="1:34" ht="13" x14ac:dyDescent="0.25">
      <c r="A163" s="248"/>
      <c r="B163" s="7" t="s">
        <v>812</v>
      </c>
      <c r="C163" s="7" t="s">
        <v>3507</v>
      </c>
      <c r="D163" s="7" t="s">
        <v>3702</v>
      </c>
      <c r="E163" s="7" t="s">
        <v>51</v>
      </c>
      <c r="F163" s="7" t="s">
        <v>44</v>
      </c>
      <c r="G163" s="7" t="s">
        <v>3848</v>
      </c>
      <c r="H163" s="7" t="s">
        <v>3848</v>
      </c>
      <c r="I163" s="7"/>
      <c r="J163" s="7" t="s">
        <v>4119</v>
      </c>
      <c r="K163" s="7" t="s">
        <v>3885</v>
      </c>
      <c r="L163" s="7">
        <v>10053204596</v>
      </c>
      <c r="M163" s="7"/>
      <c r="N163" s="7"/>
      <c r="O163" s="29" t="s">
        <v>11</v>
      </c>
      <c r="P163" s="29" t="s">
        <v>11</v>
      </c>
      <c r="Q163" s="29" t="s">
        <v>11</v>
      </c>
      <c r="R163" s="29" t="s">
        <v>11</v>
      </c>
      <c r="S163" s="29" t="s">
        <v>11</v>
      </c>
      <c r="T163" s="29" t="s">
        <v>11</v>
      </c>
      <c r="U163" s="29" t="s">
        <v>11</v>
      </c>
      <c r="V163" s="29" t="s">
        <v>11</v>
      </c>
      <c r="W163" s="29" t="s">
        <v>11</v>
      </c>
      <c r="X163" s="29" t="s">
        <v>11</v>
      </c>
      <c r="Y163" s="210" t="s">
        <v>10362</v>
      </c>
      <c r="Z163" s="210" t="s">
        <v>10362</v>
      </c>
      <c r="AA163" s="210" t="s">
        <v>10362</v>
      </c>
      <c r="AB163" s="180" t="s">
        <v>11</v>
      </c>
      <c r="AC163" s="35" t="s">
        <v>11</v>
      </c>
      <c r="AD163" s="26"/>
      <c r="AE163" s="24">
        <f t="shared" si="6"/>
        <v>0</v>
      </c>
      <c r="AF163" s="24">
        <f t="shared" si="7"/>
        <v>0</v>
      </c>
      <c r="AG163" s="24">
        <f t="shared" si="8"/>
        <v>12</v>
      </c>
      <c r="AH163" s="41" t="str" cm="1">
        <f t="array" ref="AH163">_xlfn.IFS(
SUM(AE163:AG163)=0,"Not Started",
SUM(AE163:AG163)&lt;15,"In Progress",
SUM(AE163:AG163)=15,"Completed",
SUM(AE163:AG163)&gt;15,"Error"
)</f>
        <v>In Progress</v>
      </c>
    </row>
    <row r="164" spans="1:34" ht="13" x14ac:dyDescent="0.25">
      <c r="A164" s="248"/>
      <c r="B164" s="14" t="s">
        <v>813</v>
      </c>
      <c r="C164" s="7" t="s">
        <v>3508</v>
      </c>
      <c r="D164" s="7" t="s">
        <v>3703</v>
      </c>
      <c r="E164" s="7" t="s">
        <v>43</v>
      </c>
      <c r="F164" s="7" t="s">
        <v>44</v>
      </c>
      <c r="G164" s="7" t="s">
        <v>3848</v>
      </c>
      <c r="H164" s="7" t="s">
        <v>3848</v>
      </c>
      <c r="I164" s="7"/>
      <c r="J164" s="7" t="s">
        <v>4182</v>
      </c>
      <c r="K164" s="7" t="s">
        <v>3886</v>
      </c>
      <c r="L164" s="7" t="s">
        <v>3886</v>
      </c>
      <c r="M164" s="7"/>
      <c r="N164" s="7"/>
      <c r="O164" s="29" t="s">
        <v>11</v>
      </c>
      <c r="P164" s="29" t="s">
        <v>11</v>
      </c>
      <c r="Q164" s="29" t="s">
        <v>11</v>
      </c>
      <c r="R164" s="29" t="s">
        <v>11</v>
      </c>
      <c r="S164" s="29" t="s">
        <v>11</v>
      </c>
      <c r="T164" s="29" t="s">
        <v>11</v>
      </c>
      <c r="U164" s="29" t="s">
        <v>11</v>
      </c>
      <c r="V164" s="29" t="s">
        <v>11</v>
      </c>
      <c r="W164" s="29" t="s">
        <v>11</v>
      </c>
      <c r="X164" s="29" t="s">
        <v>11</v>
      </c>
      <c r="Y164" s="10" t="s">
        <v>11</v>
      </c>
      <c r="Z164" s="10" t="s">
        <v>11</v>
      </c>
      <c r="AA164" s="10" t="s">
        <v>11</v>
      </c>
      <c r="AB164" s="180" t="s">
        <v>11</v>
      </c>
      <c r="AC164" s="210" t="s">
        <v>10362</v>
      </c>
      <c r="AD164" s="26"/>
      <c r="AE164" s="24">
        <f t="shared" si="6"/>
        <v>0</v>
      </c>
      <c r="AF164" s="24">
        <f t="shared" si="7"/>
        <v>0</v>
      </c>
      <c r="AG164" s="24">
        <f t="shared" si="8"/>
        <v>14</v>
      </c>
      <c r="AH164" s="41" t="str" cm="1">
        <f t="array" ref="AH164">_xlfn.IFS(
SUM(AE164:AG164)=0,"Not Started",
SUM(AE164:AG164)&lt;15,"In Progress",
SUM(AE164:AG164)=15,"Completed",
SUM(AE164:AG164)&gt;15,"Error"
)</f>
        <v>In Progress</v>
      </c>
    </row>
    <row r="165" spans="1:34" ht="13" x14ac:dyDescent="0.25">
      <c r="A165" s="248"/>
      <c r="B165" s="7" t="s">
        <v>814</v>
      </c>
      <c r="C165" s="7" t="s">
        <v>3509</v>
      </c>
      <c r="D165" s="7" t="s">
        <v>3704</v>
      </c>
      <c r="E165" s="7" t="s">
        <v>47</v>
      </c>
      <c r="F165" s="7" t="s">
        <v>44</v>
      </c>
      <c r="G165" s="7" t="s">
        <v>3848</v>
      </c>
      <c r="H165" s="7" t="s">
        <v>3848</v>
      </c>
      <c r="I165" s="7"/>
      <c r="J165" s="7" t="s">
        <v>4163</v>
      </c>
      <c r="K165" s="7" t="s">
        <v>3887</v>
      </c>
      <c r="L165" s="7">
        <v>10053630300</v>
      </c>
      <c r="M165" s="7"/>
      <c r="N165" s="7"/>
      <c r="O165" s="29" t="s">
        <v>11</v>
      </c>
      <c r="P165" s="29" t="s">
        <v>11</v>
      </c>
      <c r="Q165" s="29" t="s">
        <v>11</v>
      </c>
      <c r="R165" s="29" t="s">
        <v>11</v>
      </c>
      <c r="S165" s="29" t="s">
        <v>11</v>
      </c>
      <c r="T165" s="29" t="s">
        <v>11</v>
      </c>
      <c r="U165" s="29" t="s">
        <v>11</v>
      </c>
      <c r="V165" s="29" t="s">
        <v>11</v>
      </c>
      <c r="W165" s="29" t="s">
        <v>11</v>
      </c>
      <c r="X165" s="29" t="s">
        <v>11</v>
      </c>
      <c r="Y165" s="10" t="s">
        <v>11</v>
      </c>
      <c r="Z165" s="10" t="s">
        <v>11</v>
      </c>
      <c r="AA165" s="10" t="s">
        <v>11</v>
      </c>
      <c r="AB165" s="180" t="s">
        <v>11</v>
      </c>
      <c r="AC165" s="35" t="s">
        <v>11</v>
      </c>
      <c r="AD165" s="26"/>
      <c r="AE165" s="24">
        <f t="shared" si="6"/>
        <v>0</v>
      </c>
      <c r="AF165" s="24">
        <f t="shared" si="7"/>
        <v>0</v>
      </c>
      <c r="AG165" s="24">
        <f t="shared" si="8"/>
        <v>15</v>
      </c>
      <c r="AH165" s="41" t="str" cm="1">
        <f t="array" ref="AH165">_xlfn.IFS(
SUM(AE165:AG165)=0,"Not Started",
SUM(AE165:AG165)&lt;15,"In Progress",
SUM(AE165:AG165)=15,"Completed",
SUM(AE165:AG165)&gt;15,"Error"
)</f>
        <v>Completed</v>
      </c>
    </row>
    <row r="166" spans="1:34" ht="13" x14ac:dyDescent="0.25">
      <c r="A166" s="248"/>
      <c r="B166" s="14" t="s">
        <v>815</v>
      </c>
      <c r="C166" s="7" t="s">
        <v>3511</v>
      </c>
      <c r="D166" s="7" t="s">
        <v>3706</v>
      </c>
      <c r="E166" s="7" t="s">
        <v>51</v>
      </c>
      <c r="F166" s="7" t="s">
        <v>44</v>
      </c>
      <c r="G166" s="7" t="s">
        <v>3848</v>
      </c>
      <c r="H166" s="7" t="s">
        <v>3848</v>
      </c>
      <c r="I166" s="7"/>
      <c r="J166" s="7" t="s">
        <v>4002</v>
      </c>
      <c r="K166" s="7" t="s">
        <v>3889</v>
      </c>
      <c r="L166" s="7">
        <v>10053574050</v>
      </c>
      <c r="M166" s="7"/>
      <c r="N166" s="7"/>
      <c r="O166" s="29" t="s">
        <v>11</v>
      </c>
      <c r="P166" s="29" t="s">
        <v>11</v>
      </c>
      <c r="Q166" s="29" t="s">
        <v>11</v>
      </c>
      <c r="R166" s="29" t="s">
        <v>11</v>
      </c>
      <c r="S166" s="29" t="s">
        <v>11</v>
      </c>
      <c r="T166" s="29" t="s">
        <v>11</v>
      </c>
      <c r="U166" s="29" t="s">
        <v>11</v>
      </c>
      <c r="V166" s="29" t="s">
        <v>11</v>
      </c>
      <c r="W166" s="29" t="s">
        <v>11</v>
      </c>
      <c r="X166" s="29" t="s">
        <v>11</v>
      </c>
      <c r="Y166" s="10" t="s">
        <v>11</v>
      </c>
      <c r="Z166" s="10" t="s">
        <v>11</v>
      </c>
      <c r="AA166" s="10" t="s">
        <v>11</v>
      </c>
      <c r="AB166" s="180" t="s">
        <v>11</v>
      </c>
      <c r="AC166" s="35" t="s">
        <v>11</v>
      </c>
      <c r="AD166" s="26"/>
      <c r="AE166" s="24">
        <f t="shared" si="6"/>
        <v>0</v>
      </c>
      <c r="AF166" s="24">
        <f t="shared" si="7"/>
        <v>0</v>
      </c>
      <c r="AG166" s="24">
        <f t="shared" si="8"/>
        <v>15</v>
      </c>
      <c r="AH166" s="41" t="str" cm="1">
        <f t="array" ref="AH166">_xlfn.IFS(
SUM(AE166:AG166)=0,"Not Started",
SUM(AE166:AG166)&lt;15,"In Progress",
SUM(AE166:AG166)=15,"Completed",
SUM(AE166:AG166)&gt;15,"Error"
)</f>
        <v>Completed</v>
      </c>
    </row>
    <row r="167" spans="1:34" ht="13" x14ac:dyDescent="0.25">
      <c r="A167" s="248"/>
      <c r="B167" s="7" t="s">
        <v>816</v>
      </c>
      <c r="C167" s="7" t="s">
        <v>3513</v>
      </c>
      <c r="D167" s="7" t="s">
        <v>3709</v>
      </c>
      <c r="E167" s="7" t="s">
        <v>43</v>
      </c>
      <c r="F167" s="7" t="s">
        <v>44</v>
      </c>
      <c r="G167" s="7" t="s">
        <v>3848</v>
      </c>
      <c r="H167" s="7" t="s">
        <v>3848</v>
      </c>
      <c r="I167" s="7"/>
      <c r="J167" s="7" t="s">
        <v>4001</v>
      </c>
      <c r="K167" s="7" t="s">
        <v>3892</v>
      </c>
      <c r="L167" s="7">
        <v>10103014371</v>
      </c>
      <c r="M167" s="7"/>
      <c r="N167" s="7"/>
      <c r="O167" s="29" t="s">
        <v>11</v>
      </c>
      <c r="P167" s="29" t="s">
        <v>11</v>
      </c>
      <c r="Q167" s="29" t="s">
        <v>11</v>
      </c>
      <c r="R167" s="29" t="s">
        <v>11</v>
      </c>
      <c r="S167" s="29" t="s">
        <v>11</v>
      </c>
      <c r="T167" s="29" t="s">
        <v>11</v>
      </c>
      <c r="U167" s="29" t="s">
        <v>11</v>
      </c>
      <c r="V167" s="29" t="s">
        <v>11</v>
      </c>
      <c r="W167" s="29" t="s">
        <v>11</v>
      </c>
      <c r="X167" s="29" t="s">
        <v>11</v>
      </c>
      <c r="Y167" s="10" t="s">
        <v>11</v>
      </c>
      <c r="Z167" s="10" t="s">
        <v>11</v>
      </c>
      <c r="AA167" s="10" t="s">
        <v>11</v>
      </c>
      <c r="AB167" s="180" t="s">
        <v>11</v>
      </c>
      <c r="AC167" s="35" t="s">
        <v>11</v>
      </c>
      <c r="AD167" s="26"/>
      <c r="AE167" s="24">
        <f t="shared" si="6"/>
        <v>0</v>
      </c>
      <c r="AF167" s="24">
        <f t="shared" si="7"/>
        <v>0</v>
      </c>
      <c r="AG167" s="24">
        <f t="shared" si="8"/>
        <v>15</v>
      </c>
      <c r="AH167" s="41" t="str" cm="1">
        <f t="array" ref="AH167">_xlfn.IFS(
SUM(AE167:AG167)=0,"Not Started",
SUM(AE167:AG167)&lt;15,"In Progress",
SUM(AE167:AG167)=15,"Completed",
SUM(AE167:AG167)&gt;15,"Error"
)</f>
        <v>Completed</v>
      </c>
    </row>
    <row r="168" spans="1:34" ht="13" x14ac:dyDescent="0.25">
      <c r="A168" s="248"/>
      <c r="B168" s="14" t="s">
        <v>817</v>
      </c>
      <c r="C168" s="7" t="s">
        <v>3514</v>
      </c>
      <c r="D168" s="7" t="s">
        <v>3710</v>
      </c>
      <c r="E168" s="7" t="s">
        <v>43</v>
      </c>
      <c r="F168" s="7" t="s">
        <v>44</v>
      </c>
      <c r="G168" s="7" t="s">
        <v>3848</v>
      </c>
      <c r="H168" s="7" t="s">
        <v>3848</v>
      </c>
      <c r="I168" s="7"/>
      <c r="J168" s="7" t="s">
        <v>3998</v>
      </c>
      <c r="K168" s="7" t="s">
        <v>3893</v>
      </c>
      <c r="L168" s="7">
        <v>10053694254</v>
      </c>
      <c r="M168" s="7"/>
      <c r="N168" s="7"/>
      <c r="O168" s="29" t="s">
        <v>11</v>
      </c>
      <c r="P168" s="29" t="s">
        <v>11</v>
      </c>
      <c r="Q168" s="29" t="s">
        <v>11</v>
      </c>
      <c r="R168" s="29" t="s">
        <v>11</v>
      </c>
      <c r="S168" s="29" t="s">
        <v>11</v>
      </c>
      <c r="T168" s="29" t="s">
        <v>11</v>
      </c>
      <c r="U168" s="29" t="s">
        <v>11</v>
      </c>
      <c r="V168" s="29" t="s">
        <v>11</v>
      </c>
      <c r="W168" s="29" t="s">
        <v>11</v>
      </c>
      <c r="X168" s="29" t="s">
        <v>11</v>
      </c>
      <c r="Y168" s="10" t="s">
        <v>11</v>
      </c>
      <c r="Z168" s="10" t="s">
        <v>11</v>
      </c>
      <c r="AA168" s="10" t="s">
        <v>11</v>
      </c>
      <c r="AB168" s="180" t="s">
        <v>11</v>
      </c>
      <c r="AC168" s="35" t="s">
        <v>11</v>
      </c>
      <c r="AD168" s="26"/>
      <c r="AE168" s="24">
        <f t="shared" si="6"/>
        <v>0</v>
      </c>
      <c r="AF168" s="24">
        <f t="shared" si="7"/>
        <v>0</v>
      </c>
      <c r="AG168" s="24">
        <f t="shared" si="8"/>
        <v>15</v>
      </c>
      <c r="AH168" s="41" t="str" cm="1">
        <f t="array" ref="AH168">_xlfn.IFS(
SUM(AE168:AG168)=0,"Not Started",
SUM(AE168:AG168)&lt;15,"In Progress",
SUM(AE168:AG168)=15,"Completed",
SUM(AE168:AG168)&gt;15,"Error"
)</f>
        <v>Completed</v>
      </c>
    </row>
    <row r="169" spans="1:34" ht="13" x14ac:dyDescent="0.25">
      <c r="A169" s="248"/>
      <c r="B169" s="7" t="s">
        <v>818</v>
      </c>
      <c r="C169" s="7" t="s">
        <v>3515</v>
      </c>
      <c r="D169" s="7" t="s">
        <v>3712</v>
      </c>
      <c r="E169" s="7" t="s">
        <v>51</v>
      </c>
      <c r="F169" s="7" t="s">
        <v>44</v>
      </c>
      <c r="G169" s="7" t="s">
        <v>3848</v>
      </c>
      <c r="H169" s="7" t="s">
        <v>3848</v>
      </c>
      <c r="I169" s="7"/>
      <c r="J169" s="7" t="s">
        <v>4030</v>
      </c>
      <c r="K169" s="7" t="s">
        <v>3895</v>
      </c>
      <c r="L169" s="7">
        <v>10053631049</v>
      </c>
      <c r="M169" s="7"/>
      <c r="N169" s="7"/>
      <c r="O169" s="29" t="s">
        <v>11</v>
      </c>
      <c r="P169" s="29" t="s">
        <v>11</v>
      </c>
      <c r="Q169" s="29" t="s">
        <v>11</v>
      </c>
      <c r="R169" s="29" t="s">
        <v>11</v>
      </c>
      <c r="S169" s="29" t="s">
        <v>11</v>
      </c>
      <c r="T169" s="29" t="s">
        <v>11</v>
      </c>
      <c r="U169" s="29" t="s">
        <v>11</v>
      </c>
      <c r="V169" s="29" t="s">
        <v>11</v>
      </c>
      <c r="W169" s="29" t="s">
        <v>11</v>
      </c>
      <c r="X169" s="29" t="s">
        <v>11</v>
      </c>
      <c r="Y169" s="10" t="s">
        <v>11</v>
      </c>
      <c r="Z169" s="10" t="s">
        <v>11</v>
      </c>
      <c r="AA169" s="10" t="s">
        <v>11</v>
      </c>
      <c r="AB169" s="180" t="s">
        <v>11</v>
      </c>
      <c r="AC169" s="35" t="s">
        <v>11</v>
      </c>
      <c r="AD169" s="26"/>
      <c r="AE169" s="24">
        <f t="shared" si="6"/>
        <v>0</v>
      </c>
      <c r="AF169" s="24">
        <f t="shared" si="7"/>
        <v>0</v>
      </c>
      <c r="AG169" s="24">
        <f t="shared" si="8"/>
        <v>15</v>
      </c>
      <c r="AH169" s="41" t="str" cm="1">
        <f t="array" ref="AH169">_xlfn.IFS(
SUM(AE169:AG169)=0,"Not Started",
SUM(AE169:AG169)&lt;15,"In Progress",
SUM(AE169:AG169)=15,"Completed",
SUM(AE169:AG169)&gt;15,"Error"
)</f>
        <v>Completed</v>
      </c>
    </row>
    <row r="170" spans="1:34" ht="13" x14ac:dyDescent="0.25">
      <c r="A170" s="248"/>
      <c r="B170" s="14" t="s">
        <v>819</v>
      </c>
      <c r="C170" s="7" t="s">
        <v>3517</v>
      </c>
      <c r="D170" s="7" t="s">
        <v>3714</v>
      </c>
      <c r="E170" s="7" t="s">
        <v>51</v>
      </c>
      <c r="F170" s="7" t="s">
        <v>44</v>
      </c>
      <c r="G170" s="7" t="s">
        <v>3848</v>
      </c>
      <c r="H170" s="7" t="s">
        <v>3848</v>
      </c>
      <c r="I170" s="7"/>
      <c r="J170" s="7" t="s">
        <v>4031</v>
      </c>
      <c r="K170" s="7" t="s">
        <v>3897</v>
      </c>
      <c r="L170" s="7">
        <v>10053573901</v>
      </c>
      <c r="M170" s="7"/>
      <c r="N170" s="7"/>
      <c r="O170" s="29" t="s">
        <v>11</v>
      </c>
      <c r="P170" s="29" t="s">
        <v>11</v>
      </c>
      <c r="Q170" s="29" t="s">
        <v>11</v>
      </c>
      <c r="R170" s="29" t="s">
        <v>11</v>
      </c>
      <c r="S170" s="29" t="s">
        <v>11</v>
      </c>
      <c r="T170" s="29" t="s">
        <v>11</v>
      </c>
      <c r="U170" s="29" t="s">
        <v>11</v>
      </c>
      <c r="V170" s="29" t="s">
        <v>11</v>
      </c>
      <c r="W170" s="29" t="s">
        <v>11</v>
      </c>
      <c r="X170" s="29" t="s">
        <v>11</v>
      </c>
      <c r="Y170" s="10" t="s">
        <v>11</v>
      </c>
      <c r="Z170" s="10" t="s">
        <v>11</v>
      </c>
      <c r="AA170" s="10" t="s">
        <v>11</v>
      </c>
      <c r="AB170" s="180" t="s">
        <v>11</v>
      </c>
      <c r="AC170" s="35" t="s">
        <v>11</v>
      </c>
      <c r="AD170" s="26"/>
      <c r="AE170" s="24">
        <f t="shared" si="6"/>
        <v>0</v>
      </c>
      <c r="AF170" s="24">
        <f t="shared" si="7"/>
        <v>0</v>
      </c>
      <c r="AG170" s="24">
        <f t="shared" si="8"/>
        <v>15</v>
      </c>
      <c r="AH170" s="41" t="str" cm="1">
        <f t="array" ref="AH170">_xlfn.IFS(
SUM(AE170:AG170)=0,"Not Started",
SUM(AE170:AG170)&lt;15,"In Progress",
SUM(AE170:AG170)=15,"Completed",
SUM(AE170:AG170)&gt;15,"Error"
)</f>
        <v>Completed</v>
      </c>
    </row>
    <row r="171" spans="1:34" ht="13" x14ac:dyDescent="0.25">
      <c r="A171" s="248"/>
      <c r="B171" s="7" t="s">
        <v>820</v>
      </c>
      <c r="C171" s="7" t="s">
        <v>3521</v>
      </c>
      <c r="D171" s="7" t="s">
        <v>3718</v>
      </c>
      <c r="E171" s="7" t="s">
        <v>51</v>
      </c>
      <c r="F171" s="7" t="s">
        <v>48</v>
      </c>
      <c r="G171" s="7" t="s">
        <v>3848</v>
      </c>
      <c r="H171" s="7" t="s">
        <v>3848</v>
      </c>
      <c r="I171" s="7"/>
      <c r="J171" s="7" t="s">
        <v>3997</v>
      </c>
      <c r="K171" s="7" t="s">
        <v>3900</v>
      </c>
      <c r="L171" s="7">
        <v>10053315183</v>
      </c>
      <c r="M171" s="7"/>
      <c r="N171" s="7"/>
      <c r="O171" s="29" t="s">
        <v>11</v>
      </c>
      <c r="P171" s="29" t="s">
        <v>11</v>
      </c>
      <c r="Q171" s="29" t="s">
        <v>11</v>
      </c>
      <c r="R171" s="29" t="s">
        <v>11</v>
      </c>
      <c r="S171" s="29" t="s">
        <v>11</v>
      </c>
      <c r="T171" s="29" t="s">
        <v>11</v>
      </c>
      <c r="U171" s="29" t="s">
        <v>11</v>
      </c>
      <c r="V171" s="29" t="s">
        <v>11</v>
      </c>
      <c r="W171" s="29" t="s">
        <v>11</v>
      </c>
      <c r="X171" s="29" t="s">
        <v>11</v>
      </c>
      <c r="Y171" s="10" t="s">
        <v>11</v>
      </c>
      <c r="Z171" s="10" t="s">
        <v>11</v>
      </c>
      <c r="AA171" s="10" t="s">
        <v>11</v>
      </c>
      <c r="AB171" s="180" t="s">
        <v>11</v>
      </c>
      <c r="AC171" s="35" t="s">
        <v>11</v>
      </c>
      <c r="AD171" s="26"/>
      <c r="AE171" s="24">
        <f t="shared" si="6"/>
        <v>0</v>
      </c>
      <c r="AF171" s="24">
        <f t="shared" si="7"/>
        <v>0</v>
      </c>
      <c r="AG171" s="24">
        <f t="shared" si="8"/>
        <v>15</v>
      </c>
      <c r="AH171" s="41" t="str" cm="1">
        <f t="array" ref="AH171">_xlfn.IFS(
SUM(AE171:AG171)=0,"Not Started",
SUM(AE171:AG171)&lt;15,"In Progress",
SUM(AE171:AG171)=15,"Completed",
SUM(AE171:AG171)&gt;15,"Error"
)</f>
        <v>Completed</v>
      </c>
    </row>
    <row r="172" spans="1:34" ht="13" x14ac:dyDescent="0.25">
      <c r="A172" s="248"/>
      <c r="B172" s="14" t="s">
        <v>821</v>
      </c>
      <c r="C172" s="7" t="s">
        <v>3522</v>
      </c>
      <c r="D172" s="7" t="s">
        <v>3719</v>
      </c>
      <c r="E172" s="7" t="s">
        <v>43</v>
      </c>
      <c r="F172" s="7" t="s">
        <v>44</v>
      </c>
      <c r="G172" s="7" t="s">
        <v>3848</v>
      </c>
      <c r="H172" s="7" t="s">
        <v>3848</v>
      </c>
      <c r="I172" s="7"/>
      <c r="J172" s="7" t="s">
        <v>4058</v>
      </c>
      <c r="K172" s="7" t="s">
        <v>3901</v>
      </c>
      <c r="L172" s="7">
        <v>10053236956</v>
      </c>
      <c r="M172" s="7"/>
      <c r="N172" s="7"/>
      <c r="O172" s="29" t="s">
        <v>11</v>
      </c>
      <c r="P172" s="29" t="s">
        <v>11</v>
      </c>
      <c r="Q172" s="29" t="s">
        <v>11</v>
      </c>
      <c r="R172" s="29" t="s">
        <v>11</v>
      </c>
      <c r="S172" s="29" t="s">
        <v>11</v>
      </c>
      <c r="T172" s="29" t="s">
        <v>11</v>
      </c>
      <c r="U172" s="29" t="s">
        <v>11</v>
      </c>
      <c r="V172" s="29" t="s">
        <v>11</v>
      </c>
      <c r="W172" s="29" t="s">
        <v>11</v>
      </c>
      <c r="X172" s="29" t="s">
        <v>11</v>
      </c>
      <c r="Y172" s="10" t="s">
        <v>11</v>
      </c>
      <c r="Z172" s="10" t="s">
        <v>11</v>
      </c>
      <c r="AA172" s="10" t="s">
        <v>11</v>
      </c>
      <c r="AB172" s="180" t="s">
        <v>11</v>
      </c>
      <c r="AC172" s="35" t="s">
        <v>11</v>
      </c>
      <c r="AD172" s="26"/>
      <c r="AE172" s="24">
        <f t="shared" si="6"/>
        <v>0</v>
      </c>
      <c r="AF172" s="24">
        <f t="shared" si="7"/>
        <v>0</v>
      </c>
      <c r="AG172" s="24">
        <f t="shared" si="8"/>
        <v>15</v>
      </c>
      <c r="AH172" s="41" t="str" cm="1">
        <f t="array" ref="AH172">_xlfn.IFS(
SUM(AE172:AG172)=0,"Not Started",
SUM(AE172:AG172)&lt;15,"In Progress",
SUM(AE172:AG172)=15,"Completed",
SUM(AE172:AG172)&gt;15,"Error"
)</f>
        <v>Completed</v>
      </c>
    </row>
    <row r="173" spans="1:34" ht="13" x14ac:dyDescent="0.25">
      <c r="A173" s="248"/>
      <c r="B173" s="7" t="s">
        <v>822</v>
      </c>
      <c r="C173" s="7" t="s">
        <v>3523</v>
      </c>
      <c r="D173" s="7" t="s">
        <v>3720</v>
      </c>
      <c r="E173" s="7" t="s">
        <v>47</v>
      </c>
      <c r="F173" s="7" t="s">
        <v>44</v>
      </c>
      <c r="G173" s="7" t="s">
        <v>3848</v>
      </c>
      <c r="H173" s="7" t="s">
        <v>3848</v>
      </c>
      <c r="I173" s="7"/>
      <c r="J173" s="7" t="s">
        <v>4125</v>
      </c>
      <c r="K173" s="7" t="s">
        <v>3902</v>
      </c>
      <c r="L173" s="7">
        <v>10053181811</v>
      </c>
      <c r="M173" s="7"/>
      <c r="N173" s="7"/>
      <c r="O173" s="29" t="s">
        <v>11</v>
      </c>
      <c r="P173" s="29" t="s">
        <v>11</v>
      </c>
      <c r="Q173" s="29" t="s">
        <v>11</v>
      </c>
      <c r="R173" s="29" t="s">
        <v>11</v>
      </c>
      <c r="S173" s="29" t="s">
        <v>11</v>
      </c>
      <c r="T173" s="29" t="s">
        <v>11</v>
      </c>
      <c r="U173" s="29" t="s">
        <v>11</v>
      </c>
      <c r="V173" s="29" t="s">
        <v>11</v>
      </c>
      <c r="W173" s="29" t="s">
        <v>11</v>
      </c>
      <c r="X173" s="29" t="s">
        <v>11</v>
      </c>
      <c r="Y173" s="10" t="s">
        <v>11</v>
      </c>
      <c r="Z173" s="10" t="s">
        <v>11</v>
      </c>
      <c r="AA173" s="10" t="s">
        <v>11</v>
      </c>
      <c r="AB173" s="180" t="s">
        <v>11</v>
      </c>
      <c r="AC173" s="35" t="s">
        <v>11</v>
      </c>
      <c r="AD173" s="26"/>
      <c r="AE173" s="24">
        <f t="shared" si="6"/>
        <v>0</v>
      </c>
      <c r="AF173" s="24">
        <f t="shared" si="7"/>
        <v>0</v>
      </c>
      <c r="AG173" s="24">
        <f t="shared" si="8"/>
        <v>15</v>
      </c>
      <c r="AH173" s="41" t="str" cm="1">
        <f t="array" ref="AH173">_xlfn.IFS(
SUM(AE173:AG173)=0,"Not Started",
SUM(AE173:AG173)&lt;15,"In Progress",
SUM(AE173:AG173)=15,"Completed",
SUM(AE173:AG173)&gt;15,"Error"
)</f>
        <v>Completed</v>
      </c>
    </row>
    <row r="174" spans="1:34" ht="13" x14ac:dyDescent="0.25">
      <c r="A174" s="248"/>
      <c r="B174" s="14" t="s">
        <v>823</v>
      </c>
      <c r="C174" s="7" t="s">
        <v>3524</v>
      </c>
      <c r="D174" s="7" t="s">
        <v>3721</v>
      </c>
      <c r="E174" s="7" t="s">
        <v>43</v>
      </c>
      <c r="F174" s="7" t="s">
        <v>44</v>
      </c>
      <c r="G174" s="7" t="s">
        <v>3848</v>
      </c>
      <c r="H174" s="7" t="s">
        <v>3848</v>
      </c>
      <c r="I174" s="7"/>
      <c r="J174" s="7" t="s">
        <v>4149</v>
      </c>
      <c r="K174" s="7" t="s">
        <v>3903</v>
      </c>
      <c r="L174" s="7">
        <v>10053236581</v>
      </c>
      <c r="M174" s="7"/>
      <c r="N174" s="7"/>
      <c r="O174" s="29" t="s">
        <v>11</v>
      </c>
      <c r="P174" s="29" t="s">
        <v>11</v>
      </c>
      <c r="Q174" s="29" t="s">
        <v>11</v>
      </c>
      <c r="R174" s="29" t="s">
        <v>11</v>
      </c>
      <c r="S174" s="29" t="s">
        <v>11</v>
      </c>
      <c r="T174" s="29" t="s">
        <v>11</v>
      </c>
      <c r="U174" s="29" t="s">
        <v>11</v>
      </c>
      <c r="V174" s="29" t="s">
        <v>11</v>
      </c>
      <c r="W174" s="29" t="s">
        <v>11</v>
      </c>
      <c r="X174" s="29" t="s">
        <v>11</v>
      </c>
      <c r="Y174" s="10" t="s">
        <v>11</v>
      </c>
      <c r="Z174" s="10" t="s">
        <v>11</v>
      </c>
      <c r="AA174" s="10" t="s">
        <v>11</v>
      </c>
      <c r="AB174" s="211" t="s">
        <v>11053</v>
      </c>
      <c r="AC174" s="35" t="s">
        <v>11</v>
      </c>
      <c r="AD174" s="26"/>
      <c r="AE174" s="24">
        <f t="shared" si="6"/>
        <v>0</v>
      </c>
      <c r="AF174" s="24">
        <f t="shared" si="7"/>
        <v>0</v>
      </c>
      <c r="AG174" s="24">
        <f t="shared" si="8"/>
        <v>14</v>
      </c>
      <c r="AH174" s="41" t="str" cm="1">
        <f t="array" ref="AH174">_xlfn.IFS(
SUM(AE174:AG174)=0,"Not Started",
SUM(AE174:AG174)&lt;15,"In Progress",
SUM(AE174:AG174)=15,"Completed",
SUM(AE174:AG174)&gt;15,"Error"
)</f>
        <v>In Progress</v>
      </c>
    </row>
    <row r="175" spans="1:34" ht="13" x14ac:dyDescent="0.25">
      <c r="A175" s="248"/>
      <c r="B175" s="7" t="s">
        <v>824</v>
      </c>
      <c r="C175" s="7" t="s">
        <v>3525</v>
      </c>
      <c r="D175" s="7" t="s">
        <v>3722</v>
      </c>
      <c r="E175" s="7" t="s">
        <v>47</v>
      </c>
      <c r="F175" s="7" t="s">
        <v>44</v>
      </c>
      <c r="G175" s="7" t="s">
        <v>3848</v>
      </c>
      <c r="H175" s="7" t="s">
        <v>3848</v>
      </c>
      <c r="I175" s="7"/>
      <c r="J175" s="7" t="s">
        <v>4196</v>
      </c>
      <c r="K175" s="7" t="s">
        <v>3904</v>
      </c>
      <c r="L175" s="7">
        <v>10053236811</v>
      </c>
      <c r="M175" s="7"/>
      <c r="N175" s="7"/>
      <c r="O175" s="179" t="s">
        <v>11</v>
      </c>
      <c r="P175" s="179" t="s">
        <v>11</v>
      </c>
      <c r="Q175" s="179" t="s">
        <v>11</v>
      </c>
      <c r="R175" s="179" t="s">
        <v>11</v>
      </c>
      <c r="S175" s="179" t="s">
        <v>11</v>
      </c>
      <c r="T175" s="179" t="s">
        <v>11</v>
      </c>
      <c r="U175" s="179" t="s">
        <v>11</v>
      </c>
      <c r="V175" s="179" t="s">
        <v>11</v>
      </c>
      <c r="W175" s="179" t="s">
        <v>11</v>
      </c>
      <c r="X175" s="179" t="s">
        <v>11</v>
      </c>
      <c r="Y175" s="139" t="s">
        <v>11</v>
      </c>
      <c r="Z175" s="139" t="s">
        <v>11</v>
      </c>
      <c r="AA175" s="139" t="s">
        <v>11</v>
      </c>
      <c r="AB175" s="180" t="s">
        <v>11</v>
      </c>
      <c r="AC175" s="35" t="s">
        <v>11</v>
      </c>
      <c r="AD175" s="26"/>
      <c r="AE175" s="24">
        <f t="shared" si="6"/>
        <v>0</v>
      </c>
      <c r="AF175" s="24">
        <f t="shared" si="7"/>
        <v>0</v>
      </c>
      <c r="AG175" s="24">
        <f t="shared" si="8"/>
        <v>15</v>
      </c>
      <c r="AH175" s="41" t="str" cm="1">
        <f t="array" ref="AH175">_xlfn.IFS(
SUM(AE175:AG175)=0,"Not Started",
SUM(AE175:AG175)&lt;15,"In Progress",
SUM(AE175:AG175)=15,"Completed",
SUM(AE175:AG175)&gt;15,"Error"
)</f>
        <v>Completed</v>
      </c>
    </row>
    <row r="176" spans="1:34" ht="13" x14ac:dyDescent="0.25">
      <c r="A176" s="248"/>
      <c r="B176" s="14" t="s">
        <v>825</v>
      </c>
      <c r="C176" s="7" t="s">
        <v>3526</v>
      </c>
      <c r="D176" s="7" t="s">
        <v>3723</v>
      </c>
      <c r="E176" s="7" t="s">
        <v>51</v>
      </c>
      <c r="F176" s="7" t="s">
        <v>44</v>
      </c>
      <c r="G176" s="7" t="s">
        <v>3848</v>
      </c>
      <c r="H176" s="7" t="s">
        <v>3848</v>
      </c>
      <c r="I176" s="7"/>
      <c r="J176" s="7" t="s">
        <v>4191</v>
      </c>
      <c r="K176" s="7" t="s">
        <v>3905</v>
      </c>
      <c r="L176" s="7">
        <v>10053591972</v>
      </c>
      <c r="M176" s="7"/>
      <c r="N176" s="7"/>
      <c r="O176" s="179" t="s">
        <v>11</v>
      </c>
      <c r="P176" s="179" t="s">
        <v>11</v>
      </c>
      <c r="Q176" s="179" t="s">
        <v>11</v>
      </c>
      <c r="R176" s="179" t="s">
        <v>11</v>
      </c>
      <c r="S176" s="179" t="s">
        <v>11</v>
      </c>
      <c r="T176" s="179" t="s">
        <v>11</v>
      </c>
      <c r="U176" s="179" t="s">
        <v>11</v>
      </c>
      <c r="V176" s="179" t="s">
        <v>11</v>
      </c>
      <c r="W176" s="179" t="s">
        <v>11</v>
      </c>
      <c r="X176" s="179" t="s">
        <v>11</v>
      </c>
      <c r="Y176" s="139" t="s">
        <v>11</v>
      </c>
      <c r="Z176" s="139" t="s">
        <v>11</v>
      </c>
      <c r="AA176" s="139" t="s">
        <v>11</v>
      </c>
      <c r="AB176" s="180" t="s">
        <v>11</v>
      </c>
      <c r="AC176" s="35" t="s">
        <v>11</v>
      </c>
      <c r="AD176" s="26"/>
      <c r="AE176" s="24">
        <f t="shared" si="6"/>
        <v>0</v>
      </c>
      <c r="AF176" s="24">
        <f t="shared" si="7"/>
        <v>0</v>
      </c>
      <c r="AG176" s="24">
        <f t="shared" si="8"/>
        <v>15</v>
      </c>
      <c r="AH176" s="41" t="str" cm="1">
        <f t="array" ref="AH176">_xlfn.IFS(
SUM(AE176:AG176)=0,"Not Started",
SUM(AE176:AG176)&lt;15,"In Progress",
SUM(AE176:AG176)=15,"Completed",
SUM(AE176:AG176)&gt;15,"Error"
)</f>
        <v>Completed</v>
      </c>
    </row>
    <row r="177" spans="1:34" ht="13" x14ac:dyDescent="0.25">
      <c r="A177" s="248"/>
      <c r="B177" s="7" t="s">
        <v>826</v>
      </c>
      <c r="C177" s="7" t="s">
        <v>3527</v>
      </c>
      <c r="D177" s="7" t="s">
        <v>3724</v>
      </c>
      <c r="E177" s="7" t="s">
        <v>43</v>
      </c>
      <c r="F177" s="7" t="s">
        <v>48</v>
      </c>
      <c r="G177" s="7" t="s">
        <v>3848</v>
      </c>
      <c r="H177" s="7" t="s">
        <v>3848</v>
      </c>
      <c r="I177" s="7"/>
      <c r="J177" s="7" t="s">
        <v>4037</v>
      </c>
      <c r="K177" s="7" t="s">
        <v>3906</v>
      </c>
      <c r="L177" s="7">
        <v>10053214369</v>
      </c>
      <c r="M177" s="7"/>
      <c r="N177" s="7"/>
      <c r="O177" s="29" t="s">
        <v>11</v>
      </c>
      <c r="P177" s="29" t="s">
        <v>11</v>
      </c>
      <c r="Q177" s="29" t="s">
        <v>11</v>
      </c>
      <c r="R177" s="29" t="s">
        <v>11</v>
      </c>
      <c r="S177" s="29" t="s">
        <v>11</v>
      </c>
      <c r="T177" s="29" t="s">
        <v>11</v>
      </c>
      <c r="U177" s="29" t="s">
        <v>11</v>
      </c>
      <c r="V177" s="29" t="s">
        <v>11</v>
      </c>
      <c r="W177" s="29" t="s">
        <v>11</v>
      </c>
      <c r="X177" s="29" t="s">
        <v>11</v>
      </c>
      <c r="Y177" s="10" t="s">
        <v>11</v>
      </c>
      <c r="Z177" s="10" t="s">
        <v>11</v>
      </c>
      <c r="AA177" s="10" t="s">
        <v>11</v>
      </c>
      <c r="AB177" s="35" t="s">
        <v>11</v>
      </c>
      <c r="AC177" s="35" t="s">
        <v>11</v>
      </c>
      <c r="AD177" s="26"/>
      <c r="AE177" s="24">
        <f t="shared" si="6"/>
        <v>0</v>
      </c>
      <c r="AF177" s="24">
        <f t="shared" si="7"/>
        <v>0</v>
      </c>
      <c r="AG177" s="24">
        <f t="shared" si="8"/>
        <v>15</v>
      </c>
      <c r="AH177" s="41" t="str" cm="1">
        <f t="array" ref="AH177">_xlfn.IFS(
SUM(AE177:AG177)=0,"Not Started",
SUM(AE177:AG177)&lt;15,"In Progress",
SUM(AE177:AG177)=15,"Completed",
SUM(AE177:AG177)&gt;15,"Error"
)</f>
        <v>Completed</v>
      </c>
    </row>
    <row r="178" spans="1:34" ht="13" x14ac:dyDescent="0.25">
      <c r="A178" s="248"/>
      <c r="B178" s="14" t="s">
        <v>827</v>
      </c>
      <c r="C178" s="7" t="s">
        <v>3529</v>
      </c>
      <c r="D178" s="7" t="s">
        <v>3726</v>
      </c>
      <c r="E178" s="7" t="s">
        <v>51</v>
      </c>
      <c r="F178" s="7" t="s">
        <v>44</v>
      </c>
      <c r="G178" s="7" t="s">
        <v>3848</v>
      </c>
      <c r="H178" s="7" t="s">
        <v>3848</v>
      </c>
      <c r="I178" s="7"/>
      <c r="J178" s="7" t="s">
        <v>4026</v>
      </c>
      <c r="K178" s="7" t="s">
        <v>3908</v>
      </c>
      <c r="L178" s="7">
        <v>10053349154</v>
      </c>
      <c r="M178" s="7"/>
      <c r="N178" s="7"/>
      <c r="O178" s="179" t="s">
        <v>11</v>
      </c>
      <c r="P178" s="179" t="s">
        <v>11</v>
      </c>
      <c r="Q178" s="179" t="s">
        <v>11</v>
      </c>
      <c r="R178" s="179" t="s">
        <v>11</v>
      </c>
      <c r="S178" s="179" t="s">
        <v>11</v>
      </c>
      <c r="T178" s="179" t="s">
        <v>11</v>
      </c>
      <c r="U178" s="179" t="s">
        <v>11</v>
      </c>
      <c r="V178" s="179" t="s">
        <v>11</v>
      </c>
      <c r="W178" s="179" t="s">
        <v>11</v>
      </c>
      <c r="X178" s="179" t="s">
        <v>11</v>
      </c>
      <c r="Y178" s="139" t="s">
        <v>11</v>
      </c>
      <c r="Z178" s="139" t="s">
        <v>11</v>
      </c>
      <c r="AA178" s="139" t="s">
        <v>11</v>
      </c>
      <c r="AB178" s="211" t="s">
        <v>11053</v>
      </c>
      <c r="AC178" s="35" t="s">
        <v>11</v>
      </c>
      <c r="AD178" s="26"/>
      <c r="AE178" s="24">
        <f t="shared" si="6"/>
        <v>0</v>
      </c>
      <c r="AF178" s="24">
        <f t="shared" si="7"/>
        <v>0</v>
      </c>
      <c r="AG178" s="24">
        <f t="shared" si="8"/>
        <v>14</v>
      </c>
      <c r="AH178" s="41" t="str" cm="1">
        <f t="array" ref="AH178">_xlfn.IFS(
SUM(AE178:AG178)=0,"Not Started",
SUM(AE178:AG178)&lt;15,"In Progress",
SUM(AE178:AG178)=15,"Completed",
SUM(AE178:AG178)&gt;15,"Error"
)</f>
        <v>In Progress</v>
      </c>
    </row>
    <row r="179" spans="1:34" ht="13" x14ac:dyDescent="0.25">
      <c r="A179" s="248"/>
      <c r="B179" s="7" t="s">
        <v>828</v>
      </c>
      <c r="C179" s="7" t="s">
        <v>3530</v>
      </c>
      <c r="D179" s="7" t="s">
        <v>3727</v>
      </c>
      <c r="E179" s="7" t="s">
        <v>47</v>
      </c>
      <c r="F179" s="7" t="s">
        <v>48</v>
      </c>
      <c r="G179" s="7" t="s">
        <v>3848</v>
      </c>
      <c r="H179" s="7" t="s">
        <v>3848</v>
      </c>
      <c r="I179" s="7"/>
      <c r="J179" s="7" t="s">
        <v>4093</v>
      </c>
      <c r="K179" s="7" t="s">
        <v>3909</v>
      </c>
      <c r="L179" s="7">
        <v>10053348406</v>
      </c>
      <c r="M179" s="7"/>
      <c r="N179" s="7"/>
      <c r="O179" s="29" t="s">
        <v>11</v>
      </c>
      <c r="P179" s="29" t="s">
        <v>11</v>
      </c>
      <c r="Q179" s="29" t="s">
        <v>11</v>
      </c>
      <c r="R179" s="29" t="s">
        <v>11</v>
      </c>
      <c r="S179" s="29" t="s">
        <v>11</v>
      </c>
      <c r="T179" s="29" t="s">
        <v>11</v>
      </c>
      <c r="U179" s="29" t="s">
        <v>11</v>
      </c>
      <c r="V179" s="29" t="s">
        <v>11</v>
      </c>
      <c r="W179" s="29" t="s">
        <v>11</v>
      </c>
      <c r="X179" s="29" t="s">
        <v>11</v>
      </c>
      <c r="Y179" s="10" t="s">
        <v>11</v>
      </c>
      <c r="Z179" s="10" t="s">
        <v>11</v>
      </c>
      <c r="AA179" s="10" t="s">
        <v>11</v>
      </c>
      <c r="AB179" s="212" t="s">
        <v>11</v>
      </c>
      <c r="AC179" s="35" t="s">
        <v>11</v>
      </c>
      <c r="AD179" s="26"/>
      <c r="AE179" s="24">
        <f t="shared" si="6"/>
        <v>0</v>
      </c>
      <c r="AF179" s="24">
        <f t="shared" si="7"/>
        <v>0</v>
      </c>
      <c r="AG179" s="24">
        <f t="shared" si="8"/>
        <v>15</v>
      </c>
      <c r="AH179" s="41" t="str" cm="1">
        <f t="array" ref="AH179">_xlfn.IFS(
SUM(AE179:AG179)=0,"Not Started",
SUM(AE179:AG179)&lt;15,"In Progress",
SUM(AE179:AG179)=15,"Completed",
SUM(AE179:AG179)&gt;15,"Error"
)</f>
        <v>Completed</v>
      </c>
    </row>
    <row r="180" spans="1:34" ht="13" x14ac:dyDescent="0.25">
      <c r="A180" s="248"/>
      <c r="B180" s="14" t="s">
        <v>829</v>
      </c>
      <c r="C180" s="7" t="s">
        <v>3531</v>
      </c>
      <c r="D180" s="7" t="s">
        <v>3728</v>
      </c>
      <c r="E180" s="7" t="s">
        <v>51</v>
      </c>
      <c r="F180" s="7" t="s">
        <v>44</v>
      </c>
      <c r="G180" s="7" t="s">
        <v>3848</v>
      </c>
      <c r="H180" s="7" t="s">
        <v>3848</v>
      </c>
      <c r="I180" s="7"/>
      <c r="J180" s="7" t="s">
        <v>4184</v>
      </c>
      <c r="K180" s="7" t="s">
        <v>3910</v>
      </c>
      <c r="L180" s="7">
        <v>10053632206</v>
      </c>
      <c r="M180" s="7"/>
      <c r="N180" s="7"/>
      <c r="O180" s="29" t="s">
        <v>11</v>
      </c>
      <c r="P180" s="29" t="s">
        <v>11</v>
      </c>
      <c r="Q180" s="29" t="s">
        <v>11</v>
      </c>
      <c r="R180" s="29" t="s">
        <v>11</v>
      </c>
      <c r="S180" s="29" t="s">
        <v>11</v>
      </c>
      <c r="T180" s="29" t="s">
        <v>11</v>
      </c>
      <c r="U180" s="29" t="s">
        <v>11</v>
      </c>
      <c r="V180" s="29" t="s">
        <v>11</v>
      </c>
      <c r="W180" s="29" t="s">
        <v>11</v>
      </c>
      <c r="X180" s="29" t="s">
        <v>11</v>
      </c>
      <c r="Y180" s="10" t="s">
        <v>11</v>
      </c>
      <c r="Z180" s="10" t="s">
        <v>11</v>
      </c>
      <c r="AA180" s="10" t="s">
        <v>11</v>
      </c>
      <c r="AB180" s="212" t="s">
        <v>11</v>
      </c>
      <c r="AC180" s="35" t="s">
        <v>11</v>
      </c>
      <c r="AD180" s="26"/>
      <c r="AE180" s="24">
        <f t="shared" si="6"/>
        <v>0</v>
      </c>
      <c r="AF180" s="24">
        <f t="shared" si="7"/>
        <v>0</v>
      </c>
      <c r="AG180" s="24">
        <f t="shared" si="8"/>
        <v>15</v>
      </c>
      <c r="AH180" s="41" t="str" cm="1">
        <f t="array" ref="AH180">_xlfn.IFS(
SUM(AE180:AG180)=0,"Not Started",
SUM(AE180:AG180)&lt;15,"In Progress",
SUM(AE180:AG180)=15,"Completed",
SUM(AE180:AG180)&gt;15,"Error"
)</f>
        <v>Completed</v>
      </c>
    </row>
    <row r="181" spans="1:34" ht="13" x14ac:dyDescent="0.25">
      <c r="A181" s="248"/>
      <c r="B181" s="7" t="s">
        <v>830</v>
      </c>
      <c r="C181" s="7" t="s">
        <v>3532</v>
      </c>
      <c r="D181" s="7" t="s">
        <v>3729</v>
      </c>
      <c r="E181" s="7" t="s">
        <v>43</v>
      </c>
      <c r="F181" s="7" t="s">
        <v>44</v>
      </c>
      <c r="G181" s="7" t="s">
        <v>3848</v>
      </c>
      <c r="H181" s="7" t="s">
        <v>3848</v>
      </c>
      <c r="I181" s="7"/>
      <c r="J181" s="7" t="s">
        <v>4195</v>
      </c>
      <c r="K181" s="7" t="s">
        <v>3911</v>
      </c>
      <c r="L181" s="7">
        <v>10053346985</v>
      </c>
      <c r="M181" s="7"/>
      <c r="N181" s="7"/>
      <c r="O181" s="29" t="s">
        <v>11</v>
      </c>
      <c r="P181" s="29" t="s">
        <v>11</v>
      </c>
      <c r="Q181" s="29" t="s">
        <v>11</v>
      </c>
      <c r="R181" s="29" t="s">
        <v>11</v>
      </c>
      <c r="S181" s="29" t="s">
        <v>11</v>
      </c>
      <c r="T181" s="29" t="s">
        <v>11</v>
      </c>
      <c r="U181" s="29" t="s">
        <v>11</v>
      </c>
      <c r="V181" s="29" t="s">
        <v>11</v>
      </c>
      <c r="W181" s="29" t="s">
        <v>11</v>
      </c>
      <c r="X181" s="29" t="s">
        <v>11</v>
      </c>
      <c r="Y181" s="10" t="s">
        <v>11</v>
      </c>
      <c r="Z181" s="10" t="s">
        <v>11</v>
      </c>
      <c r="AA181" s="10" t="s">
        <v>11</v>
      </c>
      <c r="AB181" s="212" t="s">
        <v>11</v>
      </c>
      <c r="AC181" s="35" t="s">
        <v>11</v>
      </c>
      <c r="AD181" s="26"/>
      <c r="AE181" s="24">
        <f t="shared" si="6"/>
        <v>0</v>
      </c>
      <c r="AF181" s="24">
        <f t="shared" si="7"/>
        <v>0</v>
      </c>
      <c r="AG181" s="24">
        <f t="shared" si="8"/>
        <v>15</v>
      </c>
      <c r="AH181" s="41" t="str" cm="1">
        <f t="array" ref="AH181">_xlfn.IFS(
SUM(AE181:AG181)=0,"Not Started",
SUM(AE181:AG181)&lt;15,"In Progress",
SUM(AE181:AG181)=15,"Completed",
SUM(AE181:AG181)&gt;15,"Error"
)</f>
        <v>Completed</v>
      </c>
    </row>
    <row r="182" spans="1:34" ht="13" x14ac:dyDescent="0.25">
      <c r="A182" s="248"/>
      <c r="B182" s="14" t="s">
        <v>831</v>
      </c>
      <c r="C182" s="7" t="s">
        <v>3533</v>
      </c>
      <c r="D182" s="7" t="s">
        <v>3730</v>
      </c>
      <c r="E182" s="7" t="s">
        <v>43</v>
      </c>
      <c r="F182" s="7" t="s">
        <v>44</v>
      </c>
      <c r="G182" s="7" t="s">
        <v>3848</v>
      </c>
      <c r="H182" s="7" t="s">
        <v>3848</v>
      </c>
      <c r="I182" s="7"/>
      <c r="J182" s="7" t="s">
        <v>4102</v>
      </c>
      <c r="K182" s="7" t="s">
        <v>3912</v>
      </c>
      <c r="L182" s="7">
        <v>10105305716</v>
      </c>
      <c r="M182" s="7"/>
      <c r="N182" s="7"/>
      <c r="O182" s="29" t="s">
        <v>11</v>
      </c>
      <c r="P182" s="29" t="s">
        <v>11</v>
      </c>
      <c r="Q182" s="29" t="s">
        <v>11</v>
      </c>
      <c r="R182" s="29" t="s">
        <v>11</v>
      </c>
      <c r="S182" s="29" t="s">
        <v>11</v>
      </c>
      <c r="T182" s="29" t="s">
        <v>11</v>
      </c>
      <c r="U182" s="29" t="s">
        <v>11</v>
      </c>
      <c r="V182" s="29" t="s">
        <v>11</v>
      </c>
      <c r="W182" s="29" t="s">
        <v>11</v>
      </c>
      <c r="X182" s="29" t="s">
        <v>11</v>
      </c>
      <c r="Y182" s="10" t="s">
        <v>11</v>
      </c>
      <c r="Z182" s="10" t="s">
        <v>11</v>
      </c>
      <c r="AA182" s="10" t="s">
        <v>11</v>
      </c>
      <c r="AB182" s="35" t="s">
        <v>11</v>
      </c>
      <c r="AC182" s="35" t="s">
        <v>11</v>
      </c>
      <c r="AD182" s="26"/>
      <c r="AE182" s="24">
        <f t="shared" si="6"/>
        <v>0</v>
      </c>
      <c r="AF182" s="24">
        <f t="shared" si="7"/>
        <v>0</v>
      </c>
      <c r="AG182" s="24">
        <f t="shared" si="8"/>
        <v>15</v>
      </c>
      <c r="AH182" s="41" t="str" cm="1">
        <f t="array" ref="AH182">_xlfn.IFS(
SUM(AE182:AG182)=0,"Not Started",
SUM(AE182:AG182)&lt;15,"In Progress",
SUM(AE182:AG182)=15,"Completed",
SUM(AE182:AG182)&gt;15,"Error"
)</f>
        <v>Completed</v>
      </c>
    </row>
    <row r="183" spans="1:34" ht="13" x14ac:dyDescent="0.25">
      <c r="A183" s="248"/>
      <c r="B183" s="7" t="s">
        <v>832</v>
      </c>
      <c r="C183" s="7" t="s">
        <v>3534</v>
      </c>
      <c r="D183" s="7" t="s">
        <v>3731</v>
      </c>
      <c r="E183" s="7"/>
      <c r="F183" s="7" t="s">
        <v>44</v>
      </c>
      <c r="G183" s="7" t="s">
        <v>3848</v>
      </c>
      <c r="H183" s="7" t="s">
        <v>3848</v>
      </c>
      <c r="I183" s="7"/>
      <c r="J183" s="7" t="s">
        <v>4097</v>
      </c>
      <c r="K183" s="7"/>
      <c r="L183" s="7"/>
      <c r="M183" s="7"/>
      <c r="N183" s="7"/>
      <c r="O183" s="29" t="s">
        <v>11</v>
      </c>
      <c r="P183" s="29" t="s">
        <v>11</v>
      </c>
      <c r="Q183" s="29" t="s">
        <v>11</v>
      </c>
      <c r="R183" s="29" t="s">
        <v>11</v>
      </c>
      <c r="S183" s="29" t="s">
        <v>11</v>
      </c>
      <c r="T183" s="29" t="s">
        <v>11</v>
      </c>
      <c r="U183" s="29" t="s">
        <v>11</v>
      </c>
      <c r="V183" s="29" t="s">
        <v>11</v>
      </c>
      <c r="W183" s="29" t="s">
        <v>11</v>
      </c>
      <c r="X183" s="29" t="s">
        <v>11</v>
      </c>
      <c r="Y183" s="10" t="s">
        <v>11</v>
      </c>
      <c r="Z183" s="10" t="s">
        <v>11</v>
      </c>
      <c r="AA183" s="10" t="s">
        <v>11</v>
      </c>
      <c r="AB183" s="35" t="s">
        <v>11</v>
      </c>
      <c r="AC183" s="35" t="s">
        <v>11</v>
      </c>
      <c r="AD183" s="26"/>
      <c r="AE183" s="24">
        <f t="shared" si="6"/>
        <v>0</v>
      </c>
      <c r="AF183" s="24">
        <f t="shared" si="7"/>
        <v>0</v>
      </c>
      <c r="AG183" s="24">
        <f t="shared" si="8"/>
        <v>15</v>
      </c>
      <c r="AH183" s="41" t="str" cm="1">
        <f t="array" ref="AH183">_xlfn.IFS(
SUM(AE183:AG183)=0,"Not Started",
SUM(AE183:AG183)&lt;15,"In Progress",
SUM(AE183:AG183)=15,"Completed",
SUM(AE183:AG183)&gt;15,"Error"
)</f>
        <v>Completed</v>
      </c>
    </row>
    <row r="184" spans="1:34" ht="13" x14ac:dyDescent="0.25">
      <c r="A184" s="248"/>
      <c r="B184" s="14" t="s">
        <v>833</v>
      </c>
      <c r="C184" s="7" t="s">
        <v>3535</v>
      </c>
      <c r="D184" s="7" t="s">
        <v>3732</v>
      </c>
      <c r="E184" s="7" t="s">
        <v>47</v>
      </c>
      <c r="F184" s="7" t="s">
        <v>48</v>
      </c>
      <c r="G184" s="7" t="s">
        <v>3848</v>
      </c>
      <c r="H184" s="7" t="s">
        <v>3848</v>
      </c>
      <c r="I184" s="7"/>
      <c r="J184" s="7" t="s">
        <v>4178</v>
      </c>
      <c r="K184" s="7" t="s">
        <v>3914</v>
      </c>
      <c r="L184" s="7">
        <v>10053590877</v>
      </c>
      <c r="M184" s="7"/>
      <c r="N184" s="7"/>
      <c r="O184" s="29" t="s">
        <v>11</v>
      </c>
      <c r="P184" s="29" t="s">
        <v>11</v>
      </c>
      <c r="Q184" s="29" t="s">
        <v>11</v>
      </c>
      <c r="R184" s="29" t="s">
        <v>11</v>
      </c>
      <c r="S184" s="29" t="s">
        <v>11</v>
      </c>
      <c r="T184" s="29" t="s">
        <v>11</v>
      </c>
      <c r="U184" s="29" t="s">
        <v>11</v>
      </c>
      <c r="V184" s="29" t="s">
        <v>11</v>
      </c>
      <c r="W184" s="29" t="s">
        <v>11</v>
      </c>
      <c r="X184" s="29" t="s">
        <v>11</v>
      </c>
      <c r="Y184" s="10" t="s">
        <v>11</v>
      </c>
      <c r="Z184" s="10" t="s">
        <v>11</v>
      </c>
      <c r="AA184" s="10" t="s">
        <v>11</v>
      </c>
      <c r="AB184" s="35" t="s">
        <v>11</v>
      </c>
      <c r="AC184" s="35" t="s">
        <v>11</v>
      </c>
      <c r="AD184" s="26"/>
      <c r="AE184" s="24">
        <f t="shared" si="6"/>
        <v>0</v>
      </c>
      <c r="AF184" s="24">
        <f t="shared" si="7"/>
        <v>0</v>
      </c>
      <c r="AG184" s="24">
        <f t="shared" si="8"/>
        <v>15</v>
      </c>
      <c r="AH184" s="41" t="str" cm="1">
        <f t="array" ref="AH184">_xlfn.IFS(
SUM(AE184:AG184)=0,"Not Started",
SUM(AE184:AG184)&lt;15,"In Progress",
SUM(AE184:AG184)=15,"Completed",
SUM(AE184:AG184)&gt;15,"Error"
)</f>
        <v>Completed</v>
      </c>
    </row>
    <row r="185" spans="1:34" ht="13" x14ac:dyDescent="0.25">
      <c r="A185" s="248"/>
      <c r="B185" s="7" t="s">
        <v>834</v>
      </c>
      <c r="C185" s="7" t="s">
        <v>3536</v>
      </c>
      <c r="D185" s="7" t="s">
        <v>3733</v>
      </c>
      <c r="E185" s="7" t="s">
        <v>43</v>
      </c>
      <c r="F185" s="7" t="s">
        <v>48</v>
      </c>
      <c r="G185" s="7" t="s">
        <v>3848</v>
      </c>
      <c r="H185" s="7" t="s">
        <v>3848</v>
      </c>
      <c r="I185" s="7"/>
      <c r="J185" s="7" t="s">
        <v>4098</v>
      </c>
      <c r="K185" s="7" t="s">
        <v>3915</v>
      </c>
      <c r="L185" s="7">
        <v>10053591159</v>
      </c>
      <c r="M185" s="7"/>
      <c r="N185" s="7"/>
      <c r="O185" s="29" t="s">
        <v>11</v>
      </c>
      <c r="P185" s="29" t="s">
        <v>11</v>
      </c>
      <c r="Q185" s="29" t="s">
        <v>11</v>
      </c>
      <c r="R185" s="29" t="s">
        <v>11</v>
      </c>
      <c r="S185" s="29" t="s">
        <v>11</v>
      </c>
      <c r="T185" s="29" t="s">
        <v>11</v>
      </c>
      <c r="U185" s="29" t="s">
        <v>11</v>
      </c>
      <c r="V185" s="29" t="s">
        <v>11</v>
      </c>
      <c r="W185" s="29" t="s">
        <v>11</v>
      </c>
      <c r="X185" s="29" t="s">
        <v>11</v>
      </c>
      <c r="Y185" s="10" t="s">
        <v>11</v>
      </c>
      <c r="Z185" s="10" t="s">
        <v>11</v>
      </c>
      <c r="AA185" s="10" t="s">
        <v>11</v>
      </c>
      <c r="AB185" s="35" t="s">
        <v>11</v>
      </c>
      <c r="AC185" s="35" t="s">
        <v>11</v>
      </c>
      <c r="AD185" s="26"/>
      <c r="AE185" s="24">
        <f t="shared" si="6"/>
        <v>0</v>
      </c>
      <c r="AF185" s="24">
        <f t="shared" si="7"/>
        <v>0</v>
      </c>
      <c r="AG185" s="24">
        <f t="shared" si="8"/>
        <v>15</v>
      </c>
      <c r="AH185" s="41" t="str" cm="1">
        <f t="array" ref="AH185">_xlfn.IFS(
SUM(AE185:AG185)=0,"Not Started",
SUM(AE185:AG185)&lt;15,"In Progress",
SUM(AE185:AG185)=15,"Completed",
SUM(AE185:AG185)&gt;15,"Error"
)</f>
        <v>Completed</v>
      </c>
    </row>
    <row r="186" spans="1:34" ht="13" x14ac:dyDescent="0.25">
      <c r="A186" s="248"/>
      <c r="B186" s="14" t="s">
        <v>835</v>
      </c>
      <c r="C186" s="7" t="s">
        <v>3537</v>
      </c>
      <c r="D186" s="7" t="s">
        <v>3734</v>
      </c>
      <c r="E186" s="7" t="s">
        <v>51</v>
      </c>
      <c r="F186" s="7" t="s">
        <v>48</v>
      </c>
      <c r="G186" s="7" t="s">
        <v>3848</v>
      </c>
      <c r="H186" s="7" t="s">
        <v>3848</v>
      </c>
      <c r="I186" s="7"/>
      <c r="J186" s="7" t="s">
        <v>4100</v>
      </c>
      <c r="K186" s="7" t="s">
        <v>3916</v>
      </c>
      <c r="L186" s="7">
        <v>10053446621</v>
      </c>
      <c r="M186" s="7"/>
      <c r="N186" s="7"/>
      <c r="O186" s="29" t="s">
        <v>11</v>
      </c>
      <c r="P186" s="29" t="s">
        <v>11</v>
      </c>
      <c r="Q186" s="29" t="s">
        <v>11</v>
      </c>
      <c r="R186" s="29" t="s">
        <v>11</v>
      </c>
      <c r="S186" s="29" t="s">
        <v>11</v>
      </c>
      <c r="T186" s="29" t="s">
        <v>11</v>
      </c>
      <c r="U186" s="29" t="s">
        <v>11</v>
      </c>
      <c r="V186" s="29" t="s">
        <v>11</v>
      </c>
      <c r="W186" s="29" t="s">
        <v>11</v>
      </c>
      <c r="X186" s="29" t="s">
        <v>11</v>
      </c>
      <c r="Y186" s="10" t="s">
        <v>11</v>
      </c>
      <c r="Z186" s="10" t="s">
        <v>11</v>
      </c>
      <c r="AA186" s="35" t="s">
        <v>11</v>
      </c>
      <c r="AB186" s="35" t="s">
        <v>11</v>
      </c>
      <c r="AC186" s="35" t="s">
        <v>11</v>
      </c>
      <c r="AD186" s="26"/>
      <c r="AE186" s="24">
        <f t="shared" si="6"/>
        <v>0</v>
      </c>
      <c r="AF186" s="24">
        <f t="shared" si="7"/>
        <v>0</v>
      </c>
      <c r="AG186" s="24">
        <f t="shared" si="8"/>
        <v>15</v>
      </c>
      <c r="AH186" s="41" t="str" cm="1">
        <f t="array" ref="AH186">_xlfn.IFS(
SUM(AE186:AG186)=0,"Not Started",
SUM(AE186:AG186)&lt;15,"In Progress",
SUM(AE186:AG186)=15,"Completed",
SUM(AE186:AG186)&gt;15,"Error"
)</f>
        <v>Completed</v>
      </c>
    </row>
    <row r="187" spans="1:34" ht="13" x14ac:dyDescent="0.25">
      <c r="A187" s="248"/>
      <c r="B187" s="7" t="s">
        <v>836</v>
      </c>
      <c r="C187" s="7" t="s">
        <v>3538</v>
      </c>
      <c r="D187" s="7" t="s">
        <v>3735</v>
      </c>
      <c r="E187" s="7" t="s">
        <v>51</v>
      </c>
      <c r="F187" s="7" t="s">
        <v>44</v>
      </c>
      <c r="G187" s="7" t="s">
        <v>3848</v>
      </c>
      <c r="H187" s="7" t="s">
        <v>3848</v>
      </c>
      <c r="I187" s="7"/>
      <c r="J187" s="7" t="s">
        <v>4068</v>
      </c>
      <c r="K187" s="7" t="s">
        <v>3917</v>
      </c>
      <c r="L187" s="7">
        <v>10053236141</v>
      </c>
      <c r="M187" s="7"/>
      <c r="N187" s="7"/>
      <c r="O187" s="179" t="s">
        <v>11</v>
      </c>
      <c r="P187" s="179" t="s">
        <v>11</v>
      </c>
      <c r="Q187" s="179" t="s">
        <v>11</v>
      </c>
      <c r="R187" s="179" t="s">
        <v>11</v>
      </c>
      <c r="S187" s="179" t="s">
        <v>11</v>
      </c>
      <c r="T187" s="179" t="s">
        <v>11</v>
      </c>
      <c r="U187" s="179" t="s">
        <v>11</v>
      </c>
      <c r="V187" s="179" t="s">
        <v>11</v>
      </c>
      <c r="W187" s="179" t="s">
        <v>11</v>
      </c>
      <c r="X187" s="179" t="s">
        <v>11</v>
      </c>
      <c r="Y187" s="139" t="s">
        <v>11</v>
      </c>
      <c r="Z187" s="139" t="s">
        <v>11</v>
      </c>
      <c r="AA187" s="180" t="s">
        <v>11</v>
      </c>
      <c r="AB187" s="180" t="s">
        <v>11</v>
      </c>
      <c r="AC187" s="35" t="s">
        <v>11</v>
      </c>
      <c r="AD187" s="26"/>
      <c r="AE187" s="24">
        <f t="shared" si="6"/>
        <v>0</v>
      </c>
      <c r="AF187" s="24">
        <f t="shared" si="7"/>
        <v>0</v>
      </c>
      <c r="AG187" s="24">
        <f t="shared" si="8"/>
        <v>15</v>
      </c>
      <c r="AH187" s="41" t="str" cm="1">
        <f t="array" ref="AH187">_xlfn.IFS(
SUM(AE187:AG187)=0,"Not Started",
SUM(AE187:AG187)&lt;15,"In Progress",
SUM(AE187:AG187)=15,"Completed",
SUM(AE187:AG187)&gt;15,"Error"
)</f>
        <v>Completed</v>
      </c>
    </row>
    <row r="188" spans="1:34" ht="13" x14ac:dyDescent="0.25">
      <c r="A188" s="248"/>
      <c r="B188" s="14" t="s">
        <v>837</v>
      </c>
      <c r="C188" s="7" t="s">
        <v>3539</v>
      </c>
      <c r="D188" s="7" t="s">
        <v>3736</v>
      </c>
      <c r="E188" s="7" t="s">
        <v>51</v>
      </c>
      <c r="F188" s="7" t="s">
        <v>48</v>
      </c>
      <c r="G188" s="7" t="s">
        <v>3848</v>
      </c>
      <c r="H188" s="7" t="s">
        <v>3848</v>
      </c>
      <c r="I188" s="7"/>
      <c r="J188" s="7" t="s">
        <v>4040</v>
      </c>
      <c r="K188" s="7" t="s">
        <v>3918</v>
      </c>
      <c r="L188" s="7">
        <v>10053209968</v>
      </c>
      <c r="M188" s="7"/>
      <c r="N188" s="7"/>
      <c r="O188" s="29" t="s">
        <v>11</v>
      </c>
      <c r="P188" s="29" t="s">
        <v>11</v>
      </c>
      <c r="Q188" s="29" t="s">
        <v>11</v>
      </c>
      <c r="R188" s="29" t="s">
        <v>11</v>
      </c>
      <c r="S188" s="29" t="s">
        <v>11</v>
      </c>
      <c r="T188" s="29" t="s">
        <v>11</v>
      </c>
      <c r="U188" s="29" t="s">
        <v>11</v>
      </c>
      <c r="V188" s="29" t="s">
        <v>11</v>
      </c>
      <c r="W188" s="29" t="s">
        <v>11</v>
      </c>
      <c r="X188" s="29" t="s">
        <v>11</v>
      </c>
      <c r="Y188" s="10" t="s">
        <v>11</v>
      </c>
      <c r="Z188" s="10" t="s">
        <v>11</v>
      </c>
      <c r="AA188" s="35" t="s">
        <v>11</v>
      </c>
      <c r="AB188" s="35" t="s">
        <v>11</v>
      </c>
      <c r="AC188" s="35" t="s">
        <v>11</v>
      </c>
      <c r="AD188" s="26"/>
      <c r="AE188" s="24">
        <f t="shared" si="6"/>
        <v>0</v>
      </c>
      <c r="AF188" s="24">
        <f t="shared" si="7"/>
        <v>0</v>
      </c>
      <c r="AG188" s="24">
        <f t="shared" si="8"/>
        <v>15</v>
      </c>
      <c r="AH188" s="41" t="str" cm="1">
        <f t="array" ref="AH188">_xlfn.IFS(
SUM(AE188:AG188)=0,"Not Started",
SUM(AE188:AG188)&lt;15,"In Progress",
SUM(AE188:AG188)=15,"Completed",
SUM(AE188:AG188)&gt;15,"Error"
)</f>
        <v>Completed</v>
      </c>
    </row>
    <row r="189" spans="1:34" ht="13" x14ac:dyDescent="0.25">
      <c r="A189" s="248"/>
      <c r="B189" s="7" t="s">
        <v>838</v>
      </c>
      <c r="C189" s="7" t="s">
        <v>3540</v>
      </c>
      <c r="D189" s="7" t="s">
        <v>3737</v>
      </c>
      <c r="E189" s="7" t="s">
        <v>47</v>
      </c>
      <c r="F189" s="7" t="s">
        <v>48</v>
      </c>
      <c r="G189" s="7" t="s">
        <v>3848</v>
      </c>
      <c r="H189" s="7" t="s">
        <v>3848</v>
      </c>
      <c r="I189" s="7"/>
      <c r="J189" s="7" t="s">
        <v>4049</v>
      </c>
      <c r="K189" s="7" t="s">
        <v>3919</v>
      </c>
      <c r="L189" s="7">
        <v>10053209000</v>
      </c>
      <c r="M189" s="7"/>
      <c r="N189" s="7"/>
      <c r="O189" s="29" t="s">
        <v>11</v>
      </c>
      <c r="P189" s="29" t="s">
        <v>11</v>
      </c>
      <c r="Q189" s="29" t="s">
        <v>11</v>
      </c>
      <c r="R189" s="29" t="s">
        <v>11</v>
      </c>
      <c r="S189" s="29" t="s">
        <v>11</v>
      </c>
      <c r="T189" s="29" t="s">
        <v>11</v>
      </c>
      <c r="U189" s="29" t="s">
        <v>11</v>
      </c>
      <c r="V189" s="29" t="s">
        <v>11</v>
      </c>
      <c r="W189" s="29" t="s">
        <v>11</v>
      </c>
      <c r="X189" s="29" t="s">
        <v>11</v>
      </c>
      <c r="Y189" s="10" t="s">
        <v>11</v>
      </c>
      <c r="Z189" s="10" t="s">
        <v>11</v>
      </c>
      <c r="AA189" s="35" t="s">
        <v>11</v>
      </c>
      <c r="AB189" s="35" t="s">
        <v>11</v>
      </c>
      <c r="AC189" s="35" t="s">
        <v>11</v>
      </c>
      <c r="AD189" s="26"/>
      <c r="AE189" s="24">
        <f t="shared" si="6"/>
        <v>0</v>
      </c>
      <c r="AF189" s="24">
        <f t="shared" si="7"/>
        <v>0</v>
      </c>
      <c r="AG189" s="24">
        <f t="shared" si="8"/>
        <v>15</v>
      </c>
      <c r="AH189" s="41" t="str" cm="1">
        <f t="array" ref="AH189">_xlfn.IFS(
SUM(AE189:AG189)=0,"Not Started",
SUM(AE189:AG189)&lt;15,"In Progress",
SUM(AE189:AG189)=15,"Completed",
SUM(AE189:AG189)&gt;15,"Error"
)</f>
        <v>Completed</v>
      </c>
    </row>
    <row r="190" spans="1:34" ht="13" x14ac:dyDescent="0.25">
      <c r="A190" s="248"/>
      <c r="B190" s="14" t="s">
        <v>839</v>
      </c>
      <c r="C190" s="7" t="s">
        <v>3541</v>
      </c>
      <c r="D190" s="7" t="s">
        <v>3738</v>
      </c>
      <c r="E190" s="7" t="s">
        <v>43</v>
      </c>
      <c r="F190" s="7" t="s">
        <v>48</v>
      </c>
      <c r="G190" s="7" t="s">
        <v>3848</v>
      </c>
      <c r="H190" s="7" t="s">
        <v>3848</v>
      </c>
      <c r="I190" s="7"/>
      <c r="J190" s="7" t="s">
        <v>4023</v>
      </c>
      <c r="K190" s="7" t="s">
        <v>3920</v>
      </c>
      <c r="L190" s="7">
        <v>10053315129</v>
      </c>
      <c r="M190" s="7"/>
      <c r="N190" s="7"/>
      <c r="O190" s="29" t="s">
        <v>11</v>
      </c>
      <c r="P190" s="29" t="s">
        <v>11</v>
      </c>
      <c r="Q190" s="29" t="s">
        <v>11</v>
      </c>
      <c r="R190" s="29" t="s">
        <v>11</v>
      </c>
      <c r="S190" s="29" t="s">
        <v>11</v>
      </c>
      <c r="T190" s="29" t="s">
        <v>11</v>
      </c>
      <c r="U190" s="29" t="s">
        <v>11</v>
      </c>
      <c r="V190" s="29" t="s">
        <v>11</v>
      </c>
      <c r="W190" s="29" t="s">
        <v>11</v>
      </c>
      <c r="X190" s="29" t="s">
        <v>11</v>
      </c>
      <c r="Y190" s="10" t="s">
        <v>11</v>
      </c>
      <c r="Z190" s="10" t="s">
        <v>11</v>
      </c>
      <c r="AA190" s="35" t="s">
        <v>11</v>
      </c>
      <c r="AB190" s="35" t="s">
        <v>11</v>
      </c>
      <c r="AC190" s="35" t="s">
        <v>11</v>
      </c>
      <c r="AD190" s="26"/>
      <c r="AE190" s="24">
        <f t="shared" si="6"/>
        <v>0</v>
      </c>
      <c r="AF190" s="24">
        <f t="shared" si="7"/>
        <v>0</v>
      </c>
      <c r="AG190" s="24">
        <f t="shared" si="8"/>
        <v>15</v>
      </c>
      <c r="AH190" s="41" t="str" cm="1">
        <f t="array" ref="AH190">_xlfn.IFS(
SUM(AE190:AG190)=0,"Not Started",
SUM(AE190:AG190)&lt;15,"In Progress",
SUM(AE190:AG190)=15,"Completed",
SUM(AE190:AG190)&gt;15,"Error"
)</f>
        <v>Completed</v>
      </c>
    </row>
    <row r="191" spans="1:34" ht="13" x14ac:dyDescent="0.25">
      <c r="A191" s="248"/>
      <c r="B191" s="7" t="s">
        <v>840</v>
      </c>
      <c r="C191" s="7" t="s">
        <v>3542</v>
      </c>
      <c r="D191" s="7" t="s">
        <v>3739</v>
      </c>
      <c r="E191" s="7" t="s">
        <v>47</v>
      </c>
      <c r="F191" s="7" t="s">
        <v>48</v>
      </c>
      <c r="G191" s="7" t="s">
        <v>3848</v>
      </c>
      <c r="H191" s="7" t="s">
        <v>3848</v>
      </c>
      <c r="I191" s="7"/>
      <c r="J191" s="7" t="s">
        <v>4173</v>
      </c>
      <c r="K191" s="7" t="s">
        <v>3921</v>
      </c>
      <c r="L191" s="7">
        <v>10053625687</v>
      </c>
      <c r="M191" s="7"/>
      <c r="N191" s="7"/>
      <c r="O191" s="29" t="s">
        <v>11</v>
      </c>
      <c r="P191" s="29" t="s">
        <v>11</v>
      </c>
      <c r="Q191" s="29" t="s">
        <v>11</v>
      </c>
      <c r="R191" s="29" t="s">
        <v>11</v>
      </c>
      <c r="S191" s="29" t="s">
        <v>11</v>
      </c>
      <c r="T191" s="29" t="s">
        <v>11</v>
      </c>
      <c r="U191" s="29" t="s">
        <v>11</v>
      </c>
      <c r="V191" s="29" t="s">
        <v>11</v>
      </c>
      <c r="W191" s="29" t="s">
        <v>11</v>
      </c>
      <c r="X191" s="29" t="s">
        <v>11</v>
      </c>
      <c r="Y191" s="10" t="s">
        <v>11</v>
      </c>
      <c r="Z191" s="10" t="s">
        <v>11</v>
      </c>
      <c r="AA191" s="35" t="s">
        <v>11</v>
      </c>
      <c r="AB191" s="35" t="s">
        <v>11</v>
      </c>
      <c r="AC191" s="210" t="s">
        <v>10362</v>
      </c>
      <c r="AD191" s="26"/>
      <c r="AE191" s="24">
        <f t="shared" si="6"/>
        <v>0</v>
      </c>
      <c r="AF191" s="24">
        <f t="shared" si="7"/>
        <v>0</v>
      </c>
      <c r="AG191" s="24">
        <f t="shared" si="8"/>
        <v>14</v>
      </c>
      <c r="AH191" s="41" t="str" cm="1">
        <f t="array" ref="AH191">_xlfn.IFS(
SUM(AE191:AG191)=0,"Not Started",
SUM(AE191:AG191)&lt;15,"In Progress",
SUM(AE191:AG191)=15,"Completed",
SUM(AE191:AG191)&gt;15,"Error"
)</f>
        <v>In Progress</v>
      </c>
    </row>
    <row r="192" spans="1:34" ht="13" x14ac:dyDescent="0.25">
      <c r="A192" s="248"/>
      <c r="B192" s="14" t="s">
        <v>841</v>
      </c>
      <c r="C192" s="7" t="s">
        <v>3543</v>
      </c>
      <c r="D192" s="7" t="s">
        <v>3740</v>
      </c>
      <c r="E192" s="7" t="s">
        <v>43</v>
      </c>
      <c r="F192" s="7" t="s">
        <v>48</v>
      </c>
      <c r="G192" s="7" t="s">
        <v>3848</v>
      </c>
      <c r="H192" s="7" t="s">
        <v>3848</v>
      </c>
      <c r="I192" s="7"/>
      <c r="J192" s="7" t="s">
        <v>4086</v>
      </c>
      <c r="K192" s="7" t="s">
        <v>3922</v>
      </c>
      <c r="L192" s="7">
        <v>10053574363</v>
      </c>
      <c r="M192" s="7"/>
      <c r="N192" s="7"/>
      <c r="O192" s="29" t="s">
        <v>11</v>
      </c>
      <c r="P192" s="29" t="s">
        <v>11</v>
      </c>
      <c r="Q192" s="29" t="s">
        <v>11</v>
      </c>
      <c r="R192" s="29" t="s">
        <v>11</v>
      </c>
      <c r="S192" s="29" t="s">
        <v>11</v>
      </c>
      <c r="T192" s="29" t="s">
        <v>11</v>
      </c>
      <c r="U192" s="29" t="s">
        <v>11</v>
      </c>
      <c r="V192" s="29" t="s">
        <v>11</v>
      </c>
      <c r="W192" s="29" t="s">
        <v>11</v>
      </c>
      <c r="X192" s="29" t="s">
        <v>11</v>
      </c>
      <c r="Y192" s="10" t="s">
        <v>11</v>
      </c>
      <c r="Z192" s="10" t="s">
        <v>11</v>
      </c>
      <c r="AA192" s="35" t="s">
        <v>11</v>
      </c>
      <c r="AB192" s="35" t="s">
        <v>11</v>
      </c>
      <c r="AC192" s="35" t="s">
        <v>11</v>
      </c>
      <c r="AD192" s="26"/>
      <c r="AE192" s="24">
        <f t="shared" si="6"/>
        <v>0</v>
      </c>
      <c r="AF192" s="24">
        <f t="shared" si="7"/>
        <v>0</v>
      </c>
      <c r="AG192" s="24">
        <f t="shared" si="8"/>
        <v>15</v>
      </c>
      <c r="AH192" s="41" t="str" cm="1">
        <f t="array" ref="AH192">_xlfn.IFS(
SUM(AE192:AG192)=0,"Not Started",
SUM(AE192:AG192)&lt;15,"In Progress",
SUM(AE192:AG192)=15,"Completed",
SUM(AE192:AG192)&gt;15,"Error"
)</f>
        <v>Completed</v>
      </c>
    </row>
    <row r="193" spans="1:34" ht="13" x14ac:dyDescent="0.25">
      <c r="A193" s="248"/>
      <c r="B193" s="7" t="s">
        <v>842</v>
      </c>
      <c r="C193" s="7" t="s">
        <v>3544</v>
      </c>
      <c r="D193" s="7" t="s">
        <v>3741</v>
      </c>
      <c r="E193" s="7"/>
      <c r="F193" s="7" t="s">
        <v>44</v>
      </c>
      <c r="G193" s="7" t="s">
        <v>3848</v>
      </c>
      <c r="H193" s="7" t="s">
        <v>3848</v>
      </c>
      <c r="I193" s="7"/>
      <c r="J193" s="7" t="s">
        <v>4055</v>
      </c>
      <c r="K193" s="7" t="s">
        <v>3923</v>
      </c>
      <c r="L193" s="7">
        <v>10104229871</v>
      </c>
      <c r="M193" s="7"/>
      <c r="N193" s="7"/>
      <c r="O193" s="181" t="s">
        <v>11</v>
      </c>
      <c r="P193" s="181" t="s">
        <v>11</v>
      </c>
      <c r="Q193" s="181" t="s">
        <v>11</v>
      </c>
      <c r="R193" s="181" t="s">
        <v>11</v>
      </c>
      <c r="S193" s="181" t="s">
        <v>11</v>
      </c>
      <c r="T193" s="181" t="s">
        <v>11</v>
      </c>
      <c r="U193" s="181" t="s">
        <v>11</v>
      </c>
      <c r="V193" s="181" t="s">
        <v>11</v>
      </c>
      <c r="W193" s="181" t="s">
        <v>11</v>
      </c>
      <c r="X193" s="181" t="s">
        <v>11</v>
      </c>
      <c r="Y193" s="182" t="s">
        <v>11</v>
      </c>
      <c r="Z193" s="182" t="s">
        <v>11</v>
      </c>
      <c r="AA193" s="183" t="s">
        <v>11</v>
      </c>
      <c r="AB193" s="183" t="s">
        <v>11</v>
      </c>
      <c r="AC193" s="35" t="s">
        <v>11</v>
      </c>
      <c r="AD193" s="26"/>
      <c r="AE193" s="24">
        <f t="shared" si="6"/>
        <v>0</v>
      </c>
      <c r="AF193" s="24">
        <f t="shared" si="7"/>
        <v>0</v>
      </c>
      <c r="AG193" s="24">
        <f t="shared" si="8"/>
        <v>15</v>
      </c>
      <c r="AH193" s="41" t="str" cm="1">
        <f t="array" ref="AH193">_xlfn.IFS(
SUM(AE193:AG193)=0,"Not Started",
SUM(AE193:AG193)&lt;15,"In Progress",
SUM(AE193:AG193)=15,"Completed",
SUM(AE193:AG193)&gt;15,"Error"
)</f>
        <v>Completed</v>
      </c>
    </row>
    <row r="194" spans="1:34" ht="13" x14ac:dyDescent="0.25">
      <c r="A194" s="248"/>
      <c r="B194" s="14" t="s">
        <v>843</v>
      </c>
      <c r="C194" s="7" t="s">
        <v>3545</v>
      </c>
      <c r="D194" s="7" t="s">
        <v>3742</v>
      </c>
      <c r="E194" s="7" t="s">
        <v>51</v>
      </c>
      <c r="F194" s="7" t="s">
        <v>48</v>
      </c>
      <c r="G194" s="7" t="s">
        <v>3848</v>
      </c>
      <c r="H194" s="7" t="s">
        <v>3848</v>
      </c>
      <c r="I194" s="7"/>
      <c r="J194" s="7" t="s">
        <v>4025</v>
      </c>
      <c r="K194" s="7" t="s">
        <v>3924</v>
      </c>
      <c r="L194" s="7">
        <v>10104229861</v>
      </c>
      <c r="M194" s="7"/>
      <c r="N194" s="7"/>
      <c r="O194" s="29" t="s">
        <v>11</v>
      </c>
      <c r="P194" s="29" t="s">
        <v>11</v>
      </c>
      <c r="Q194" s="29" t="s">
        <v>11</v>
      </c>
      <c r="R194" s="29" t="s">
        <v>11</v>
      </c>
      <c r="S194" s="29" t="s">
        <v>11</v>
      </c>
      <c r="T194" s="29" t="s">
        <v>11</v>
      </c>
      <c r="U194" s="29" t="s">
        <v>11</v>
      </c>
      <c r="V194" s="29" t="s">
        <v>11</v>
      </c>
      <c r="W194" s="29" t="s">
        <v>11</v>
      </c>
      <c r="X194" s="29" t="s">
        <v>11</v>
      </c>
      <c r="Y194" s="10" t="s">
        <v>11</v>
      </c>
      <c r="Z194" s="10" t="s">
        <v>11</v>
      </c>
      <c r="AA194" s="35" t="s">
        <v>11</v>
      </c>
      <c r="AB194" s="35" t="s">
        <v>11</v>
      </c>
      <c r="AC194" s="35" t="s">
        <v>11</v>
      </c>
      <c r="AD194" s="26"/>
      <c r="AE194" s="24">
        <f t="shared" si="6"/>
        <v>0</v>
      </c>
      <c r="AF194" s="24">
        <f t="shared" si="7"/>
        <v>0</v>
      </c>
      <c r="AG194" s="24">
        <f t="shared" si="8"/>
        <v>15</v>
      </c>
      <c r="AH194" s="41" t="str" cm="1">
        <f t="array" ref="AH194">_xlfn.IFS(
SUM(AE194:AG194)=0,"Not Started",
SUM(AE194:AG194)&lt;15,"In Progress",
SUM(AE194:AG194)=15,"Completed",
SUM(AE194:AG194)&gt;15,"Error"
)</f>
        <v>Completed</v>
      </c>
    </row>
    <row r="195" spans="1:34" ht="13" x14ac:dyDescent="0.25">
      <c r="A195" s="248"/>
      <c r="B195" s="7" t="s">
        <v>844</v>
      </c>
      <c r="C195" s="7" t="s">
        <v>3546</v>
      </c>
      <c r="D195" s="7" t="s">
        <v>3743</v>
      </c>
      <c r="E195" s="7" t="s">
        <v>47</v>
      </c>
      <c r="F195" s="7" t="s">
        <v>48</v>
      </c>
      <c r="G195" s="7" t="s">
        <v>3848</v>
      </c>
      <c r="H195" s="7" t="s">
        <v>3848</v>
      </c>
      <c r="I195" s="7"/>
      <c r="J195" s="7" t="s">
        <v>4179</v>
      </c>
      <c r="K195" s="7" t="s">
        <v>3925</v>
      </c>
      <c r="L195" s="7">
        <v>10104229852</v>
      </c>
      <c r="M195" s="7"/>
      <c r="N195" s="7"/>
      <c r="O195" s="29" t="s">
        <v>11</v>
      </c>
      <c r="P195" s="29" t="s">
        <v>11</v>
      </c>
      <c r="Q195" s="29" t="s">
        <v>11</v>
      </c>
      <c r="R195" s="29" t="s">
        <v>11</v>
      </c>
      <c r="S195" s="29" t="s">
        <v>11</v>
      </c>
      <c r="T195" s="29" t="s">
        <v>11</v>
      </c>
      <c r="U195" s="29" t="s">
        <v>11</v>
      </c>
      <c r="V195" s="29" t="s">
        <v>11</v>
      </c>
      <c r="W195" s="29" t="s">
        <v>11</v>
      </c>
      <c r="X195" s="29" t="s">
        <v>11</v>
      </c>
      <c r="Y195" s="10" t="s">
        <v>11</v>
      </c>
      <c r="Z195" s="10" t="s">
        <v>11</v>
      </c>
      <c r="AA195" s="35" t="s">
        <v>11</v>
      </c>
      <c r="AB195" s="35" t="s">
        <v>11</v>
      </c>
      <c r="AC195" s="35" t="s">
        <v>11</v>
      </c>
      <c r="AD195" s="26"/>
      <c r="AE195" s="24">
        <f t="shared" si="6"/>
        <v>0</v>
      </c>
      <c r="AF195" s="24">
        <f t="shared" si="7"/>
        <v>0</v>
      </c>
      <c r="AG195" s="24">
        <f t="shared" si="8"/>
        <v>15</v>
      </c>
      <c r="AH195" s="41" t="str" cm="1">
        <f t="array" ref="AH195">_xlfn.IFS(
SUM(AE195:AG195)=0,"Not Started",
SUM(AE195:AG195)&lt;15,"In Progress",
SUM(AE195:AG195)=15,"Completed",
SUM(AE195:AG195)&gt;15,"Error"
)</f>
        <v>Completed</v>
      </c>
    </row>
    <row r="196" spans="1:34" ht="13" x14ac:dyDescent="0.25">
      <c r="A196" s="248"/>
      <c r="B196" s="215" t="s">
        <v>845</v>
      </c>
      <c r="C196" s="7" t="s">
        <v>3547</v>
      </c>
      <c r="D196" s="7" t="s">
        <v>3744</v>
      </c>
      <c r="E196" s="7" t="s">
        <v>47</v>
      </c>
      <c r="F196" s="7" t="s">
        <v>44</v>
      </c>
      <c r="G196" s="7" t="s">
        <v>3848</v>
      </c>
      <c r="H196" s="7" t="s">
        <v>3848</v>
      </c>
      <c r="I196" s="7"/>
      <c r="J196" s="7" t="s">
        <v>4000</v>
      </c>
      <c r="K196" s="7" t="s">
        <v>3926</v>
      </c>
      <c r="L196" s="7">
        <v>10053257221</v>
      </c>
      <c r="M196" s="7"/>
      <c r="N196" s="9">
        <v>46140</v>
      </c>
      <c r="O196" s="29" t="s">
        <v>11</v>
      </c>
      <c r="P196" s="29" t="s">
        <v>11</v>
      </c>
      <c r="Q196" s="29" t="s">
        <v>11</v>
      </c>
      <c r="R196" s="29" t="s">
        <v>11</v>
      </c>
      <c r="S196" s="29" t="s">
        <v>11</v>
      </c>
      <c r="T196" s="29" t="s">
        <v>11</v>
      </c>
      <c r="U196" s="29" t="s">
        <v>11</v>
      </c>
      <c r="V196" s="29" t="s">
        <v>11</v>
      </c>
      <c r="W196" s="29" t="s">
        <v>11</v>
      </c>
      <c r="X196" s="29" t="s">
        <v>11</v>
      </c>
      <c r="Y196" s="10" t="s">
        <v>11</v>
      </c>
      <c r="Z196" s="10" t="s">
        <v>11</v>
      </c>
      <c r="AA196" s="35" t="s">
        <v>11</v>
      </c>
      <c r="AB196" s="35" t="s">
        <v>11</v>
      </c>
      <c r="AC196" s="35" t="s">
        <v>11</v>
      </c>
      <c r="AD196" s="26"/>
      <c r="AE196" s="24">
        <f t="shared" si="6"/>
        <v>0</v>
      </c>
      <c r="AF196" s="24">
        <f t="shared" si="7"/>
        <v>0</v>
      </c>
      <c r="AG196" s="24">
        <f t="shared" si="8"/>
        <v>15</v>
      </c>
      <c r="AH196" s="41" t="str" cm="1">
        <f t="array" ref="AH196">_xlfn.IFS(
SUM(AE196:AG196)=0,"Not Started",
SUM(AE196:AG196)&lt;15,"In Progress",
SUM(AE196:AG196)=15,"Completed",
SUM(AE196:AG196)&gt;15,"Error"
)</f>
        <v>Completed</v>
      </c>
    </row>
    <row r="197" spans="1:34" ht="13" x14ac:dyDescent="0.25">
      <c r="A197" s="248"/>
      <c r="B197" s="7" t="s">
        <v>846</v>
      </c>
      <c r="C197" s="7" t="s">
        <v>3548</v>
      </c>
      <c r="D197" s="7" t="s">
        <v>3745</v>
      </c>
      <c r="E197" s="7" t="s">
        <v>43</v>
      </c>
      <c r="F197" s="7" t="s">
        <v>44</v>
      </c>
      <c r="G197" s="7" t="s">
        <v>3848</v>
      </c>
      <c r="H197" s="7" t="s">
        <v>3848</v>
      </c>
      <c r="I197" s="7"/>
      <c r="J197" s="7" t="s">
        <v>4088</v>
      </c>
      <c r="K197" s="7" t="s">
        <v>3927</v>
      </c>
      <c r="L197" s="7">
        <v>10053625749</v>
      </c>
      <c r="M197" s="7"/>
      <c r="N197" s="7"/>
      <c r="O197" s="179" t="s">
        <v>11</v>
      </c>
      <c r="P197" s="179" t="s">
        <v>11</v>
      </c>
      <c r="Q197" s="179" t="s">
        <v>11</v>
      </c>
      <c r="R197" s="179" t="s">
        <v>11</v>
      </c>
      <c r="S197" s="179" t="s">
        <v>11</v>
      </c>
      <c r="T197" s="179" t="s">
        <v>11</v>
      </c>
      <c r="U197" s="179" t="s">
        <v>11</v>
      </c>
      <c r="V197" s="179" t="s">
        <v>11</v>
      </c>
      <c r="W197" s="179" t="s">
        <v>11</v>
      </c>
      <c r="X197" s="179" t="s">
        <v>11</v>
      </c>
      <c r="Y197" s="139" t="s">
        <v>11</v>
      </c>
      <c r="Z197" s="139" t="s">
        <v>11</v>
      </c>
      <c r="AA197" s="180" t="s">
        <v>11</v>
      </c>
      <c r="AB197" s="180" t="s">
        <v>11</v>
      </c>
      <c r="AC197" s="35" t="s">
        <v>11</v>
      </c>
      <c r="AD197" s="26"/>
      <c r="AE197" s="24">
        <f t="shared" ref="AE197:AE204" si="9">COUNTIF(O197:AC197,$AE$2)</f>
        <v>0</v>
      </c>
      <c r="AF197" s="24">
        <f t="shared" ref="AF197:AF204" si="10">COUNTIF(O197:AC197,$AF$2)</f>
        <v>0</v>
      </c>
      <c r="AG197" s="24">
        <f t="shared" ref="AG197:AG204" si="11">COUNTIF(O197:AC197,$AG$2)</f>
        <v>15</v>
      </c>
      <c r="AH197" s="41" t="str" cm="1">
        <f t="array" ref="AH197">_xlfn.IFS(
SUM(AE197:AG197)=0,"Not Started",
SUM(AE197:AG197)&lt;15,"In Progress",
SUM(AE197:AG197)=15,"Completed",
SUM(AE197:AG197)&gt;15,"Error"
)</f>
        <v>Completed</v>
      </c>
    </row>
    <row r="198" spans="1:34" ht="13" x14ac:dyDescent="0.25">
      <c r="A198" s="248"/>
      <c r="B198" s="14" t="s">
        <v>847</v>
      </c>
      <c r="C198" s="7" t="s">
        <v>3549</v>
      </c>
      <c r="D198" s="7" t="s">
        <v>3746</v>
      </c>
      <c r="E198" s="7" t="s">
        <v>43</v>
      </c>
      <c r="F198" s="7" t="s">
        <v>44</v>
      </c>
      <c r="G198" s="7" t="s">
        <v>3848</v>
      </c>
      <c r="H198" s="7" t="s">
        <v>3848</v>
      </c>
      <c r="I198" s="7"/>
      <c r="J198" s="7" t="s">
        <v>4004</v>
      </c>
      <c r="K198" s="7" t="s">
        <v>3928</v>
      </c>
      <c r="L198" s="7">
        <v>10088486710</v>
      </c>
      <c r="M198" s="7"/>
      <c r="N198" s="7"/>
      <c r="O198" s="29" t="s">
        <v>11</v>
      </c>
      <c r="P198" s="29" t="s">
        <v>11</v>
      </c>
      <c r="Q198" s="29" t="s">
        <v>11</v>
      </c>
      <c r="R198" s="29" t="s">
        <v>11</v>
      </c>
      <c r="S198" s="29" t="s">
        <v>11</v>
      </c>
      <c r="T198" s="29" t="s">
        <v>11</v>
      </c>
      <c r="U198" s="29" t="s">
        <v>11</v>
      </c>
      <c r="V198" s="29" t="s">
        <v>11</v>
      </c>
      <c r="W198" s="29" t="s">
        <v>11</v>
      </c>
      <c r="X198" s="29" t="s">
        <v>11</v>
      </c>
      <c r="Y198" s="10" t="s">
        <v>11</v>
      </c>
      <c r="Z198" s="10" t="s">
        <v>11</v>
      </c>
      <c r="AA198" s="35" t="s">
        <v>11</v>
      </c>
      <c r="AB198" s="35" t="s">
        <v>11</v>
      </c>
      <c r="AC198" s="35" t="s">
        <v>11</v>
      </c>
      <c r="AD198" s="26"/>
      <c r="AE198" s="24">
        <f t="shared" si="9"/>
        <v>0</v>
      </c>
      <c r="AF198" s="24">
        <f t="shared" si="10"/>
        <v>0</v>
      </c>
      <c r="AG198" s="24">
        <f t="shared" si="11"/>
        <v>15</v>
      </c>
      <c r="AH198" s="41" t="str" cm="1">
        <f t="array" ref="AH198">_xlfn.IFS(
SUM(AE198:AG198)=0,"Not Started",
SUM(AE198:AG198)&lt;15,"In Progress",
SUM(AE198:AG198)=15,"Completed",
SUM(AE198:AG198)&gt;15,"Error"
)</f>
        <v>Completed</v>
      </c>
    </row>
    <row r="199" spans="1:34" ht="13" x14ac:dyDescent="0.25">
      <c r="A199" s="248"/>
      <c r="B199" s="7" t="s">
        <v>848</v>
      </c>
      <c r="C199" s="7" t="s">
        <v>3550</v>
      </c>
      <c r="D199" s="7" t="s">
        <v>3747</v>
      </c>
      <c r="E199" s="7" t="s">
        <v>43</v>
      </c>
      <c r="F199" s="7" t="s">
        <v>44</v>
      </c>
      <c r="G199" s="7" t="s">
        <v>3848</v>
      </c>
      <c r="H199" s="7" t="s">
        <v>3848</v>
      </c>
      <c r="I199" s="7"/>
      <c r="J199" s="7" t="s">
        <v>4133</v>
      </c>
      <c r="K199" s="7" t="s">
        <v>3929</v>
      </c>
      <c r="L199" s="7">
        <v>30127749659</v>
      </c>
      <c r="M199" s="7"/>
      <c r="N199" s="7"/>
      <c r="O199" s="179" t="s">
        <v>11</v>
      </c>
      <c r="P199" s="179" t="s">
        <v>11</v>
      </c>
      <c r="Q199" s="179" t="s">
        <v>11</v>
      </c>
      <c r="R199" s="179" t="s">
        <v>11</v>
      </c>
      <c r="S199" s="179" t="s">
        <v>11</v>
      </c>
      <c r="T199" s="179" t="s">
        <v>11</v>
      </c>
      <c r="U199" s="179" t="s">
        <v>11</v>
      </c>
      <c r="V199" s="179" t="s">
        <v>11</v>
      </c>
      <c r="W199" s="179" t="s">
        <v>11</v>
      </c>
      <c r="X199" s="179" t="s">
        <v>11</v>
      </c>
      <c r="Y199" s="139" t="s">
        <v>11</v>
      </c>
      <c r="Z199" s="139" t="s">
        <v>11</v>
      </c>
      <c r="AA199" s="180" t="s">
        <v>11</v>
      </c>
      <c r="AB199" s="180" t="s">
        <v>11</v>
      </c>
      <c r="AC199" s="35" t="s">
        <v>11</v>
      </c>
      <c r="AD199" s="26"/>
      <c r="AE199" s="24">
        <f t="shared" si="9"/>
        <v>0</v>
      </c>
      <c r="AF199" s="24">
        <f t="shared" si="10"/>
        <v>0</v>
      </c>
      <c r="AG199" s="24">
        <f t="shared" si="11"/>
        <v>15</v>
      </c>
      <c r="AH199" s="41" t="str" cm="1">
        <f t="array" ref="AH199">_xlfn.IFS(
SUM(AE199:AG199)=0,"Not Started",
SUM(AE199:AG199)&lt;15,"In Progress",
SUM(AE199:AG199)=15,"Completed",
SUM(AE199:AG199)&gt;15,"Error"
)</f>
        <v>Completed</v>
      </c>
    </row>
    <row r="200" spans="1:34" ht="13" x14ac:dyDescent="0.25">
      <c r="A200" s="248"/>
      <c r="B200" s="14" t="s">
        <v>849</v>
      </c>
      <c r="C200" s="7" t="s">
        <v>3551</v>
      </c>
      <c r="D200" s="7" t="s">
        <v>3748</v>
      </c>
      <c r="E200" s="7" t="s">
        <v>51</v>
      </c>
      <c r="F200" s="7" t="s">
        <v>44</v>
      </c>
      <c r="G200" s="7" t="s">
        <v>3848</v>
      </c>
      <c r="H200" s="7" t="s">
        <v>3848</v>
      </c>
      <c r="I200" s="7"/>
      <c r="J200" s="7" t="s">
        <v>4039</v>
      </c>
      <c r="K200" s="7" t="s">
        <v>3930</v>
      </c>
      <c r="L200" s="7">
        <v>10053506471</v>
      </c>
      <c r="M200" s="7"/>
      <c r="N200" s="7"/>
      <c r="O200" s="29" t="s">
        <v>11</v>
      </c>
      <c r="P200" s="29" t="s">
        <v>11</v>
      </c>
      <c r="Q200" s="29" t="s">
        <v>11</v>
      </c>
      <c r="R200" s="29" t="s">
        <v>11</v>
      </c>
      <c r="S200" s="29" t="s">
        <v>11</v>
      </c>
      <c r="T200" s="29" t="s">
        <v>11</v>
      </c>
      <c r="U200" s="29" t="s">
        <v>11</v>
      </c>
      <c r="V200" s="29" t="s">
        <v>11</v>
      </c>
      <c r="W200" s="29" t="s">
        <v>11</v>
      </c>
      <c r="X200" s="29" t="s">
        <v>11</v>
      </c>
      <c r="Y200" s="10" t="s">
        <v>11</v>
      </c>
      <c r="Z200" s="10" t="s">
        <v>11</v>
      </c>
      <c r="AA200" s="35" t="s">
        <v>11</v>
      </c>
      <c r="AB200" s="212" t="s">
        <v>11</v>
      </c>
      <c r="AC200" s="35" t="s">
        <v>11</v>
      </c>
      <c r="AD200" s="26"/>
      <c r="AE200" s="24">
        <f t="shared" si="9"/>
        <v>0</v>
      </c>
      <c r="AF200" s="24">
        <f t="shared" si="10"/>
        <v>0</v>
      </c>
      <c r="AG200" s="24">
        <f t="shared" si="11"/>
        <v>15</v>
      </c>
      <c r="AH200" s="41" t="str" cm="1">
        <f t="array" ref="AH200">_xlfn.IFS(
SUM(AE200:AG200)=0,"Not Started",
SUM(AE200:AG200)&lt;15,"In Progress",
SUM(AE200:AG200)=15,"Completed",
SUM(AE200:AG200)&gt;15,"Error"
)</f>
        <v>Completed</v>
      </c>
    </row>
    <row r="201" spans="1:34" ht="13" x14ac:dyDescent="0.25">
      <c r="A201" s="248"/>
      <c r="B201" s="7" t="s">
        <v>850</v>
      </c>
      <c r="C201" s="7" t="s">
        <v>3554</v>
      </c>
      <c r="D201" s="7" t="s">
        <v>3751</v>
      </c>
      <c r="E201" s="7" t="s">
        <v>51</v>
      </c>
      <c r="F201" s="7" t="s">
        <v>44</v>
      </c>
      <c r="G201" s="7" t="s">
        <v>3848</v>
      </c>
      <c r="H201" s="7" t="s">
        <v>3848</v>
      </c>
      <c r="I201" s="7"/>
      <c r="J201" s="7" t="s">
        <v>4089</v>
      </c>
      <c r="K201" s="7" t="s">
        <v>5718</v>
      </c>
      <c r="L201" s="7">
        <v>10053586794</v>
      </c>
      <c r="M201" s="7"/>
      <c r="N201" s="7"/>
      <c r="O201" s="29" t="s">
        <v>11</v>
      </c>
      <c r="P201" s="29" t="s">
        <v>11</v>
      </c>
      <c r="Q201" s="29" t="s">
        <v>11</v>
      </c>
      <c r="R201" s="29" t="s">
        <v>11</v>
      </c>
      <c r="S201" s="29" t="s">
        <v>11</v>
      </c>
      <c r="T201" s="29" t="s">
        <v>11</v>
      </c>
      <c r="U201" s="29" t="s">
        <v>11</v>
      </c>
      <c r="V201" s="29" t="s">
        <v>11</v>
      </c>
      <c r="W201" s="29" t="s">
        <v>11</v>
      </c>
      <c r="X201" s="29" t="s">
        <v>11</v>
      </c>
      <c r="Y201" s="10" t="s">
        <v>11</v>
      </c>
      <c r="Z201" s="10" t="s">
        <v>11</v>
      </c>
      <c r="AA201" s="35" t="s">
        <v>11</v>
      </c>
      <c r="AB201" s="212" t="s">
        <v>11</v>
      </c>
      <c r="AC201" s="35" t="s">
        <v>11</v>
      </c>
      <c r="AD201" s="26"/>
      <c r="AE201" s="24">
        <f t="shared" si="9"/>
        <v>0</v>
      </c>
      <c r="AF201" s="24">
        <f t="shared" si="10"/>
        <v>0</v>
      </c>
      <c r="AG201" s="24">
        <f t="shared" si="11"/>
        <v>15</v>
      </c>
      <c r="AH201" s="41" t="str" cm="1">
        <f t="array" ref="AH201">_xlfn.IFS(
SUM(AE201:AG201)=0,"Not Started",
SUM(AE201:AG201)&lt;15,"In Progress",
SUM(AE201:AG201)=15,"Completed",
SUM(AE201:AG201)&gt;15,"Error"
)</f>
        <v>Completed</v>
      </c>
    </row>
    <row r="202" spans="1:34" ht="13" x14ac:dyDescent="0.25">
      <c r="A202" s="248"/>
      <c r="B202" s="14" t="s">
        <v>851</v>
      </c>
      <c r="C202" s="7" t="s">
        <v>3594</v>
      </c>
      <c r="D202" s="7" t="s">
        <v>3792</v>
      </c>
      <c r="E202" s="7" t="s">
        <v>51</v>
      </c>
      <c r="F202" s="7" t="s">
        <v>44</v>
      </c>
      <c r="G202" s="7" t="s">
        <v>3848</v>
      </c>
      <c r="H202" s="7" t="s">
        <v>3848</v>
      </c>
      <c r="I202" s="7"/>
      <c r="J202" s="7" t="s">
        <v>4024</v>
      </c>
      <c r="K202" s="7" t="s">
        <v>3959</v>
      </c>
      <c r="L202" s="7">
        <v>10053692241</v>
      </c>
      <c r="M202" s="7"/>
      <c r="N202" s="7"/>
      <c r="O202" s="181" t="s">
        <v>11</v>
      </c>
      <c r="P202" s="181" t="s">
        <v>11</v>
      </c>
      <c r="Q202" s="181" t="s">
        <v>11</v>
      </c>
      <c r="R202" s="181" t="s">
        <v>11</v>
      </c>
      <c r="S202" s="181" t="s">
        <v>11</v>
      </c>
      <c r="T202" s="181" t="s">
        <v>11</v>
      </c>
      <c r="U202" s="181" t="s">
        <v>11</v>
      </c>
      <c r="V202" s="181" t="s">
        <v>11</v>
      </c>
      <c r="W202" s="181" t="s">
        <v>11</v>
      </c>
      <c r="X202" s="181" t="s">
        <v>11</v>
      </c>
      <c r="Y202" s="182" t="s">
        <v>11</v>
      </c>
      <c r="Z202" s="182" t="s">
        <v>11</v>
      </c>
      <c r="AA202" s="183" t="s">
        <v>11</v>
      </c>
      <c r="AB202" s="183" t="s">
        <v>11</v>
      </c>
      <c r="AC202" s="35" t="s">
        <v>11</v>
      </c>
      <c r="AD202" s="26"/>
      <c r="AE202" s="24">
        <f t="shared" si="9"/>
        <v>0</v>
      </c>
      <c r="AF202" s="24">
        <f t="shared" si="10"/>
        <v>0</v>
      </c>
      <c r="AG202" s="24">
        <f t="shared" si="11"/>
        <v>15</v>
      </c>
      <c r="AH202" s="41" t="str" cm="1">
        <f t="array" ref="AH202">_xlfn.IFS(
SUM(AE202:AG202)=0,"Not Started",
SUM(AE202:AG202)&lt;15,"In Progress",
SUM(AE202:AG202)=15,"Completed",
SUM(AE202:AG202)&gt;15,"Error"
)</f>
        <v>Completed</v>
      </c>
    </row>
    <row r="203" spans="1:34" ht="13" x14ac:dyDescent="0.25">
      <c r="A203" s="249"/>
      <c r="B203" s="7" t="s">
        <v>852</v>
      </c>
      <c r="C203" s="7" t="s">
        <v>3621</v>
      </c>
      <c r="D203" s="7" t="s">
        <v>3821</v>
      </c>
      <c r="E203" s="7" t="s">
        <v>47</v>
      </c>
      <c r="F203" s="7" t="s">
        <v>44</v>
      </c>
      <c r="G203" s="7" t="s">
        <v>3848</v>
      </c>
      <c r="H203" s="7" t="s">
        <v>3848</v>
      </c>
      <c r="I203" s="7"/>
      <c r="J203" s="7" t="s">
        <v>4150</v>
      </c>
      <c r="K203" s="7" t="s">
        <v>5719</v>
      </c>
      <c r="L203" s="7">
        <v>10053351045</v>
      </c>
      <c r="M203" s="7"/>
      <c r="N203" s="7"/>
      <c r="O203" s="29" t="s">
        <v>11</v>
      </c>
      <c r="P203" s="29" t="s">
        <v>11</v>
      </c>
      <c r="Q203" s="29" t="s">
        <v>11</v>
      </c>
      <c r="R203" s="29" t="s">
        <v>11</v>
      </c>
      <c r="S203" s="29" t="s">
        <v>11</v>
      </c>
      <c r="T203" s="29" t="s">
        <v>11</v>
      </c>
      <c r="U203" s="29" t="s">
        <v>11</v>
      </c>
      <c r="V203" s="29" t="s">
        <v>11</v>
      </c>
      <c r="W203" s="29" t="s">
        <v>11</v>
      </c>
      <c r="X203" s="29" t="s">
        <v>11</v>
      </c>
      <c r="Y203" s="10" t="s">
        <v>11</v>
      </c>
      <c r="Z203" s="10" t="s">
        <v>11</v>
      </c>
      <c r="AA203" s="35" t="s">
        <v>11</v>
      </c>
      <c r="AB203" s="211" t="s">
        <v>11053</v>
      </c>
      <c r="AC203" s="35" t="s">
        <v>11</v>
      </c>
      <c r="AD203" s="27"/>
      <c r="AE203" s="24">
        <f t="shared" si="9"/>
        <v>0</v>
      </c>
      <c r="AF203" s="24">
        <f t="shared" si="10"/>
        <v>0</v>
      </c>
      <c r="AG203" s="24">
        <f t="shared" si="11"/>
        <v>14</v>
      </c>
      <c r="AH203" s="41" t="str" cm="1">
        <f t="array" ref="AH203">_xlfn.IFS(
SUM(AE203:AG203)=0,"Not Started",
SUM(AE203:AG203)&lt;15,"In Progress",
SUM(AE203:AG203)=15,"Completed",
SUM(AE203:AG203)&gt;15,"Error"
)</f>
        <v>In Progress</v>
      </c>
    </row>
    <row r="204" spans="1:34" ht="15.75" customHeight="1" x14ac:dyDescent="0.25">
      <c r="A204" s="250" t="s">
        <v>251</v>
      </c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4"/>
      <c r="AE204" s="24">
        <f t="shared" si="9"/>
        <v>0</v>
      </c>
      <c r="AF204" s="24">
        <f t="shared" si="10"/>
        <v>0</v>
      </c>
      <c r="AG204" s="24">
        <f t="shared" si="11"/>
        <v>0</v>
      </c>
      <c r="AH204" s="40" cm="1">
        <f t="array" ref="AH204">SUM(O204:AC204/15)</f>
        <v>0</v>
      </c>
    </row>
    <row r="205" spans="1:34" ht="15.75" customHeight="1" x14ac:dyDescent="0.25">
      <c r="M205" s="257" t="s">
        <v>251</v>
      </c>
      <c r="N205" s="67" t="s">
        <v>11</v>
      </c>
      <c r="O205" s="72">
        <f t="shared" ref="O205:AA205" si="12">COUNTIF(O$3:O$203,"Completed")</f>
        <v>200</v>
      </c>
      <c r="P205" s="72">
        <f t="shared" si="12"/>
        <v>200</v>
      </c>
      <c r="Q205" s="72">
        <f t="shared" si="12"/>
        <v>200</v>
      </c>
      <c r="R205" s="72">
        <f t="shared" si="12"/>
        <v>200</v>
      </c>
      <c r="S205" s="72">
        <f t="shared" si="12"/>
        <v>200</v>
      </c>
      <c r="T205" s="72">
        <f t="shared" si="12"/>
        <v>200</v>
      </c>
      <c r="U205" s="72">
        <f t="shared" si="12"/>
        <v>200</v>
      </c>
      <c r="V205" s="72">
        <f t="shared" si="12"/>
        <v>200</v>
      </c>
      <c r="W205" s="72">
        <f t="shared" si="12"/>
        <v>200</v>
      </c>
      <c r="X205" s="72">
        <f t="shared" si="12"/>
        <v>200</v>
      </c>
      <c r="Y205" s="72">
        <f t="shared" si="12"/>
        <v>195</v>
      </c>
      <c r="Z205" s="72">
        <f t="shared" si="12"/>
        <v>195</v>
      </c>
      <c r="AA205" s="72">
        <f t="shared" si="12"/>
        <v>195</v>
      </c>
      <c r="AB205" s="72">
        <f>COUNTIF(AB$2:AB$203,"Completed")</f>
        <v>189</v>
      </c>
      <c r="AC205" s="72">
        <f>COUNTIF(AC$2:AC$203,"Completed")</f>
        <v>197</v>
      </c>
      <c r="AD205" s="72">
        <f>COUNTIF(AD$2:AD$203,"Completed")</f>
        <v>0</v>
      </c>
    </row>
    <row r="206" spans="1:34" ht="15.75" customHeight="1" x14ac:dyDescent="0.25">
      <c r="M206" s="258"/>
      <c r="N206" s="67" t="s">
        <v>10</v>
      </c>
      <c r="O206" s="73">
        <f t="shared" ref="O206:AA206" si="13">COUNTIF(O$3:O$203,"In Progress")</f>
        <v>0</v>
      </c>
      <c r="P206" s="73">
        <f t="shared" si="13"/>
        <v>0</v>
      </c>
      <c r="Q206" s="73">
        <f t="shared" si="13"/>
        <v>0</v>
      </c>
      <c r="R206" s="73">
        <f t="shared" si="13"/>
        <v>0</v>
      </c>
      <c r="S206" s="73">
        <f t="shared" si="13"/>
        <v>0</v>
      </c>
      <c r="T206" s="73">
        <f t="shared" si="13"/>
        <v>0</v>
      </c>
      <c r="U206" s="73">
        <f t="shared" si="13"/>
        <v>0</v>
      </c>
      <c r="V206" s="73">
        <f t="shared" si="13"/>
        <v>0</v>
      </c>
      <c r="W206" s="73">
        <f t="shared" si="13"/>
        <v>0</v>
      </c>
      <c r="X206" s="73">
        <f t="shared" si="13"/>
        <v>0</v>
      </c>
      <c r="Y206" s="73">
        <f t="shared" si="13"/>
        <v>0</v>
      </c>
      <c r="Z206" s="73">
        <f t="shared" si="13"/>
        <v>0</v>
      </c>
      <c r="AA206" s="73">
        <f t="shared" si="13"/>
        <v>0</v>
      </c>
      <c r="AB206" s="73">
        <f>COUNTIF(AB$2:AB$203,"In Progress")</f>
        <v>0</v>
      </c>
      <c r="AC206" s="73">
        <f>COUNTIF(AC$2:AC$203,"In Progress")</f>
        <v>0</v>
      </c>
      <c r="AD206" s="73">
        <f>COUNTIF(AD$2:AD$203,"In Progress")</f>
        <v>0</v>
      </c>
    </row>
    <row r="207" spans="1:34" ht="15.75" customHeight="1" x14ac:dyDescent="0.25">
      <c r="M207" s="259"/>
      <c r="N207" s="67" t="s">
        <v>9</v>
      </c>
      <c r="O207" s="74">
        <f t="shared" ref="O207:AA207" si="14">COUNTIF(O$3:O$203,"Not Started")</f>
        <v>0</v>
      </c>
      <c r="P207" s="74">
        <f t="shared" si="14"/>
        <v>0</v>
      </c>
      <c r="Q207" s="74">
        <f t="shared" si="14"/>
        <v>0</v>
      </c>
      <c r="R207" s="74">
        <f t="shared" si="14"/>
        <v>0</v>
      </c>
      <c r="S207" s="74">
        <f t="shared" si="14"/>
        <v>0</v>
      </c>
      <c r="T207" s="74">
        <f t="shared" si="14"/>
        <v>0</v>
      </c>
      <c r="U207" s="74">
        <f t="shared" si="14"/>
        <v>0</v>
      </c>
      <c r="V207" s="74">
        <f t="shared" si="14"/>
        <v>0</v>
      </c>
      <c r="W207" s="74">
        <f t="shared" si="14"/>
        <v>0</v>
      </c>
      <c r="X207" s="74">
        <f t="shared" si="14"/>
        <v>0</v>
      </c>
      <c r="Y207" s="74">
        <f t="shared" si="14"/>
        <v>0</v>
      </c>
      <c r="Z207" s="74">
        <f t="shared" si="14"/>
        <v>0</v>
      </c>
      <c r="AA207" s="74">
        <f t="shared" si="14"/>
        <v>0</v>
      </c>
      <c r="AB207" s="74">
        <f>COUNTIF(AB$2:AB$203,"Not Started")</f>
        <v>0</v>
      </c>
      <c r="AC207" s="74">
        <f>COUNTIF(AC$2:AC$203,"Not Started")</f>
        <v>0</v>
      </c>
      <c r="AD207" s="74">
        <f>COUNTIF(AD$2:AD$203,"Not Started")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B86:AB87 AB112 AB109:AB110 AB67:AB76 AB152 AB154:AB158 AB160 AB162:AB173 AB175:AB177 AC192:AC203 AC165:AC190 O164:AA203 O163:X163 AB78:AB84 AB94:AB107 O94:AA158 AB115:AB131 O4:AC17 O19:AA87 AC19:AC158 O160:AA162 AC160:AC163 AB19:AB65 AB133:AB150 O88:AB93 AB179:AB202" name="Range1_2"/>
    <protectedRange sqref="AB77 AB111 AB151 AB85 AB66 AB108 AB113:AB114 AB132" name="Range1_1_3"/>
    <protectedRange sqref="O18:AC18" name="Range1_1"/>
    <protectedRange sqref="O159:AC159" name="Range1_4"/>
  </protectedRanges>
  <autoFilter ref="A3:AM207" xr:uid="{84D39FEB-7B7F-4F25-89EA-54A487FF8A06}">
    <filterColumn colId="8" showButton="0"/>
  </autoFilter>
  <mergeCells count="16">
    <mergeCell ref="M205:M207"/>
    <mergeCell ref="AF2:AF3"/>
    <mergeCell ref="AG2:AG3"/>
    <mergeCell ref="AH2:AH3"/>
    <mergeCell ref="A2:A3"/>
    <mergeCell ref="B2:M2"/>
    <mergeCell ref="N2:N3"/>
    <mergeCell ref="O2:R2"/>
    <mergeCell ref="S2:AA2"/>
    <mergeCell ref="AB2:AB3"/>
    <mergeCell ref="I3:J3"/>
    <mergeCell ref="A4:A203"/>
    <mergeCell ref="A204:N204"/>
    <mergeCell ref="AC2:AC3"/>
    <mergeCell ref="AD2:AD3"/>
    <mergeCell ref="AE2:AE3"/>
  </mergeCells>
  <conditionalFormatting sqref="AE5:AG204 B4:B203 AD4:AG4 AD5:AD203">
    <cfRule type="cellIs" dxfId="1911" priority="718" operator="equal">
      <formula>"In Progress"</formula>
    </cfRule>
    <cfRule type="cellIs" dxfId="1910" priority="719" operator="equal">
      <formula>"Completed"</formula>
    </cfRule>
  </conditionalFormatting>
  <conditionalFormatting sqref="AH4:AH203">
    <cfRule type="cellIs" dxfId="1909" priority="715" operator="equal">
      <formula>"In Progress"</formula>
    </cfRule>
    <cfRule type="cellIs" dxfId="1908" priority="716" operator="equal">
      <formula>"Completed"</formula>
    </cfRule>
    <cfRule type="cellIs" dxfId="1907" priority="717" operator="equal">
      <formula>"Not Started"</formula>
    </cfRule>
  </conditionalFormatting>
  <conditionalFormatting sqref="C5:N203">
    <cfRule type="cellIs" dxfId="1906" priority="712" operator="equal">
      <formula>"In Progress"</formula>
    </cfRule>
    <cfRule type="cellIs" dxfId="1905" priority="713" operator="equal">
      <formula>"Completed"</formula>
    </cfRule>
  </conditionalFormatting>
  <conditionalFormatting sqref="C4:N4">
    <cfRule type="cellIs" dxfId="1904" priority="710" operator="equal">
      <formula>"In Progress"</formula>
    </cfRule>
    <cfRule type="cellIs" dxfId="1903" priority="711" operator="equal">
      <formula>"Completed"</formula>
    </cfRule>
  </conditionalFormatting>
  <conditionalFormatting sqref="O4:AA17 O164:AA203 O163:X163 O143:AA158 O142:X142 O94:AA141 O92:X93 O90:AA91 O88:X89 O19:AA87 O160:AA162">
    <cfRule type="cellIs" dxfId="1902" priority="218" operator="equal">
      <formula>"In Progress"</formula>
    </cfRule>
    <cfRule type="cellIs" dxfId="1901" priority="219" operator="equal">
      <formula>"Completed"</formula>
    </cfRule>
  </conditionalFormatting>
  <conditionalFormatting sqref="O4:AA17 O164:AA203 O163:X163 O143:AA158 O142:X142 O94:AA141 O92:X93 O90:AA91 O88:X89 O19:AA87 O160:AA162">
    <cfRule type="cellIs" dxfId="1900" priority="217" operator="equal">
      <formula>"Not Started"</formula>
    </cfRule>
  </conditionalFormatting>
  <conditionalFormatting sqref="AB77 AB111 AB151 AB85 AB113 AB66 AB108">
    <cfRule type="cellIs" dxfId="1899" priority="215" operator="equal">
      <formula>"In Progress"</formula>
    </cfRule>
    <cfRule type="cellIs" dxfId="1898" priority="216" operator="equal">
      <formula>"Completed"</formula>
    </cfRule>
  </conditionalFormatting>
  <conditionalFormatting sqref="AB12">
    <cfRule type="cellIs" dxfId="1897" priority="213" operator="equal">
      <formula>"In Progress"</formula>
    </cfRule>
    <cfRule type="cellIs" dxfId="1896" priority="214" operator="equal">
      <formula>"Completed"</formula>
    </cfRule>
  </conditionalFormatting>
  <conditionalFormatting sqref="AB12">
    <cfRule type="cellIs" dxfId="1895" priority="212" operator="equal">
      <formula>"Not Started"</formula>
    </cfRule>
  </conditionalFormatting>
  <conditionalFormatting sqref="AB25:AB27">
    <cfRule type="cellIs" dxfId="1894" priority="210" operator="equal">
      <formula>"In Progress"</formula>
    </cfRule>
    <cfRule type="cellIs" dxfId="1893" priority="211" operator="equal">
      <formula>"Completed"</formula>
    </cfRule>
  </conditionalFormatting>
  <conditionalFormatting sqref="AB25:AB27">
    <cfRule type="cellIs" dxfId="1892" priority="209" operator="equal">
      <formula>"Not Started"</formula>
    </cfRule>
  </conditionalFormatting>
  <conditionalFormatting sqref="AB32:AB36">
    <cfRule type="cellIs" dxfId="1891" priority="207" operator="equal">
      <formula>"In Progress"</formula>
    </cfRule>
    <cfRule type="cellIs" dxfId="1890" priority="208" operator="equal">
      <formula>"Completed"</formula>
    </cfRule>
  </conditionalFormatting>
  <conditionalFormatting sqref="AB32:AB36">
    <cfRule type="cellIs" dxfId="1889" priority="206" operator="equal">
      <formula>"Not Started"</formula>
    </cfRule>
  </conditionalFormatting>
  <conditionalFormatting sqref="AB31">
    <cfRule type="cellIs" dxfId="1888" priority="204" operator="equal">
      <formula>"In Progress"</formula>
    </cfRule>
    <cfRule type="cellIs" dxfId="1887" priority="205" operator="equal">
      <formula>"Completed"</formula>
    </cfRule>
  </conditionalFormatting>
  <conditionalFormatting sqref="AB31">
    <cfRule type="cellIs" dxfId="1886" priority="203" operator="equal">
      <formula>"Not Started"</formula>
    </cfRule>
  </conditionalFormatting>
  <conditionalFormatting sqref="AB38:AB39">
    <cfRule type="cellIs" dxfId="1885" priority="201" operator="equal">
      <formula>"In Progress"</formula>
    </cfRule>
    <cfRule type="cellIs" dxfId="1884" priority="202" operator="equal">
      <formula>"Completed"</formula>
    </cfRule>
  </conditionalFormatting>
  <conditionalFormatting sqref="AB38:AB39">
    <cfRule type="cellIs" dxfId="1883" priority="200" operator="equal">
      <formula>"Not Started"</formula>
    </cfRule>
  </conditionalFormatting>
  <conditionalFormatting sqref="AB46:AB49">
    <cfRule type="cellIs" dxfId="1882" priority="198" operator="equal">
      <formula>"In Progress"</formula>
    </cfRule>
    <cfRule type="cellIs" dxfId="1881" priority="199" operator="equal">
      <formula>"Completed"</formula>
    </cfRule>
  </conditionalFormatting>
  <conditionalFormatting sqref="AB46:AB49">
    <cfRule type="cellIs" dxfId="1880" priority="197" operator="equal">
      <formula>"Not Started"</formula>
    </cfRule>
  </conditionalFormatting>
  <conditionalFormatting sqref="AB55:AB57">
    <cfRule type="cellIs" dxfId="1879" priority="195" operator="equal">
      <formula>"In Progress"</formula>
    </cfRule>
    <cfRule type="cellIs" dxfId="1878" priority="196" operator="equal">
      <formula>"Completed"</formula>
    </cfRule>
  </conditionalFormatting>
  <conditionalFormatting sqref="AB55:AB57">
    <cfRule type="cellIs" dxfId="1877" priority="194" operator="equal">
      <formula>"Not Started"</formula>
    </cfRule>
  </conditionalFormatting>
  <conditionalFormatting sqref="AB54">
    <cfRule type="cellIs" dxfId="1876" priority="192" operator="equal">
      <formula>"In Progress"</formula>
    </cfRule>
    <cfRule type="cellIs" dxfId="1875" priority="193" operator="equal">
      <formula>"Completed"</formula>
    </cfRule>
  </conditionalFormatting>
  <conditionalFormatting sqref="AB54">
    <cfRule type="cellIs" dxfId="1874" priority="191" operator="equal">
      <formula>"Not Started"</formula>
    </cfRule>
  </conditionalFormatting>
  <conditionalFormatting sqref="AB70:AB75">
    <cfRule type="cellIs" dxfId="1873" priority="189" operator="equal">
      <formula>"In Progress"</formula>
    </cfRule>
    <cfRule type="cellIs" dxfId="1872" priority="190" operator="equal">
      <formula>"Completed"</formula>
    </cfRule>
  </conditionalFormatting>
  <conditionalFormatting sqref="AB70:AB75">
    <cfRule type="cellIs" dxfId="1871" priority="188" operator="equal">
      <formula>"Not Started"</formula>
    </cfRule>
  </conditionalFormatting>
  <conditionalFormatting sqref="AB82:AB84">
    <cfRule type="cellIs" dxfId="1870" priority="186" operator="equal">
      <formula>"In Progress"</formula>
    </cfRule>
    <cfRule type="cellIs" dxfId="1869" priority="187" operator="equal">
      <formula>"Completed"</formula>
    </cfRule>
  </conditionalFormatting>
  <conditionalFormatting sqref="AB82:AB84">
    <cfRule type="cellIs" dxfId="1868" priority="185" operator="equal">
      <formula>"Not Started"</formula>
    </cfRule>
  </conditionalFormatting>
  <conditionalFormatting sqref="AB90:AB91">
    <cfRule type="cellIs" dxfId="1867" priority="183" operator="equal">
      <formula>"In Progress"</formula>
    </cfRule>
    <cfRule type="cellIs" dxfId="1866" priority="184" operator="equal">
      <formula>"Completed"</formula>
    </cfRule>
  </conditionalFormatting>
  <conditionalFormatting sqref="AB90:AB91">
    <cfRule type="cellIs" dxfId="1865" priority="182" operator="equal">
      <formula>"Not Started"</formula>
    </cfRule>
  </conditionalFormatting>
  <conditionalFormatting sqref="AB86:AB87">
    <cfRule type="cellIs" dxfId="1864" priority="180" operator="equal">
      <formula>"In Progress"</formula>
    </cfRule>
    <cfRule type="cellIs" dxfId="1863" priority="181" operator="equal">
      <formula>"Completed"</formula>
    </cfRule>
  </conditionalFormatting>
  <conditionalFormatting sqref="AB86:AB87">
    <cfRule type="cellIs" dxfId="1862" priority="179" operator="equal">
      <formula>"Not Started"</formula>
    </cfRule>
  </conditionalFormatting>
  <conditionalFormatting sqref="AB106:AB107">
    <cfRule type="cellIs" dxfId="1861" priority="177" operator="equal">
      <formula>"In Progress"</formula>
    </cfRule>
    <cfRule type="cellIs" dxfId="1860" priority="178" operator="equal">
      <formula>"Completed"</formula>
    </cfRule>
  </conditionalFormatting>
  <conditionalFormatting sqref="AB106:AB107">
    <cfRule type="cellIs" dxfId="1859" priority="176" operator="equal">
      <formula>"Not Started"</formula>
    </cfRule>
  </conditionalFormatting>
  <conditionalFormatting sqref="AB109">
    <cfRule type="cellIs" dxfId="1858" priority="174" operator="equal">
      <formula>"In Progress"</formula>
    </cfRule>
    <cfRule type="cellIs" dxfId="1857" priority="175" operator="equal">
      <formula>"Completed"</formula>
    </cfRule>
  </conditionalFormatting>
  <conditionalFormatting sqref="AB109">
    <cfRule type="cellIs" dxfId="1856" priority="173" operator="equal">
      <formula>"Not Started"</formula>
    </cfRule>
  </conditionalFormatting>
  <conditionalFormatting sqref="AB112">
    <cfRule type="cellIs" dxfId="1855" priority="171" operator="equal">
      <formula>"In Progress"</formula>
    </cfRule>
    <cfRule type="cellIs" dxfId="1854" priority="172" operator="equal">
      <formula>"Completed"</formula>
    </cfRule>
  </conditionalFormatting>
  <conditionalFormatting sqref="AB112">
    <cfRule type="cellIs" dxfId="1853" priority="170" operator="equal">
      <formula>"Not Started"</formula>
    </cfRule>
  </conditionalFormatting>
  <conditionalFormatting sqref="AB140">
    <cfRule type="cellIs" dxfId="1852" priority="168" operator="equal">
      <formula>"In Progress"</formula>
    </cfRule>
    <cfRule type="cellIs" dxfId="1851" priority="169" operator="equal">
      <formula>"Completed"</formula>
    </cfRule>
  </conditionalFormatting>
  <conditionalFormatting sqref="AB140">
    <cfRule type="cellIs" dxfId="1850" priority="167" operator="equal">
      <formula>"Not Started"</formula>
    </cfRule>
  </conditionalFormatting>
  <conditionalFormatting sqref="AB152">
    <cfRule type="cellIs" dxfId="1849" priority="165" operator="equal">
      <formula>"In Progress"</formula>
    </cfRule>
    <cfRule type="cellIs" dxfId="1848" priority="166" operator="equal">
      <formula>"Completed"</formula>
    </cfRule>
  </conditionalFormatting>
  <conditionalFormatting sqref="AB152">
    <cfRule type="cellIs" dxfId="1847" priority="164" operator="equal">
      <formula>"Not Started"</formula>
    </cfRule>
  </conditionalFormatting>
  <conditionalFormatting sqref="AB164:AB171">
    <cfRule type="cellIs" dxfId="1846" priority="162" operator="equal">
      <formula>"In Progress"</formula>
    </cfRule>
    <cfRule type="cellIs" dxfId="1845" priority="163" operator="equal">
      <formula>"Completed"</formula>
    </cfRule>
  </conditionalFormatting>
  <conditionalFormatting sqref="AB164:AB171">
    <cfRule type="cellIs" dxfId="1844" priority="161" operator="equal">
      <formula>"Not Started"</formula>
    </cfRule>
  </conditionalFormatting>
  <conditionalFormatting sqref="AB41:AB43">
    <cfRule type="cellIs" dxfId="1843" priority="159" operator="equal">
      <formula>"In Progress"</formula>
    </cfRule>
    <cfRule type="cellIs" dxfId="1842" priority="160" operator="equal">
      <formula>"Completed"</formula>
    </cfRule>
  </conditionalFormatting>
  <conditionalFormatting sqref="AB41:AB43">
    <cfRule type="cellIs" dxfId="1841" priority="158" operator="equal">
      <formula>"Not Started"</formula>
    </cfRule>
  </conditionalFormatting>
  <conditionalFormatting sqref="AB150">
    <cfRule type="cellIs" dxfId="1840" priority="156" operator="equal">
      <formula>"In Progress"</formula>
    </cfRule>
    <cfRule type="cellIs" dxfId="1839" priority="157" operator="equal">
      <formula>"Completed"</formula>
    </cfRule>
  </conditionalFormatting>
  <conditionalFormatting sqref="AB150">
    <cfRule type="cellIs" dxfId="1838" priority="155" operator="equal">
      <formula>"Not Started"</formula>
    </cfRule>
  </conditionalFormatting>
  <conditionalFormatting sqref="AB110">
    <cfRule type="cellIs" dxfId="1837" priority="153" operator="equal">
      <formula>"In Progress"</formula>
    </cfRule>
    <cfRule type="cellIs" dxfId="1836" priority="154" operator="equal">
      <formula>"Completed"</formula>
    </cfRule>
  </conditionalFormatting>
  <conditionalFormatting sqref="AB110">
    <cfRule type="cellIs" dxfId="1835" priority="152" operator="equal">
      <formula>"Not Started"</formula>
    </cfRule>
  </conditionalFormatting>
  <conditionalFormatting sqref="AB81">
    <cfRule type="cellIs" dxfId="1834" priority="150" operator="equal">
      <formula>"In Progress"</formula>
    </cfRule>
    <cfRule type="cellIs" dxfId="1833" priority="151" operator="equal">
      <formula>"Completed"</formula>
    </cfRule>
  </conditionalFormatting>
  <conditionalFormatting sqref="AB81">
    <cfRule type="cellIs" dxfId="1832" priority="149" operator="equal">
      <formula>"Not Started"</formula>
    </cfRule>
  </conditionalFormatting>
  <conditionalFormatting sqref="AB40">
    <cfRule type="cellIs" dxfId="1831" priority="147" operator="equal">
      <formula>"In Progress"</formula>
    </cfRule>
    <cfRule type="cellIs" dxfId="1830" priority="148" operator="equal">
      <formula>"Completed"</formula>
    </cfRule>
  </conditionalFormatting>
  <conditionalFormatting sqref="AB40">
    <cfRule type="cellIs" dxfId="1829" priority="146" operator="equal">
      <formula>"Not Started"</formula>
    </cfRule>
  </conditionalFormatting>
  <conditionalFormatting sqref="AB138">
    <cfRule type="cellIs" dxfId="1828" priority="144" operator="equal">
      <formula>"In Progress"</formula>
    </cfRule>
    <cfRule type="cellIs" dxfId="1827" priority="145" operator="equal">
      <formula>"Completed"</formula>
    </cfRule>
  </conditionalFormatting>
  <conditionalFormatting sqref="AB138">
    <cfRule type="cellIs" dxfId="1826" priority="143" operator="equal">
      <formula>"Not Started"</formula>
    </cfRule>
  </conditionalFormatting>
  <conditionalFormatting sqref="AB44">
    <cfRule type="cellIs" dxfId="1825" priority="135" operator="equal">
      <formula>"In Progress"</formula>
    </cfRule>
    <cfRule type="cellIs" dxfId="1824" priority="136" operator="equal">
      <formula>"Completed"</formula>
    </cfRule>
  </conditionalFormatting>
  <conditionalFormatting sqref="AB44">
    <cfRule type="cellIs" dxfId="1823" priority="134" operator="equal">
      <formula>"Not Started"</formula>
    </cfRule>
  </conditionalFormatting>
  <conditionalFormatting sqref="AB45">
    <cfRule type="cellIs" dxfId="1822" priority="141" operator="equal">
      <formula>"In Progress"</formula>
    </cfRule>
    <cfRule type="cellIs" dxfId="1821" priority="142" operator="equal">
      <formula>"Completed"</formula>
    </cfRule>
  </conditionalFormatting>
  <conditionalFormatting sqref="AB45">
    <cfRule type="cellIs" dxfId="1820" priority="140" operator="equal">
      <formula>"Not Started"</formula>
    </cfRule>
  </conditionalFormatting>
  <conditionalFormatting sqref="AB67">
    <cfRule type="cellIs" dxfId="1819" priority="138" operator="equal">
      <formula>"In Progress"</formula>
    </cfRule>
    <cfRule type="cellIs" dxfId="1818" priority="139" operator="equal">
      <formula>"Completed"</formula>
    </cfRule>
  </conditionalFormatting>
  <conditionalFormatting sqref="AB67">
    <cfRule type="cellIs" dxfId="1817" priority="137" operator="equal">
      <formula>"Not Started"</formula>
    </cfRule>
  </conditionalFormatting>
  <conditionalFormatting sqref="AB79">
    <cfRule type="cellIs" dxfId="1816" priority="132" operator="equal">
      <formula>"In Progress"</formula>
    </cfRule>
    <cfRule type="cellIs" dxfId="1815" priority="133" operator="equal">
      <formula>"Completed"</formula>
    </cfRule>
  </conditionalFormatting>
  <conditionalFormatting sqref="AB79">
    <cfRule type="cellIs" dxfId="1814" priority="131" operator="equal">
      <formula>"Not Started"</formula>
    </cfRule>
  </conditionalFormatting>
  <conditionalFormatting sqref="AB78">
    <cfRule type="cellIs" dxfId="1813" priority="129" operator="equal">
      <formula>"In Progress"</formula>
    </cfRule>
    <cfRule type="cellIs" dxfId="1812" priority="130" operator="equal">
      <formula>"Completed"</formula>
    </cfRule>
  </conditionalFormatting>
  <conditionalFormatting sqref="AB78">
    <cfRule type="cellIs" dxfId="1811" priority="128" operator="equal">
      <formula>"Not Started"</formula>
    </cfRule>
  </conditionalFormatting>
  <conditionalFormatting sqref="AB76">
    <cfRule type="cellIs" dxfId="1810" priority="126" operator="equal">
      <formula>"In Progress"</formula>
    </cfRule>
    <cfRule type="cellIs" dxfId="1809" priority="127" operator="equal">
      <formula>"Completed"</formula>
    </cfRule>
  </conditionalFormatting>
  <conditionalFormatting sqref="AB76">
    <cfRule type="cellIs" dxfId="1808" priority="125" operator="equal">
      <formula>"Not Started"</formula>
    </cfRule>
  </conditionalFormatting>
  <conditionalFormatting sqref="AB37">
    <cfRule type="cellIs" dxfId="1807" priority="123" operator="equal">
      <formula>"In Progress"</formula>
    </cfRule>
    <cfRule type="cellIs" dxfId="1806" priority="124" operator="equal">
      <formula>"Completed"</formula>
    </cfRule>
  </conditionalFormatting>
  <conditionalFormatting sqref="AB37">
    <cfRule type="cellIs" dxfId="1805" priority="122" operator="equal">
      <formula>"Not Started"</formula>
    </cfRule>
  </conditionalFormatting>
  <conditionalFormatting sqref="AB68:AB69">
    <cfRule type="cellIs" dxfId="1804" priority="111" operator="equal">
      <formula>"In Progress"</formula>
    </cfRule>
    <cfRule type="cellIs" dxfId="1803" priority="112" operator="equal">
      <formula>"Completed"</formula>
    </cfRule>
  </conditionalFormatting>
  <conditionalFormatting sqref="AB68:AB69">
    <cfRule type="cellIs" dxfId="1802" priority="110" operator="equal">
      <formula>"Not Started"</formula>
    </cfRule>
  </conditionalFormatting>
  <conditionalFormatting sqref="AB8:AB11">
    <cfRule type="cellIs" dxfId="1801" priority="120" operator="equal">
      <formula>"In Progress"</formula>
    </cfRule>
    <cfRule type="cellIs" dxfId="1800" priority="121" operator="equal">
      <formula>"Completed"</formula>
    </cfRule>
  </conditionalFormatting>
  <conditionalFormatting sqref="AB8:AB11">
    <cfRule type="cellIs" dxfId="1799" priority="119" operator="equal">
      <formula>"Not Started"</formula>
    </cfRule>
  </conditionalFormatting>
  <conditionalFormatting sqref="AB13:AB17 AB19:AB24">
    <cfRule type="cellIs" dxfId="1798" priority="117" operator="equal">
      <formula>"In Progress"</formula>
    </cfRule>
    <cfRule type="cellIs" dxfId="1797" priority="118" operator="equal">
      <formula>"Completed"</formula>
    </cfRule>
  </conditionalFormatting>
  <conditionalFormatting sqref="AB13:AB17 AB19:AB24">
    <cfRule type="cellIs" dxfId="1796" priority="116" operator="equal">
      <formula>"Not Started"</formula>
    </cfRule>
  </conditionalFormatting>
  <conditionalFormatting sqref="AB64:AB65">
    <cfRule type="cellIs" dxfId="1795" priority="114" operator="equal">
      <formula>"In Progress"</formula>
    </cfRule>
    <cfRule type="cellIs" dxfId="1794" priority="115" operator="equal">
      <formula>"Completed"</formula>
    </cfRule>
  </conditionalFormatting>
  <conditionalFormatting sqref="AB64:AB65">
    <cfRule type="cellIs" dxfId="1793" priority="113" operator="equal">
      <formula>"Not Started"</formula>
    </cfRule>
  </conditionalFormatting>
  <conditionalFormatting sqref="AB94:AB95 AB97:AB105">
    <cfRule type="cellIs" dxfId="1792" priority="108" operator="equal">
      <formula>"In Progress"</formula>
    </cfRule>
    <cfRule type="cellIs" dxfId="1791" priority="109" operator="equal">
      <formula>"Completed"</formula>
    </cfRule>
  </conditionalFormatting>
  <conditionalFormatting sqref="AB94:AB95 AB97:AB105">
    <cfRule type="cellIs" dxfId="1790" priority="107" operator="equal">
      <formula>"Not Started"</formula>
    </cfRule>
  </conditionalFormatting>
  <conditionalFormatting sqref="AB115:AB129 AB131 AB133:AB137">
    <cfRule type="cellIs" dxfId="1789" priority="105" operator="equal">
      <formula>"In Progress"</formula>
    </cfRule>
    <cfRule type="cellIs" dxfId="1788" priority="106" operator="equal">
      <formula>"Completed"</formula>
    </cfRule>
  </conditionalFormatting>
  <conditionalFormatting sqref="AB115:AB129 AB131 AB133:AB137">
    <cfRule type="cellIs" dxfId="1787" priority="104" operator="equal">
      <formula>"Not Started"</formula>
    </cfRule>
  </conditionalFormatting>
  <conditionalFormatting sqref="AB141:AB145 AB147:AB149">
    <cfRule type="cellIs" dxfId="1786" priority="102" operator="equal">
      <formula>"In Progress"</formula>
    </cfRule>
    <cfRule type="cellIs" dxfId="1785" priority="103" operator="equal">
      <formula>"Completed"</formula>
    </cfRule>
  </conditionalFormatting>
  <conditionalFormatting sqref="AB141:AB145 AB147:AB149">
    <cfRule type="cellIs" dxfId="1784" priority="101" operator="equal">
      <formula>"Not Started"</formula>
    </cfRule>
  </conditionalFormatting>
  <conditionalFormatting sqref="AB154:AB158 AB160 AB162:AB163">
    <cfRule type="cellIs" dxfId="1783" priority="99" operator="equal">
      <formula>"In Progress"</formula>
    </cfRule>
    <cfRule type="cellIs" dxfId="1782" priority="100" operator="equal">
      <formula>"Completed"</formula>
    </cfRule>
  </conditionalFormatting>
  <conditionalFormatting sqref="AB154:AB158 AB160 AB162:AB163">
    <cfRule type="cellIs" dxfId="1781" priority="98" operator="equal">
      <formula>"Not Started"</formula>
    </cfRule>
  </conditionalFormatting>
  <conditionalFormatting sqref="AB172:AB173 AB175:AB177 AB179:AB187">
    <cfRule type="cellIs" dxfId="1780" priority="96" operator="equal">
      <formula>"In Progress"</formula>
    </cfRule>
    <cfRule type="cellIs" dxfId="1779" priority="97" operator="equal">
      <formula>"Completed"</formula>
    </cfRule>
  </conditionalFormatting>
  <conditionalFormatting sqref="AB172:AB173 AB175:AB177 AB179:AB187">
    <cfRule type="cellIs" dxfId="1778" priority="95" operator="equal">
      <formula>"Not Started"</formula>
    </cfRule>
  </conditionalFormatting>
  <conditionalFormatting sqref="AB188:AB195 AB197:AB202">
    <cfRule type="cellIs" dxfId="1777" priority="93" operator="equal">
      <formula>"In Progress"</formula>
    </cfRule>
    <cfRule type="cellIs" dxfId="1776" priority="94" operator="equal">
      <formula>"Completed"</formula>
    </cfRule>
  </conditionalFormatting>
  <conditionalFormatting sqref="AB188:AB195 AB197:AB202">
    <cfRule type="cellIs" dxfId="1775" priority="92" operator="equal">
      <formula>"Not Started"</formula>
    </cfRule>
  </conditionalFormatting>
  <conditionalFormatting sqref="AC4:AC17 AC192:AC203 AC92:AC158 AC165:AC190 AC19:AC90 AC160:AC163">
    <cfRule type="cellIs" dxfId="1774" priority="90" operator="equal">
      <formula>"In Progress"</formula>
    </cfRule>
    <cfRule type="cellIs" dxfId="1773" priority="91" operator="equal">
      <formula>"Completed"</formula>
    </cfRule>
  </conditionalFormatting>
  <conditionalFormatting sqref="AC4:AC17 AC192:AC203 AC92:AC158 AC165:AC190 AC19:AC90 AC160:AC163">
    <cfRule type="cellIs" dxfId="1772" priority="89" operator="equal">
      <formula>"Not Started"</formula>
    </cfRule>
  </conditionalFormatting>
  <conditionalFormatting sqref="AB30">
    <cfRule type="cellIs" dxfId="1771" priority="84" operator="equal">
      <formula>"In Progress"</formula>
    </cfRule>
    <cfRule type="cellIs" dxfId="1770" priority="85" operator="equal">
      <formula>"Completed"</formula>
    </cfRule>
  </conditionalFormatting>
  <conditionalFormatting sqref="AB30">
    <cfRule type="cellIs" dxfId="1769" priority="83" operator="equal">
      <formula>"Not Started"</formula>
    </cfRule>
  </conditionalFormatting>
  <conditionalFormatting sqref="AB50:AB53">
    <cfRule type="cellIs" dxfId="1768" priority="81" operator="equal">
      <formula>"In Progress"</formula>
    </cfRule>
    <cfRule type="cellIs" dxfId="1767" priority="82" operator="equal">
      <formula>"Completed"</formula>
    </cfRule>
  </conditionalFormatting>
  <conditionalFormatting sqref="AB50:AB53">
    <cfRule type="cellIs" dxfId="1766" priority="80" operator="equal">
      <formula>"Not Started"</formula>
    </cfRule>
  </conditionalFormatting>
  <conditionalFormatting sqref="AB58:AB63">
    <cfRule type="cellIs" dxfId="1765" priority="78" operator="equal">
      <formula>"In Progress"</formula>
    </cfRule>
    <cfRule type="cellIs" dxfId="1764" priority="79" operator="equal">
      <formula>"Completed"</formula>
    </cfRule>
  </conditionalFormatting>
  <conditionalFormatting sqref="AB58:AB63">
    <cfRule type="cellIs" dxfId="1763" priority="77" operator="equal">
      <formula>"Not Started"</formula>
    </cfRule>
  </conditionalFormatting>
  <conditionalFormatting sqref="AB80">
    <cfRule type="cellIs" dxfId="1762" priority="75" operator="equal">
      <formula>"In Progress"</formula>
    </cfRule>
    <cfRule type="cellIs" dxfId="1761" priority="76" operator="equal">
      <formula>"Completed"</formula>
    </cfRule>
  </conditionalFormatting>
  <conditionalFormatting sqref="AB80">
    <cfRule type="cellIs" dxfId="1760" priority="74" operator="equal">
      <formula>"Not Started"</formula>
    </cfRule>
  </conditionalFormatting>
  <conditionalFormatting sqref="Y88:AB89">
    <cfRule type="cellIs" dxfId="1759" priority="72" operator="equal">
      <formula>"In Progress"</formula>
    </cfRule>
    <cfRule type="cellIs" dxfId="1758" priority="73" operator="equal">
      <formula>"Completed"</formula>
    </cfRule>
  </conditionalFormatting>
  <conditionalFormatting sqref="Y88:AB89">
    <cfRule type="cellIs" dxfId="1757" priority="71" operator="equal">
      <formula>"Not Started"</formula>
    </cfRule>
  </conditionalFormatting>
  <conditionalFormatting sqref="AC91">
    <cfRule type="cellIs" dxfId="1756" priority="69" operator="equal">
      <formula>"In Progress"</formula>
    </cfRule>
    <cfRule type="cellIs" dxfId="1755" priority="70" operator="equal">
      <formula>"Completed"</formula>
    </cfRule>
  </conditionalFormatting>
  <conditionalFormatting sqref="AC91">
    <cfRule type="cellIs" dxfId="1754" priority="68" operator="equal">
      <formula>"Not Started"</formula>
    </cfRule>
  </conditionalFormatting>
  <conditionalFormatting sqref="Y92:AB92">
    <cfRule type="cellIs" dxfId="1753" priority="66" operator="equal">
      <formula>"In Progress"</formula>
    </cfRule>
    <cfRule type="cellIs" dxfId="1752" priority="67" operator="equal">
      <formula>"Completed"</formula>
    </cfRule>
  </conditionalFormatting>
  <conditionalFormatting sqref="Y92:AB92">
    <cfRule type="cellIs" dxfId="1751" priority="65" operator="equal">
      <formula>"Not Started"</formula>
    </cfRule>
  </conditionalFormatting>
  <conditionalFormatting sqref="AB96">
    <cfRule type="cellIs" dxfId="1750" priority="63" operator="equal">
      <formula>"In Progress"</formula>
    </cfRule>
    <cfRule type="cellIs" dxfId="1749" priority="64" operator="equal">
      <formula>"Completed"</formula>
    </cfRule>
  </conditionalFormatting>
  <conditionalFormatting sqref="AB96">
    <cfRule type="cellIs" dxfId="1748" priority="62" operator="equal">
      <formula>"Not Started"</formula>
    </cfRule>
  </conditionalFormatting>
  <conditionalFormatting sqref="AB130">
    <cfRule type="cellIs" dxfId="1747" priority="57" operator="equal">
      <formula>"In Progress"</formula>
    </cfRule>
    <cfRule type="cellIs" dxfId="1746" priority="58" operator="equal">
      <formula>"Completed"</formula>
    </cfRule>
  </conditionalFormatting>
  <conditionalFormatting sqref="AB130">
    <cfRule type="cellIs" dxfId="1745" priority="56" operator="equal">
      <formula>"Not Started"</formula>
    </cfRule>
  </conditionalFormatting>
  <conditionalFormatting sqref="AB139">
    <cfRule type="cellIs" dxfId="1744" priority="54" operator="equal">
      <formula>"In Progress"</formula>
    </cfRule>
    <cfRule type="cellIs" dxfId="1743" priority="55" operator="equal">
      <formula>"Completed"</formula>
    </cfRule>
  </conditionalFormatting>
  <conditionalFormatting sqref="AB139">
    <cfRule type="cellIs" dxfId="1742" priority="53" operator="equal">
      <formula>"Not Started"</formula>
    </cfRule>
  </conditionalFormatting>
  <conditionalFormatting sqref="Y142:AA142">
    <cfRule type="cellIs" dxfId="1741" priority="48" operator="equal">
      <formula>"In Progress"</formula>
    </cfRule>
    <cfRule type="cellIs" dxfId="1740" priority="49" operator="equal">
      <formula>"Completed"</formula>
    </cfRule>
  </conditionalFormatting>
  <conditionalFormatting sqref="Y142:AA142">
    <cfRule type="cellIs" dxfId="1739" priority="47" operator="equal">
      <formula>"Not Started"</formula>
    </cfRule>
  </conditionalFormatting>
  <conditionalFormatting sqref="AB146">
    <cfRule type="cellIs" dxfId="1738" priority="45" operator="equal">
      <formula>"In Progress"</formula>
    </cfRule>
    <cfRule type="cellIs" dxfId="1737" priority="46" operator="equal">
      <formula>"Completed"</formula>
    </cfRule>
  </conditionalFormatting>
  <conditionalFormatting sqref="AB146">
    <cfRule type="cellIs" dxfId="1736" priority="44" operator="equal">
      <formula>"Not Started"</formula>
    </cfRule>
  </conditionalFormatting>
  <conditionalFormatting sqref="AB4:AB7">
    <cfRule type="cellIs" dxfId="1735" priority="42" operator="equal">
      <formula>"In Progress"</formula>
    </cfRule>
    <cfRule type="cellIs" dxfId="1734" priority="43" operator="equal">
      <formula>"Completed"</formula>
    </cfRule>
  </conditionalFormatting>
  <conditionalFormatting sqref="AB4:AB7">
    <cfRule type="cellIs" dxfId="1733" priority="41" operator="equal">
      <formula>"Not Started"</formula>
    </cfRule>
  </conditionalFormatting>
  <conditionalFormatting sqref="O18:AA18">
    <cfRule type="cellIs" dxfId="1732" priority="39" operator="equal">
      <formula>"In Progress"</formula>
    </cfRule>
    <cfRule type="cellIs" dxfId="1731" priority="40" operator="equal">
      <formula>"Completed"</formula>
    </cfRule>
  </conditionalFormatting>
  <conditionalFormatting sqref="O18:AA18">
    <cfRule type="cellIs" dxfId="1730" priority="38" operator="equal">
      <formula>"Not Started"</formula>
    </cfRule>
  </conditionalFormatting>
  <conditionalFormatting sqref="AC18">
    <cfRule type="cellIs" dxfId="1729" priority="36" operator="equal">
      <formula>"In Progress"</formula>
    </cfRule>
    <cfRule type="cellIs" dxfId="1728" priority="37" operator="equal">
      <formula>"Completed"</formula>
    </cfRule>
  </conditionalFormatting>
  <conditionalFormatting sqref="AC18">
    <cfRule type="cellIs" dxfId="1727" priority="35" operator="equal">
      <formula>"Not Started"</formula>
    </cfRule>
  </conditionalFormatting>
  <conditionalFormatting sqref="AB18">
    <cfRule type="cellIs" dxfId="1726" priority="33" operator="equal">
      <formula>"In Progress"</formula>
    </cfRule>
    <cfRule type="cellIs" dxfId="1725" priority="34" operator="equal">
      <formula>"Completed"</formula>
    </cfRule>
  </conditionalFormatting>
  <conditionalFormatting sqref="AB18">
    <cfRule type="cellIs" dxfId="1724" priority="32" operator="equal">
      <formula>"Not Started"</formula>
    </cfRule>
  </conditionalFormatting>
  <conditionalFormatting sqref="O159:AA159">
    <cfRule type="cellIs" dxfId="1723" priority="30" operator="equal">
      <formula>"In Progress"</formula>
    </cfRule>
    <cfRule type="cellIs" dxfId="1722" priority="31" operator="equal">
      <formula>"Completed"</formula>
    </cfRule>
  </conditionalFormatting>
  <conditionalFormatting sqref="O159:AA159">
    <cfRule type="cellIs" dxfId="1721" priority="29" operator="equal">
      <formula>"Not Started"</formula>
    </cfRule>
  </conditionalFormatting>
  <conditionalFormatting sqref="AC159">
    <cfRule type="cellIs" dxfId="1720" priority="27" operator="equal">
      <formula>"In Progress"</formula>
    </cfRule>
    <cfRule type="cellIs" dxfId="1719" priority="28" operator="equal">
      <formula>"Completed"</formula>
    </cfRule>
  </conditionalFormatting>
  <conditionalFormatting sqref="AC159">
    <cfRule type="cellIs" dxfId="1718" priority="26" operator="equal">
      <formula>"Not Started"</formula>
    </cfRule>
  </conditionalFormatting>
  <conditionalFormatting sqref="AB159">
    <cfRule type="cellIs" dxfId="1717" priority="24" operator="equal">
      <formula>"In Progress"</formula>
    </cfRule>
    <cfRule type="cellIs" dxfId="1716" priority="25" operator="equal">
      <formula>"Completed"</formula>
    </cfRule>
  </conditionalFormatting>
  <conditionalFormatting sqref="AB159">
    <cfRule type="cellIs" dxfId="1715" priority="23" operator="equal">
      <formula>"Not Started"</formula>
    </cfRule>
  </conditionalFormatting>
  <conditionalFormatting sqref="AB28:AB29">
    <cfRule type="cellIs" dxfId="1714" priority="21" operator="equal">
      <formula>"In Progress"</formula>
    </cfRule>
    <cfRule type="cellIs" dxfId="1713" priority="22" operator="equal">
      <formula>"Completed"</formula>
    </cfRule>
  </conditionalFormatting>
  <conditionalFormatting sqref="AB28:AB29">
    <cfRule type="cellIs" dxfId="1712" priority="20" operator="equal">
      <formula>"Not Started"</formula>
    </cfRule>
  </conditionalFormatting>
  <conditionalFormatting sqref="AB114">
    <cfRule type="cellIs" dxfId="1711" priority="18" operator="equal">
      <formula>"In Progress"</formula>
    </cfRule>
    <cfRule type="cellIs" dxfId="1710" priority="19" operator="equal">
      <formula>"Completed"</formula>
    </cfRule>
  </conditionalFormatting>
  <conditionalFormatting sqref="AB132">
    <cfRule type="cellIs" dxfId="1709" priority="16" operator="equal">
      <formula>"In Progress"</formula>
    </cfRule>
    <cfRule type="cellIs" dxfId="1708" priority="17" operator="equal">
      <formula>"Completed"</formula>
    </cfRule>
  </conditionalFormatting>
  <conditionalFormatting sqref="Y93">
    <cfRule type="cellIs" dxfId="1707" priority="14" operator="equal">
      <formula>"In Progress"</formula>
    </cfRule>
    <cfRule type="cellIs" dxfId="1706" priority="15" operator="equal">
      <formula>"Completed"</formula>
    </cfRule>
  </conditionalFormatting>
  <conditionalFormatting sqref="Y93">
    <cfRule type="cellIs" dxfId="1705" priority="13" operator="equal">
      <formula>"Not Started"</formula>
    </cfRule>
  </conditionalFormatting>
  <conditionalFormatting sqref="Z93">
    <cfRule type="cellIs" dxfId="1704" priority="11" operator="equal">
      <formula>"In Progress"</formula>
    </cfRule>
    <cfRule type="cellIs" dxfId="1703" priority="12" operator="equal">
      <formula>"Completed"</formula>
    </cfRule>
  </conditionalFormatting>
  <conditionalFormatting sqref="Z93">
    <cfRule type="cellIs" dxfId="1702" priority="10" operator="equal">
      <formula>"Not Started"</formula>
    </cfRule>
  </conditionalFormatting>
  <conditionalFormatting sqref="AA93">
    <cfRule type="cellIs" dxfId="1701" priority="8" operator="equal">
      <formula>"In Progress"</formula>
    </cfRule>
    <cfRule type="cellIs" dxfId="1700" priority="9" operator="equal">
      <formula>"Completed"</formula>
    </cfRule>
  </conditionalFormatting>
  <conditionalFormatting sqref="AA93">
    <cfRule type="cellIs" dxfId="1699" priority="7" operator="equal">
      <formula>"Not Started"</formula>
    </cfRule>
  </conditionalFormatting>
  <conditionalFormatting sqref="AB93">
    <cfRule type="cellIs" dxfId="1698" priority="5" operator="equal">
      <formula>"In Progress"</formula>
    </cfRule>
    <cfRule type="cellIs" dxfId="1697" priority="6" operator="equal">
      <formula>"Completed"</formula>
    </cfRule>
  </conditionalFormatting>
  <conditionalFormatting sqref="AB93">
    <cfRule type="cellIs" dxfId="1696" priority="4" operator="equal">
      <formula>"Not Started"</formula>
    </cfRule>
  </conditionalFormatting>
  <conditionalFormatting sqref="AB196">
    <cfRule type="cellIs" dxfId="1695" priority="2" operator="equal">
      <formula>"In Progress"</formula>
    </cfRule>
    <cfRule type="cellIs" dxfId="1694" priority="3" operator="equal">
      <formula>"Completed"</formula>
    </cfRule>
  </conditionalFormatting>
  <conditionalFormatting sqref="AB196">
    <cfRule type="cellIs" dxfId="1693" priority="1" operator="equal">
      <formula>"Not Started"</formula>
    </cfRule>
  </conditionalFormatting>
  <dataValidations count="3">
    <dataValidation type="list" allowBlank="1" showInputMessage="1" showErrorMessage="1" sqref="F4:F203" xr:uid="{F45DA87D-1B54-4E9D-B648-33473AAE7BF3}">
      <formula1>$AL$4:$AL$6</formula1>
    </dataValidation>
    <dataValidation type="list" allowBlank="1" showInputMessage="1" showErrorMessage="1" sqref="E4:E203" xr:uid="{DC072C6C-E93E-4FBC-8438-0C75C2E1C4FD}">
      <formula1>$AK$4:$AK$7</formula1>
    </dataValidation>
    <dataValidation type="list" allowBlank="1" showInputMessage="1" showErrorMessage="1" sqref="O160:X203 AC132:AC151 AC113:AC130 AC192:AC203 AB179:AB202 AB175:AB177 AB162:AB173 AB160:AC160 AB154:AB159 AB152:AC152 AB131:AC131 AB18:AB65 AB67:AB76 AB115:AB130 AB112:AC112 AB109:AB110 AC165:AC190 AB78:AB84 Y160:AA162 AC161:AC163 AC18:AC111 Y164:AA203 AC153:AC159 O4:AA159 AB4:AC17 AB133:AB150 AB86:AB107" xr:uid="{1B501039-1EB4-4F39-9F2E-EEC464AF0554}">
      <formula1>$AL$4:$AL$7</formula1>
    </dataValidation>
  </dataValidation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6746-C32F-45CE-AB0A-C99D5BD8E08B}">
  <sheetPr>
    <outlinePr summaryBelow="0" summaryRight="0"/>
  </sheetPr>
  <dimension ref="A1:AN206"/>
  <sheetViews>
    <sheetView showGridLines="0" topLeftCell="B1" zoomScaleNormal="100" workbookViewId="0">
      <selection activeCell="D10" sqref="D10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32.54296875" style="1" bestFit="1" customWidth="1"/>
    <col min="4" max="4" width="64.90625" style="1" bestFit="1" customWidth="1"/>
    <col min="5" max="5" width="32.453125" style="1" customWidth="1"/>
    <col min="6" max="6" width="11.90625" style="1" bestFit="1" customWidth="1"/>
    <col min="7" max="7" width="8.1796875" style="1" bestFit="1" customWidth="1"/>
    <col min="8" max="8" width="7.81640625" style="1" bestFit="1" customWidth="1"/>
    <col min="9" max="10" width="11.453125" style="1" hidden="1" customWidth="1"/>
    <col min="11" max="11" width="31.453125" style="1" bestFit="1" customWidth="1"/>
    <col min="12" max="12" width="17.81640625" style="1" bestFit="1" customWidth="1"/>
    <col min="13" max="13" width="18.54296875" style="1" customWidth="1"/>
    <col min="14" max="18" width="12.54296875" style="1"/>
    <col min="19" max="19" width="14.81640625" style="1" customWidth="1"/>
    <col min="20" max="20" width="14.7265625" style="1" customWidth="1"/>
    <col min="21" max="21" width="12.54296875" style="1"/>
    <col min="22" max="22" width="15.81640625" style="1" customWidth="1"/>
    <col min="23" max="23" width="20.1796875" style="1" customWidth="1"/>
    <col min="24" max="37" width="12.54296875" style="1"/>
    <col min="38" max="38" width="37.81640625" style="1" hidden="1" customWidth="1"/>
    <col min="39" max="39" width="18.453125" style="1" hidden="1" customWidth="1"/>
    <col min="40" max="40" width="12.54296875" style="1" hidden="1" customWidth="1"/>
    <col min="41" max="16384" width="12.54296875" style="1"/>
  </cols>
  <sheetData>
    <row r="1" spans="1:40" ht="37" customHeight="1" x14ac:dyDescent="0.25">
      <c r="C1" s="44" t="s">
        <v>0</v>
      </c>
      <c r="D1" s="45">
        <v>46148</v>
      </c>
    </row>
    <row r="2" spans="1:40" ht="13" customHeight="1" x14ac:dyDescent="0.25">
      <c r="A2" s="236" t="s">
        <v>1</v>
      </c>
      <c r="B2" s="274" t="s">
        <v>2</v>
      </c>
      <c r="C2" s="274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40" t="s">
        <v>3</v>
      </c>
      <c r="P2" s="241" t="s">
        <v>4</v>
      </c>
      <c r="Q2" s="242"/>
      <c r="R2" s="242"/>
      <c r="S2" s="242"/>
      <c r="T2" s="243" t="s">
        <v>5</v>
      </c>
      <c r="U2" s="243"/>
      <c r="V2" s="243"/>
      <c r="W2" s="243"/>
      <c r="X2" s="243"/>
      <c r="Y2" s="243"/>
      <c r="Z2" s="243"/>
      <c r="AA2" s="243"/>
      <c r="AB2" s="243"/>
      <c r="AC2" s="244" t="s">
        <v>6</v>
      </c>
      <c r="AD2" s="251" t="s">
        <v>7</v>
      </c>
      <c r="AE2" s="252" t="s">
        <v>8</v>
      </c>
      <c r="AF2" s="235" t="s">
        <v>9</v>
      </c>
      <c r="AG2" s="235" t="s">
        <v>10</v>
      </c>
      <c r="AH2" s="235" t="s">
        <v>11</v>
      </c>
      <c r="AI2" s="235" t="s">
        <v>12</v>
      </c>
    </row>
    <row r="3" spans="1:40" s="2" customFormat="1" ht="39" x14ac:dyDescent="0.25">
      <c r="A3" s="236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245" t="s">
        <v>20</v>
      </c>
      <c r="J3" s="246"/>
      <c r="K3" s="135" t="s">
        <v>10361</v>
      </c>
      <c r="L3" s="23" t="s">
        <v>21</v>
      </c>
      <c r="M3" s="23" t="s">
        <v>22</v>
      </c>
      <c r="N3" s="23" t="s">
        <v>23</v>
      </c>
      <c r="O3" s="240"/>
      <c r="P3" s="42" t="s">
        <v>24</v>
      </c>
      <c r="Q3" s="42" t="s">
        <v>25</v>
      </c>
      <c r="R3" s="42" t="s">
        <v>26</v>
      </c>
      <c r="S3" s="42" t="s">
        <v>27</v>
      </c>
      <c r="T3" s="43" t="s">
        <v>28</v>
      </c>
      <c r="U3" s="43" t="s">
        <v>29</v>
      </c>
      <c r="V3" s="43" t="s">
        <v>30</v>
      </c>
      <c r="W3" s="43" t="s">
        <v>31</v>
      </c>
      <c r="X3" s="43" t="s">
        <v>32</v>
      </c>
      <c r="Y3" s="43" t="s">
        <v>33</v>
      </c>
      <c r="Z3" s="43" t="s">
        <v>34</v>
      </c>
      <c r="AA3" s="43" t="s">
        <v>35</v>
      </c>
      <c r="AB3" s="43" t="s">
        <v>36</v>
      </c>
      <c r="AC3" s="244"/>
      <c r="AD3" s="251"/>
      <c r="AE3" s="252"/>
      <c r="AF3" s="235"/>
      <c r="AG3" s="235"/>
      <c r="AH3" s="235"/>
      <c r="AI3" s="235"/>
      <c r="AL3" s="5" t="s">
        <v>16</v>
      </c>
      <c r="AM3" s="5" t="s">
        <v>17</v>
      </c>
      <c r="AN3" s="5" t="s">
        <v>37</v>
      </c>
    </row>
    <row r="4" spans="1:40" ht="15.75" customHeight="1" x14ac:dyDescent="0.25">
      <c r="A4" s="247" t="s">
        <v>1053</v>
      </c>
      <c r="B4" s="14" t="s">
        <v>853</v>
      </c>
      <c r="C4" s="138" t="s">
        <v>11253</v>
      </c>
      <c r="D4" s="138" t="s">
        <v>6962</v>
      </c>
      <c r="E4" s="138" t="s">
        <v>43</v>
      </c>
      <c r="F4" s="138" t="s">
        <v>44</v>
      </c>
      <c r="G4" s="138" t="s">
        <v>5657</v>
      </c>
      <c r="H4" s="138" t="s">
        <v>5657</v>
      </c>
      <c r="I4" s="7">
        <v>21.430569999999999</v>
      </c>
      <c r="J4" s="7">
        <v>39.796149999999997</v>
      </c>
      <c r="K4" s="7" t="str">
        <f>_xlfn.CONCAT(I4,",",J4)</f>
        <v>21.43057,39.79615</v>
      </c>
      <c r="L4" s="138" t="s">
        <v>5477</v>
      </c>
      <c r="M4" s="138">
        <v>10053778111</v>
      </c>
      <c r="N4" s="7"/>
      <c r="O4" s="7"/>
      <c r="P4" s="230" t="s">
        <v>11</v>
      </c>
      <c r="Q4" s="230" t="s">
        <v>11</v>
      </c>
      <c r="R4" s="230" t="s">
        <v>11</v>
      </c>
      <c r="S4" s="230" t="s">
        <v>11</v>
      </c>
      <c r="T4" s="230" t="s">
        <v>11</v>
      </c>
      <c r="U4" s="230" t="s">
        <v>11</v>
      </c>
      <c r="V4" s="230" t="s">
        <v>11</v>
      </c>
      <c r="W4" s="230" t="s">
        <v>11</v>
      </c>
      <c r="X4" s="230" t="s">
        <v>11</v>
      </c>
      <c r="Y4" s="230" t="s">
        <v>11</v>
      </c>
      <c r="Z4" s="230" t="s">
        <v>11</v>
      </c>
      <c r="AA4" s="5" t="s">
        <v>11</v>
      </c>
      <c r="AB4" s="230" t="s">
        <v>11</v>
      </c>
      <c r="AC4" s="230" t="s">
        <v>11</v>
      </c>
      <c r="AD4" s="28"/>
      <c r="AE4" s="28"/>
      <c r="AF4" s="24">
        <f>COUNTIF(P4:AD4,$AF$2)</f>
        <v>0</v>
      </c>
      <c r="AG4" s="24">
        <f>COUNTIF(P4:AD4,$AG$2)</f>
        <v>0</v>
      </c>
      <c r="AH4" s="24">
        <f>COUNTIF(P4:AD4,$AH$2)</f>
        <v>14</v>
      </c>
      <c r="AI4" s="41" t="str" cm="1">
        <f t="array" ref="AI4">_xlfn.IFS(
$AF4=15,"Not Started",
$AH4&lt;15,"In Progress",
$AH4=15,"Completed",
SUM(AF4:AH4)&gt;15,"Error"
)</f>
        <v>In Progress</v>
      </c>
      <c r="AL4" s="3" t="s">
        <v>43</v>
      </c>
      <c r="AM4" s="3" t="s">
        <v>44</v>
      </c>
      <c r="AN4" s="3" t="s">
        <v>9</v>
      </c>
    </row>
    <row r="5" spans="1:40" ht="13" x14ac:dyDescent="0.25">
      <c r="A5" s="248"/>
      <c r="B5" s="7" t="s">
        <v>854</v>
      </c>
      <c r="C5" s="138" t="s">
        <v>5287</v>
      </c>
      <c r="D5" s="138" t="s">
        <v>9100</v>
      </c>
      <c r="E5" s="138" t="s">
        <v>43</v>
      </c>
      <c r="F5" s="138" t="s">
        <v>48</v>
      </c>
      <c r="G5" s="138" t="s">
        <v>5657</v>
      </c>
      <c r="H5" s="138" t="s">
        <v>5657</v>
      </c>
      <c r="I5" s="7">
        <v>21.415240000000001</v>
      </c>
      <c r="J5" s="7">
        <v>39.778799999999997</v>
      </c>
      <c r="K5" s="7" t="str">
        <f t="shared" ref="K5:K68" si="0">_xlfn.CONCAT(I5,",",J5)</f>
        <v>21.41524,39.7788</v>
      </c>
      <c r="L5" s="138" t="s">
        <v>5478</v>
      </c>
      <c r="M5" s="138">
        <v>10053753373</v>
      </c>
      <c r="N5" s="7"/>
      <c r="O5" s="7"/>
      <c r="P5" s="230" t="s">
        <v>11</v>
      </c>
      <c r="Q5" s="230" t="s">
        <v>11</v>
      </c>
      <c r="R5" s="230" t="s">
        <v>11</v>
      </c>
      <c r="S5" s="230" t="s">
        <v>11</v>
      </c>
      <c r="T5" s="230" t="s">
        <v>11</v>
      </c>
      <c r="U5" s="230" t="s">
        <v>11</v>
      </c>
      <c r="V5" s="230" t="s">
        <v>11</v>
      </c>
      <c r="W5" s="230" t="s">
        <v>11</v>
      </c>
      <c r="X5" s="230" t="s">
        <v>11</v>
      </c>
      <c r="Y5" s="230" t="s">
        <v>11</v>
      </c>
      <c r="Z5" s="230" t="s">
        <v>11</v>
      </c>
      <c r="AA5" s="5" t="s">
        <v>11</v>
      </c>
      <c r="AB5" s="230" t="s">
        <v>11</v>
      </c>
      <c r="AC5" s="230" t="s">
        <v>11</v>
      </c>
      <c r="AD5" s="28"/>
      <c r="AE5" s="28"/>
      <c r="AF5" s="24">
        <f t="shared" ref="AF5:AF68" si="1">COUNTIF(P5:AD5,$AF$2)</f>
        <v>0</v>
      </c>
      <c r="AG5" s="24">
        <f t="shared" ref="AG5:AG68" si="2">COUNTIF(P5:AD5,$AG$2)</f>
        <v>0</v>
      </c>
      <c r="AH5" s="24">
        <f t="shared" ref="AH5:AH68" si="3">COUNTIF(P5:AD5,$AH$2)</f>
        <v>14</v>
      </c>
      <c r="AI5" s="41" t="str" cm="1">
        <f t="array" ref="AI5">_xlfn.IFS(
$AF5=15,"Not Started",
$AH5&lt;15,"In Progress",
$AH5=15,"Completed",
SUM(AF5:AH5)&gt;15,"Error"
)</f>
        <v>In Progress</v>
      </c>
      <c r="AL5" s="3" t="s">
        <v>47</v>
      </c>
      <c r="AM5" s="3" t="s">
        <v>48</v>
      </c>
      <c r="AN5" s="3" t="s">
        <v>10</v>
      </c>
    </row>
    <row r="6" spans="1:40" ht="13" x14ac:dyDescent="0.25">
      <c r="A6" s="248"/>
      <c r="B6" s="14" t="s">
        <v>855</v>
      </c>
      <c r="C6" s="138" t="s">
        <v>5288</v>
      </c>
      <c r="D6" s="138" t="s">
        <v>9101</v>
      </c>
      <c r="E6" s="138" t="s">
        <v>47</v>
      </c>
      <c r="F6" s="138" t="s">
        <v>48</v>
      </c>
      <c r="G6" s="138" t="s">
        <v>5657</v>
      </c>
      <c r="H6" s="138" t="s">
        <v>5657</v>
      </c>
      <c r="I6" s="7">
        <v>21.449739999999998</v>
      </c>
      <c r="J6" s="7">
        <v>39.767400000000002</v>
      </c>
      <c r="K6" s="7" t="str">
        <f t="shared" si="0"/>
        <v>21.44974,39.7674</v>
      </c>
      <c r="L6" s="138" t="s">
        <v>5479</v>
      </c>
      <c r="M6" s="138">
        <v>10085435314</v>
      </c>
      <c r="N6" s="7"/>
      <c r="O6" s="7"/>
      <c r="P6" s="230" t="s">
        <v>11</v>
      </c>
      <c r="Q6" s="230" t="s">
        <v>11</v>
      </c>
      <c r="R6" s="230" t="s">
        <v>11</v>
      </c>
      <c r="S6" s="230" t="s">
        <v>11</v>
      </c>
      <c r="T6" s="230" t="s">
        <v>11</v>
      </c>
      <c r="U6" s="230" t="s">
        <v>11</v>
      </c>
      <c r="V6" s="230" t="s">
        <v>11</v>
      </c>
      <c r="W6" s="230" t="s">
        <v>11</v>
      </c>
      <c r="X6" s="230" t="s">
        <v>11</v>
      </c>
      <c r="Y6" s="230" t="s">
        <v>11</v>
      </c>
      <c r="Z6" s="230" t="s">
        <v>11</v>
      </c>
      <c r="AA6" s="5" t="s">
        <v>11</v>
      </c>
      <c r="AB6" s="230" t="s">
        <v>11</v>
      </c>
      <c r="AC6" s="230" t="s">
        <v>11</v>
      </c>
      <c r="AD6" s="28"/>
      <c r="AE6" s="28"/>
      <c r="AF6" s="24">
        <f t="shared" si="1"/>
        <v>0</v>
      </c>
      <c r="AG6" s="24">
        <f t="shared" si="2"/>
        <v>0</v>
      </c>
      <c r="AH6" s="24">
        <f t="shared" si="3"/>
        <v>14</v>
      </c>
      <c r="AI6" s="41" t="str" cm="1">
        <f t="array" ref="AI6">_xlfn.IFS(
$AF6=15,"Not Started",
$AH6&lt;15,"In Progress",
$AH6=15,"Completed",
SUM(AF6:AH6)&gt;15,"Error"
)</f>
        <v>In Progress</v>
      </c>
      <c r="AL6" s="3" t="s">
        <v>51</v>
      </c>
      <c r="AM6" s="3" t="s">
        <v>52</v>
      </c>
      <c r="AN6" s="3" t="s">
        <v>11</v>
      </c>
    </row>
    <row r="7" spans="1:40" ht="13" x14ac:dyDescent="0.25">
      <c r="A7" s="248"/>
      <c r="B7" s="7" t="s">
        <v>856</v>
      </c>
      <c r="C7" s="138" t="s">
        <v>5289</v>
      </c>
      <c r="D7" s="138" t="s">
        <v>9102</v>
      </c>
      <c r="E7" s="138" t="s">
        <v>10347</v>
      </c>
      <c r="F7" s="138" t="s">
        <v>44</v>
      </c>
      <c r="G7" s="138" t="s">
        <v>5657</v>
      </c>
      <c r="H7" s="138" t="s">
        <v>5657</v>
      </c>
      <c r="I7" s="7">
        <v>21.422014999999998</v>
      </c>
      <c r="J7" s="7">
        <v>39.775438000000001</v>
      </c>
      <c r="K7" s="7" t="str">
        <f t="shared" si="0"/>
        <v>21.422015,39.775438</v>
      </c>
      <c r="L7" s="138" t="s">
        <v>5480</v>
      </c>
      <c r="M7" s="138">
        <v>10083318355</v>
      </c>
      <c r="N7" s="7"/>
      <c r="O7" s="7"/>
      <c r="P7" s="230" t="s">
        <v>11</v>
      </c>
      <c r="Q7" s="230" t="s">
        <v>11</v>
      </c>
      <c r="R7" s="230" t="s">
        <v>11</v>
      </c>
      <c r="S7" s="230" t="s">
        <v>11</v>
      </c>
      <c r="T7" s="230" t="s">
        <v>11</v>
      </c>
      <c r="U7" s="230" t="s">
        <v>11</v>
      </c>
      <c r="V7" s="230" t="s">
        <v>11</v>
      </c>
      <c r="W7" s="230" t="s">
        <v>11</v>
      </c>
      <c r="X7" s="230" t="s">
        <v>11</v>
      </c>
      <c r="Y7" s="230" t="s">
        <v>11</v>
      </c>
      <c r="Z7" s="230" t="s">
        <v>11</v>
      </c>
      <c r="AA7" s="5" t="s">
        <v>11</v>
      </c>
      <c r="AB7" s="230" t="s">
        <v>11</v>
      </c>
      <c r="AC7" s="230" t="s">
        <v>11</v>
      </c>
      <c r="AD7" s="28"/>
      <c r="AE7" s="28"/>
      <c r="AF7" s="24">
        <f t="shared" si="1"/>
        <v>0</v>
      </c>
      <c r="AG7" s="24">
        <f t="shared" si="2"/>
        <v>0</v>
      </c>
      <c r="AH7" s="24">
        <f t="shared" si="3"/>
        <v>14</v>
      </c>
      <c r="AI7" s="41" t="str" cm="1">
        <f t="array" ref="AI7">_xlfn.IFS(
$AF7=15,"Not Started",
$AH7&lt;15,"In Progress",
$AH7=15,"Completed",
SUM(AF7:AH7)&gt;15,"Error"
)</f>
        <v>In Progress</v>
      </c>
      <c r="AL7" s="3" t="s">
        <v>10347</v>
      </c>
      <c r="AM7" s="3"/>
      <c r="AN7" s="3" t="s">
        <v>52</v>
      </c>
    </row>
    <row r="8" spans="1:40" s="221" customFormat="1" ht="13" x14ac:dyDescent="0.25">
      <c r="A8" s="248"/>
      <c r="B8" s="215" t="s">
        <v>857</v>
      </c>
      <c r="C8" s="138" t="s">
        <v>5290</v>
      </c>
      <c r="D8" s="138" t="s">
        <v>9103</v>
      </c>
      <c r="E8" s="138" t="s">
        <v>47</v>
      </c>
      <c r="F8" s="138" t="s">
        <v>48</v>
      </c>
      <c r="G8" s="138" t="s">
        <v>5657</v>
      </c>
      <c r="H8" s="138" t="s">
        <v>5657</v>
      </c>
      <c r="I8" s="216">
        <v>21.447054000000001</v>
      </c>
      <c r="J8" s="216">
        <v>39.804183000000002</v>
      </c>
      <c r="K8" s="216" t="str">
        <f t="shared" si="0"/>
        <v>21.447054,39.804183</v>
      </c>
      <c r="L8" s="138" t="s">
        <v>5481</v>
      </c>
      <c r="M8" s="138">
        <v>10053330681</v>
      </c>
      <c r="N8" s="216"/>
      <c r="O8" s="217">
        <v>46140</v>
      </c>
      <c r="P8" s="230" t="s">
        <v>11</v>
      </c>
      <c r="Q8" s="230" t="s">
        <v>11</v>
      </c>
      <c r="R8" s="230" t="s">
        <v>11</v>
      </c>
      <c r="S8" s="230" t="s">
        <v>11</v>
      </c>
      <c r="T8" s="230" t="s">
        <v>11</v>
      </c>
      <c r="U8" s="230" t="s">
        <v>11</v>
      </c>
      <c r="V8" s="230" t="s">
        <v>11</v>
      </c>
      <c r="W8" s="230" t="s">
        <v>11</v>
      </c>
      <c r="X8" s="230" t="s">
        <v>11</v>
      </c>
      <c r="Y8" s="230" t="s">
        <v>11</v>
      </c>
      <c r="Z8" s="230" t="s">
        <v>11</v>
      </c>
      <c r="AA8" s="230" t="s">
        <v>11</v>
      </c>
      <c r="AB8" s="230" t="s">
        <v>11</v>
      </c>
      <c r="AC8" s="230" t="s">
        <v>11</v>
      </c>
      <c r="AD8" s="218"/>
      <c r="AE8" s="218"/>
      <c r="AF8" s="219">
        <f t="shared" si="1"/>
        <v>0</v>
      </c>
      <c r="AG8" s="219">
        <f t="shared" si="2"/>
        <v>0</v>
      </c>
      <c r="AH8" s="219">
        <f t="shared" si="3"/>
        <v>14</v>
      </c>
      <c r="AI8" s="220" t="str" cm="1">
        <f t="array" ref="AI8">_xlfn.IFS(
$AF8=15,"Not Started",
$AH8&lt;15,"In Progress",
$AH8=15,"Completed",
SUM(AF8:AH8)&gt;15,"Error"
)</f>
        <v>In Progress</v>
      </c>
      <c r="AL8" s="222" t="s">
        <v>10358</v>
      </c>
      <c r="AM8" s="222"/>
      <c r="AN8" s="222"/>
    </row>
    <row r="9" spans="1:40" ht="13" x14ac:dyDescent="0.25">
      <c r="A9" s="248"/>
      <c r="B9" s="7" t="s">
        <v>858</v>
      </c>
      <c r="C9" s="138" t="s">
        <v>5291</v>
      </c>
      <c r="D9" s="138" t="s">
        <v>9104</v>
      </c>
      <c r="E9" s="138" t="s">
        <v>43</v>
      </c>
      <c r="F9" s="138" t="s">
        <v>48</v>
      </c>
      <c r="G9" s="138" t="s">
        <v>5657</v>
      </c>
      <c r="H9" s="138" t="s">
        <v>5657</v>
      </c>
      <c r="I9" s="7">
        <v>21.376062000000001</v>
      </c>
      <c r="J9" s="7">
        <v>39.764208000000004</v>
      </c>
      <c r="K9" s="7" t="str">
        <f t="shared" si="0"/>
        <v>21.376062,39.764208</v>
      </c>
      <c r="L9" s="138" t="s">
        <v>5482</v>
      </c>
      <c r="M9" s="138">
        <v>10053274572</v>
      </c>
      <c r="N9" s="7"/>
      <c r="O9" s="7"/>
      <c r="P9" s="230" t="s">
        <v>11</v>
      </c>
      <c r="Q9" s="230" t="s">
        <v>11</v>
      </c>
      <c r="R9" s="230" t="s">
        <v>11</v>
      </c>
      <c r="S9" s="230" t="s">
        <v>11</v>
      </c>
      <c r="T9" s="230" t="s">
        <v>11</v>
      </c>
      <c r="U9" s="230" t="s">
        <v>11</v>
      </c>
      <c r="V9" s="230" t="s">
        <v>11</v>
      </c>
      <c r="W9" s="230" t="s">
        <v>11</v>
      </c>
      <c r="X9" s="230" t="s">
        <v>11</v>
      </c>
      <c r="Y9" s="230" t="s">
        <v>11</v>
      </c>
      <c r="Z9" s="230" t="s">
        <v>11</v>
      </c>
      <c r="AA9" s="5" t="s">
        <v>11</v>
      </c>
      <c r="AB9" s="230" t="s">
        <v>11</v>
      </c>
      <c r="AC9" s="230" t="s">
        <v>11</v>
      </c>
      <c r="AD9" s="28"/>
      <c r="AE9" s="28"/>
      <c r="AF9" s="24">
        <f t="shared" si="1"/>
        <v>0</v>
      </c>
      <c r="AG9" s="24">
        <f t="shared" si="2"/>
        <v>0</v>
      </c>
      <c r="AH9" s="24">
        <f t="shared" si="3"/>
        <v>14</v>
      </c>
      <c r="AI9" s="41" t="str" cm="1">
        <f t="array" ref="AI9">_xlfn.IFS(
$AF9=15,"Not Started",
$AH9&lt;15,"In Progress",
$AH9=15,"Completed",
SUM(AF9:AH9)&gt;15,"Error"
)</f>
        <v>In Progress</v>
      </c>
      <c r="AL9" s="3" t="s">
        <v>52</v>
      </c>
      <c r="AM9" s="3"/>
      <c r="AN9" s="3"/>
    </row>
    <row r="10" spans="1:40" ht="13" x14ac:dyDescent="0.25">
      <c r="A10" s="248"/>
      <c r="B10" s="14" t="s">
        <v>859</v>
      </c>
      <c r="C10" s="138" t="s">
        <v>11267</v>
      </c>
      <c r="D10" s="138" t="s">
        <v>9105</v>
      </c>
      <c r="E10" s="138" t="s">
        <v>51</v>
      </c>
      <c r="F10" s="138" t="s">
        <v>48</v>
      </c>
      <c r="G10" s="138" t="s">
        <v>5657</v>
      </c>
      <c r="H10" s="138" t="s">
        <v>5657</v>
      </c>
      <c r="I10" s="7">
        <v>21.455390000000001</v>
      </c>
      <c r="J10" s="7">
        <v>39.762830000000001</v>
      </c>
      <c r="K10" s="7" t="str">
        <f t="shared" si="0"/>
        <v>21.45539,39.76283</v>
      </c>
      <c r="L10" s="138">
        <v>8401004</v>
      </c>
      <c r="M10" s="138"/>
      <c r="N10" s="7"/>
      <c r="O10" s="7"/>
      <c r="P10" s="230" t="s">
        <v>11</v>
      </c>
      <c r="Q10" s="230" t="s">
        <v>11</v>
      </c>
      <c r="R10" s="230" t="s">
        <v>11</v>
      </c>
      <c r="S10" s="230" t="s">
        <v>11</v>
      </c>
      <c r="T10" s="230" t="s">
        <v>11</v>
      </c>
      <c r="U10" s="230" t="s">
        <v>11</v>
      </c>
      <c r="V10" s="230" t="s">
        <v>11</v>
      </c>
      <c r="W10" s="230" t="s">
        <v>11</v>
      </c>
      <c r="X10" s="230" t="s">
        <v>11</v>
      </c>
      <c r="Y10" s="230" t="s">
        <v>11</v>
      </c>
      <c r="Z10" s="230" t="s">
        <v>11</v>
      </c>
      <c r="AA10" s="5" t="s">
        <v>11</v>
      </c>
      <c r="AB10" s="230" t="s">
        <v>11</v>
      </c>
      <c r="AC10" s="230" t="s">
        <v>11</v>
      </c>
      <c r="AD10" s="28"/>
      <c r="AE10" s="28"/>
      <c r="AF10" s="24">
        <f t="shared" si="1"/>
        <v>0</v>
      </c>
      <c r="AG10" s="24">
        <f t="shared" si="2"/>
        <v>0</v>
      </c>
      <c r="AH10" s="24">
        <f t="shared" si="3"/>
        <v>14</v>
      </c>
      <c r="AI10" s="41" t="str" cm="1">
        <f t="array" ref="AI10">_xlfn.IFS(
$AF10=15,"Not Started",
$AH10&lt;15,"In Progress",
$AH10=15,"Completed",
SUM(AF10:AH10)&gt;15,"Error"
)</f>
        <v>In Progress</v>
      </c>
    </row>
    <row r="11" spans="1:40" ht="13" x14ac:dyDescent="0.25">
      <c r="A11" s="248"/>
      <c r="B11" s="7" t="s">
        <v>860</v>
      </c>
      <c r="C11" s="138" t="s">
        <v>5292</v>
      </c>
      <c r="D11" s="138" t="s">
        <v>9106</v>
      </c>
      <c r="E11" s="138" t="s">
        <v>47</v>
      </c>
      <c r="F11" s="138" t="s">
        <v>44</v>
      </c>
      <c r="G11" s="138" t="s">
        <v>5657</v>
      </c>
      <c r="H11" s="138" t="s">
        <v>5657</v>
      </c>
      <c r="I11" s="7">
        <v>21.446532999999999</v>
      </c>
      <c r="J11" s="7">
        <v>39.869363</v>
      </c>
      <c r="K11" s="7" t="str">
        <f t="shared" si="0"/>
        <v>21.446533,39.869363</v>
      </c>
      <c r="L11" s="138" t="s">
        <v>5484</v>
      </c>
      <c r="M11" s="138">
        <v>10053601818</v>
      </c>
      <c r="N11" s="7"/>
      <c r="O11" s="7"/>
      <c r="P11" s="230" t="s">
        <v>11</v>
      </c>
      <c r="Q11" s="230" t="s">
        <v>11</v>
      </c>
      <c r="R11" s="230" t="s">
        <v>11</v>
      </c>
      <c r="S11" s="230" t="s">
        <v>11</v>
      </c>
      <c r="T11" s="230" t="s">
        <v>11</v>
      </c>
      <c r="U11" s="230" t="s">
        <v>11</v>
      </c>
      <c r="V11" s="230" t="s">
        <v>11</v>
      </c>
      <c r="W11" s="230" t="s">
        <v>11</v>
      </c>
      <c r="X11" s="230" t="s">
        <v>11</v>
      </c>
      <c r="Y11" s="230" t="s">
        <v>11</v>
      </c>
      <c r="Z11" s="230" t="s">
        <v>11</v>
      </c>
      <c r="AA11" s="5" t="s">
        <v>11</v>
      </c>
      <c r="AB11" s="230" t="s">
        <v>11</v>
      </c>
      <c r="AC11" s="230" t="s">
        <v>11</v>
      </c>
      <c r="AD11" s="28"/>
      <c r="AE11" s="28"/>
      <c r="AF11" s="24">
        <f t="shared" si="1"/>
        <v>0</v>
      </c>
      <c r="AG11" s="24">
        <f t="shared" si="2"/>
        <v>0</v>
      </c>
      <c r="AH11" s="24">
        <f t="shared" si="3"/>
        <v>14</v>
      </c>
      <c r="AI11" s="41" t="str" cm="1">
        <f t="array" ref="AI11">_xlfn.IFS(
$AF11=15,"Not Started",
$AH11&lt;15,"In Progress",
$AH11=15,"Completed",
SUM(AF11:AH11)&gt;15,"Error"
)</f>
        <v>In Progress</v>
      </c>
    </row>
    <row r="12" spans="1:40" ht="13" x14ac:dyDescent="0.25">
      <c r="A12" s="248"/>
      <c r="B12" s="14" t="s">
        <v>861</v>
      </c>
      <c r="C12" s="138" t="s">
        <v>5293</v>
      </c>
      <c r="D12" s="138" t="s">
        <v>9107</v>
      </c>
      <c r="E12" s="138" t="s">
        <v>43</v>
      </c>
      <c r="F12" s="138" t="s">
        <v>44</v>
      </c>
      <c r="G12" s="138" t="s">
        <v>5657</v>
      </c>
      <c r="H12" s="138" t="s">
        <v>5657</v>
      </c>
      <c r="I12" s="7">
        <v>21.382100000000001</v>
      </c>
      <c r="J12" s="7">
        <v>39.81765</v>
      </c>
      <c r="K12" s="7" t="str">
        <f t="shared" si="0"/>
        <v>21.3821,39.81765</v>
      </c>
      <c r="L12" s="138" t="s">
        <v>5485</v>
      </c>
      <c r="M12" s="138">
        <v>10053338956</v>
      </c>
      <c r="N12" s="7"/>
      <c r="O12" s="7"/>
      <c r="P12" s="230" t="s">
        <v>11</v>
      </c>
      <c r="Q12" s="230" t="s">
        <v>11</v>
      </c>
      <c r="R12" s="230" t="s">
        <v>11</v>
      </c>
      <c r="S12" s="230" t="s">
        <v>11</v>
      </c>
      <c r="T12" s="230" t="s">
        <v>11</v>
      </c>
      <c r="U12" s="230" t="s">
        <v>11</v>
      </c>
      <c r="V12" s="230" t="s">
        <v>11</v>
      </c>
      <c r="W12" s="230" t="s">
        <v>11</v>
      </c>
      <c r="X12" s="230" t="s">
        <v>11</v>
      </c>
      <c r="Y12" s="230" t="s">
        <v>11</v>
      </c>
      <c r="Z12" s="230" t="s">
        <v>11</v>
      </c>
      <c r="AA12" s="5" t="s">
        <v>11</v>
      </c>
      <c r="AB12" s="230" t="s">
        <v>11</v>
      </c>
      <c r="AC12" s="230" t="s">
        <v>11</v>
      </c>
      <c r="AD12" s="28"/>
      <c r="AE12" s="28"/>
      <c r="AF12" s="24">
        <f t="shared" si="1"/>
        <v>0</v>
      </c>
      <c r="AG12" s="24">
        <f t="shared" si="2"/>
        <v>0</v>
      </c>
      <c r="AH12" s="24">
        <f t="shared" si="3"/>
        <v>14</v>
      </c>
      <c r="AI12" s="41" t="str" cm="1">
        <f t="array" ref="AI12">_xlfn.IFS(
$AF12=15,"Not Started",
$AH12&lt;15,"In Progress",
$AH12=15,"Completed",
SUM(AF12:AH12)&gt;15,"Error"
)</f>
        <v>In Progress</v>
      </c>
    </row>
    <row r="13" spans="1:40" ht="13" x14ac:dyDescent="0.25">
      <c r="A13" s="248"/>
      <c r="B13" s="7" t="s">
        <v>862</v>
      </c>
      <c r="C13" s="138" t="s">
        <v>5294</v>
      </c>
      <c r="D13" s="138" t="s">
        <v>9108</v>
      </c>
      <c r="E13" s="138" t="s">
        <v>47</v>
      </c>
      <c r="F13" s="138" t="s">
        <v>48</v>
      </c>
      <c r="G13" s="138" t="s">
        <v>5657</v>
      </c>
      <c r="H13" s="138" t="s">
        <v>5657</v>
      </c>
      <c r="I13" s="7">
        <v>21.434408999999999</v>
      </c>
      <c r="J13" s="7">
        <v>39.81288</v>
      </c>
      <c r="K13" s="7" t="str">
        <f t="shared" si="0"/>
        <v>21.434409,39.81288</v>
      </c>
      <c r="L13" s="138" t="s">
        <v>5486</v>
      </c>
      <c r="M13" s="138">
        <v>10053282144</v>
      </c>
      <c r="N13" s="7"/>
      <c r="O13" s="7"/>
      <c r="P13" s="230" t="s">
        <v>11</v>
      </c>
      <c r="Q13" s="230" t="s">
        <v>11</v>
      </c>
      <c r="R13" s="230" t="s">
        <v>11</v>
      </c>
      <c r="S13" s="230" t="s">
        <v>11</v>
      </c>
      <c r="T13" s="230" t="s">
        <v>11</v>
      </c>
      <c r="U13" s="230" t="s">
        <v>11</v>
      </c>
      <c r="V13" s="230" t="s">
        <v>11</v>
      </c>
      <c r="W13" s="230" t="s">
        <v>11</v>
      </c>
      <c r="X13" s="230" t="s">
        <v>11</v>
      </c>
      <c r="Y13" s="230" t="s">
        <v>11</v>
      </c>
      <c r="Z13" s="230" t="s">
        <v>11</v>
      </c>
      <c r="AA13" s="5" t="s">
        <v>11</v>
      </c>
      <c r="AB13" s="230" t="s">
        <v>11</v>
      </c>
      <c r="AC13" s="230" t="s">
        <v>11</v>
      </c>
      <c r="AD13" s="28"/>
      <c r="AE13" s="28"/>
      <c r="AF13" s="24">
        <f t="shared" si="1"/>
        <v>0</v>
      </c>
      <c r="AG13" s="24">
        <f t="shared" si="2"/>
        <v>0</v>
      </c>
      <c r="AH13" s="24">
        <f t="shared" si="3"/>
        <v>14</v>
      </c>
      <c r="AI13" s="41" t="str" cm="1">
        <f t="array" ref="AI13">_xlfn.IFS(
$AF13=15,"Not Started",
$AH13&lt;15,"In Progress",
$AH13=15,"Completed",
SUM(AF13:AH13)&gt;15,"Error"
)</f>
        <v>In Progress</v>
      </c>
    </row>
    <row r="14" spans="1:40" ht="15.75" customHeight="1" x14ac:dyDescent="0.25">
      <c r="A14" s="248"/>
      <c r="B14" s="14" t="s">
        <v>863</v>
      </c>
      <c r="C14" s="138" t="s">
        <v>5295</v>
      </c>
      <c r="D14" s="138" t="s">
        <v>9109</v>
      </c>
      <c r="E14" s="138" t="s">
        <v>51</v>
      </c>
      <c r="F14" s="138" t="s">
        <v>48</v>
      </c>
      <c r="G14" s="138" t="s">
        <v>5657</v>
      </c>
      <c r="H14" s="138" t="s">
        <v>5657</v>
      </c>
      <c r="I14" s="7">
        <v>21.42352</v>
      </c>
      <c r="J14" s="7">
        <v>39.773130000000002</v>
      </c>
      <c r="K14" s="7" t="str">
        <f t="shared" si="0"/>
        <v>21.42352,39.77313</v>
      </c>
      <c r="L14" s="138" t="s">
        <v>5487</v>
      </c>
      <c r="M14" s="138">
        <v>10053535688</v>
      </c>
      <c r="N14" s="7"/>
      <c r="O14" s="7"/>
      <c r="P14" s="230" t="s">
        <v>11</v>
      </c>
      <c r="Q14" s="230" t="s">
        <v>11</v>
      </c>
      <c r="R14" s="230" t="s">
        <v>11</v>
      </c>
      <c r="S14" s="230" t="s">
        <v>11</v>
      </c>
      <c r="T14" s="230" t="s">
        <v>11</v>
      </c>
      <c r="U14" s="230" t="s">
        <v>11</v>
      </c>
      <c r="V14" s="230" t="s">
        <v>11</v>
      </c>
      <c r="W14" s="230" t="s">
        <v>11</v>
      </c>
      <c r="X14" s="230" t="s">
        <v>11</v>
      </c>
      <c r="Y14" s="230" t="s">
        <v>11</v>
      </c>
      <c r="Z14" s="230" t="s">
        <v>11</v>
      </c>
      <c r="AA14" s="5" t="s">
        <v>11</v>
      </c>
      <c r="AB14" s="5" t="s">
        <v>9</v>
      </c>
      <c r="AC14" s="230" t="s">
        <v>11</v>
      </c>
      <c r="AD14" s="28"/>
      <c r="AE14" s="28"/>
      <c r="AF14" s="24">
        <f t="shared" si="1"/>
        <v>1</v>
      </c>
      <c r="AG14" s="24">
        <f t="shared" si="2"/>
        <v>0</v>
      </c>
      <c r="AH14" s="24">
        <f t="shared" si="3"/>
        <v>13</v>
      </c>
      <c r="AI14" s="41" t="str" cm="1">
        <f t="array" ref="AI14">_xlfn.IFS(
$AF14=15,"Not Started",
$AH14&lt;15,"In Progress",
$AH14=15,"Completed",
SUM(AF14:AH14)&gt;15,"Error"
)</f>
        <v>In Progress</v>
      </c>
    </row>
    <row r="15" spans="1:40" ht="15.75" customHeight="1" x14ac:dyDescent="0.25">
      <c r="A15" s="248"/>
      <c r="B15" s="7" t="s">
        <v>864</v>
      </c>
      <c r="C15" s="138" t="s">
        <v>5296</v>
      </c>
      <c r="D15" s="138" t="s">
        <v>9110</v>
      </c>
      <c r="E15" s="138" t="s">
        <v>10347</v>
      </c>
      <c r="F15" s="138" t="s">
        <v>48</v>
      </c>
      <c r="G15" s="138" t="s">
        <v>5657</v>
      </c>
      <c r="H15" s="138" t="s">
        <v>5657</v>
      </c>
      <c r="I15" s="7">
        <v>21.438535999999999</v>
      </c>
      <c r="J15" s="7">
        <v>39.796807999999999</v>
      </c>
      <c r="K15" s="7" t="str">
        <f t="shared" si="0"/>
        <v>21.438536,39.796808</v>
      </c>
      <c r="L15" s="138" t="s">
        <v>5488</v>
      </c>
      <c r="M15" s="138">
        <v>10053491485</v>
      </c>
      <c r="N15" s="7"/>
      <c r="O15" s="7"/>
      <c r="P15" s="230" t="s">
        <v>11</v>
      </c>
      <c r="Q15" s="230" t="s">
        <v>11</v>
      </c>
      <c r="R15" s="230" t="s">
        <v>11</v>
      </c>
      <c r="S15" s="230" t="s">
        <v>11</v>
      </c>
      <c r="T15" s="230" t="s">
        <v>11</v>
      </c>
      <c r="U15" s="230" t="s">
        <v>11</v>
      </c>
      <c r="V15" s="230" t="s">
        <v>11</v>
      </c>
      <c r="W15" s="230" t="s">
        <v>11</v>
      </c>
      <c r="X15" s="230" t="s">
        <v>11</v>
      </c>
      <c r="Y15" s="230" t="s">
        <v>11</v>
      </c>
      <c r="Z15" s="230" t="s">
        <v>11</v>
      </c>
      <c r="AA15" s="5" t="s">
        <v>11</v>
      </c>
      <c r="AB15" s="230" t="s">
        <v>11</v>
      </c>
      <c r="AC15" s="230" t="s">
        <v>11</v>
      </c>
      <c r="AD15" s="28"/>
      <c r="AE15" s="28"/>
      <c r="AF15" s="24">
        <f t="shared" si="1"/>
        <v>0</v>
      </c>
      <c r="AG15" s="24">
        <f t="shared" si="2"/>
        <v>0</v>
      </c>
      <c r="AH15" s="24">
        <f t="shared" si="3"/>
        <v>14</v>
      </c>
      <c r="AI15" s="41" t="str" cm="1">
        <f t="array" ref="AI15">_xlfn.IFS(
$AF15=15,"Not Started",
$AH15&lt;15,"In Progress",
$AH15=15,"Completed",
SUM(AF15:AH15)&gt;15,"Error"
)</f>
        <v>In Progress</v>
      </c>
    </row>
    <row r="16" spans="1:40" ht="15.75" customHeight="1" x14ac:dyDescent="0.25">
      <c r="A16" s="248"/>
      <c r="B16" s="14" t="s">
        <v>865</v>
      </c>
      <c r="C16" s="138" t="s">
        <v>5297</v>
      </c>
      <c r="D16" s="138" t="s">
        <v>9111</v>
      </c>
      <c r="E16" s="138" t="s">
        <v>43</v>
      </c>
      <c r="F16" s="138" t="s">
        <v>48</v>
      </c>
      <c r="G16" s="138" t="s">
        <v>5657</v>
      </c>
      <c r="H16" s="138" t="s">
        <v>5657</v>
      </c>
      <c r="I16" s="7">
        <v>21.449909999999999</v>
      </c>
      <c r="J16" s="7">
        <v>39.767859999999999</v>
      </c>
      <c r="K16" s="7" t="str">
        <f t="shared" si="0"/>
        <v>21.44991,39.76786</v>
      </c>
      <c r="L16" s="138" t="s">
        <v>5489</v>
      </c>
      <c r="M16" s="138">
        <v>10085432751</v>
      </c>
      <c r="N16" s="7"/>
      <c r="O16" s="7"/>
      <c r="P16" s="230" t="s">
        <v>11</v>
      </c>
      <c r="Q16" s="230" t="s">
        <v>11</v>
      </c>
      <c r="R16" s="230" t="s">
        <v>11</v>
      </c>
      <c r="S16" s="230" t="s">
        <v>11</v>
      </c>
      <c r="T16" s="230" t="s">
        <v>11</v>
      </c>
      <c r="U16" s="230" t="s">
        <v>11</v>
      </c>
      <c r="V16" s="230" t="s">
        <v>11</v>
      </c>
      <c r="W16" s="230" t="s">
        <v>11</v>
      </c>
      <c r="X16" s="230" t="s">
        <v>11</v>
      </c>
      <c r="Y16" s="230" t="s">
        <v>11</v>
      </c>
      <c r="Z16" s="230" t="s">
        <v>11</v>
      </c>
      <c r="AA16" s="5" t="s">
        <v>11</v>
      </c>
      <c r="AB16" s="230" t="s">
        <v>11</v>
      </c>
      <c r="AC16" s="230" t="s">
        <v>11</v>
      </c>
      <c r="AD16" s="28"/>
      <c r="AE16" s="28"/>
      <c r="AF16" s="24">
        <f t="shared" si="1"/>
        <v>0</v>
      </c>
      <c r="AG16" s="24">
        <f t="shared" si="2"/>
        <v>0</v>
      </c>
      <c r="AH16" s="24">
        <f t="shared" si="3"/>
        <v>14</v>
      </c>
      <c r="AI16" s="41" t="str" cm="1">
        <f t="array" ref="AI16">_xlfn.IFS(
$AF16=15,"Not Started",
$AH16&lt;15,"In Progress",
$AH16=15,"Completed",
SUM(AF16:AH16)&gt;15,"Error"
)</f>
        <v>In Progress</v>
      </c>
    </row>
    <row r="17" spans="1:35" ht="15.75" customHeight="1" x14ac:dyDescent="0.25">
      <c r="A17" s="248"/>
      <c r="B17" s="7" t="s">
        <v>866</v>
      </c>
      <c r="C17" s="138" t="s">
        <v>5298</v>
      </c>
      <c r="D17" s="138" t="s">
        <v>9112</v>
      </c>
      <c r="E17" s="138" t="s">
        <v>51</v>
      </c>
      <c r="F17" s="138" t="s">
        <v>44</v>
      </c>
      <c r="G17" s="138" t="s">
        <v>5657</v>
      </c>
      <c r="H17" s="138" t="s">
        <v>5657</v>
      </c>
      <c r="I17" s="7">
        <v>21.431650000000001</v>
      </c>
      <c r="J17" s="7">
        <v>39.852679999999999</v>
      </c>
      <c r="K17" s="7" t="str">
        <f t="shared" si="0"/>
        <v>21.43165,39.85268</v>
      </c>
      <c r="L17" s="138" t="s">
        <v>5490</v>
      </c>
      <c r="M17" s="138">
        <v>10053275032</v>
      </c>
      <c r="N17" s="7"/>
      <c r="O17" s="7"/>
      <c r="P17" s="230" t="s">
        <v>11</v>
      </c>
      <c r="Q17" s="230" t="s">
        <v>11</v>
      </c>
      <c r="R17" s="230" t="s">
        <v>11</v>
      </c>
      <c r="S17" s="230" t="s">
        <v>11</v>
      </c>
      <c r="T17" s="230" t="s">
        <v>11</v>
      </c>
      <c r="U17" s="230" t="s">
        <v>11</v>
      </c>
      <c r="V17" s="230" t="s">
        <v>11</v>
      </c>
      <c r="W17" s="230" t="s">
        <v>11</v>
      </c>
      <c r="X17" s="230" t="s">
        <v>11</v>
      </c>
      <c r="Y17" s="230" t="s">
        <v>11</v>
      </c>
      <c r="Z17" s="230" t="s">
        <v>11</v>
      </c>
      <c r="AA17" s="5" t="s">
        <v>11</v>
      </c>
      <c r="AB17" s="230" t="s">
        <v>11</v>
      </c>
      <c r="AC17" s="230" t="s">
        <v>11</v>
      </c>
      <c r="AD17" s="28"/>
      <c r="AE17" s="28"/>
      <c r="AF17" s="24">
        <f t="shared" si="1"/>
        <v>0</v>
      </c>
      <c r="AG17" s="24">
        <f t="shared" si="2"/>
        <v>0</v>
      </c>
      <c r="AH17" s="24">
        <f t="shared" si="3"/>
        <v>14</v>
      </c>
      <c r="AI17" s="41" t="str" cm="1">
        <f t="array" ref="AI17">_xlfn.IFS(
$AF17=15,"Not Started",
$AH17&lt;15,"In Progress",
$AH17=15,"Completed",
SUM(AF17:AH17)&gt;15,"Error"
)</f>
        <v>In Progress</v>
      </c>
    </row>
    <row r="18" spans="1:35" ht="15.75" customHeight="1" x14ac:dyDescent="0.25">
      <c r="A18" s="248"/>
      <c r="B18" s="14" t="s">
        <v>867</v>
      </c>
      <c r="C18" s="138" t="s">
        <v>5299</v>
      </c>
      <c r="D18" s="138" t="s">
        <v>9113</v>
      </c>
      <c r="E18" s="138" t="s">
        <v>43</v>
      </c>
      <c r="F18" s="138" t="s">
        <v>44</v>
      </c>
      <c r="G18" s="138" t="s">
        <v>5657</v>
      </c>
      <c r="H18" s="138" t="s">
        <v>5657</v>
      </c>
      <c r="I18" s="7">
        <v>21.456980000000001</v>
      </c>
      <c r="J18" s="7">
        <v>39.84731</v>
      </c>
      <c r="K18" s="7" t="str">
        <f t="shared" si="0"/>
        <v>21.45698,39.84731</v>
      </c>
      <c r="L18" s="138" t="s">
        <v>5491</v>
      </c>
      <c r="M18" s="138">
        <v>10053659504</v>
      </c>
      <c r="N18" s="7"/>
      <c r="O18" s="7"/>
      <c r="P18" s="230" t="s">
        <v>11</v>
      </c>
      <c r="Q18" s="230" t="s">
        <v>11</v>
      </c>
      <c r="R18" s="230" t="s">
        <v>11</v>
      </c>
      <c r="S18" s="230" t="s">
        <v>11</v>
      </c>
      <c r="T18" s="230" t="s">
        <v>11</v>
      </c>
      <c r="U18" s="230" t="s">
        <v>11</v>
      </c>
      <c r="V18" s="230" t="s">
        <v>11</v>
      </c>
      <c r="W18" s="230" t="s">
        <v>11</v>
      </c>
      <c r="X18" s="230" t="s">
        <v>11</v>
      </c>
      <c r="Y18" s="230" t="s">
        <v>11</v>
      </c>
      <c r="Z18" s="230" t="s">
        <v>11</v>
      </c>
      <c r="AA18" s="5" t="s">
        <v>11</v>
      </c>
      <c r="AB18" s="230" t="s">
        <v>11</v>
      </c>
      <c r="AC18" s="230" t="s">
        <v>11</v>
      </c>
      <c r="AD18" s="28"/>
      <c r="AE18" s="28"/>
      <c r="AF18" s="24">
        <f t="shared" si="1"/>
        <v>0</v>
      </c>
      <c r="AG18" s="24">
        <f t="shared" si="2"/>
        <v>0</v>
      </c>
      <c r="AH18" s="24">
        <f t="shared" si="3"/>
        <v>14</v>
      </c>
      <c r="AI18" s="41" t="str" cm="1">
        <f t="array" ref="AI18">_xlfn.IFS(
$AF18=15,"Not Started",
$AH18&lt;15,"In Progress",
$AH18=15,"Completed",
SUM(AF18:AH18)&gt;15,"Error"
)</f>
        <v>In Progress</v>
      </c>
    </row>
    <row r="19" spans="1:35" ht="15.75" customHeight="1" x14ac:dyDescent="0.25">
      <c r="A19" s="248"/>
      <c r="B19" s="7" t="s">
        <v>868</v>
      </c>
      <c r="C19" s="138" t="s">
        <v>5300</v>
      </c>
      <c r="D19" s="138" t="s">
        <v>9114</v>
      </c>
      <c r="E19" s="138" t="s">
        <v>47</v>
      </c>
      <c r="F19" s="138" t="s">
        <v>44</v>
      </c>
      <c r="G19" s="138" t="s">
        <v>5657</v>
      </c>
      <c r="H19" s="138" t="s">
        <v>5657</v>
      </c>
      <c r="I19" s="7">
        <v>21.446449999999999</v>
      </c>
      <c r="J19" s="7">
        <v>39.849690000000002</v>
      </c>
      <c r="K19" s="7" t="str">
        <f t="shared" si="0"/>
        <v>21.44645,39.84969</v>
      </c>
      <c r="L19" s="138" t="s">
        <v>5492</v>
      </c>
      <c r="M19" s="138">
        <v>10053192495</v>
      </c>
      <c r="N19" s="7"/>
      <c r="O19" s="7"/>
      <c r="P19" s="230" t="s">
        <v>11</v>
      </c>
      <c r="Q19" s="230" t="s">
        <v>11</v>
      </c>
      <c r="R19" s="230" t="s">
        <v>11</v>
      </c>
      <c r="S19" s="230" t="s">
        <v>11</v>
      </c>
      <c r="T19" s="230" t="s">
        <v>11</v>
      </c>
      <c r="U19" s="230" t="s">
        <v>11</v>
      </c>
      <c r="V19" s="230" t="s">
        <v>11</v>
      </c>
      <c r="W19" s="230" t="s">
        <v>11</v>
      </c>
      <c r="X19" s="230" t="s">
        <v>11</v>
      </c>
      <c r="Y19" s="230" t="s">
        <v>11</v>
      </c>
      <c r="Z19" s="230" t="s">
        <v>11</v>
      </c>
      <c r="AA19" s="5" t="s">
        <v>11</v>
      </c>
      <c r="AB19" s="230" t="s">
        <v>11</v>
      </c>
      <c r="AC19" s="230" t="s">
        <v>11</v>
      </c>
      <c r="AD19" s="28"/>
      <c r="AE19" s="28"/>
      <c r="AF19" s="24">
        <f t="shared" si="1"/>
        <v>0</v>
      </c>
      <c r="AG19" s="24">
        <f t="shared" si="2"/>
        <v>0</v>
      </c>
      <c r="AH19" s="24">
        <f t="shared" si="3"/>
        <v>14</v>
      </c>
      <c r="AI19" s="41" t="str" cm="1">
        <f t="array" ref="AI19">_xlfn.IFS(
$AF19=15,"Not Started",
$AH19&lt;15,"In Progress",
$AH19=15,"Completed",
SUM(AF19:AH19)&gt;15,"Error"
)</f>
        <v>In Progress</v>
      </c>
    </row>
    <row r="20" spans="1:35" ht="15.75" customHeight="1" x14ac:dyDescent="0.25">
      <c r="A20" s="248"/>
      <c r="B20" s="14" t="s">
        <v>869</v>
      </c>
      <c r="C20" s="138" t="s">
        <v>5301</v>
      </c>
      <c r="D20" s="138" t="s">
        <v>9115</v>
      </c>
      <c r="E20" s="138" t="s">
        <v>43</v>
      </c>
      <c r="F20" s="138" t="s">
        <v>48</v>
      </c>
      <c r="G20" s="138" t="s">
        <v>5657</v>
      </c>
      <c r="H20" s="138" t="s">
        <v>5657</v>
      </c>
      <c r="I20" s="7">
        <v>21.4764321</v>
      </c>
      <c r="J20" s="7">
        <v>39.7887852</v>
      </c>
      <c r="K20" s="7" t="str">
        <f t="shared" si="0"/>
        <v>21.4764321,39.7887852</v>
      </c>
      <c r="L20" s="138" t="s">
        <v>5493</v>
      </c>
      <c r="M20" s="138">
        <v>10053661128</v>
      </c>
      <c r="N20" s="7"/>
      <c r="O20" s="7"/>
      <c r="P20" s="230" t="s">
        <v>11</v>
      </c>
      <c r="Q20" s="230" t="s">
        <v>11</v>
      </c>
      <c r="R20" s="230" t="s">
        <v>11</v>
      </c>
      <c r="S20" s="230" t="s">
        <v>11</v>
      </c>
      <c r="T20" s="230" t="s">
        <v>11</v>
      </c>
      <c r="U20" s="230" t="s">
        <v>11</v>
      </c>
      <c r="V20" s="230" t="s">
        <v>11</v>
      </c>
      <c r="W20" s="230" t="s">
        <v>11</v>
      </c>
      <c r="X20" s="230" t="s">
        <v>11</v>
      </c>
      <c r="Y20" s="230" t="s">
        <v>11</v>
      </c>
      <c r="Z20" s="230" t="s">
        <v>11</v>
      </c>
      <c r="AA20" s="5" t="s">
        <v>11</v>
      </c>
      <c r="AB20" s="230" t="s">
        <v>11</v>
      </c>
      <c r="AC20" s="230" t="s">
        <v>11</v>
      </c>
      <c r="AD20" s="28"/>
      <c r="AE20" s="28"/>
      <c r="AF20" s="24">
        <f t="shared" si="1"/>
        <v>0</v>
      </c>
      <c r="AG20" s="24">
        <f t="shared" si="2"/>
        <v>0</v>
      </c>
      <c r="AH20" s="24">
        <f t="shared" si="3"/>
        <v>14</v>
      </c>
      <c r="AI20" s="41" t="str" cm="1">
        <f t="array" ref="AI20">_xlfn.IFS(
$AF20=15,"Not Started",
$AH20&lt;15,"In Progress",
$AH20=15,"Completed",
SUM(AF20:AH20)&gt;15,"Error"
)</f>
        <v>In Progress</v>
      </c>
    </row>
    <row r="21" spans="1:35" ht="13" x14ac:dyDescent="0.25">
      <c r="A21" s="248"/>
      <c r="B21" s="7" t="s">
        <v>870</v>
      </c>
      <c r="C21" s="138" t="s">
        <v>5302</v>
      </c>
      <c r="D21" s="138" t="s">
        <v>9116</v>
      </c>
      <c r="E21" s="138" t="s">
        <v>51</v>
      </c>
      <c r="F21" s="138" t="s">
        <v>48</v>
      </c>
      <c r="G21" s="138" t="s">
        <v>5657</v>
      </c>
      <c r="H21" s="138" t="s">
        <v>5657</v>
      </c>
      <c r="I21" s="7">
        <v>21.427409999999998</v>
      </c>
      <c r="J21" s="7">
        <v>39.784149999999997</v>
      </c>
      <c r="K21" s="7" t="str">
        <f t="shared" si="0"/>
        <v>21.42741,39.78415</v>
      </c>
      <c r="L21" s="138" t="s">
        <v>5494</v>
      </c>
      <c r="M21" s="138">
        <v>10053378101</v>
      </c>
      <c r="N21" s="7"/>
      <c r="O21" s="7"/>
      <c r="P21" s="230" t="s">
        <v>11</v>
      </c>
      <c r="Q21" s="230" t="s">
        <v>11</v>
      </c>
      <c r="R21" s="230" t="s">
        <v>11</v>
      </c>
      <c r="S21" s="230" t="s">
        <v>11</v>
      </c>
      <c r="T21" s="230" t="s">
        <v>11</v>
      </c>
      <c r="U21" s="230" t="s">
        <v>11</v>
      </c>
      <c r="V21" s="230" t="s">
        <v>11</v>
      </c>
      <c r="W21" s="230" t="s">
        <v>11</v>
      </c>
      <c r="X21" s="230" t="s">
        <v>11</v>
      </c>
      <c r="Y21" s="230" t="s">
        <v>11</v>
      </c>
      <c r="Z21" s="230" t="s">
        <v>11</v>
      </c>
      <c r="AA21" s="5" t="s">
        <v>11</v>
      </c>
      <c r="AB21" s="230" t="s">
        <v>11</v>
      </c>
      <c r="AC21" s="230" t="s">
        <v>11</v>
      </c>
      <c r="AD21" s="28"/>
      <c r="AE21" s="28"/>
      <c r="AF21" s="24">
        <f t="shared" si="1"/>
        <v>0</v>
      </c>
      <c r="AG21" s="24">
        <f t="shared" si="2"/>
        <v>0</v>
      </c>
      <c r="AH21" s="24">
        <f t="shared" si="3"/>
        <v>14</v>
      </c>
      <c r="AI21" s="41" t="str" cm="1">
        <f t="array" ref="AI21">_xlfn.IFS(
$AF21=15,"Not Started",
$AH21&lt;15,"In Progress",
$AH21=15,"Completed",
SUM(AF21:AH21)&gt;15,"Error"
)</f>
        <v>In Progress</v>
      </c>
    </row>
    <row r="22" spans="1:35" ht="13" x14ac:dyDescent="0.25">
      <c r="A22" s="248"/>
      <c r="B22" s="14" t="s">
        <v>871</v>
      </c>
      <c r="C22" s="138" t="s">
        <v>5303</v>
      </c>
      <c r="D22" s="138" t="s">
        <v>9117</v>
      </c>
      <c r="E22" s="138" t="s">
        <v>51</v>
      </c>
      <c r="F22" s="138" t="s">
        <v>44</v>
      </c>
      <c r="G22" s="138" t="s">
        <v>5657</v>
      </c>
      <c r="H22" s="138" t="s">
        <v>5657</v>
      </c>
      <c r="I22" s="7">
        <v>21.386369999999999</v>
      </c>
      <c r="J22" s="7">
        <v>39.834969999999998</v>
      </c>
      <c r="K22" s="7" t="str">
        <f t="shared" si="0"/>
        <v>21.38637,39.83497</v>
      </c>
      <c r="L22" s="138" t="s">
        <v>5495</v>
      </c>
      <c r="M22" s="138">
        <v>10053778013</v>
      </c>
      <c r="N22" s="7"/>
      <c r="O22" s="7"/>
      <c r="P22" s="230" t="s">
        <v>11</v>
      </c>
      <c r="Q22" s="230" t="s">
        <v>11</v>
      </c>
      <c r="R22" s="230" t="s">
        <v>11</v>
      </c>
      <c r="S22" s="230" t="s">
        <v>11</v>
      </c>
      <c r="T22" s="230" t="s">
        <v>11</v>
      </c>
      <c r="U22" s="230" t="s">
        <v>11</v>
      </c>
      <c r="V22" s="230" t="s">
        <v>11</v>
      </c>
      <c r="W22" s="230" t="s">
        <v>11</v>
      </c>
      <c r="X22" s="230" t="s">
        <v>11</v>
      </c>
      <c r="Y22" s="230" t="s">
        <v>11</v>
      </c>
      <c r="Z22" s="230" t="s">
        <v>11</v>
      </c>
      <c r="AA22" s="5" t="s">
        <v>11</v>
      </c>
      <c r="AB22" s="230" t="s">
        <v>11</v>
      </c>
      <c r="AC22" s="230" t="s">
        <v>11</v>
      </c>
      <c r="AD22" s="28"/>
      <c r="AE22" s="28"/>
      <c r="AF22" s="24">
        <f t="shared" si="1"/>
        <v>0</v>
      </c>
      <c r="AG22" s="24">
        <f t="shared" si="2"/>
        <v>0</v>
      </c>
      <c r="AH22" s="24">
        <f t="shared" si="3"/>
        <v>14</v>
      </c>
      <c r="AI22" s="41" t="str" cm="1">
        <f t="array" ref="AI22">_xlfn.IFS(
$AF22=15,"Not Started",
$AH22&lt;15,"In Progress",
$AH22=15,"Completed",
SUM(AF22:AH22)&gt;15,"Error"
)</f>
        <v>In Progress</v>
      </c>
    </row>
    <row r="23" spans="1:35" ht="13" x14ac:dyDescent="0.25">
      <c r="A23" s="248"/>
      <c r="B23" s="7" t="s">
        <v>872</v>
      </c>
      <c r="C23" s="138" t="s">
        <v>5304</v>
      </c>
      <c r="D23" s="138" t="s">
        <v>9118</v>
      </c>
      <c r="E23" s="138" t="s">
        <v>10358</v>
      </c>
      <c r="F23" s="138" t="s">
        <v>48</v>
      </c>
      <c r="G23" s="138" t="s">
        <v>5657</v>
      </c>
      <c r="H23" s="138" t="s">
        <v>5657</v>
      </c>
      <c r="I23" s="7">
        <v>21.483149999999998</v>
      </c>
      <c r="J23" s="7">
        <v>39.784039999999997</v>
      </c>
      <c r="K23" s="7" t="str">
        <f t="shared" si="0"/>
        <v>21.48315,39.78404</v>
      </c>
      <c r="L23" s="138" t="s">
        <v>5496</v>
      </c>
      <c r="M23" s="138">
        <v>10098728921</v>
      </c>
      <c r="N23" s="7"/>
      <c r="O23" s="7"/>
      <c r="P23" s="230" t="s">
        <v>11</v>
      </c>
      <c r="Q23" s="230" t="s">
        <v>11</v>
      </c>
      <c r="R23" s="230" t="s">
        <v>11</v>
      </c>
      <c r="S23" s="230" t="s">
        <v>11</v>
      </c>
      <c r="T23" s="230" t="s">
        <v>11</v>
      </c>
      <c r="U23" s="230" t="s">
        <v>11</v>
      </c>
      <c r="V23" s="230" t="s">
        <v>11</v>
      </c>
      <c r="W23" s="230" t="s">
        <v>11</v>
      </c>
      <c r="X23" s="230" t="s">
        <v>11</v>
      </c>
      <c r="Y23" s="230" t="s">
        <v>11</v>
      </c>
      <c r="Z23" s="230" t="s">
        <v>11</v>
      </c>
      <c r="AA23" s="230" t="s">
        <v>11</v>
      </c>
      <c r="AB23" s="230" t="s">
        <v>11</v>
      </c>
      <c r="AC23" s="230" t="s">
        <v>11</v>
      </c>
      <c r="AD23" s="28"/>
      <c r="AE23" s="28"/>
      <c r="AF23" s="24">
        <f t="shared" si="1"/>
        <v>0</v>
      </c>
      <c r="AG23" s="24">
        <f t="shared" si="2"/>
        <v>0</v>
      </c>
      <c r="AH23" s="24">
        <f t="shared" si="3"/>
        <v>14</v>
      </c>
      <c r="AI23" s="41" t="str" cm="1">
        <f t="array" ref="AI23">_xlfn.IFS(
$AF23=15,"Not Started",
$AH23&lt;15,"In Progress",
$AH23=15,"Completed",
SUM(AF23:AH23)&gt;15,"Error"
)</f>
        <v>In Progress</v>
      </c>
    </row>
    <row r="24" spans="1:35" ht="13" x14ac:dyDescent="0.25">
      <c r="A24" s="248"/>
      <c r="B24" s="14" t="s">
        <v>873</v>
      </c>
      <c r="C24" s="138" t="s">
        <v>5305</v>
      </c>
      <c r="D24" s="138" t="s">
        <v>9119</v>
      </c>
      <c r="E24" s="138" t="s">
        <v>51</v>
      </c>
      <c r="F24" s="138" t="s">
        <v>48</v>
      </c>
      <c r="G24" s="138" t="s">
        <v>5657</v>
      </c>
      <c r="H24" s="138" t="s">
        <v>5657</v>
      </c>
      <c r="I24" s="7">
        <v>21.484060100000001</v>
      </c>
      <c r="J24" s="7">
        <v>39.784040900000001</v>
      </c>
      <c r="K24" s="7" t="str">
        <f t="shared" si="0"/>
        <v>21.4840601,39.7840409</v>
      </c>
      <c r="L24" s="138" t="s">
        <v>5497</v>
      </c>
      <c r="M24" s="138">
        <v>10098732497</v>
      </c>
      <c r="N24" s="7"/>
      <c r="O24" s="7"/>
      <c r="P24" s="230" t="s">
        <v>11</v>
      </c>
      <c r="Q24" s="230" t="s">
        <v>11</v>
      </c>
      <c r="R24" s="230" t="s">
        <v>11</v>
      </c>
      <c r="S24" s="230" t="s">
        <v>11</v>
      </c>
      <c r="T24" s="230" t="s">
        <v>11</v>
      </c>
      <c r="U24" s="230" t="s">
        <v>11</v>
      </c>
      <c r="V24" s="230" t="s">
        <v>11</v>
      </c>
      <c r="W24" s="230" t="s">
        <v>11</v>
      </c>
      <c r="X24" s="230" t="s">
        <v>11</v>
      </c>
      <c r="Y24" s="230" t="s">
        <v>11</v>
      </c>
      <c r="Z24" s="230" t="s">
        <v>11</v>
      </c>
      <c r="AA24" s="230" t="s">
        <v>11</v>
      </c>
      <c r="AB24" s="230" t="s">
        <v>9</v>
      </c>
      <c r="AC24" s="230" t="s">
        <v>11</v>
      </c>
      <c r="AD24" s="28"/>
      <c r="AE24" s="28"/>
      <c r="AF24" s="24">
        <f t="shared" si="1"/>
        <v>1</v>
      </c>
      <c r="AG24" s="24">
        <f t="shared" si="2"/>
        <v>0</v>
      </c>
      <c r="AH24" s="24">
        <f t="shared" si="3"/>
        <v>13</v>
      </c>
      <c r="AI24" s="41" t="str" cm="1">
        <f t="array" ref="AI24">_xlfn.IFS(
$AF24=15,"Not Started",
$AH24&lt;15,"In Progress",
$AH24=15,"Completed",
SUM(AF24:AH24)&gt;15,"Error"
)</f>
        <v>In Progress</v>
      </c>
    </row>
    <row r="25" spans="1:35" ht="13" x14ac:dyDescent="0.25">
      <c r="A25" s="248"/>
      <c r="B25" s="7" t="s">
        <v>874</v>
      </c>
      <c r="C25" s="138" t="s">
        <v>5306</v>
      </c>
      <c r="D25" s="138" t="s">
        <v>9120</v>
      </c>
      <c r="E25" s="138" t="s">
        <v>51</v>
      </c>
      <c r="F25" s="138" t="s">
        <v>44</v>
      </c>
      <c r="G25" s="138" t="s">
        <v>5657</v>
      </c>
      <c r="H25" s="138" t="s">
        <v>5657</v>
      </c>
      <c r="I25" s="7">
        <v>21.415098</v>
      </c>
      <c r="J25" s="7">
        <v>39.865811999999998</v>
      </c>
      <c r="K25" s="7" t="str">
        <f t="shared" si="0"/>
        <v>21.415098,39.865812</v>
      </c>
      <c r="L25" s="138" t="s">
        <v>5498</v>
      </c>
      <c r="M25" s="138">
        <v>10053776888</v>
      </c>
      <c r="N25" s="7"/>
      <c r="O25" s="7"/>
      <c r="P25" s="230" t="s">
        <v>11</v>
      </c>
      <c r="Q25" s="230" t="s">
        <v>11</v>
      </c>
      <c r="R25" s="230" t="s">
        <v>11</v>
      </c>
      <c r="S25" s="230" t="s">
        <v>11</v>
      </c>
      <c r="T25" s="230" t="s">
        <v>11</v>
      </c>
      <c r="U25" s="230" t="s">
        <v>11</v>
      </c>
      <c r="V25" s="230" t="s">
        <v>11</v>
      </c>
      <c r="W25" s="230" t="s">
        <v>11</v>
      </c>
      <c r="X25" s="230" t="s">
        <v>11</v>
      </c>
      <c r="Y25" s="230" t="s">
        <v>11</v>
      </c>
      <c r="Z25" s="230" t="s">
        <v>11</v>
      </c>
      <c r="AA25" s="5" t="s">
        <v>11</v>
      </c>
      <c r="AB25" s="230" t="s">
        <v>11</v>
      </c>
      <c r="AC25" s="230" t="s">
        <v>11</v>
      </c>
      <c r="AD25" s="28"/>
      <c r="AE25" s="28"/>
      <c r="AF25" s="24">
        <f t="shared" si="1"/>
        <v>0</v>
      </c>
      <c r="AG25" s="24">
        <f t="shared" si="2"/>
        <v>0</v>
      </c>
      <c r="AH25" s="24">
        <f t="shared" si="3"/>
        <v>14</v>
      </c>
      <c r="AI25" s="41" t="str" cm="1">
        <f t="array" ref="AI25">_xlfn.IFS(
$AF25=15,"Not Started",
$AH25&lt;15,"In Progress",
$AH25=15,"Completed",
SUM(AF25:AH25)&gt;15,"Error"
)</f>
        <v>In Progress</v>
      </c>
    </row>
    <row r="26" spans="1:35" ht="13" x14ac:dyDescent="0.25">
      <c r="A26" s="248"/>
      <c r="B26" s="14" t="s">
        <v>875</v>
      </c>
      <c r="C26" s="138" t="s">
        <v>5307</v>
      </c>
      <c r="D26" s="138" t="s">
        <v>9121</v>
      </c>
      <c r="E26" s="138" t="s">
        <v>43</v>
      </c>
      <c r="F26" s="138" t="s">
        <v>48</v>
      </c>
      <c r="G26" s="138" t="s">
        <v>5657</v>
      </c>
      <c r="H26" s="138" t="s">
        <v>5657</v>
      </c>
      <c r="I26" s="7">
        <v>21.413989999999998</v>
      </c>
      <c r="J26" s="7">
        <v>39.80444</v>
      </c>
      <c r="K26" s="7" t="str">
        <f t="shared" si="0"/>
        <v>21.41399,39.80444</v>
      </c>
      <c r="L26" s="138" t="s">
        <v>5499</v>
      </c>
      <c r="M26" s="138">
        <v>10053233991</v>
      </c>
      <c r="N26" s="7"/>
      <c r="O26" s="7"/>
      <c r="P26" s="230" t="s">
        <v>11</v>
      </c>
      <c r="Q26" s="230" t="s">
        <v>11</v>
      </c>
      <c r="R26" s="230" t="s">
        <v>11</v>
      </c>
      <c r="S26" s="230" t="s">
        <v>11</v>
      </c>
      <c r="T26" s="230" t="s">
        <v>11</v>
      </c>
      <c r="U26" s="230" t="s">
        <v>11</v>
      </c>
      <c r="V26" s="230" t="s">
        <v>11</v>
      </c>
      <c r="W26" s="230" t="s">
        <v>11</v>
      </c>
      <c r="X26" s="230" t="s">
        <v>11</v>
      </c>
      <c r="Y26" s="230" t="s">
        <v>11</v>
      </c>
      <c r="Z26" s="230" t="s">
        <v>11</v>
      </c>
      <c r="AA26" s="5" t="s">
        <v>11</v>
      </c>
      <c r="AB26" s="230" t="s">
        <v>11</v>
      </c>
      <c r="AC26" s="230" t="s">
        <v>11</v>
      </c>
      <c r="AD26" s="28"/>
      <c r="AE26" s="28"/>
      <c r="AF26" s="24">
        <f t="shared" si="1"/>
        <v>0</v>
      </c>
      <c r="AG26" s="24">
        <f t="shared" si="2"/>
        <v>0</v>
      </c>
      <c r="AH26" s="24">
        <f t="shared" si="3"/>
        <v>14</v>
      </c>
      <c r="AI26" s="41" t="str" cm="1">
        <f t="array" ref="AI26">_xlfn.IFS(
$AF26=15,"Not Started",
$AH26&lt;15,"In Progress",
$AH26=15,"Completed",
SUM(AF26:AH26)&gt;15,"Error"
)</f>
        <v>In Progress</v>
      </c>
    </row>
    <row r="27" spans="1:35" ht="13" x14ac:dyDescent="0.25">
      <c r="A27" s="248"/>
      <c r="B27" s="7" t="s">
        <v>876</v>
      </c>
      <c r="C27" s="138" t="s">
        <v>5308</v>
      </c>
      <c r="D27" s="138" t="s">
        <v>9122</v>
      </c>
      <c r="E27" s="138" t="s">
        <v>43</v>
      </c>
      <c r="F27" s="138" t="s">
        <v>48</v>
      </c>
      <c r="G27" s="138" t="s">
        <v>5657</v>
      </c>
      <c r="H27" s="138" t="s">
        <v>5657</v>
      </c>
      <c r="I27" s="7">
        <v>21.4756441</v>
      </c>
      <c r="J27" s="7">
        <v>39.926686799999999</v>
      </c>
      <c r="K27" s="7" t="str">
        <f t="shared" si="0"/>
        <v>21.4756441,39.9266868</v>
      </c>
      <c r="L27" s="138" t="s">
        <v>5500</v>
      </c>
      <c r="M27" s="138">
        <v>10102728316</v>
      </c>
      <c r="N27" s="7"/>
      <c r="O27" s="7"/>
      <c r="P27" s="230" t="s">
        <v>11</v>
      </c>
      <c r="Q27" s="230" t="s">
        <v>11</v>
      </c>
      <c r="R27" s="230" t="s">
        <v>11</v>
      </c>
      <c r="S27" s="230" t="s">
        <v>11</v>
      </c>
      <c r="T27" s="230" t="s">
        <v>11</v>
      </c>
      <c r="U27" s="230" t="s">
        <v>11</v>
      </c>
      <c r="V27" s="230" t="s">
        <v>11</v>
      </c>
      <c r="W27" s="230" t="s">
        <v>11</v>
      </c>
      <c r="X27" s="230" t="s">
        <v>11</v>
      </c>
      <c r="Y27" s="230" t="s">
        <v>11</v>
      </c>
      <c r="Z27" s="230" t="s">
        <v>11</v>
      </c>
      <c r="AA27" s="5" t="s">
        <v>11</v>
      </c>
      <c r="AB27" s="230" t="s">
        <v>11</v>
      </c>
      <c r="AC27" s="230" t="s">
        <v>11</v>
      </c>
      <c r="AD27" s="28"/>
      <c r="AE27" s="28"/>
      <c r="AF27" s="24">
        <f t="shared" si="1"/>
        <v>0</v>
      </c>
      <c r="AG27" s="24">
        <f t="shared" si="2"/>
        <v>0</v>
      </c>
      <c r="AH27" s="24">
        <f t="shared" si="3"/>
        <v>14</v>
      </c>
      <c r="AI27" s="41" t="str" cm="1">
        <f t="array" ref="AI27">_xlfn.IFS(
$AF27=15,"Not Started",
$AH27&lt;15,"In Progress",
$AH27=15,"Completed",
SUM(AF27:AH27)&gt;15,"Error"
)</f>
        <v>In Progress</v>
      </c>
    </row>
    <row r="28" spans="1:35" ht="13" x14ac:dyDescent="0.25">
      <c r="A28" s="248"/>
      <c r="B28" s="14" t="s">
        <v>877</v>
      </c>
      <c r="C28" s="138" t="s">
        <v>5309</v>
      </c>
      <c r="D28" s="138" t="s">
        <v>9123</v>
      </c>
      <c r="E28" s="138" t="s">
        <v>47</v>
      </c>
      <c r="F28" s="138" t="s">
        <v>48</v>
      </c>
      <c r="G28" s="138" t="s">
        <v>5657</v>
      </c>
      <c r="H28" s="138" t="s">
        <v>5657</v>
      </c>
      <c r="I28" s="7">
        <v>21.4756441</v>
      </c>
      <c r="J28" s="7">
        <v>39.926686799999999</v>
      </c>
      <c r="K28" s="7" t="str">
        <f t="shared" si="0"/>
        <v>21.4756441,39.9266868</v>
      </c>
      <c r="L28" s="138" t="s">
        <v>5501</v>
      </c>
      <c r="M28" s="138">
        <v>10102728307</v>
      </c>
      <c r="N28" s="7"/>
      <c r="O28" s="7"/>
      <c r="P28" s="230" t="s">
        <v>11</v>
      </c>
      <c r="Q28" s="230" t="s">
        <v>11</v>
      </c>
      <c r="R28" s="230" t="s">
        <v>11</v>
      </c>
      <c r="S28" s="230" t="s">
        <v>11</v>
      </c>
      <c r="T28" s="230" t="s">
        <v>11</v>
      </c>
      <c r="U28" s="230" t="s">
        <v>11</v>
      </c>
      <c r="V28" s="230" t="s">
        <v>11</v>
      </c>
      <c r="W28" s="230" t="s">
        <v>11</v>
      </c>
      <c r="X28" s="230" t="s">
        <v>11</v>
      </c>
      <c r="Y28" s="230" t="s">
        <v>11</v>
      </c>
      <c r="Z28" s="230" t="s">
        <v>11</v>
      </c>
      <c r="AA28" s="5" t="s">
        <v>11</v>
      </c>
      <c r="AB28" s="230" t="s">
        <v>11</v>
      </c>
      <c r="AC28" s="230" t="s">
        <v>11</v>
      </c>
      <c r="AD28" s="28"/>
      <c r="AE28" s="28"/>
      <c r="AF28" s="24">
        <f t="shared" si="1"/>
        <v>0</v>
      </c>
      <c r="AG28" s="24">
        <f t="shared" si="2"/>
        <v>0</v>
      </c>
      <c r="AH28" s="24">
        <f t="shared" si="3"/>
        <v>14</v>
      </c>
      <c r="AI28" s="41" t="str" cm="1">
        <f t="array" ref="AI28">_xlfn.IFS(
$AF28=15,"Not Started",
$AH28&lt;15,"In Progress",
$AH28=15,"Completed",
SUM(AF28:AH28)&gt;15,"Error"
)</f>
        <v>In Progress</v>
      </c>
    </row>
    <row r="29" spans="1:35" ht="13" x14ac:dyDescent="0.25">
      <c r="A29" s="248"/>
      <c r="B29" s="7" t="s">
        <v>878</v>
      </c>
      <c r="C29" s="138" t="s">
        <v>5310</v>
      </c>
      <c r="D29" s="138" t="s">
        <v>9124</v>
      </c>
      <c r="E29" s="138" t="s">
        <v>51</v>
      </c>
      <c r="F29" s="138" t="s">
        <v>48</v>
      </c>
      <c r="G29" s="138" t="s">
        <v>5657</v>
      </c>
      <c r="H29" s="138" t="s">
        <v>5657</v>
      </c>
      <c r="I29" s="7">
        <v>21.4756441</v>
      </c>
      <c r="J29" s="7">
        <v>39.926686799999999</v>
      </c>
      <c r="K29" s="7" t="str">
        <f t="shared" si="0"/>
        <v>21.4756441,39.9266868</v>
      </c>
      <c r="L29" s="138" t="s">
        <v>5502</v>
      </c>
      <c r="M29" s="138">
        <v>10102728291</v>
      </c>
      <c r="N29" s="7"/>
      <c r="O29" s="7"/>
      <c r="P29" s="230" t="s">
        <v>11</v>
      </c>
      <c r="Q29" s="230" t="s">
        <v>11</v>
      </c>
      <c r="R29" s="230" t="s">
        <v>11</v>
      </c>
      <c r="S29" s="230" t="s">
        <v>11</v>
      </c>
      <c r="T29" s="230" t="s">
        <v>11</v>
      </c>
      <c r="U29" s="230" t="s">
        <v>11</v>
      </c>
      <c r="V29" s="230" t="s">
        <v>11</v>
      </c>
      <c r="W29" s="230" t="s">
        <v>11</v>
      </c>
      <c r="X29" s="230" t="s">
        <v>11</v>
      </c>
      <c r="Y29" s="230" t="s">
        <v>11</v>
      </c>
      <c r="Z29" s="230" t="s">
        <v>11</v>
      </c>
      <c r="AA29" s="5" t="s">
        <v>11</v>
      </c>
      <c r="AB29" s="230" t="s">
        <v>11</v>
      </c>
      <c r="AC29" s="230" t="s">
        <v>11</v>
      </c>
      <c r="AD29" s="28"/>
      <c r="AE29" s="28"/>
      <c r="AF29" s="24">
        <f t="shared" si="1"/>
        <v>0</v>
      </c>
      <c r="AG29" s="24">
        <f t="shared" si="2"/>
        <v>0</v>
      </c>
      <c r="AH29" s="24">
        <f t="shared" si="3"/>
        <v>14</v>
      </c>
      <c r="AI29" s="41" t="str" cm="1">
        <f t="array" ref="AI29">_xlfn.IFS(
$AF29=15,"Not Started",
$AH29&lt;15,"In Progress",
$AH29=15,"Completed",
SUM(AF29:AH29)&gt;15,"Error"
)</f>
        <v>In Progress</v>
      </c>
    </row>
    <row r="30" spans="1:35" ht="13" x14ac:dyDescent="0.25">
      <c r="A30" s="248"/>
      <c r="B30" s="14" t="s">
        <v>879</v>
      </c>
      <c r="C30" s="138" t="s">
        <v>5311</v>
      </c>
      <c r="D30" s="138" t="s">
        <v>9125</v>
      </c>
      <c r="E30" s="138" t="s">
        <v>43</v>
      </c>
      <c r="F30" s="138" t="s">
        <v>44</v>
      </c>
      <c r="G30" s="138" t="s">
        <v>5657</v>
      </c>
      <c r="H30" s="138" t="s">
        <v>5657</v>
      </c>
      <c r="I30" s="7">
        <v>21.40408</v>
      </c>
      <c r="J30" s="7">
        <v>39.707970000000003</v>
      </c>
      <c r="K30" s="7" t="str">
        <f t="shared" si="0"/>
        <v>21.40408,39.70797</v>
      </c>
      <c r="L30" s="138" t="s">
        <v>5503</v>
      </c>
      <c r="M30" s="138">
        <v>10053597500</v>
      </c>
      <c r="N30" s="7"/>
      <c r="O30" s="7"/>
      <c r="P30" s="230" t="s">
        <v>11</v>
      </c>
      <c r="Q30" s="230" t="s">
        <v>11</v>
      </c>
      <c r="R30" s="230" t="s">
        <v>11</v>
      </c>
      <c r="S30" s="230" t="s">
        <v>11</v>
      </c>
      <c r="T30" s="230" t="s">
        <v>11</v>
      </c>
      <c r="U30" s="230" t="s">
        <v>11</v>
      </c>
      <c r="V30" s="230" t="s">
        <v>11</v>
      </c>
      <c r="W30" s="230" t="s">
        <v>11</v>
      </c>
      <c r="X30" s="230" t="s">
        <v>11</v>
      </c>
      <c r="Y30" s="230" t="s">
        <v>11</v>
      </c>
      <c r="Z30" s="230" t="s">
        <v>11</v>
      </c>
      <c r="AA30" s="5" t="s">
        <v>11</v>
      </c>
      <c r="AB30" s="230" t="s">
        <v>11</v>
      </c>
      <c r="AC30" s="230" t="s">
        <v>11</v>
      </c>
      <c r="AD30" s="28"/>
      <c r="AE30" s="28"/>
      <c r="AF30" s="24">
        <f t="shared" si="1"/>
        <v>0</v>
      </c>
      <c r="AG30" s="24">
        <f t="shared" si="2"/>
        <v>0</v>
      </c>
      <c r="AH30" s="24">
        <f t="shared" si="3"/>
        <v>14</v>
      </c>
      <c r="AI30" s="41" t="str" cm="1">
        <f t="array" ref="AI30">_xlfn.IFS(
$AF30=15,"Not Started",
$AH30&lt;15,"In Progress",
$AH30=15,"Completed",
SUM(AF30:AH30)&gt;15,"Error"
)</f>
        <v>In Progress</v>
      </c>
    </row>
    <row r="31" spans="1:35" ht="13" x14ac:dyDescent="0.25">
      <c r="A31" s="248"/>
      <c r="B31" s="7" t="s">
        <v>880</v>
      </c>
      <c r="C31" s="138" t="s">
        <v>5312</v>
      </c>
      <c r="D31" s="138" t="s">
        <v>9126</v>
      </c>
      <c r="E31" s="138" t="s">
        <v>43</v>
      </c>
      <c r="F31" s="138" t="s">
        <v>44</v>
      </c>
      <c r="G31" s="138" t="s">
        <v>5657</v>
      </c>
      <c r="H31" s="138" t="s">
        <v>5657</v>
      </c>
      <c r="I31" s="7">
        <v>21.476317999999999</v>
      </c>
      <c r="J31" s="7">
        <v>39.7872074</v>
      </c>
      <c r="K31" s="7" t="str">
        <f t="shared" si="0"/>
        <v>21.476318,39.7872074</v>
      </c>
      <c r="L31" s="138" t="s">
        <v>5504</v>
      </c>
      <c r="M31" s="138">
        <v>10053660873</v>
      </c>
      <c r="N31" s="7"/>
      <c r="O31" s="7"/>
      <c r="P31" s="230" t="s">
        <v>11</v>
      </c>
      <c r="Q31" s="230" t="s">
        <v>11</v>
      </c>
      <c r="R31" s="230" t="s">
        <v>11</v>
      </c>
      <c r="S31" s="230" t="s">
        <v>11</v>
      </c>
      <c r="T31" s="230" t="s">
        <v>11</v>
      </c>
      <c r="U31" s="230" t="s">
        <v>11</v>
      </c>
      <c r="V31" s="230" t="s">
        <v>11</v>
      </c>
      <c r="W31" s="230" t="s">
        <v>11</v>
      </c>
      <c r="X31" s="230" t="s">
        <v>11</v>
      </c>
      <c r="Y31" s="230" t="s">
        <v>11</v>
      </c>
      <c r="Z31" s="230" t="s">
        <v>11</v>
      </c>
      <c r="AA31" s="5" t="s">
        <v>11</v>
      </c>
      <c r="AB31" s="230" t="s">
        <v>11</v>
      </c>
      <c r="AC31" s="230" t="s">
        <v>11</v>
      </c>
      <c r="AD31" s="28"/>
      <c r="AE31" s="28"/>
      <c r="AF31" s="24">
        <f t="shared" si="1"/>
        <v>0</v>
      </c>
      <c r="AG31" s="24">
        <f t="shared" si="2"/>
        <v>0</v>
      </c>
      <c r="AH31" s="24">
        <f t="shared" si="3"/>
        <v>14</v>
      </c>
      <c r="AI31" s="41" t="str" cm="1">
        <f t="array" ref="AI31">_xlfn.IFS(
$AF31=15,"Not Started",
$AH31&lt;15,"In Progress",
$AH31=15,"Completed",
SUM(AF31:AH31)&gt;15,"Error"
)</f>
        <v>In Progress</v>
      </c>
    </row>
    <row r="32" spans="1:35" ht="13" x14ac:dyDescent="0.25">
      <c r="A32" s="248"/>
      <c r="B32" s="14" t="s">
        <v>881</v>
      </c>
      <c r="C32" s="138" t="s">
        <v>5313</v>
      </c>
      <c r="D32" s="138" t="s">
        <v>9127</v>
      </c>
      <c r="E32" s="138" t="s">
        <v>47</v>
      </c>
      <c r="F32" s="138" t="s">
        <v>48</v>
      </c>
      <c r="G32" s="138" t="s">
        <v>5657</v>
      </c>
      <c r="H32" s="138" t="s">
        <v>5657</v>
      </c>
      <c r="I32" s="7">
        <v>21.401109999999999</v>
      </c>
      <c r="J32" s="7">
        <v>39.798279999999998</v>
      </c>
      <c r="K32" s="7" t="str">
        <f t="shared" si="0"/>
        <v>21.40111,39.79828</v>
      </c>
      <c r="L32" s="138" t="s">
        <v>5505</v>
      </c>
      <c r="M32" s="138">
        <v>10096882762</v>
      </c>
      <c r="N32" s="7"/>
      <c r="O32" s="7"/>
      <c r="P32" s="230" t="s">
        <v>11</v>
      </c>
      <c r="Q32" s="230" t="s">
        <v>11</v>
      </c>
      <c r="R32" s="230" t="s">
        <v>11</v>
      </c>
      <c r="S32" s="230" t="s">
        <v>11</v>
      </c>
      <c r="T32" s="230" t="s">
        <v>11</v>
      </c>
      <c r="U32" s="230" t="s">
        <v>11</v>
      </c>
      <c r="V32" s="230" t="s">
        <v>11</v>
      </c>
      <c r="W32" s="230" t="s">
        <v>11</v>
      </c>
      <c r="X32" s="5" t="s">
        <v>9</v>
      </c>
      <c r="Y32" s="230" t="s">
        <v>11</v>
      </c>
      <c r="Z32" s="230" t="s">
        <v>11</v>
      </c>
      <c r="AA32" s="230" t="s">
        <v>11</v>
      </c>
      <c r="AB32" s="230" t="s">
        <v>11</v>
      </c>
      <c r="AC32" s="230" t="s">
        <v>9</v>
      </c>
      <c r="AD32" s="28"/>
      <c r="AE32" s="28"/>
      <c r="AF32" s="24">
        <f t="shared" si="1"/>
        <v>2</v>
      </c>
      <c r="AG32" s="24">
        <f t="shared" si="2"/>
        <v>0</v>
      </c>
      <c r="AH32" s="24">
        <f t="shared" si="3"/>
        <v>12</v>
      </c>
      <c r="AI32" s="41" t="str" cm="1">
        <f t="array" ref="AI32">_xlfn.IFS(
$AF32=15,"Not Started",
$AH32&lt;15,"In Progress",
$AH32=15,"Completed",
SUM(AF32:AH32)&gt;15,"Error"
)</f>
        <v>In Progress</v>
      </c>
    </row>
    <row r="33" spans="1:35" ht="13" x14ac:dyDescent="0.25">
      <c r="A33" s="248"/>
      <c r="B33" s="7" t="s">
        <v>882</v>
      </c>
      <c r="C33" s="138" t="s">
        <v>5314</v>
      </c>
      <c r="D33" s="138" t="s">
        <v>9128</v>
      </c>
      <c r="E33" s="138" t="s">
        <v>43</v>
      </c>
      <c r="F33" s="138" t="s">
        <v>48</v>
      </c>
      <c r="G33" s="138" t="s">
        <v>5657</v>
      </c>
      <c r="H33" s="138" t="s">
        <v>5657</v>
      </c>
      <c r="I33" s="7">
        <v>21.441500000000001</v>
      </c>
      <c r="J33" s="7">
        <v>39.785150000000002</v>
      </c>
      <c r="K33" s="7" t="str">
        <f t="shared" si="0"/>
        <v>21.4415,39.78515</v>
      </c>
      <c r="L33" s="138" t="s">
        <v>5506</v>
      </c>
      <c r="M33" s="138">
        <v>10053193652</v>
      </c>
      <c r="N33" s="7"/>
      <c r="O33" s="7"/>
      <c r="P33" s="230" t="s">
        <v>11</v>
      </c>
      <c r="Q33" s="230" t="s">
        <v>11</v>
      </c>
      <c r="R33" s="230" t="s">
        <v>11</v>
      </c>
      <c r="S33" s="230" t="s">
        <v>11</v>
      </c>
      <c r="T33" s="230" t="s">
        <v>11</v>
      </c>
      <c r="U33" s="230" t="s">
        <v>11</v>
      </c>
      <c r="V33" s="230" t="s">
        <v>11</v>
      </c>
      <c r="W33" s="230" t="s">
        <v>11</v>
      </c>
      <c r="X33" s="230" t="s">
        <v>11</v>
      </c>
      <c r="Y33" s="230" t="s">
        <v>11</v>
      </c>
      <c r="Z33" s="230" t="s">
        <v>11</v>
      </c>
      <c r="AA33" s="5" t="s">
        <v>11</v>
      </c>
      <c r="AB33" s="230" t="s">
        <v>11</v>
      </c>
      <c r="AC33" s="230" t="s">
        <v>11</v>
      </c>
      <c r="AD33" s="28"/>
      <c r="AE33" s="28"/>
      <c r="AF33" s="24">
        <f t="shared" si="1"/>
        <v>0</v>
      </c>
      <c r="AG33" s="24">
        <f t="shared" si="2"/>
        <v>0</v>
      </c>
      <c r="AH33" s="24">
        <f t="shared" si="3"/>
        <v>14</v>
      </c>
      <c r="AI33" s="41" t="str" cm="1">
        <f t="array" ref="AI33">_xlfn.IFS(
$AF33=15,"Not Started",
$AH33&lt;15,"In Progress",
$AH33=15,"Completed",
SUM(AF33:AH33)&gt;15,"Error"
)</f>
        <v>In Progress</v>
      </c>
    </row>
    <row r="34" spans="1:35" ht="13" x14ac:dyDescent="0.25">
      <c r="A34" s="248"/>
      <c r="B34" s="14" t="s">
        <v>883</v>
      </c>
      <c r="C34" s="138" t="s">
        <v>5315</v>
      </c>
      <c r="D34" s="138" t="s">
        <v>9129</v>
      </c>
      <c r="E34" s="138" t="s">
        <v>47</v>
      </c>
      <c r="F34" s="138" t="s">
        <v>44</v>
      </c>
      <c r="G34" s="138" t="s">
        <v>5657</v>
      </c>
      <c r="H34" s="138" t="s">
        <v>5657</v>
      </c>
      <c r="I34" s="7">
        <v>21.442392999999999</v>
      </c>
      <c r="J34" s="7">
        <v>39.791303999999997</v>
      </c>
      <c r="K34" s="7" t="str">
        <f t="shared" si="0"/>
        <v>21.442393,39.791304</v>
      </c>
      <c r="L34" s="138" t="s">
        <v>5507</v>
      </c>
      <c r="M34" s="138">
        <v>10053162502</v>
      </c>
      <c r="N34" s="7"/>
      <c r="O34" s="7"/>
      <c r="P34" s="230" t="s">
        <v>11</v>
      </c>
      <c r="Q34" s="230" t="s">
        <v>11</v>
      </c>
      <c r="R34" s="230" t="s">
        <v>11</v>
      </c>
      <c r="S34" s="230" t="s">
        <v>11</v>
      </c>
      <c r="T34" s="230" t="s">
        <v>11</v>
      </c>
      <c r="U34" s="230" t="s">
        <v>11</v>
      </c>
      <c r="V34" s="230" t="s">
        <v>11</v>
      </c>
      <c r="W34" s="230" t="s">
        <v>11</v>
      </c>
      <c r="X34" s="230" t="s">
        <v>11</v>
      </c>
      <c r="Y34" s="230" t="s">
        <v>11</v>
      </c>
      <c r="Z34" s="230" t="s">
        <v>11</v>
      </c>
      <c r="AA34" s="230" t="s">
        <v>11</v>
      </c>
      <c r="AB34" s="230" t="s">
        <v>11</v>
      </c>
      <c r="AC34" s="230" t="s">
        <v>11</v>
      </c>
      <c r="AD34" s="28"/>
      <c r="AE34" s="28"/>
      <c r="AF34" s="24">
        <f t="shared" si="1"/>
        <v>0</v>
      </c>
      <c r="AG34" s="24">
        <f t="shared" si="2"/>
        <v>0</v>
      </c>
      <c r="AH34" s="24">
        <f t="shared" si="3"/>
        <v>14</v>
      </c>
      <c r="AI34" s="41" t="str" cm="1">
        <f t="array" ref="AI34">_xlfn.IFS(
$AF34=15,"Not Started",
$AH34&lt;15,"In Progress",
$AH34=15,"Completed",
SUM(AF34:AH34)&gt;15,"Error"
)</f>
        <v>In Progress</v>
      </c>
    </row>
    <row r="35" spans="1:35" ht="13" x14ac:dyDescent="0.25">
      <c r="A35" s="248"/>
      <c r="B35" s="7" t="s">
        <v>884</v>
      </c>
      <c r="C35" s="138" t="s">
        <v>5316</v>
      </c>
      <c r="D35" s="138" t="s">
        <v>9130</v>
      </c>
      <c r="E35" s="138" t="s">
        <v>43</v>
      </c>
      <c r="F35" s="138" t="s">
        <v>44</v>
      </c>
      <c r="G35" s="138" t="s">
        <v>5657</v>
      </c>
      <c r="H35" s="138" t="s">
        <v>5657</v>
      </c>
      <c r="I35" s="7">
        <v>21.39076</v>
      </c>
      <c r="J35" s="7">
        <v>39.805169999999997</v>
      </c>
      <c r="K35" s="7" t="str">
        <f t="shared" si="0"/>
        <v>21.39076,39.80517</v>
      </c>
      <c r="L35" s="138" t="s">
        <v>5508</v>
      </c>
      <c r="M35" s="138">
        <v>10053703003</v>
      </c>
      <c r="N35" s="7"/>
      <c r="O35" s="7"/>
      <c r="P35" s="230" t="s">
        <v>11</v>
      </c>
      <c r="Q35" s="230" t="s">
        <v>11</v>
      </c>
      <c r="R35" s="230" t="s">
        <v>11</v>
      </c>
      <c r="S35" s="230" t="s">
        <v>11</v>
      </c>
      <c r="T35" s="230" t="s">
        <v>11</v>
      </c>
      <c r="U35" s="230" t="s">
        <v>11</v>
      </c>
      <c r="V35" s="230" t="s">
        <v>11</v>
      </c>
      <c r="W35" s="230" t="s">
        <v>11</v>
      </c>
      <c r="X35" s="230" t="s">
        <v>11</v>
      </c>
      <c r="Y35" s="230" t="s">
        <v>11</v>
      </c>
      <c r="Z35" s="230" t="s">
        <v>11</v>
      </c>
      <c r="AA35" s="5" t="s">
        <v>11</v>
      </c>
      <c r="AB35" s="230" t="s">
        <v>11</v>
      </c>
      <c r="AC35" s="230" t="s">
        <v>11</v>
      </c>
      <c r="AD35" s="28"/>
      <c r="AE35" s="28"/>
      <c r="AF35" s="24">
        <f t="shared" si="1"/>
        <v>0</v>
      </c>
      <c r="AG35" s="24">
        <f t="shared" si="2"/>
        <v>0</v>
      </c>
      <c r="AH35" s="24">
        <f t="shared" si="3"/>
        <v>14</v>
      </c>
      <c r="AI35" s="41" t="str" cm="1">
        <f t="array" ref="AI35">_xlfn.IFS(
$AF35=15,"Not Started",
$AH35&lt;15,"In Progress",
$AH35=15,"Completed",
SUM(AF35:AH35)&gt;15,"Error"
)</f>
        <v>In Progress</v>
      </c>
    </row>
    <row r="36" spans="1:35" ht="13" x14ac:dyDescent="0.25">
      <c r="A36" s="248"/>
      <c r="B36" s="14" t="s">
        <v>885</v>
      </c>
      <c r="C36" s="138" t="s">
        <v>5317</v>
      </c>
      <c r="D36" s="138" t="s">
        <v>9131</v>
      </c>
      <c r="E36" s="138" t="s">
        <v>51</v>
      </c>
      <c r="F36" s="138" t="s">
        <v>48</v>
      </c>
      <c r="G36" s="138" t="s">
        <v>5657</v>
      </c>
      <c r="H36" s="138" t="s">
        <v>5657</v>
      </c>
      <c r="I36" s="7">
        <v>21.44942</v>
      </c>
      <c r="J36" s="7">
        <v>39.767569999999999</v>
      </c>
      <c r="K36" s="7" t="str">
        <f t="shared" si="0"/>
        <v>21.44942,39.76757</v>
      </c>
      <c r="L36" s="138" t="s">
        <v>5509</v>
      </c>
      <c r="M36" s="138">
        <v>10085433356</v>
      </c>
      <c r="N36" s="7"/>
      <c r="O36" s="7"/>
      <c r="P36" s="230" t="s">
        <v>11</v>
      </c>
      <c r="Q36" s="230" t="s">
        <v>11</v>
      </c>
      <c r="R36" s="230" t="s">
        <v>11</v>
      </c>
      <c r="S36" s="230" t="s">
        <v>11</v>
      </c>
      <c r="T36" s="230" t="s">
        <v>11</v>
      </c>
      <c r="U36" s="230" t="s">
        <v>11</v>
      </c>
      <c r="V36" s="230" t="s">
        <v>11</v>
      </c>
      <c r="W36" s="230" t="s">
        <v>11</v>
      </c>
      <c r="X36" s="230" t="s">
        <v>11</v>
      </c>
      <c r="Y36" s="230" t="s">
        <v>11</v>
      </c>
      <c r="Z36" s="230" t="s">
        <v>11</v>
      </c>
      <c r="AA36" s="230" t="s">
        <v>11</v>
      </c>
      <c r="AB36" s="230" t="s">
        <v>11</v>
      </c>
      <c r="AC36" s="230" t="s">
        <v>11</v>
      </c>
      <c r="AD36" s="28"/>
      <c r="AE36" s="28"/>
      <c r="AF36" s="24">
        <f t="shared" si="1"/>
        <v>0</v>
      </c>
      <c r="AG36" s="24">
        <f t="shared" si="2"/>
        <v>0</v>
      </c>
      <c r="AH36" s="24">
        <f t="shared" si="3"/>
        <v>14</v>
      </c>
      <c r="AI36" s="41" t="str" cm="1">
        <f t="array" ref="AI36">_xlfn.IFS(
$AF36=15,"Not Started",
$AH36&lt;15,"In Progress",
$AH36=15,"Completed",
SUM(AF36:AH36)&gt;15,"Error"
)</f>
        <v>In Progress</v>
      </c>
    </row>
    <row r="37" spans="1:35" ht="13" x14ac:dyDescent="0.25">
      <c r="A37" s="248"/>
      <c r="B37" s="7" t="s">
        <v>886</v>
      </c>
      <c r="C37" s="138" t="s">
        <v>5318</v>
      </c>
      <c r="D37" s="138" t="s">
        <v>9132</v>
      </c>
      <c r="E37" s="138" t="s">
        <v>10358</v>
      </c>
      <c r="F37" s="138" t="s">
        <v>48</v>
      </c>
      <c r="G37" s="138" t="s">
        <v>5657</v>
      </c>
      <c r="H37" s="138" t="s">
        <v>5657</v>
      </c>
      <c r="I37" s="7">
        <v>21.416309999999999</v>
      </c>
      <c r="J37" s="7">
        <v>39.857889999999998</v>
      </c>
      <c r="K37" s="7" t="str">
        <f t="shared" si="0"/>
        <v>21.41631,39.85789</v>
      </c>
      <c r="L37" s="138" t="s">
        <v>5510</v>
      </c>
      <c r="M37" s="138">
        <v>10053664120</v>
      </c>
      <c r="N37" s="7"/>
      <c r="O37" s="7"/>
      <c r="P37" s="230" t="s">
        <v>11</v>
      </c>
      <c r="Q37" s="230" t="s">
        <v>11</v>
      </c>
      <c r="R37" s="230" t="s">
        <v>11</v>
      </c>
      <c r="S37" s="230" t="s">
        <v>11</v>
      </c>
      <c r="T37" s="230" t="s">
        <v>11</v>
      </c>
      <c r="U37" s="230" t="s">
        <v>11</v>
      </c>
      <c r="V37" s="230" t="s">
        <v>11</v>
      </c>
      <c r="W37" s="230" t="s">
        <v>11</v>
      </c>
      <c r="X37" s="230" t="s">
        <v>11</v>
      </c>
      <c r="Y37" s="230" t="s">
        <v>11</v>
      </c>
      <c r="Z37" s="230" t="s">
        <v>11</v>
      </c>
      <c r="AA37" s="230" t="s">
        <v>11</v>
      </c>
      <c r="AB37" s="230" t="s">
        <v>11</v>
      </c>
      <c r="AC37" s="230" t="s">
        <v>11</v>
      </c>
      <c r="AD37" s="28"/>
      <c r="AE37" s="28"/>
      <c r="AF37" s="24">
        <f t="shared" si="1"/>
        <v>0</v>
      </c>
      <c r="AG37" s="24">
        <f t="shared" si="2"/>
        <v>0</v>
      </c>
      <c r="AH37" s="24">
        <f t="shared" si="3"/>
        <v>14</v>
      </c>
      <c r="AI37" s="41" t="str" cm="1">
        <f t="array" ref="AI37">_xlfn.IFS(
$AF37=15,"Not Started",
$AH37&lt;15,"In Progress",
$AH37=15,"Completed",
SUM(AF37:AH37)&gt;15,"Error"
)</f>
        <v>In Progress</v>
      </c>
    </row>
    <row r="38" spans="1:35" ht="13" x14ac:dyDescent="0.25">
      <c r="A38" s="248"/>
      <c r="B38" s="14" t="s">
        <v>887</v>
      </c>
      <c r="C38" s="138" t="s">
        <v>5319</v>
      </c>
      <c r="D38" s="138" t="s">
        <v>9133</v>
      </c>
      <c r="E38" s="138" t="s">
        <v>47</v>
      </c>
      <c r="F38" s="138" t="s">
        <v>48</v>
      </c>
      <c r="G38" s="138" t="s">
        <v>5657</v>
      </c>
      <c r="H38" s="138" t="s">
        <v>5657</v>
      </c>
      <c r="I38" s="7">
        <v>21.388349999999999</v>
      </c>
      <c r="J38" s="7">
        <v>39.810609999999997</v>
      </c>
      <c r="K38" s="7" t="str">
        <f t="shared" si="0"/>
        <v>21.38835,39.81061</v>
      </c>
      <c r="L38" s="138" t="s">
        <v>5511</v>
      </c>
      <c r="M38" s="138">
        <v>10053335300</v>
      </c>
      <c r="N38" s="7"/>
      <c r="O38" s="7"/>
      <c r="P38" s="230" t="s">
        <v>11</v>
      </c>
      <c r="Q38" s="230" t="s">
        <v>11</v>
      </c>
      <c r="R38" s="230" t="s">
        <v>11</v>
      </c>
      <c r="S38" s="230" t="s">
        <v>11</v>
      </c>
      <c r="T38" s="230" t="s">
        <v>11</v>
      </c>
      <c r="U38" s="230" t="s">
        <v>11</v>
      </c>
      <c r="V38" s="230" t="s">
        <v>11</v>
      </c>
      <c r="W38" s="230" t="s">
        <v>11</v>
      </c>
      <c r="X38" s="230" t="s">
        <v>11</v>
      </c>
      <c r="Y38" s="230" t="s">
        <v>11</v>
      </c>
      <c r="Z38" s="230" t="s">
        <v>11</v>
      </c>
      <c r="AA38" s="5" t="s">
        <v>11</v>
      </c>
      <c r="AB38" s="230" t="s">
        <v>11</v>
      </c>
      <c r="AC38" s="230" t="s">
        <v>11</v>
      </c>
      <c r="AD38" s="28"/>
      <c r="AE38" s="28"/>
      <c r="AF38" s="24">
        <f t="shared" si="1"/>
        <v>0</v>
      </c>
      <c r="AG38" s="24">
        <f t="shared" si="2"/>
        <v>0</v>
      </c>
      <c r="AH38" s="24">
        <f t="shared" si="3"/>
        <v>14</v>
      </c>
      <c r="AI38" s="41" t="str" cm="1">
        <f t="array" ref="AI38">_xlfn.IFS(
$AF38=15,"Not Started",
$AH38&lt;15,"In Progress",
$AH38=15,"Completed",
SUM(AF38:AH38)&gt;15,"Error"
)</f>
        <v>In Progress</v>
      </c>
    </row>
    <row r="39" spans="1:35" ht="13" x14ac:dyDescent="0.25">
      <c r="A39" s="248"/>
      <c r="B39" s="7" t="s">
        <v>888</v>
      </c>
      <c r="C39" s="138" t="s">
        <v>5320</v>
      </c>
      <c r="D39" s="138" t="s">
        <v>9134</v>
      </c>
      <c r="E39" s="138" t="s">
        <v>51</v>
      </c>
      <c r="F39" s="138" t="s">
        <v>48</v>
      </c>
      <c r="G39" s="138" t="s">
        <v>5657</v>
      </c>
      <c r="H39" s="138" t="s">
        <v>5657</v>
      </c>
      <c r="I39" s="7">
        <v>21.40222</v>
      </c>
      <c r="J39" s="7">
        <v>39.818899999999999</v>
      </c>
      <c r="K39" s="7" t="str">
        <f t="shared" si="0"/>
        <v>21.40222,39.8189</v>
      </c>
      <c r="L39" s="138" t="s">
        <v>5512</v>
      </c>
      <c r="M39" s="138">
        <v>10053542941</v>
      </c>
      <c r="N39" s="7"/>
      <c r="O39" s="7"/>
      <c r="P39" s="230" t="s">
        <v>11</v>
      </c>
      <c r="Q39" s="230" t="s">
        <v>11</v>
      </c>
      <c r="R39" s="230" t="s">
        <v>11</v>
      </c>
      <c r="S39" s="230" t="s">
        <v>11</v>
      </c>
      <c r="T39" s="230" t="s">
        <v>11</v>
      </c>
      <c r="U39" s="230" t="s">
        <v>11</v>
      </c>
      <c r="V39" s="230" t="s">
        <v>11</v>
      </c>
      <c r="W39" s="230" t="s">
        <v>11</v>
      </c>
      <c r="X39" s="230" t="s">
        <v>11</v>
      </c>
      <c r="Y39" s="230" t="s">
        <v>11</v>
      </c>
      <c r="Z39" s="230" t="s">
        <v>11</v>
      </c>
      <c r="AA39" s="5" t="s">
        <v>11</v>
      </c>
      <c r="AB39" s="230" t="s">
        <v>11</v>
      </c>
      <c r="AC39" s="230" t="s">
        <v>11</v>
      </c>
      <c r="AD39" s="28"/>
      <c r="AE39" s="28"/>
      <c r="AF39" s="24">
        <f t="shared" si="1"/>
        <v>0</v>
      </c>
      <c r="AG39" s="24">
        <f t="shared" si="2"/>
        <v>0</v>
      </c>
      <c r="AH39" s="24">
        <f t="shared" si="3"/>
        <v>14</v>
      </c>
      <c r="AI39" s="41" t="str" cm="1">
        <f t="array" ref="AI39">_xlfn.IFS(
$AF39=15,"Not Started",
$AH39&lt;15,"In Progress",
$AH39=15,"Completed",
SUM(AF39:AH39)&gt;15,"Error"
)</f>
        <v>In Progress</v>
      </c>
    </row>
    <row r="40" spans="1:35" ht="13" x14ac:dyDescent="0.25">
      <c r="A40" s="248"/>
      <c r="B40" s="14" t="s">
        <v>889</v>
      </c>
      <c r="C40" s="138" t="s">
        <v>5321</v>
      </c>
      <c r="D40" s="138" t="s">
        <v>9135</v>
      </c>
      <c r="E40" s="138" t="s">
        <v>47</v>
      </c>
      <c r="F40" s="138" t="s">
        <v>48</v>
      </c>
      <c r="G40" s="138" t="s">
        <v>5657</v>
      </c>
      <c r="H40" s="138" t="s">
        <v>5657</v>
      </c>
      <c r="I40" s="7">
        <v>21.436502000000001</v>
      </c>
      <c r="J40" s="7">
        <v>39.759543000000001</v>
      </c>
      <c r="K40" s="7" t="str">
        <f t="shared" si="0"/>
        <v>21.436502,39.759543</v>
      </c>
      <c r="L40" s="138" t="s">
        <v>5513</v>
      </c>
      <c r="M40" s="138">
        <v>10053377515</v>
      </c>
      <c r="N40" s="7"/>
      <c r="O40" s="7"/>
      <c r="P40" s="230" t="s">
        <v>11</v>
      </c>
      <c r="Q40" s="230" t="s">
        <v>11</v>
      </c>
      <c r="R40" s="230" t="s">
        <v>11</v>
      </c>
      <c r="S40" s="230" t="s">
        <v>11</v>
      </c>
      <c r="T40" s="230" t="s">
        <v>11</v>
      </c>
      <c r="U40" s="230" t="s">
        <v>11</v>
      </c>
      <c r="V40" s="230" t="s">
        <v>11</v>
      </c>
      <c r="W40" s="230" t="s">
        <v>11</v>
      </c>
      <c r="X40" s="230" t="s">
        <v>11</v>
      </c>
      <c r="Y40" s="230" t="s">
        <v>11</v>
      </c>
      <c r="Z40" s="230" t="s">
        <v>11</v>
      </c>
      <c r="AA40" s="5" t="s">
        <v>11</v>
      </c>
      <c r="AB40" s="230" t="s">
        <v>11</v>
      </c>
      <c r="AC40" s="230" t="s">
        <v>11</v>
      </c>
      <c r="AD40" s="28"/>
      <c r="AE40" s="28"/>
      <c r="AF40" s="24">
        <f t="shared" si="1"/>
        <v>0</v>
      </c>
      <c r="AG40" s="24">
        <f t="shared" si="2"/>
        <v>0</v>
      </c>
      <c r="AH40" s="24">
        <f t="shared" si="3"/>
        <v>14</v>
      </c>
      <c r="AI40" s="41" t="str" cm="1">
        <f t="array" ref="AI40">_xlfn.IFS(
$AF40=15,"Not Started",
$AH40&lt;15,"In Progress",
$AH40=15,"Completed",
SUM(AF40:AH40)&gt;15,"Error"
)</f>
        <v>In Progress</v>
      </c>
    </row>
    <row r="41" spans="1:35" ht="13" x14ac:dyDescent="0.25">
      <c r="A41" s="248"/>
      <c r="B41" s="7" t="s">
        <v>890</v>
      </c>
      <c r="C41" s="138" t="s">
        <v>5322</v>
      </c>
      <c r="D41" s="138" t="s">
        <v>9136</v>
      </c>
      <c r="E41" s="138" t="s">
        <v>47</v>
      </c>
      <c r="F41" s="138" t="s">
        <v>44</v>
      </c>
      <c r="G41" s="138" t="s">
        <v>5657</v>
      </c>
      <c r="H41" s="138" t="s">
        <v>5657</v>
      </c>
      <c r="I41" s="7">
        <v>21.408000000000001</v>
      </c>
      <c r="J41" s="7">
        <v>39.794220000000003</v>
      </c>
      <c r="K41" s="7" t="str">
        <f t="shared" si="0"/>
        <v>21.408,39.79422</v>
      </c>
      <c r="L41" s="138" t="s">
        <v>5514</v>
      </c>
      <c r="M41" s="138">
        <v>10053596137</v>
      </c>
      <c r="N41" s="7"/>
      <c r="O41" s="7"/>
      <c r="P41" s="230" t="s">
        <v>11</v>
      </c>
      <c r="Q41" s="230" t="s">
        <v>11</v>
      </c>
      <c r="R41" s="230" t="s">
        <v>11</v>
      </c>
      <c r="S41" s="230" t="s">
        <v>11</v>
      </c>
      <c r="T41" s="230" t="s">
        <v>11</v>
      </c>
      <c r="U41" s="230" t="s">
        <v>11</v>
      </c>
      <c r="V41" s="230" t="s">
        <v>11</v>
      </c>
      <c r="W41" s="230" t="s">
        <v>11</v>
      </c>
      <c r="X41" s="230" t="s">
        <v>11</v>
      </c>
      <c r="Y41" s="230" t="s">
        <v>11</v>
      </c>
      <c r="Z41" s="230" t="s">
        <v>11</v>
      </c>
      <c r="AA41" s="5" t="s">
        <v>11</v>
      </c>
      <c r="AB41" s="230" t="s">
        <v>11</v>
      </c>
      <c r="AC41" s="230" t="s">
        <v>11</v>
      </c>
      <c r="AD41" s="28"/>
      <c r="AE41" s="28"/>
      <c r="AF41" s="24">
        <f t="shared" si="1"/>
        <v>0</v>
      </c>
      <c r="AG41" s="24">
        <f t="shared" si="2"/>
        <v>0</v>
      </c>
      <c r="AH41" s="24">
        <f t="shared" si="3"/>
        <v>14</v>
      </c>
      <c r="AI41" s="41" t="str" cm="1">
        <f t="array" ref="AI41">_xlfn.IFS(
$AF41=15,"Not Started",
$AH41&lt;15,"In Progress",
$AH41=15,"Completed",
SUM(AF41:AH41)&gt;15,"Error"
)</f>
        <v>In Progress</v>
      </c>
    </row>
    <row r="42" spans="1:35" ht="13" x14ac:dyDescent="0.25">
      <c r="A42" s="248"/>
      <c r="B42" s="14" t="s">
        <v>891</v>
      </c>
      <c r="C42" s="138" t="s">
        <v>5323</v>
      </c>
      <c r="D42" s="138" t="s">
        <v>9137</v>
      </c>
      <c r="E42" s="138" t="s">
        <v>10347</v>
      </c>
      <c r="F42" s="138" t="s">
        <v>48</v>
      </c>
      <c r="G42" s="138" t="s">
        <v>5657</v>
      </c>
      <c r="H42" s="138" t="s">
        <v>5657</v>
      </c>
      <c r="I42" s="7">
        <v>21.413969999999999</v>
      </c>
      <c r="J42" s="7">
        <v>39.860790000000001</v>
      </c>
      <c r="K42" s="7" t="str">
        <f t="shared" si="0"/>
        <v>21.41397,39.86079</v>
      </c>
      <c r="L42" s="138" t="s">
        <v>5515</v>
      </c>
      <c r="M42" s="138">
        <v>10053775245</v>
      </c>
      <c r="N42" s="7"/>
      <c r="O42" s="7"/>
      <c r="P42" s="230" t="s">
        <v>11</v>
      </c>
      <c r="Q42" s="230" t="s">
        <v>11</v>
      </c>
      <c r="R42" s="230" t="s">
        <v>11</v>
      </c>
      <c r="S42" s="230" t="s">
        <v>11</v>
      </c>
      <c r="T42" s="230" t="s">
        <v>11</v>
      </c>
      <c r="U42" s="230" t="s">
        <v>11</v>
      </c>
      <c r="V42" s="230" t="s">
        <v>11</v>
      </c>
      <c r="W42" s="230" t="s">
        <v>11</v>
      </c>
      <c r="X42" s="230" t="s">
        <v>11</v>
      </c>
      <c r="Y42" s="230" t="s">
        <v>11</v>
      </c>
      <c r="Z42" s="230" t="s">
        <v>11</v>
      </c>
      <c r="AA42" s="5" t="s">
        <v>11</v>
      </c>
      <c r="AB42" s="230" t="s">
        <v>11</v>
      </c>
      <c r="AC42" s="230" t="s">
        <v>11</v>
      </c>
      <c r="AD42" s="28"/>
      <c r="AE42" s="28"/>
      <c r="AF42" s="24">
        <f t="shared" si="1"/>
        <v>0</v>
      </c>
      <c r="AG42" s="24">
        <f t="shared" si="2"/>
        <v>0</v>
      </c>
      <c r="AH42" s="24">
        <f t="shared" si="3"/>
        <v>14</v>
      </c>
      <c r="AI42" s="41" t="str" cm="1">
        <f t="array" ref="AI42">_xlfn.IFS(
$AF42=15,"Not Started",
$AH42&lt;15,"In Progress",
$AH42=15,"Completed",
SUM(AF42:AH42)&gt;15,"Error"
)</f>
        <v>In Progress</v>
      </c>
    </row>
    <row r="43" spans="1:35" ht="13" x14ac:dyDescent="0.25">
      <c r="A43" s="248"/>
      <c r="B43" s="7" t="s">
        <v>892</v>
      </c>
      <c r="C43" s="138" t="s">
        <v>5324</v>
      </c>
      <c r="D43" s="138" t="s">
        <v>9138</v>
      </c>
      <c r="E43" s="138" t="s">
        <v>47</v>
      </c>
      <c r="F43" s="138" t="s">
        <v>48</v>
      </c>
      <c r="G43" s="138" t="s">
        <v>5657</v>
      </c>
      <c r="H43" s="138" t="s">
        <v>5657</v>
      </c>
      <c r="I43" s="7">
        <v>21.423017000000002</v>
      </c>
      <c r="J43" s="7">
        <v>39.802849000000002</v>
      </c>
      <c r="K43" s="7" t="str">
        <f t="shared" si="0"/>
        <v>21.423017,39.802849</v>
      </c>
      <c r="L43" s="138" t="s">
        <v>5516</v>
      </c>
      <c r="M43" s="138">
        <v>10053429569</v>
      </c>
      <c r="N43" s="7"/>
      <c r="O43" s="7"/>
      <c r="P43" s="230" t="s">
        <v>11</v>
      </c>
      <c r="Q43" s="230" t="s">
        <v>11</v>
      </c>
      <c r="R43" s="230" t="s">
        <v>11</v>
      </c>
      <c r="S43" s="230" t="s">
        <v>11</v>
      </c>
      <c r="T43" s="230" t="s">
        <v>11</v>
      </c>
      <c r="U43" s="230" t="s">
        <v>11</v>
      </c>
      <c r="V43" s="230" t="s">
        <v>11</v>
      </c>
      <c r="W43" s="230" t="s">
        <v>11</v>
      </c>
      <c r="X43" s="230" t="s">
        <v>11</v>
      </c>
      <c r="Y43" s="230" t="s">
        <v>11</v>
      </c>
      <c r="Z43" s="230" t="s">
        <v>11</v>
      </c>
      <c r="AA43" s="5" t="s">
        <v>11</v>
      </c>
      <c r="AB43" s="230" t="s">
        <v>11</v>
      </c>
      <c r="AC43" s="230" t="s">
        <v>11</v>
      </c>
      <c r="AD43" s="28"/>
      <c r="AE43" s="28"/>
      <c r="AF43" s="24">
        <f t="shared" si="1"/>
        <v>0</v>
      </c>
      <c r="AG43" s="24">
        <f t="shared" si="2"/>
        <v>0</v>
      </c>
      <c r="AH43" s="24">
        <f t="shared" si="3"/>
        <v>14</v>
      </c>
      <c r="AI43" s="41" t="str" cm="1">
        <f t="array" ref="AI43">_xlfn.IFS(
$AF43=15,"Not Started",
$AH43&lt;15,"In Progress",
$AH43=15,"Completed",
SUM(AF43:AH43)&gt;15,"Error"
)</f>
        <v>In Progress</v>
      </c>
    </row>
    <row r="44" spans="1:35" ht="13" x14ac:dyDescent="0.25">
      <c r="A44" s="248"/>
      <c r="B44" s="14" t="s">
        <v>893</v>
      </c>
      <c r="C44" s="138" t="s">
        <v>11239</v>
      </c>
      <c r="D44" s="138" t="s">
        <v>11240</v>
      </c>
      <c r="E44" s="138" t="s">
        <v>47</v>
      </c>
      <c r="F44" s="138" t="s">
        <v>44</v>
      </c>
      <c r="G44" s="138" t="s">
        <v>5657</v>
      </c>
      <c r="H44" s="138" t="s">
        <v>5657</v>
      </c>
      <c r="I44" s="7"/>
      <c r="J44" s="7"/>
      <c r="K44" s="7" t="str">
        <f t="shared" si="0"/>
        <v>,</v>
      </c>
      <c r="L44" s="138" t="s">
        <v>5517</v>
      </c>
      <c r="M44" s="138">
        <v>10053542913</v>
      </c>
      <c r="N44" s="7"/>
      <c r="O44" s="7"/>
      <c r="P44" s="230" t="s">
        <v>11</v>
      </c>
      <c r="Q44" s="230" t="s">
        <v>11</v>
      </c>
      <c r="R44" s="230" t="s">
        <v>11</v>
      </c>
      <c r="S44" s="230" t="s">
        <v>11</v>
      </c>
      <c r="T44" s="230" t="s">
        <v>11</v>
      </c>
      <c r="U44" s="230" t="s">
        <v>11</v>
      </c>
      <c r="V44" s="230" t="s">
        <v>11</v>
      </c>
      <c r="W44" s="230" t="s">
        <v>11</v>
      </c>
      <c r="X44" s="230" t="s">
        <v>11</v>
      </c>
      <c r="Y44" s="230" t="s">
        <v>11</v>
      </c>
      <c r="Z44" s="230" t="s">
        <v>11</v>
      </c>
      <c r="AA44" s="230" t="s">
        <v>11</v>
      </c>
      <c r="AB44" s="230" t="s">
        <v>11</v>
      </c>
      <c r="AC44" s="230" t="s">
        <v>11</v>
      </c>
      <c r="AD44" s="28"/>
      <c r="AE44" s="28"/>
      <c r="AF44" s="24">
        <f t="shared" si="1"/>
        <v>0</v>
      </c>
      <c r="AG44" s="24">
        <f t="shared" si="2"/>
        <v>0</v>
      </c>
      <c r="AH44" s="24">
        <f t="shared" si="3"/>
        <v>14</v>
      </c>
      <c r="AI44" s="41" t="str" cm="1">
        <f t="array" ref="AI44">_xlfn.IFS(
$AF44=15,"Not Started",
$AH44&lt;15,"In Progress",
$AH44=15,"Completed",
SUM(AF44:AH44)&gt;15,"Error"
)</f>
        <v>In Progress</v>
      </c>
    </row>
    <row r="45" spans="1:35" ht="13" x14ac:dyDescent="0.25">
      <c r="A45" s="248"/>
      <c r="B45" s="7" t="s">
        <v>894</v>
      </c>
      <c r="C45" s="227" t="s">
        <v>11241</v>
      </c>
      <c r="D45" s="228" t="s">
        <v>11242</v>
      </c>
      <c r="E45" s="138" t="s">
        <v>51</v>
      </c>
      <c r="F45" s="138" t="s">
        <v>48</v>
      </c>
      <c r="G45" s="138" t="s">
        <v>5657</v>
      </c>
      <c r="H45" s="138" t="s">
        <v>5657</v>
      </c>
      <c r="I45" s="7">
        <v>21.434507</v>
      </c>
      <c r="J45" s="7">
        <v>39.812811000000004</v>
      </c>
      <c r="K45" s="7" t="str">
        <f t="shared" si="0"/>
        <v>21.434507,39.812811</v>
      </c>
      <c r="L45" s="138" t="s">
        <v>5518</v>
      </c>
      <c r="M45" s="138">
        <v>10053280373</v>
      </c>
      <c r="N45" s="7"/>
      <c r="O45" s="7"/>
      <c r="P45" s="230" t="s">
        <v>11</v>
      </c>
      <c r="Q45" s="230" t="s">
        <v>11</v>
      </c>
      <c r="R45" s="230" t="s">
        <v>11</v>
      </c>
      <c r="S45" s="230" t="s">
        <v>11</v>
      </c>
      <c r="T45" s="230" t="s">
        <v>11</v>
      </c>
      <c r="U45" s="230" t="s">
        <v>11</v>
      </c>
      <c r="V45" s="230" t="s">
        <v>11</v>
      </c>
      <c r="W45" s="230" t="s">
        <v>11</v>
      </c>
      <c r="X45" s="230" t="s">
        <v>11</v>
      </c>
      <c r="Y45" s="230" t="s">
        <v>11</v>
      </c>
      <c r="Z45" s="230" t="s">
        <v>11</v>
      </c>
      <c r="AA45" s="230" t="s">
        <v>11</v>
      </c>
      <c r="AB45" s="230" t="s">
        <v>9</v>
      </c>
      <c r="AC45" s="230" t="s">
        <v>11</v>
      </c>
      <c r="AD45" s="28"/>
      <c r="AE45" s="28"/>
      <c r="AF45" s="24">
        <f t="shared" si="1"/>
        <v>1</v>
      </c>
      <c r="AG45" s="24">
        <f t="shared" si="2"/>
        <v>0</v>
      </c>
      <c r="AH45" s="24">
        <f t="shared" si="3"/>
        <v>13</v>
      </c>
      <c r="AI45" s="41" t="str" cm="1">
        <f t="array" ref="AI45">_xlfn.IFS(
$AF45=15,"Not Started",
$AH45&lt;15,"In Progress",
$AH45=15,"Completed",
SUM(AF45:AH45)&gt;15,"Error"
)</f>
        <v>In Progress</v>
      </c>
    </row>
    <row r="46" spans="1:35" ht="13" x14ac:dyDescent="0.25">
      <c r="A46" s="248"/>
      <c r="B46" s="14" t="s">
        <v>895</v>
      </c>
      <c r="C46" s="138" t="s">
        <v>5325</v>
      </c>
      <c r="D46" s="138" t="s">
        <v>9139</v>
      </c>
      <c r="E46" s="138" t="s">
        <v>51</v>
      </c>
      <c r="F46" s="138" t="s">
        <v>48</v>
      </c>
      <c r="G46" s="138" t="s">
        <v>5657</v>
      </c>
      <c r="H46" s="138" t="s">
        <v>5657</v>
      </c>
      <c r="I46" s="7">
        <v>21.487656000000001</v>
      </c>
      <c r="J46" s="7">
        <v>39.933653</v>
      </c>
      <c r="K46" s="7" t="str">
        <f t="shared" si="0"/>
        <v>21.487656,39.933653</v>
      </c>
      <c r="L46" s="138" t="s">
        <v>5519</v>
      </c>
      <c r="M46" s="138">
        <v>10053338802</v>
      </c>
      <c r="N46" s="7"/>
      <c r="O46" s="7"/>
      <c r="P46" s="230" t="s">
        <v>11</v>
      </c>
      <c r="Q46" s="230" t="s">
        <v>11</v>
      </c>
      <c r="R46" s="230" t="s">
        <v>11</v>
      </c>
      <c r="S46" s="230" t="s">
        <v>11</v>
      </c>
      <c r="T46" s="230" t="s">
        <v>11</v>
      </c>
      <c r="U46" s="230" t="s">
        <v>11</v>
      </c>
      <c r="V46" s="230" t="s">
        <v>11</v>
      </c>
      <c r="W46" s="230" t="s">
        <v>11</v>
      </c>
      <c r="X46" s="230" t="s">
        <v>11</v>
      </c>
      <c r="Y46" s="230" t="s">
        <v>11</v>
      </c>
      <c r="Z46" s="230" t="s">
        <v>11</v>
      </c>
      <c r="AA46" s="230" t="s">
        <v>11</v>
      </c>
      <c r="AB46" s="230" t="s">
        <v>11</v>
      </c>
      <c r="AC46" s="230" t="s">
        <v>11</v>
      </c>
      <c r="AD46" s="28"/>
      <c r="AE46" s="28"/>
      <c r="AF46" s="24">
        <f t="shared" si="1"/>
        <v>0</v>
      </c>
      <c r="AG46" s="24">
        <f t="shared" si="2"/>
        <v>0</v>
      </c>
      <c r="AH46" s="24">
        <f t="shared" si="3"/>
        <v>14</v>
      </c>
      <c r="AI46" s="41" t="str" cm="1">
        <f t="array" ref="AI46">_xlfn.IFS(
$AF46=15,"Not Started",
$AH46&lt;15,"In Progress",
$AH46=15,"Completed",
SUM(AF46:AH46)&gt;15,"Error"
)</f>
        <v>In Progress</v>
      </c>
    </row>
    <row r="47" spans="1:35" ht="13" x14ac:dyDescent="0.25">
      <c r="A47" s="248"/>
      <c r="B47" s="7" t="s">
        <v>896</v>
      </c>
      <c r="C47" s="138" t="s">
        <v>5326</v>
      </c>
      <c r="D47" s="138" t="s">
        <v>9140</v>
      </c>
      <c r="E47" s="138" t="s">
        <v>51</v>
      </c>
      <c r="F47" s="138" t="s">
        <v>48</v>
      </c>
      <c r="G47" s="138" t="s">
        <v>5657</v>
      </c>
      <c r="H47" s="138" t="s">
        <v>5657</v>
      </c>
      <c r="I47" s="7">
        <v>21.382729999999999</v>
      </c>
      <c r="J47" s="7">
        <v>39.831580000000002</v>
      </c>
      <c r="K47" s="7" t="str">
        <f t="shared" si="0"/>
        <v>21.38273,39.83158</v>
      </c>
      <c r="L47" s="138" t="s">
        <v>5520</v>
      </c>
      <c r="M47" s="138">
        <v>10084523038</v>
      </c>
      <c r="N47" s="7"/>
      <c r="O47" s="7"/>
      <c r="P47" s="230" t="s">
        <v>11</v>
      </c>
      <c r="Q47" s="230" t="s">
        <v>11</v>
      </c>
      <c r="R47" s="230" t="s">
        <v>11</v>
      </c>
      <c r="S47" s="230" t="s">
        <v>11</v>
      </c>
      <c r="T47" s="230" t="s">
        <v>11</v>
      </c>
      <c r="U47" s="230" t="s">
        <v>11</v>
      </c>
      <c r="V47" s="230" t="s">
        <v>11</v>
      </c>
      <c r="W47" s="230" t="s">
        <v>11</v>
      </c>
      <c r="X47" s="230" t="s">
        <v>11</v>
      </c>
      <c r="Y47" s="230" t="s">
        <v>11</v>
      </c>
      <c r="Z47" s="230" t="s">
        <v>11</v>
      </c>
      <c r="AA47" s="5" t="s">
        <v>11</v>
      </c>
      <c r="AB47" s="230" t="s">
        <v>11</v>
      </c>
      <c r="AC47" s="230" t="s">
        <v>11</v>
      </c>
      <c r="AD47" s="28"/>
      <c r="AE47" s="28"/>
      <c r="AF47" s="24">
        <f t="shared" si="1"/>
        <v>0</v>
      </c>
      <c r="AG47" s="24">
        <f t="shared" si="2"/>
        <v>0</v>
      </c>
      <c r="AH47" s="24">
        <f t="shared" si="3"/>
        <v>14</v>
      </c>
      <c r="AI47" s="41" t="str" cm="1">
        <f t="array" ref="AI47">_xlfn.IFS(
$AF47=15,"Not Started",
$AH47&lt;15,"In Progress",
$AH47=15,"Completed",
SUM(AF47:AH47)&gt;15,"Error"
)</f>
        <v>In Progress</v>
      </c>
    </row>
    <row r="48" spans="1:35" ht="13" x14ac:dyDescent="0.25">
      <c r="A48" s="248"/>
      <c r="B48" s="14" t="s">
        <v>897</v>
      </c>
      <c r="C48" s="138" t="s">
        <v>5327</v>
      </c>
      <c r="D48" s="138" t="s">
        <v>9141</v>
      </c>
      <c r="E48" s="138" t="s">
        <v>51</v>
      </c>
      <c r="F48" s="138" t="s">
        <v>48</v>
      </c>
      <c r="G48" s="138" t="s">
        <v>5657</v>
      </c>
      <c r="H48" s="138" t="s">
        <v>5657</v>
      </c>
      <c r="I48" s="7">
        <v>21.401250000000001</v>
      </c>
      <c r="J48" s="7">
        <v>39.798630000000003</v>
      </c>
      <c r="K48" s="7" t="str">
        <f t="shared" si="0"/>
        <v>21.40125,39.79863</v>
      </c>
      <c r="L48" s="138" t="s">
        <v>5521</v>
      </c>
      <c r="M48" s="138">
        <v>10096890209</v>
      </c>
      <c r="N48" s="7"/>
      <c r="O48" s="7"/>
      <c r="P48" s="230" t="s">
        <v>11</v>
      </c>
      <c r="Q48" s="230" t="s">
        <v>11</v>
      </c>
      <c r="R48" s="230" t="s">
        <v>11</v>
      </c>
      <c r="S48" s="230" t="s">
        <v>11</v>
      </c>
      <c r="T48" s="230" t="s">
        <v>11</v>
      </c>
      <c r="U48" s="230" t="s">
        <v>11</v>
      </c>
      <c r="V48" s="230" t="s">
        <v>11</v>
      </c>
      <c r="W48" s="230" t="s">
        <v>11</v>
      </c>
      <c r="X48" s="230" t="s">
        <v>11</v>
      </c>
      <c r="Y48" s="230" t="s">
        <v>11</v>
      </c>
      <c r="Z48" s="230" t="s">
        <v>11</v>
      </c>
      <c r="AA48" s="230" t="s">
        <v>11</v>
      </c>
      <c r="AB48" s="230" t="s">
        <v>11</v>
      </c>
      <c r="AC48" s="230" t="s">
        <v>11</v>
      </c>
      <c r="AD48" s="28"/>
      <c r="AE48" s="28"/>
      <c r="AF48" s="24">
        <f t="shared" si="1"/>
        <v>0</v>
      </c>
      <c r="AG48" s="24">
        <f t="shared" si="2"/>
        <v>0</v>
      </c>
      <c r="AH48" s="24">
        <f t="shared" si="3"/>
        <v>14</v>
      </c>
      <c r="AI48" s="41" t="str" cm="1">
        <f t="array" ref="AI48">_xlfn.IFS(
$AF48=15,"Not Started",
$AH48&lt;15,"In Progress",
$AH48=15,"Completed",
SUM(AF48:AH48)&gt;15,"Error"
)</f>
        <v>In Progress</v>
      </c>
    </row>
    <row r="49" spans="1:35" ht="13" x14ac:dyDescent="0.25">
      <c r="A49" s="248"/>
      <c r="B49" s="7" t="s">
        <v>898</v>
      </c>
      <c r="C49" s="138" t="s">
        <v>5328</v>
      </c>
      <c r="D49" s="138" t="s">
        <v>9142</v>
      </c>
      <c r="E49" s="138" t="s">
        <v>47</v>
      </c>
      <c r="F49" s="138" t="s">
        <v>44</v>
      </c>
      <c r="G49" s="138" t="s">
        <v>5657</v>
      </c>
      <c r="H49" s="138" t="s">
        <v>5657</v>
      </c>
      <c r="I49" s="7">
        <v>21.463950000000001</v>
      </c>
      <c r="J49" s="7">
        <v>39.864229999999999</v>
      </c>
      <c r="K49" s="7" t="str">
        <f t="shared" si="0"/>
        <v>21.46395,39.86423</v>
      </c>
      <c r="L49" s="138" t="s">
        <v>5522</v>
      </c>
      <c r="M49" s="138">
        <v>10053720050</v>
      </c>
      <c r="N49" s="7"/>
      <c r="O49" s="7"/>
      <c r="P49" s="230" t="s">
        <v>11</v>
      </c>
      <c r="Q49" s="230" t="s">
        <v>11</v>
      </c>
      <c r="R49" s="230" t="s">
        <v>11</v>
      </c>
      <c r="S49" s="230" t="s">
        <v>11</v>
      </c>
      <c r="T49" s="230" t="s">
        <v>11</v>
      </c>
      <c r="U49" s="230" t="s">
        <v>11</v>
      </c>
      <c r="V49" s="230" t="s">
        <v>11</v>
      </c>
      <c r="W49" s="230" t="s">
        <v>11</v>
      </c>
      <c r="X49" s="230" t="s">
        <v>11</v>
      </c>
      <c r="Y49" s="230" t="s">
        <v>11</v>
      </c>
      <c r="Z49" s="230" t="s">
        <v>11</v>
      </c>
      <c r="AA49" s="5" t="s">
        <v>11</v>
      </c>
      <c r="AB49" s="230" t="s">
        <v>11</v>
      </c>
      <c r="AC49" s="230" t="s">
        <v>11</v>
      </c>
      <c r="AD49" s="28"/>
      <c r="AE49" s="28"/>
      <c r="AF49" s="24">
        <f t="shared" si="1"/>
        <v>0</v>
      </c>
      <c r="AG49" s="24">
        <f t="shared" si="2"/>
        <v>0</v>
      </c>
      <c r="AH49" s="24">
        <f t="shared" si="3"/>
        <v>14</v>
      </c>
      <c r="AI49" s="41" t="str" cm="1">
        <f t="array" ref="AI49">_xlfn.IFS(
$AF49=15,"Not Started",
$AH49&lt;15,"In Progress",
$AH49=15,"Completed",
SUM(AF49:AH49)&gt;15,"Error"
)</f>
        <v>In Progress</v>
      </c>
    </row>
    <row r="50" spans="1:35" ht="13" x14ac:dyDescent="0.25">
      <c r="A50" s="248"/>
      <c r="B50" s="14" t="s">
        <v>899</v>
      </c>
      <c r="C50" s="138" t="s">
        <v>5329</v>
      </c>
      <c r="D50" s="138" t="s">
        <v>9143</v>
      </c>
      <c r="E50" s="138" t="s">
        <v>47</v>
      </c>
      <c r="F50" s="138" t="s">
        <v>48</v>
      </c>
      <c r="G50" s="138" t="s">
        <v>5657</v>
      </c>
      <c r="H50" s="138" t="s">
        <v>5657</v>
      </c>
      <c r="I50" s="7">
        <v>21.409761</v>
      </c>
      <c r="J50" s="7">
        <v>39.776184000000001</v>
      </c>
      <c r="K50" s="7" t="str">
        <f t="shared" si="0"/>
        <v>21.409761,39.776184</v>
      </c>
      <c r="L50" s="138" t="s">
        <v>5523</v>
      </c>
      <c r="M50" s="138">
        <v>10053798482</v>
      </c>
      <c r="N50" s="7"/>
      <c r="O50" s="7"/>
      <c r="P50" s="230" t="s">
        <v>11</v>
      </c>
      <c r="Q50" s="230" t="s">
        <v>11</v>
      </c>
      <c r="R50" s="230" t="s">
        <v>11</v>
      </c>
      <c r="S50" s="230" t="s">
        <v>11</v>
      </c>
      <c r="T50" s="230" t="s">
        <v>11</v>
      </c>
      <c r="U50" s="230" t="s">
        <v>11</v>
      </c>
      <c r="V50" s="230" t="s">
        <v>11</v>
      </c>
      <c r="W50" s="230" t="s">
        <v>11</v>
      </c>
      <c r="X50" s="230" t="s">
        <v>11</v>
      </c>
      <c r="Y50" s="230" t="s">
        <v>11</v>
      </c>
      <c r="Z50" s="230" t="s">
        <v>11</v>
      </c>
      <c r="AA50" s="5" t="s">
        <v>11</v>
      </c>
      <c r="AB50" s="230" t="s">
        <v>11</v>
      </c>
      <c r="AC50" s="230" t="s">
        <v>11</v>
      </c>
      <c r="AD50" s="28"/>
      <c r="AE50" s="28"/>
      <c r="AF50" s="24">
        <f t="shared" si="1"/>
        <v>0</v>
      </c>
      <c r="AG50" s="24">
        <f t="shared" si="2"/>
        <v>0</v>
      </c>
      <c r="AH50" s="24">
        <f t="shared" si="3"/>
        <v>14</v>
      </c>
      <c r="AI50" s="41" t="str" cm="1">
        <f t="array" ref="AI50">_xlfn.IFS(
$AF50=15,"Not Started",
$AH50&lt;15,"In Progress",
$AH50=15,"Completed",
SUM(AF50:AH50)&gt;15,"Error"
)</f>
        <v>In Progress</v>
      </c>
    </row>
    <row r="51" spans="1:35" ht="13" x14ac:dyDescent="0.25">
      <c r="A51" s="248"/>
      <c r="B51" s="7" t="s">
        <v>900</v>
      </c>
      <c r="C51" s="138" t="s">
        <v>5330</v>
      </c>
      <c r="D51" s="138" t="s">
        <v>9144</v>
      </c>
      <c r="E51" s="138" t="s">
        <v>43</v>
      </c>
      <c r="F51" s="138" t="s">
        <v>48</v>
      </c>
      <c r="G51" s="138" t="s">
        <v>5657</v>
      </c>
      <c r="H51" s="138" t="s">
        <v>5657</v>
      </c>
      <c r="I51" s="7">
        <v>21.44408</v>
      </c>
      <c r="J51" s="7">
        <v>39.811909999999997</v>
      </c>
      <c r="K51" s="7" t="str">
        <f t="shared" si="0"/>
        <v>21.44408,39.81191</v>
      </c>
      <c r="L51" s="138" t="s">
        <v>5524</v>
      </c>
      <c r="M51" s="138">
        <v>10053600445</v>
      </c>
      <c r="N51" s="7"/>
      <c r="O51" s="7"/>
      <c r="P51" s="230" t="s">
        <v>11</v>
      </c>
      <c r="Q51" s="230" t="s">
        <v>11</v>
      </c>
      <c r="R51" s="230" t="s">
        <v>11</v>
      </c>
      <c r="S51" s="230" t="s">
        <v>11</v>
      </c>
      <c r="T51" s="230" t="s">
        <v>11</v>
      </c>
      <c r="U51" s="230" t="s">
        <v>11</v>
      </c>
      <c r="V51" s="230" t="s">
        <v>11</v>
      </c>
      <c r="W51" s="230" t="s">
        <v>11</v>
      </c>
      <c r="X51" s="230" t="s">
        <v>11</v>
      </c>
      <c r="Y51" s="230" t="s">
        <v>11</v>
      </c>
      <c r="Z51" s="230" t="s">
        <v>11</v>
      </c>
      <c r="AA51" s="5" t="s">
        <v>11</v>
      </c>
      <c r="AB51" s="230" t="s">
        <v>11</v>
      </c>
      <c r="AC51" s="230" t="s">
        <v>11</v>
      </c>
      <c r="AD51" s="28"/>
      <c r="AE51" s="28"/>
      <c r="AF51" s="24">
        <f t="shared" si="1"/>
        <v>0</v>
      </c>
      <c r="AG51" s="24">
        <f t="shared" si="2"/>
        <v>0</v>
      </c>
      <c r="AH51" s="24">
        <f t="shared" si="3"/>
        <v>14</v>
      </c>
      <c r="AI51" s="41" t="str" cm="1">
        <f t="array" ref="AI51">_xlfn.IFS(
$AF51=15,"Not Started",
$AH51&lt;15,"In Progress",
$AH51=15,"Completed",
SUM(AF51:AH51)&gt;15,"Error"
)</f>
        <v>In Progress</v>
      </c>
    </row>
    <row r="52" spans="1:35" ht="13" x14ac:dyDescent="0.25">
      <c r="A52" s="248"/>
      <c r="B52" s="14" t="s">
        <v>901</v>
      </c>
      <c r="C52" s="138" t="s">
        <v>5331</v>
      </c>
      <c r="D52" s="138" t="s">
        <v>9145</v>
      </c>
      <c r="E52" s="138" t="s">
        <v>43</v>
      </c>
      <c r="F52" s="138" t="s">
        <v>44</v>
      </c>
      <c r="G52" s="138" t="s">
        <v>5657</v>
      </c>
      <c r="H52" s="138" t="s">
        <v>5657</v>
      </c>
      <c r="I52" s="7">
        <v>21.407609999999998</v>
      </c>
      <c r="J52" s="7">
        <v>39.704079999999998</v>
      </c>
      <c r="K52" s="7" t="str">
        <f t="shared" si="0"/>
        <v>21.40761,39.70408</v>
      </c>
      <c r="L52" s="138" t="s">
        <v>5525</v>
      </c>
      <c r="M52" s="138">
        <v>10053599489</v>
      </c>
      <c r="N52" s="7"/>
      <c r="O52" s="7"/>
      <c r="P52" s="230" t="s">
        <v>11</v>
      </c>
      <c r="Q52" s="230" t="s">
        <v>11</v>
      </c>
      <c r="R52" s="230" t="s">
        <v>11</v>
      </c>
      <c r="S52" s="230" t="s">
        <v>11</v>
      </c>
      <c r="T52" s="230" t="s">
        <v>11</v>
      </c>
      <c r="U52" s="230" t="s">
        <v>11</v>
      </c>
      <c r="V52" s="230" t="s">
        <v>11</v>
      </c>
      <c r="W52" s="230" t="s">
        <v>11</v>
      </c>
      <c r="X52" s="230" t="s">
        <v>11</v>
      </c>
      <c r="Y52" s="230" t="s">
        <v>11</v>
      </c>
      <c r="Z52" s="230" t="s">
        <v>11</v>
      </c>
      <c r="AA52" s="5" t="s">
        <v>11</v>
      </c>
      <c r="AB52" s="230" t="s">
        <v>11</v>
      </c>
      <c r="AC52" s="230" t="s">
        <v>11</v>
      </c>
      <c r="AD52" s="28"/>
      <c r="AE52" s="28"/>
      <c r="AF52" s="24">
        <f t="shared" si="1"/>
        <v>0</v>
      </c>
      <c r="AG52" s="24">
        <f t="shared" si="2"/>
        <v>0</v>
      </c>
      <c r="AH52" s="24">
        <f t="shared" si="3"/>
        <v>14</v>
      </c>
      <c r="AI52" s="41" t="str" cm="1">
        <f t="array" ref="AI52">_xlfn.IFS(
$AF52=15,"Not Started",
$AH52&lt;15,"In Progress",
$AH52=15,"Completed",
SUM(AF52:AH52)&gt;15,"Error"
)</f>
        <v>In Progress</v>
      </c>
    </row>
    <row r="53" spans="1:35" ht="13" x14ac:dyDescent="0.25">
      <c r="A53" s="248"/>
      <c r="B53" s="7" t="s">
        <v>902</v>
      </c>
      <c r="C53" s="138" t="s">
        <v>5332</v>
      </c>
      <c r="D53" s="138" t="s">
        <v>9146</v>
      </c>
      <c r="E53" s="138" t="s">
        <v>51</v>
      </c>
      <c r="F53" s="138" t="s">
        <v>48</v>
      </c>
      <c r="G53" s="138" t="s">
        <v>5657</v>
      </c>
      <c r="H53" s="138" t="s">
        <v>5657</v>
      </c>
      <c r="I53" s="7">
        <v>21.461586</v>
      </c>
      <c r="J53" s="7">
        <v>39.808517999999999</v>
      </c>
      <c r="K53" s="7" t="str">
        <f t="shared" si="0"/>
        <v>21.461586,39.808518</v>
      </c>
      <c r="L53" s="138" t="s">
        <v>5526</v>
      </c>
      <c r="M53" s="138">
        <v>10053492901</v>
      </c>
      <c r="N53" s="7"/>
      <c r="O53" s="7"/>
      <c r="P53" s="230" t="s">
        <v>11</v>
      </c>
      <c r="Q53" s="230" t="s">
        <v>11</v>
      </c>
      <c r="R53" s="230" t="s">
        <v>11</v>
      </c>
      <c r="S53" s="230" t="s">
        <v>11</v>
      </c>
      <c r="T53" s="230" t="s">
        <v>11</v>
      </c>
      <c r="U53" s="230" t="s">
        <v>11</v>
      </c>
      <c r="V53" s="230" t="s">
        <v>11</v>
      </c>
      <c r="W53" s="230" t="s">
        <v>11</v>
      </c>
      <c r="X53" s="230" t="s">
        <v>11</v>
      </c>
      <c r="Y53" s="230" t="s">
        <v>11</v>
      </c>
      <c r="Z53" s="230" t="s">
        <v>11</v>
      </c>
      <c r="AA53" s="5" t="s">
        <v>9</v>
      </c>
      <c r="AB53" s="230" t="s">
        <v>11</v>
      </c>
      <c r="AC53" s="230" t="s">
        <v>9</v>
      </c>
      <c r="AD53" s="28"/>
      <c r="AE53" s="28"/>
      <c r="AF53" s="24">
        <f t="shared" si="1"/>
        <v>2</v>
      </c>
      <c r="AG53" s="24">
        <f t="shared" si="2"/>
        <v>0</v>
      </c>
      <c r="AH53" s="24">
        <f t="shared" si="3"/>
        <v>12</v>
      </c>
      <c r="AI53" s="41" t="str" cm="1">
        <f t="array" ref="AI53">_xlfn.IFS(
$AF53=15,"Not Started",
$AH53&lt;15,"In Progress",
$AH53=15,"Completed",
SUM(AF53:AH53)&gt;15,"Error"
)</f>
        <v>In Progress</v>
      </c>
    </row>
    <row r="54" spans="1:35" ht="13" x14ac:dyDescent="0.25">
      <c r="A54" s="248"/>
      <c r="B54" s="14" t="s">
        <v>903</v>
      </c>
      <c r="C54" s="138" t="s">
        <v>5333</v>
      </c>
      <c r="D54" s="138" t="s">
        <v>9147</v>
      </c>
      <c r="E54" s="138" t="s">
        <v>43</v>
      </c>
      <c r="F54" s="138" t="s">
        <v>44</v>
      </c>
      <c r="G54" s="138" t="s">
        <v>5657</v>
      </c>
      <c r="H54" s="138" t="s">
        <v>5657</v>
      </c>
      <c r="I54" s="7">
        <v>21.414549999999998</v>
      </c>
      <c r="J54" s="7">
        <v>39.860219999999998</v>
      </c>
      <c r="K54" s="7" t="str">
        <f t="shared" si="0"/>
        <v>21.41455,39.86022</v>
      </c>
      <c r="L54" s="138" t="s">
        <v>5527</v>
      </c>
      <c r="M54" s="138">
        <v>10053776707</v>
      </c>
      <c r="N54" s="7"/>
      <c r="O54" s="7"/>
      <c r="P54" s="230" t="s">
        <v>11</v>
      </c>
      <c r="Q54" s="230" t="s">
        <v>11</v>
      </c>
      <c r="R54" s="230" t="s">
        <v>11</v>
      </c>
      <c r="S54" s="230" t="s">
        <v>11</v>
      </c>
      <c r="T54" s="230" t="s">
        <v>11</v>
      </c>
      <c r="U54" s="230" t="s">
        <v>11</v>
      </c>
      <c r="V54" s="230" t="s">
        <v>11</v>
      </c>
      <c r="W54" s="230" t="s">
        <v>11</v>
      </c>
      <c r="X54" s="230" t="s">
        <v>11</v>
      </c>
      <c r="Y54" s="230" t="s">
        <v>11</v>
      </c>
      <c r="Z54" s="230" t="s">
        <v>11</v>
      </c>
      <c r="AA54" s="5" t="s">
        <v>11</v>
      </c>
      <c r="AB54" s="230" t="s">
        <v>11</v>
      </c>
      <c r="AC54" s="230" t="s">
        <v>11</v>
      </c>
      <c r="AD54" s="28"/>
      <c r="AE54" s="28"/>
      <c r="AF54" s="24">
        <f t="shared" si="1"/>
        <v>0</v>
      </c>
      <c r="AG54" s="24">
        <f t="shared" si="2"/>
        <v>0</v>
      </c>
      <c r="AH54" s="24">
        <f t="shared" si="3"/>
        <v>14</v>
      </c>
      <c r="AI54" s="41" t="str" cm="1">
        <f t="array" ref="AI54">_xlfn.IFS(
$AF54=15,"Not Started",
$AH54&lt;15,"In Progress",
$AH54=15,"Completed",
SUM(AF54:AH54)&gt;15,"Error"
)</f>
        <v>In Progress</v>
      </c>
    </row>
    <row r="55" spans="1:35" ht="13" x14ac:dyDescent="0.25">
      <c r="A55" s="248"/>
      <c r="B55" s="7" t="s">
        <v>904</v>
      </c>
      <c r="C55" s="138" t="s">
        <v>5334</v>
      </c>
      <c r="D55" s="138" t="s">
        <v>9148</v>
      </c>
      <c r="E55" s="138" t="s">
        <v>47</v>
      </c>
      <c r="F55" s="138" t="s">
        <v>44</v>
      </c>
      <c r="G55" s="138" t="s">
        <v>5657</v>
      </c>
      <c r="H55" s="138" t="s">
        <v>5657</v>
      </c>
      <c r="I55" s="7">
        <v>21.429245999999999</v>
      </c>
      <c r="J55" s="7">
        <v>39.787588999999997</v>
      </c>
      <c r="K55" s="7" t="str">
        <f t="shared" si="0"/>
        <v>21.429246,39.787589</v>
      </c>
      <c r="L55" s="138" t="s">
        <v>5528</v>
      </c>
      <c r="M55" s="138">
        <v>10053332513</v>
      </c>
      <c r="N55" s="7"/>
      <c r="O55" s="7"/>
      <c r="P55" s="230" t="s">
        <v>11</v>
      </c>
      <c r="Q55" s="230" t="s">
        <v>11</v>
      </c>
      <c r="R55" s="230" t="s">
        <v>11</v>
      </c>
      <c r="S55" s="230" t="s">
        <v>11</v>
      </c>
      <c r="T55" s="230" t="s">
        <v>11</v>
      </c>
      <c r="U55" s="230" t="s">
        <v>11</v>
      </c>
      <c r="V55" s="230" t="s">
        <v>11</v>
      </c>
      <c r="W55" s="230" t="s">
        <v>11</v>
      </c>
      <c r="X55" s="230" t="s">
        <v>11</v>
      </c>
      <c r="Y55" s="230" t="s">
        <v>11</v>
      </c>
      <c r="Z55" s="230" t="s">
        <v>11</v>
      </c>
      <c r="AA55" s="5" t="s">
        <v>11</v>
      </c>
      <c r="AB55" s="230" t="s">
        <v>11</v>
      </c>
      <c r="AC55" s="230" t="s">
        <v>11</v>
      </c>
      <c r="AD55" s="28"/>
      <c r="AE55" s="28"/>
      <c r="AF55" s="24">
        <f t="shared" si="1"/>
        <v>0</v>
      </c>
      <c r="AG55" s="24">
        <f t="shared" si="2"/>
        <v>0</v>
      </c>
      <c r="AH55" s="24">
        <f t="shared" si="3"/>
        <v>14</v>
      </c>
      <c r="AI55" s="41" t="str" cm="1">
        <f t="array" ref="AI55">_xlfn.IFS(
$AF55=15,"Not Started",
$AH55&lt;15,"In Progress",
$AH55=15,"Completed",
SUM(AF55:AH55)&gt;15,"Error"
)</f>
        <v>In Progress</v>
      </c>
    </row>
    <row r="56" spans="1:35" ht="13" x14ac:dyDescent="0.25">
      <c r="A56" s="248"/>
      <c r="B56" s="14" t="s">
        <v>905</v>
      </c>
      <c r="C56" s="138" t="s">
        <v>5335</v>
      </c>
      <c r="D56" s="138" t="s">
        <v>9149</v>
      </c>
      <c r="E56" s="138" t="s">
        <v>47</v>
      </c>
      <c r="F56" s="138" t="s">
        <v>48</v>
      </c>
      <c r="G56" s="138" t="s">
        <v>5657</v>
      </c>
      <c r="H56" s="138" t="s">
        <v>5657</v>
      </c>
      <c r="I56" s="7">
        <v>21.421116999999999</v>
      </c>
      <c r="J56" s="7">
        <v>39.772685000000003</v>
      </c>
      <c r="K56" s="7" t="str">
        <f t="shared" si="0"/>
        <v>21.421117,39.772685</v>
      </c>
      <c r="L56" s="138" t="s">
        <v>5529</v>
      </c>
      <c r="M56" s="138">
        <v>10053536166</v>
      </c>
      <c r="N56" s="7"/>
      <c r="O56" s="7"/>
      <c r="P56" s="230" t="s">
        <v>11</v>
      </c>
      <c r="Q56" s="230" t="s">
        <v>11</v>
      </c>
      <c r="R56" s="230" t="s">
        <v>11</v>
      </c>
      <c r="S56" s="230" t="s">
        <v>11</v>
      </c>
      <c r="T56" s="230" t="s">
        <v>11</v>
      </c>
      <c r="U56" s="230" t="s">
        <v>11</v>
      </c>
      <c r="V56" s="230" t="s">
        <v>11</v>
      </c>
      <c r="W56" s="230" t="s">
        <v>11</v>
      </c>
      <c r="X56" s="230" t="s">
        <v>11</v>
      </c>
      <c r="Y56" s="230" t="s">
        <v>11</v>
      </c>
      <c r="Z56" s="230" t="s">
        <v>11</v>
      </c>
      <c r="AA56" s="5" t="s">
        <v>11</v>
      </c>
      <c r="AB56" s="230" t="s">
        <v>11</v>
      </c>
      <c r="AC56" s="230" t="s">
        <v>11</v>
      </c>
      <c r="AD56" s="28"/>
      <c r="AE56" s="28"/>
      <c r="AF56" s="24">
        <f t="shared" si="1"/>
        <v>0</v>
      </c>
      <c r="AG56" s="24">
        <f t="shared" si="2"/>
        <v>0</v>
      </c>
      <c r="AH56" s="24">
        <f t="shared" si="3"/>
        <v>14</v>
      </c>
      <c r="AI56" s="41" t="str" cm="1">
        <f t="array" ref="AI56">_xlfn.IFS(
$AF56=15,"Not Started",
$AH56&lt;15,"In Progress",
$AH56=15,"Completed",
SUM(AF56:AH56)&gt;15,"Error"
)</f>
        <v>In Progress</v>
      </c>
    </row>
    <row r="57" spans="1:35" ht="13" x14ac:dyDescent="0.25">
      <c r="A57" s="248"/>
      <c r="B57" s="7" t="s">
        <v>906</v>
      </c>
      <c r="C57" s="138" t="s">
        <v>5336</v>
      </c>
      <c r="D57" s="138" t="s">
        <v>9150</v>
      </c>
      <c r="E57" s="138" t="s">
        <v>10347</v>
      </c>
      <c r="F57" s="138" t="s">
        <v>48</v>
      </c>
      <c r="G57" s="138" t="s">
        <v>5657</v>
      </c>
      <c r="H57" s="138" t="s">
        <v>5657</v>
      </c>
      <c r="I57" s="7">
        <v>21.414110000000001</v>
      </c>
      <c r="J57" s="7">
        <v>39.775415000000002</v>
      </c>
      <c r="K57" s="7" t="str">
        <f t="shared" si="0"/>
        <v>21.41411,39.775415</v>
      </c>
      <c r="L57" s="138" t="s">
        <v>5530</v>
      </c>
      <c r="M57" s="138">
        <v>10053795758</v>
      </c>
      <c r="N57" s="7"/>
      <c r="O57" s="7"/>
      <c r="P57" s="230" t="s">
        <v>11</v>
      </c>
      <c r="Q57" s="230" t="s">
        <v>11</v>
      </c>
      <c r="R57" s="230" t="s">
        <v>11</v>
      </c>
      <c r="S57" s="230" t="s">
        <v>11</v>
      </c>
      <c r="T57" s="230" t="s">
        <v>11</v>
      </c>
      <c r="U57" s="230" t="s">
        <v>11</v>
      </c>
      <c r="V57" s="230" t="s">
        <v>11</v>
      </c>
      <c r="W57" s="230" t="s">
        <v>11</v>
      </c>
      <c r="X57" s="230" t="s">
        <v>11</v>
      </c>
      <c r="Y57" s="230" t="s">
        <v>11</v>
      </c>
      <c r="Z57" s="230" t="s">
        <v>11</v>
      </c>
      <c r="AA57" s="5" t="s">
        <v>11</v>
      </c>
      <c r="AB57" s="230" t="s">
        <v>11</v>
      </c>
      <c r="AC57" s="230" t="s">
        <v>11</v>
      </c>
      <c r="AD57" s="28"/>
      <c r="AE57" s="28"/>
      <c r="AF57" s="24">
        <f t="shared" si="1"/>
        <v>0</v>
      </c>
      <c r="AG57" s="24">
        <f t="shared" si="2"/>
        <v>0</v>
      </c>
      <c r="AH57" s="24">
        <f t="shared" si="3"/>
        <v>14</v>
      </c>
      <c r="AI57" s="41" t="str" cm="1">
        <f t="array" ref="AI57">_xlfn.IFS(
$AF57=15,"Not Started",
$AH57&lt;15,"In Progress",
$AH57=15,"Completed",
SUM(AF57:AH57)&gt;15,"Error"
)</f>
        <v>In Progress</v>
      </c>
    </row>
    <row r="58" spans="1:35" ht="13" x14ac:dyDescent="0.25">
      <c r="A58" s="248"/>
      <c r="B58" s="14" t="s">
        <v>907</v>
      </c>
      <c r="C58" s="138" t="s">
        <v>5337</v>
      </c>
      <c r="D58" s="138" t="s">
        <v>9151</v>
      </c>
      <c r="E58" s="138" t="s">
        <v>47</v>
      </c>
      <c r="F58" s="138" t="s">
        <v>44</v>
      </c>
      <c r="G58" s="138" t="s">
        <v>5657</v>
      </c>
      <c r="H58" s="138" t="s">
        <v>5657</v>
      </c>
      <c r="I58" s="7">
        <v>21.39612</v>
      </c>
      <c r="J58" s="7">
        <v>39.782049999999998</v>
      </c>
      <c r="K58" s="7" t="str">
        <f t="shared" si="0"/>
        <v>21.39612,39.78205</v>
      </c>
      <c r="L58" s="138" t="s">
        <v>5531</v>
      </c>
      <c r="M58" s="138">
        <v>10053267621</v>
      </c>
      <c r="N58" s="7"/>
      <c r="O58" s="7"/>
      <c r="P58" s="230" t="s">
        <v>11</v>
      </c>
      <c r="Q58" s="230" t="s">
        <v>11</v>
      </c>
      <c r="R58" s="230" t="s">
        <v>11</v>
      </c>
      <c r="S58" s="230" t="s">
        <v>11</v>
      </c>
      <c r="T58" s="230" t="s">
        <v>11</v>
      </c>
      <c r="U58" s="230" t="s">
        <v>11</v>
      </c>
      <c r="V58" s="230" t="s">
        <v>11</v>
      </c>
      <c r="W58" s="230" t="s">
        <v>11</v>
      </c>
      <c r="X58" s="230" t="s">
        <v>11</v>
      </c>
      <c r="Y58" s="230" t="s">
        <v>11</v>
      </c>
      <c r="Z58" s="230" t="s">
        <v>11</v>
      </c>
      <c r="AA58" s="5" t="s">
        <v>11</v>
      </c>
      <c r="AB58" s="230" t="s">
        <v>11</v>
      </c>
      <c r="AC58" s="230" t="s">
        <v>11</v>
      </c>
      <c r="AD58" s="28"/>
      <c r="AE58" s="28"/>
      <c r="AF58" s="24">
        <f t="shared" si="1"/>
        <v>0</v>
      </c>
      <c r="AG58" s="24">
        <f t="shared" si="2"/>
        <v>0</v>
      </c>
      <c r="AH58" s="24">
        <f t="shared" si="3"/>
        <v>14</v>
      </c>
      <c r="AI58" s="41" t="str" cm="1">
        <f t="array" ref="AI58">_xlfn.IFS(
$AF58=15,"Not Started",
$AH58&lt;15,"In Progress",
$AH58=15,"Completed",
SUM(AF58:AH58)&gt;15,"Error"
)</f>
        <v>In Progress</v>
      </c>
    </row>
    <row r="59" spans="1:35" ht="13" x14ac:dyDescent="0.25">
      <c r="A59" s="248"/>
      <c r="B59" s="7" t="s">
        <v>908</v>
      </c>
      <c r="C59" s="138" t="s">
        <v>5338</v>
      </c>
      <c r="D59" s="138" t="s">
        <v>9152</v>
      </c>
      <c r="E59" s="138" t="s">
        <v>47</v>
      </c>
      <c r="F59" s="138" t="s">
        <v>48</v>
      </c>
      <c r="G59" s="138" t="s">
        <v>5657</v>
      </c>
      <c r="H59" s="138" t="s">
        <v>5657</v>
      </c>
      <c r="I59" s="7">
        <v>21.413989999999998</v>
      </c>
      <c r="J59" s="7">
        <v>39.80368</v>
      </c>
      <c r="K59" s="7" t="str">
        <f t="shared" si="0"/>
        <v>21.41399,39.80368</v>
      </c>
      <c r="L59" s="138" t="s">
        <v>5532</v>
      </c>
      <c r="M59" s="138">
        <v>10053233319</v>
      </c>
      <c r="N59" s="7"/>
      <c r="O59" s="7"/>
      <c r="P59" s="230" t="s">
        <v>11</v>
      </c>
      <c r="Q59" s="230" t="s">
        <v>11</v>
      </c>
      <c r="R59" s="230" t="s">
        <v>11</v>
      </c>
      <c r="S59" s="230" t="s">
        <v>11</v>
      </c>
      <c r="T59" s="230" t="s">
        <v>11</v>
      </c>
      <c r="U59" s="230" t="s">
        <v>11</v>
      </c>
      <c r="V59" s="230" t="s">
        <v>11</v>
      </c>
      <c r="W59" s="230" t="s">
        <v>11</v>
      </c>
      <c r="X59" s="230" t="s">
        <v>11</v>
      </c>
      <c r="Y59" s="230" t="s">
        <v>11</v>
      </c>
      <c r="Z59" s="230" t="s">
        <v>11</v>
      </c>
      <c r="AA59" s="5" t="s">
        <v>11</v>
      </c>
      <c r="AB59" s="230" t="s">
        <v>11</v>
      </c>
      <c r="AC59" s="230" t="s">
        <v>11</v>
      </c>
      <c r="AD59" s="28"/>
      <c r="AE59" s="28"/>
      <c r="AF59" s="24">
        <f t="shared" si="1"/>
        <v>0</v>
      </c>
      <c r="AG59" s="24">
        <f t="shared" si="2"/>
        <v>0</v>
      </c>
      <c r="AH59" s="24">
        <f t="shared" si="3"/>
        <v>14</v>
      </c>
      <c r="AI59" s="41" t="str" cm="1">
        <f t="array" ref="AI59">_xlfn.IFS(
$AF59=15,"Not Started",
$AH59&lt;15,"In Progress",
$AH59=15,"Completed",
SUM(AF59:AH59)&gt;15,"Error"
)</f>
        <v>In Progress</v>
      </c>
    </row>
    <row r="60" spans="1:35" ht="13" x14ac:dyDescent="0.25">
      <c r="A60" s="248"/>
      <c r="B60" s="14" t="s">
        <v>909</v>
      </c>
      <c r="C60" s="138" t="s">
        <v>5339</v>
      </c>
      <c r="D60" s="138" t="s">
        <v>9153</v>
      </c>
      <c r="E60" s="138" t="s">
        <v>51</v>
      </c>
      <c r="F60" s="138" t="s">
        <v>44</v>
      </c>
      <c r="G60" s="138" t="s">
        <v>5657</v>
      </c>
      <c r="H60" s="138" t="s">
        <v>5657</v>
      </c>
      <c r="I60" s="7">
        <v>21.370149999999999</v>
      </c>
      <c r="J60" s="7">
        <v>39.799877000000002</v>
      </c>
      <c r="K60" s="7" t="str">
        <f t="shared" si="0"/>
        <v>21.37015,39.799877</v>
      </c>
      <c r="L60" s="138" t="s">
        <v>5533</v>
      </c>
      <c r="M60" s="138">
        <v>10053271113</v>
      </c>
      <c r="N60" s="7"/>
      <c r="O60" s="7"/>
      <c r="P60" s="230" t="s">
        <v>11</v>
      </c>
      <c r="Q60" s="230" t="s">
        <v>11</v>
      </c>
      <c r="R60" s="230" t="s">
        <v>11</v>
      </c>
      <c r="S60" s="230" t="s">
        <v>11</v>
      </c>
      <c r="T60" s="230" t="s">
        <v>11</v>
      </c>
      <c r="U60" s="230" t="s">
        <v>11</v>
      </c>
      <c r="V60" s="230" t="s">
        <v>11</v>
      </c>
      <c r="W60" s="230" t="s">
        <v>11</v>
      </c>
      <c r="X60" s="230" t="s">
        <v>11</v>
      </c>
      <c r="Y60" s="230" t="s">
        <v>11</v>
      </c>
      <c r="Z60" s="230" t="s">
        <v>11</v>
      </c>
      <c r="AA60" s="5" t="s">
        <v>11</v>
      </c>
      <c r="AB60" s="230" t="s">
        <v>11</v>
      </c>
      <c r="AC60" s="230" t="s">
        <v>11</v>
      </c>
      <c r="AD60" s="28"/>
      <c r="AE60" s="28"/>
      <c r="AF60" s="24">
        <f t="shared" si="1"/>
        <v>0</v>
      </c>
      <c r="AG60" s="24">
        <f t="shared" si="2"/>
        <v>0</v>
      </c>
      <c r="AH60" s="24">
        <f t="shared" si="3"/>
        <v>14</v>
      </c>
      <c r="AI60" s="41" t="str" cm="1">
        <f t="array" ref="AI60">_xlfn.IFS(
$AF60=15,"Not Started",
$AH60&lt;15,"In Progress",
$AH60=15,"Completed",
SUM(AF60:AH60)&gt;15,"Error"
)</f>
        <v>In Progress</v>
      </c>
    </row>
    <row r="61" spans="1:35" ht="13" x14ac:dyDescent="0.25">
      <c r="A61" s="248"/>
      <c r="B61" s="7" t="s">
        <v>910</v>
      </c>
      <c r="C61" s="138" t="s">
        <v>5340</v>
      </c>
      <c r="D61" s="138" t="s">
        <v>9154</v>
      </c>
      <c r="E61" s="138" t="s">
        <v>43</v>
      </c>
      <c r="F61" s="138" t="s">
        <v>48</v>
      </c>
      <c r="G61" s="138" t="s">
        <v>5657</v>
      </c>
      <c r="H61" s="138" t="s">
        <v>5657</v>
      </c>
      <c r="I61" s="7">
        <v>21.405156999999999</v>
      </c>
      <c r="J61" s="7">
        <v>39.780186</v>
      </c>
      <c r="K61" s="7" t="str">
        <f t="shared" si="0"/>
        <v>21.405157,39.780186</v>
      </c>
      <c r="L61" s="138" t="s">
        <v>5534</v>
      </c>
      <c r="M61" s="138">
        <v>10053800956</v>
      </c>
      <c r="N61" s="7"/>
      <c r="O61" s="7"/>
      <c r="P61" s="230" t="s">
        <v>11</v>
      </c>
      <c r="Q61" s="230" t="s">
        <v>11</v>
      </c>
      <c r="R61" s="230" t="s">
        <v>11</v>
      </c>
      <c r="S61" s="230" t="s">
        <v>11</v>
      </c>
      <c r="T61" s="230" t="s">
        <v>11</v>
      </c>
      <c r="U61" s="230" t="s">
        <v>11</v>
      </c>
      <c r="V61" s="230" t="s">
        <v>11</v>
      </c>
      <c r="W61" s="230" t="s">
        <v>11</v>
      </c>
      <c r="X61" s="230" t="s">
        <v>11</v>
      </c>
      <c r="Y61" s="230" t="s">
        <v>11</v>
      </c>
      <c r="Z61" s="230" t="s">
        <v>11</v>
      </c>
      <c r="AA61" s="5" t="s">
        <v>11</v>
      </c>
      <c r="AB61" s="230" t="s">
        <v>11</v>
      </c>
      <c r="AC61" s="230" t="s">
        <v>11</v>
      </c>
      <c r="AD61" s="28"/>
      <c r="AE61" s="28"/>
      <c r="AF61" s="24">
        <f t="shared" si="1"/>
        <v>0</v>
      </c>
      <c r="AG61" s="24">
        <f t="shared" si="2"/>
        <v>0</v>
      </c>
      <c r="AH61" s="24">
        <f t="shared" si="3"/>
        <v>14</v>
      </c>
      <c r="AI61" s="41" t="str" cm="1">
        <f t="array" ref="AI61">_xlfn.IFS(
$AF61=15,"Not Started",
$AH61&lt;15,"In Progress",
$AH61=15,"Completed",
SUM(AF61:AH61)&gt;15,"Error"
)</f>
        <v>In Progress</v>
      </c>
    </row>
    <row r="62" spans="1:35" ht="13" x14ac:dyDescent="0.25">
      <c r="A62" s="248"/>
      <c r="B62" s="14" t="s">
        <v>911</v>
      </c>
      <c r="C62" s="138" t="s">
        <v>5341</v>
      </c>
      <c r="D62" s="138" t="s">
        <v>3676</v>
      </c>
      <c r="E62" s="138" t="s">
        <v>43</v>
      </c>
      <c r="F62" s="138" t="s">
        <v>48</v>
      </c>
      <c r="G62" s="138" t="s">
        <v>5657</v>
      </c>
      <c r="H62" s="138" t="s">
        <v>5657</v>
      </c>
      <c r="I62" s="7">
        <v>21.38411</v>
      </c>
      <c r="J62" s="7">
        <v>39.835769999999997</v>
      </c>
      <c r="K62" s="7" t="str">
        <f t="shared" si="0"/>
        <v>21.38411,39.83577</v>
      </c>
      <c r="L62" s="138" t="s">
        <v>5535</v>
      </c>
      <c r="M62" s="138">
        <v>10053224141</v>
      </c>
      <c r="N62" s="7"/>
      <c r="O62" s="7"/>
      <c r="P62" s="230" t="s">
        <v>11</v>
      </c>
      <c r="Q62" s="230" t="s">
        <v>11</v>
      </c>
      <c r="R62" s="230" t="s">
        <v>11</v>
      </c>
      <c r="S62" s="230" t="s">
        <v>11</v>
      </c>
      <c r="T62" s="230" t="s">
        <v>11</v>
      </c>
      <c r="U62" s="230" t="s">
        <v>11</v>
      </c>
      <c r="V62" s="230" t="s">
        <v>11</v>
      </c>
      <c r="W62" s="230" t="s">
        <v>11</v>
      </c>
      <c r="X62" s="230" t="s">
        <v>11</v>
      </c>
      <c r="Y62" s="230" t="s">
        <v>11</v>
      </c>
      <c r="Z62" s="230" t="s">
        <v>11</v>
      </c>
      <c r="AA62" s="230" t="s">
        <v>11</v>
      </c>
      <c r="AB62" s="230" t="s">
        <v>9</v>
      </c>
      <c r="AC62" s="230" t="s">
        <v>11</v>
      </c>
      <c r="AD62" s="28"/>
      <c r="AE62" s="28"/>
      <c r="AF62" s="24">
        <f t="shared" si="1"/>
        <v>1</v>
      </c>
      <c r="AG62" s="24">
        <f t="shared" si="2"/>
        <v>0</v>
      </c>
      <c r="AH62" s="24">
        <f t="shared" si="3"/>
        <v>13</v>
      </c>
      <c r="AI62" s="41" t="str" cm="1">
        <f t="array" ref="AI62">_xlfn.IFS(
$AF62=15,"Not Started",
$AH62&lt;15,"In Progress",
$AH62=15,"Completed",
SUM(AF62:AH62)&gt;15,"Error"
)</f>
        <v>In Progress</v>
      </c>
    </row>
    <row r="63" spans="1:35" ht="13" x14ac:dyDescent="0.25">
      <c r="A63" s="248"/>
      <c r="B63" s="7" t="s">
        <v>912</v>
      </c>
      <c r="C63" s="138" t="s">
        <v>5342</v>
      </c>
      <c r="D63" s="138" t="s">
        <v>9155</v>
      </c>
      <c r="E63" s="138" t="s">
        <v>43</v>
      </c>
      <c r="F63" s="138" t="s">
        <v>48</v>
      </c>
      <c r="G63" s="138" t="s">
        <v>5657</v>
      </c>
      <c r="H63" s="138" t="s">
        <v>5657</v>
      </c>
      <c r="I63" s="7">
        <v>21.365948299999999</v>
      </c>
      <c r="J63" s="7">
        <v>39.774075799999999</v>
      </c>
      <c r="K63" s="7" t="str">
        <f t="shared" si="0"/>
        <v>21.3659483,39.7740758</v>
      </c>
      <c r="L63" s="138" t="s">
        <v>5536</v>
      </c>
      <c r="M63" s="138">
        <v>10053459245</v>
      </c>
      <c r="N63" s="7"/>
      <c r="O63" s="7"/>
      <c r="P63" s="230" t="s">
        <v>11</v>
      </c>
      <c r="Q63" s="230" t="s">
        <v>11</v>
      </c>
      <c r="R63" s="230" t="s">
        <v>11</v>
      </c>
      <c r="S63" s="230" t="s">
        <v>11</v>
      </c>
      <c r="T63" s="230" t="s">
        <v>11</v>
      </c>
      <c r="U63" s="230" t="s">
        <v>11</v>
      </c>
      <c r="V63" s="230" t="s">
        <v>11</v>
      </c>
      <c r="W63" s="230" t="s">
        <v>11</v>
      </c>
      <c r="X63" s="230" t="s">
        <v>11</v>
      </c>
      <c r="Y63" s="230" t="s">
        <v>11</v>
      </c>
      <c r="Z63" s="230" t="s">
        <v>11</v>
      </c>
      <c r="AA63" s="5" t="s">
        <v>11</v>
      </c>
      <c r="AB63" s="230" t="s">
        <v>9</v>
      </c>
      <c r="AC63" s="230" t="s">
        <v>11</v>
      </c>
      <c r="AD63" s="28"/>
      <c r="AE63" s="28"/>
      <c r="AF63" s="24">
        <f t="shared" si="1"/>
        <v>1</v>
      </c>
      <c r="AG63" s="24">
        <f t="shared" si="2"/>
        <v>0</v>
      </c>
      <c r="AH63" s="24">
        <f t="shared" si="3"/>
        <v>13</v>
      </c>
      <c r="AI63" s="41" t="str" cm="1">
        <f t="array" ref="AI63">_xlfn.IFS(
$AF63=15,"Not Started",
$AH63&lt;15,"In Progress",
$AH63=15,"Completed",
SUM(AF63:AH63)&gt;15,"Error"
)</f>
        <v>In Progress</v>
      </c>
    </row>
    <row r="64" spans="1:35" ht="13" x14ac:dyDescent="0.25">
      <c r="A64" s="248"/>
      <c r="B64" s="14" t="s">
        <v>913</v>
      </c>
      <c r="C64" s="138" t="s">
        <v>3525</v>
      </c>
      <c r="D64" s="138" t="s">
        <v>9156</v>
      </c>
      <c r="E64" s="138" t="s">
        <v>47</v>
      </c>
      <c r="F64" s="138" t="s">
        <v>48</v>
      </c>
      <c r="G64" s="138" t="s">
        <v>5657</v>
      </c>
      <c r="H64" s="138" t="s">
        <v>5657</v>
      </c>
      <c r="I64" s="1">
        <v>21.365586396064401</v>
      </c>
      <c r="J64" s="1">
        <v>39.773975198891598</v>
      </c>
      <c r="K64" s="7" t="str">
        <f t="shared" si="0"/>
        <v>21.3655863960644,39.7739751988916</v>
      </c>
      <c r="L64" s="138" t="s">
        <v>5537</v>
      </c>
      <c r="M64" s="138">
        <v>10053459503</v>
      </c>
      <c r="N64" s="7"/>
      <c r="O64" s="7"/>
      <c r="P64" s="230" t="s">
        <v>11</v>
      </c>
      <c r="Q64" s="230" t="s">
        <v>11</v>
      </c>
      <c r="R64" s="230" t="s">
        <v>11</v>
      </c>
      <c r="S64" s="230" t="s">
        <v>11</v>
      </c>
      <c r="T64" s="230" t="s">
        <v>11</v>
      </c>
      <c r="U64" s="230" t="s">
        <v>11</v>
      </c>
      <c r="V64" s="230" t="s">
        <v>11</v>
      </c>
      <c r="W64" s="230" t="s">
        <v>11</v>
      </c>
      <c r="X64" s="230" t="s">
        <v>11</v>
      </c>
      <c r="Y64" s="230" t="s">
        <v>11</v>
      </c>
      <c r="Z64" s="230" t="s">
        <v>11</v>
      </c>
      <c r="AA64" s="5" t="s">
        <v>11</v>
      </c>
      <c r="AB64" s="230" t="s">
        <v>9</v>
      </c>
      <c r="AC64" s="230" t="s">
        <v>11</v>
      </c>
      <c r="AD64" s="28"/>
      <c r="AE64" s="28"/>
      <c r="AF64" s="24">
        <f t="shared" si="1"/>
        <v>1</v>
      </c>
      <c r="AG64" s="24">
        <f t="shared" si="2"/>
        <v>0</v>
      </c>
      <c r="AH64" s="24">
        <f t="shared" si="3"/>
        <v>13</v>
      </c>
      <c r="AI64" s="41" t="str" cm="1">
        <f t="array" ref="AI64">_xlfn.IFS(
$AF64=15,"Not Started",
$AH64&lt;15,"In Progress",
$AH64=15,"Completed",
SUM(AF64:AH64)&gt;15,"Error"
)</f>
        <v>In Progress</v>
      </c>
    </row>
    <row r="65" spans="1:35" ht="13" x14ac:dyDescent="0.25">
      <c r="A65" s="248"/>
      <c r="B65" s="7" t="s">
        <v>914</v>
      </c>
      <c r="C65" s="138" t="s">
        <v>5343</v>
      </c>
      <c r="D65" s="138" t="s">
        <v>9157</v>
      </c>
      <c r="E65" s="138" t="s">
        <v>43</v>
      </c>
      <c r="F65" s="138" t="s">
        <v>44</v>
      </c>
      <c r="G65" s="138" t="s">
        <v>5657</v>
      </c>
      <c r="H65" s="138" t="s">
        <v>5657</v>
      </c>
      <c r="I65" s="7">
        <v>21.39546</v>
      </c>
      <c r="J65" s="7">
        <v>39.788290000000003</v>
      </c>
      <c r="K65" s="7" t="str">
        <f t="shared" si="0"/>
        <v>21.39546,39.78829</v>
      </c>
      <c r="L65" s="138" t="s">
        <v>5538</v>
      </c>
      <c r="M65" s="138">
        <v>10053524700</v>
      </c>
      <c r="N65" s="7"/>
      <c r="O65" s="7"/>
      <c r="P65" s="230" t="s">
        <v>11</v>
      </c>
      <c r="Q65" s="230" t="s">
        <v>11</v>
      </c>
      <c r="R65" s="230" t="s">
        <v>11</v>
      </c>
      <c r="S65" s="230" t="s">
        <v>11</v>
      </c>
      <c r="T65" s="230" t="s">
        <v>11</v>
      </c>
      <c r="U65" s="230" t="s">
        <v>11</v>
      </c>
      <c r="V65" s="230" t="s">
        <v>11</v>
      </c>
      <c r="W65" s="230" t="s">
        <v>11</v>
      </c>
      <c r="X65" s="230" t="s">
        <v>11</v>
      </c>
      <c r="Y65" s="230" t="s">
        <v>11</v>
      </c>
      <c r="Z65" s="230" t="s">
        <v>11</v>
      </c>
      <c r="AA65" s="5" t="s">
        <v>11</v>
      </c>
      <c r="AB65" s="230" t="s">
        <v>11</v>
      </c>
      <c r="AC65" s="230" t="s">
        <v>11</v>
      </c>
      <c r="AD65" s="28"/>
      <c r="AE65" s="28"/>
      <c r="AF65" s="24">
        <f t="shared" si="1"/>
        <v>0</v>
      </c>
      <c r="AG65" s="24">
        <f t="shared" si="2"/>
        <v>0</v>
      </c>
      <c r="AH65" s="24">
        <f t="shared" si="3"/>
        <v>14</v>
      </c>
      <c r="AI65" s="41" t="str" cm="1">
        <f t="array" ref="AI65">_xlfn.IFS(
$AF65=15,"Not Started",
$AH65&lt;15,"In Progress",
$AH65=15,"Completed",
SUM(AF65:AH65)&gt;15,"Error"
)</f>
        <v>In Progress</v>
      </c>
    </row>
    <row r="66" spans="1:35" ht="13" x14ac:dyDescent="0.25">
      <c r="A66" s="248"/>
      <c r="B66" s="14" t="s">
        <v>915</v>
      </c>
      <c r="C66" s="138" t="s">
        <v>5344</v>
      </c>
      <c r="D66" s="138" t="s">
        <v>9158</v>
      </c>
      <c r="E66" s="138" t="s">
        <v>43</v>
      </c>
      <c r="F66" s="138" t="s">
        <v>48</v>
      </c>
      <c r="G66" s="138" t="s">
        <v>5657</v>
      </c>
      <c r="H66" s="138" t="s">
        <v>5657</v>
      </c>
      <c r="I66" s="7">
        <v>21.388819999999999</v>
      </c>
      <c r="J66" s="7">
        <v>39.810169999999999</v>
      </c>
      <c r="K66" s="7" t="str">
        <f t="shared" si="0"/>
        <v>21.38882,39.81017</v>
      </c>
      <c r="L66" s="138" t="s">
        <v>5539</v>
      </c>
      <c r="M66" s="138">
        <v>10053335097</v>
      </c>
      <c r="N66" s="7"/>
      <c r="O66" s="7"/>
      <c r="P66" s="230" t="s">
        <v>11</v>
      </c>
      <c r="Q66" s="230" t="s">
        <v>11</v>
      </c>
      <c r="R66" s="230" t="s">
        <v>11</v>
      </c>
      <c r="S66" s="230" t="s">
        <v>11</v>
      </c>
      <c r="T66" s="230" t="s">
        <v>11</v>
      </c>
      <c r="U66" s="230" t="s">
        <v>11</v>
      </c>
      <c r="V66" s="230" t="s">
        <v>11</v>
      </c>
      <c r="W66" s="230" t="s">
        <v>11</v>
      </c>
      <c r="X66" s="230" t="s">
        <v>11</v>
      </c>
      <c r="Y66" s="230" t="s">
        <v>11</v>
      </c>
      <c r="Z66" s="230" t="s">
        <v>11</v>
      </c>
      <c r="AA66" s="5" t="s">
        <v>11</v>
      </c>
      <c r="AB66" s="230" t="s">
        <v>9</v>
      </c>
      <c r="AC66" s="230" t="s">
        <v>11</v>
      </c>
      <c r="AD66" s="28"/>
      <c r="AE66" s="28"/>
      <c r="AF66" s="24">
        <f t="shared" si="1"/>
        <v>1</v>
      </c>
      <c r="AG66" s="24">
        <f t="shared" si="2"/>
        <v>0</v>
      </c>
      <c r="AH66" s="24">
        <f t="shared" si="3"/>
        <v>13</v>
      </c>
      <c r="AI66" s="41" t="str" cm="1">
        <f t="array" ref="AI66">_xlfn.IFS(
$AF66=15,"Not Started",
$AH66&lt;15,"In Progress",
$AH66=15,"Completed",
SUM(AF66:AH66)&gt;15,"Error"
)</f>
        <v>In Progress</v>
      </c>
    </row>
    <row r="67" spans="1:35" ht="13" x14ac:dyDescent="0.25">
      <c r="A67" s="248"/>
      <c r="B67" s="7" t="s">
        <v>916</v>
      </c>
      <c r="C67" s="138" t="s">
        <v>5345</v>
      </c>
      <c r="D67" s="138" t="s">
        <v>9159</v>
      </c>
      <c r="E67" s="138" t="s">
        <v>47</v>
      </c>
      <c r="F67" s="138" t="s">
        <v>48</v>
      </c>
      <c r="G67" s="138" t="s">
        <v>5657</v>
      </c>
      <c r="H67" s="138" t="s">
        <v>5657</v>
      </c>
      <c r="I67" s="7">
        <v>21.40109</v>
      </c>
      <c r="J67" s="7">
        <v>39.700870000000002</v>
      </c>
      <c r="K67" s="7" t="str">
        <f t="shared" si="0"/>
        <v>21.40109,39.70087</v>
      </c>
      <c r="L67" s="138" t="s">
        <v>5540</v>
      </c>
      <c r="M67" s="138">
        <v>10053602477</v>
      </c>
      <c r="N67" s="7"/>
      <c r="O67" s="7"/>
      <c r="P67" s="230" t="s">
        <v>11</v>
      </c>
      <c r="Q67" s="230" t="s">
        <v>11</v>
      </c>
      <c r="R67" s="230" t="s">
        <v>11</v>
      </c>
      <c r="S67" s="230" t="s">
        <v>11</v>
      </c>
      <c r="T67" s="230" t="s">
        <v>11</v>
      </c>
      <c r="U67" s="230" t="s">
        <v>11</v>
      </c>
      <c r="V67" s="230" t="s">
        <v>11</v>
      </c>
      <c r="W67" s="230" t="s">
        <v>11</v>
      </c>
      <c r="X67" s="230" t="s">
        <v>11</v>
      </c>
      <c r="Y67" s="230" t="s">
        <v>11</v>
      </c>
      <c r="Z67" s="230" t="s">
        <v>11</v>
      </c>
      <c r="AA67" s="5" t="s">
        <v>11</v>
      </c>
      <c r="AB67" s="230" t="s">
        <v>11</v>
      </c>
      <c r="AC67" s="230" t="s">
        <v>11</v>
      </c>
      <c r="AD67" s="28"/>
      <c r="AE67" s="28"/>
      <c r="AF67" s="24">
        <f t="shared" si="1"/>
        <v>0</v>
      </c>
      <c r="AG67" s="24">
        <f t="shared" si="2"/>
        <v>0</v>
      </c>
      <c r="AH67" s="24">
        <f t="shared" si="3"/>
        <v>14</v>
      </c>
      <c r="AI67" s="41" t="str" cm="1">
        <f t="array" ref="AI67">_xlfn.IFS(
$AF67=15,"Not Started",
$AH67&lt;15,"In Progress",
$AH67=15,"Completed",
SUM(AF67:AH67)&gt;15,"Error"
)</f>
        <v>In Progress</v>
      </c>
    </row>
    <row r="68" spans="1:35" ht="13" x14ac:dyDescent="0.25">
      <c r="A68" s="248"/>
      <c r="B68" s="14" t="s">
        <v>917</v>
      </c>
      <c r="C68" s="138" t="s">
        <v>5346</v>
      </c>
      <c r="D68" s="138" t="s">
        <v>9160</v>
      </c>
      <c r="E68" s="138" t="s">
        <v>47</v>
      </c>
      <c r="F68" s="138" t="s">
        <v>48</v>
      </c>
      <c r="G68" s="138" t="s">
        <v>5657</v>
      </c>
      <c r="H68" s="138" t="s">
        <v>5657</v>
      </c>
      <c r="I68" s="7">
        <v>21.45168</v>
      </c>
      <c r="J68" s="7">
        <v>39.838810000000002</v>
      </c>
      <c r="K68" s="7" t="str">
        <f t="shared" si="0"/>
        <v>21.45168,39.83881</v>
      </c>
      <c r="L68" s="138" t="s">
        <v>5541</v>
      </c>
      <c r="M68" s="138">
        <v>10053541362</v>
      </c>
      <c r="N68" s="7"/>
      <c r="O68" s="7"/>
      <c r="P68" s="230" t="s">
        <v>11</v>
      </c>
      <c r="Q68" s="230" t="s">
        <v>11</v>
      </c>
      <c r="R68" s="230" t="s">
        <v>11</v>
      </c>
      <c r="S68" s="230" t="s">
        <v>11</v>
      </c>
      <c r="T68" s="230" t="s">
        <v>11</v>
      </c>
      <c r="U68" s="230" t="s">
        <v>11</v>
      </c>
      <c r="V68" s="230" t="s">
        <v>11</v>
      </c>
      <c r="W68" s="230" t="s">
        <v>11</v>
      </c>
      <c r="X68" s="230" t="s">
        <v>11</v>
      </c>
      <c r="Y68" s="230" t="s">
        <v>11</v>
      </c>
      <c r="Z68" s="230" t="s">
        <v>11</v>
      </c>
      <c r="AA68" s="5" t="s">
        <v>11</v>
      </c>
      <c r="AB68" s="230" t="s">
        <v>9</v>
      </c>
      <c r="AC68" s="230" t="s">
        <v>11</v>
      </c>
      <c r="AD68" s="28"/>
      <c r="AE68" s="28"/>
      <c r="AF68" s="24">
        <f t="shared" si="1"/>
        <v>1</v>
      </c>
      <c r="AG68" s="24">
        <f t="shared" si="2"/>
        <v>0</v>
      </c>
      <c r="AH68" s="24">
        <f t="shared" si="3"/>
        <v>13</v>
      </c>
      <c r="AI68" s="41" t="str" cm="1">
        <f t="array" ref="AI68">_xlfn.IFS(
$AF68=15,"Not Started",
$AH68&lt;15,"In Progress",
$AH68=15,"Completed",
SUM(AF68:AH68)&gt;15,"Error"
)</f>
        <v>In Progress</v>
      </c>
    </row>
    <row r="69" spans="1:35" ht="13" x14ac:dyDescent="0.25">
      <c r="A69" s="248"/>
      <c r="B69" s="7" t="s">
        <v>918</v>
      </c>
      <c r="C69" s="138" t="s">
        <v>5347</v>
      </c>
      <c r="D69" s="138" t="s">
        <v>9161</v>
      </c>
      <c r="E69" s="138" t="s">
        <v>43</v>
      </c>
      <c r="F69" s="138" t="s">
        <v>48</v>
      </c>
      <c r="G69" s="138" t="s">
        <v>5657</v>
      </c>
      <c r="H69" s="138" t="s">
        <v>5657</v>
      </c>
      <c r="I69" s="7">
        <v>21.423120000000001</v>
      </c>
      <c r="J69" s="7">
        <v>39.773029999999999</v>
      </c>
      <c r="K69" s="7" t="str">
        <f t="shared" ref="K69:K132" si="4">_xlfn.CONCAT(I69,",",J69)</f>
        <v>21.42312,39.77303</v>
      </c>
      <c r="L69" s="138" t="s">
        <v>5542</v>
      </c>
      <c r="M69" s="138">
        <v>10053535946</v>
      </c>
      <c r="N69" s="7"/>
      <c r="O69" s="7"/>
      <c r="P69" s="230" t="s">
        <v>11</v>
      </c>
      <c r="Q69" s="230" t="s">
        <v>11</v>
      </c>
      <c r="R69" s="230" t="s">
        <v>11</v>
      </c>
      <c r="S69" s="230" t="s">
        <v>11</v>
      </c>
      <c r="T69" s="230" t="s">
        <v>11</v>
      </c>
      <c r="U69" s="230" t="s">
        <v>11</v>
      </c>
      <c r="V69" s="230" t="s">
        <v>11</v>
      </c>
      <c r="W69" s="230" t="s">
        <v>11</v>
      </c>
      <c r="X69" s="230" t="s">
        <v>11</v>
      </c>
      <c r="Y69" s="230" t="s">
        <v>11</v>
      </c>
      <c r="Z69" s="230" t="s">
        <v>11</v>
      </c>
      <c r="AA69" s="5" t="s">
        <v>11</v>
      </c>
      <c r="AB69" s="230" t="s">
        <v>11</v>
      </c>
      <c r="AC69" s="230" t="s">
        <v>11</v>
      </c>
      <c r="AD69" s="28"/>
      <c r="AE69" s="28"/>
      <c r="AF69" s="24">
        <f t="shared" ref="AF69:AF132" si="5">COUNTIF(P69:AD69,$AF$2)</f>
        <v>0</v>
      </c>
      <c r="AG69" s="24">
        <f t="shared" ref="AG69:AG132" si="6">COUNTIF(P69:AD69,$AG$2)</f>
        <v>0</v>
      </c>
      <c r="AH69" s="24">
        <f t="shared" ref="AH69:AH132" si="7">COUNTIF(P69:AD69,$AH$2)</f>
        <v>14</v>
      </c>
      <c r="AI69" s="41" t="str" cm="1">
        <f t="array" ref="AI69">_xlfn.IFS(
$AF69=15,"Not Started",
$AH69&lt;15,"In Progress",
$AH69=15,"Completed",
SUM(AF69:AH69)&gt;15,"Error"
)</f>
        <v>In Progress</v>
      </c>
    </row>
    <row r="70" spans="1:35" ht="13" x14ac:dyDescent="0.25">
      <c r="A70" s="248"/>
      <c r="B70" s="14" t="s">
        <v>919</v>
      </c>
      <c r="C70" s="138" t="s">
        <v>5348</v>
      </c>
      <c r="D70" s="138" t="s">
        <v>9162</v>
      </c>
      <c r="E70" s="138" t="s">
        <v>43</v>
      </c>
      <c r="F70" s="138" t="s">
        <v>44</v>
      </c>
      <c r="G70" s="138" t="s">
        <v>5657</v>
      </c>
      <c r="H70" s="138" t="s">
        <v>5657</v>
      </c>
      <c r="I70" s="7">
        <v>21.424862000000001</v>
      </c>
      <c r="J70" s="7">
        <v>39.806190999999998</v>
      </c>
      <c r="K70" s="7" t="str">
        <f t="shared" si="4"/>
        <v>21.424862,39.806191</v>
      </c>
      <c r="L70" s="138" t="s">
        <v>5543</v>
      </c>
      <c r="M70" s="138">
        <v>10053284461</v>
      </c>
      <c r="N70" s="7"/>
      <c r="O70" s="7"/>
      <c r="P70" s="230" t="s">
        <v>11</v>
      </c>
      <c r="Q70" s="230" t="s">
        <v>11</v>
      </c>
      <c r="R70" s="230" t="s">
        <v>11</v>
      </c>
      <c r="S70" s="230" t="s">
        <v>11</v>
      </c>
      <c r="T70" s="230" t="s">
        <v>11</v>
      </c>
      <c r="U70" s="230" t="s">
        <v>11</v>
      </c>
      <c r="V70" s="230" t="s">
        <v>11</v>
      </c>
      <c r="W70" s="230" t="s">
        <v>11</v>
      </c>
      <c r="X70" s="230" t="s">
        <v>11</v>
      </c>
      <c r="Y70" s="230" t="s">
        <v>11</v>
      </c>
      <c r="Z70" s="230" t="s">
        <v>11</v>
      </c>
      <c r="AA70" s="5" t="s">
        <v>11</v>
      </c>
      <c r="AB70" s="230" t="s">
        <v>9</v>
      </c>
      <c r="AC70" s="230" t="s">
        <v>11</v>
      </c>
      <c r="AD70" s="28"/>
      <c r="AE70" s="28"/>
      <c r="AF70" s="24">
        <f t="shared" si="5"/>
        <v>1</v>
      </c>
      <c r="AG70" s="24">
        <f t="shared" si="6"/>
        <v>0</v>
      </c>
      <c r="AH70" s="24">
        <f t="shared" si="7"/>
        <v>13</v>
      </c>
      <c r="AI70" s="41" t="str" cm="1">
        <f t="array" ref="AI70">_xlfn.IFS(
$AF70=15,"Not Started",
$AH70&lt;15,"In Progress",
$AH70=15,"Completed",
SUM(AF70:AH70)&gt;15,"Error"
)</f>
        <v>In Progress</v>
      </c>
    </row>
    <row r="71" spans="1:35" ht="13" x14ac:dyDescent="0.25">
      <c r="A71" s="248"/>
      <c r="B71" s="7" t="s">
        <v>920</v>
      </c>
      <c r="C71" s="138" t="s">
        <v>5349</v>
      </c>
      <c r="D71" s="138" t="s">
        <v>9163</v>
      </c>
      <c r="E71" s="138" t="s">
        <v>10347</v>
      </c>
      <c r="F71" s="138" t="s">
        <v>52</v>
      </c>
      <c r="G71" s="138" t="s">
        <v>5657</v>
      </c>
      <c r="H71" s="138" t="s">
        <v>5657</v>
      </c>
      <c r="I71" s="7">
        <v>21.38</v>
      </c>
      <c r="J71" s="7">
        <v>39.783099999999997</v>
      </c>
      <c r="K71" s="7" t="str">
        <f t="shared" si="4"/>
        <v>21.38,39.7831</v>
      </c>
      <c r="L71" s="138" t="s">
        <v>5544</v>
      </c>
      <c r="M71" s="138">
        <v>10053339990</v>
      </c>
      <c r="N71" s="7"/>
      <c r="O71" s="7"/>
      <c r="P71" s="230" t="s">
        <v>11</v>
      </c>
      <c r="Q71" s="230" t="s">
        <v>11</v>
      </c>
      <c r="R71" s="230" t="s">
        <v>11</v>
      </c>
      <c r="S71" s="230" t="s">
        <v>11</v>
      </c>
      <c r="T71" s="230" t="s">
        <v>11</v>
      </c>
      <c r="U71" s="230" t="s">
        <v>11</v>
      </c>
      <c r="V71" s="230" t="s">
        <v>11</v>
      </c>
      <c r="W71" s="230" t="s">
        <v>11</v>
      </c>
      <c r="X71" s="230" t="s">
        <v>11</v>
      </c>
      <c r="Y71" s="230" t="s">
        <v>11</v>
      </c>
      <c r="Z71" s="230" t="s">
        <v>11</v>
      </c>
      <c r="AA71" s="5" t="s">
        <v>11</v>
      </c>
      <c r="AB71" s="230" t="s">
        <v>9</v>
      </c>
      <c r="AC71" s="230" t="s">
        <v>11</v>
      </c>
      <c r="AD71" s="28"/>
      <c r="AE71" s="28"/>
      <c r="AF71" s="24">
        <f t="shared" si="5"/>
        <v>1</v>
      </c>
      <c r="AG71" s="24">
        <f t="shared" si="6"/>
        <v>0</v>
      </c>
      <c r="AH71" s="24">
        <f t="shared" si="7"/>
        <v>13</v>
      </c>
      <c r="AI71" s="41" t="str" cm="1">
        <f t="array" ref="AI71">_xlfn.IFS(
$AF71=15,"Not Started",
$AH71&lt;15,"In Progress",
$AH71=15,"Completed",
SUM(AF71:AH71)&gt;15,"Error"
)</f>
        <v>In Progress</v>
      </c>
    </row>
    <row r="72" spans="1:35" ht="13" x14ac:dyDescent="0.25">
      <c r="A72" s="248"/>
      <c r="B72" s="14" t="s">
        <v>921</v>
      </c>
      <c r="C72" s="138" t="s">
        <v>5350</v>
      </c>
      <c r="D72" s="138" t="s">
        <v>9164</v>
      </c>
      <c r="E72" s="138" t="s">
        <v>43</v>
      </c>
      <c r="F72" s="138" t="s">
        <v>44</v>
      </c>
      <c r="G72" s="138" t="s">
        <v>5657</v>
      </c>
      <c r="H72" s="138" t="s">
        <v>5657</v>
      </c>
      <c r="I72" s="7">
        <v>21.384634999999999</v>
      </c>
      <c r="J72" s="7">
        <v>39.867570999999998</v>
      </c>
      <c r="K72" s="7" t="str">
        <f t="shared" si="4"/>
        <v>21.384635,39.867571</v>
      </c>
      <c r="L72" s="138" t="s">
        <v>5545</v>
      </c>
      <c r="M72" s="138">
        <v>10053656398</v>
      </c>
      <c r="N72" s="7"/>
      <c r="O72" s="7"/>
      <c r="P72" s="230" t="s">
        <v>11</v>
      </c>
      <c r="Q72" s="230" t="s">
        <v>11</v>
      </c>
      <c r="R72" s="230" t="s">
        <v>11</v>
      </c>
      <c r="S72" s="230" t="s">
        <v>11</v>
      </c>
      <c r="T72" s="230" t="s">
        <v>11</v>
      </c>
      <c r="U72" s="230" t="s">
        <v>11</v>
      </c>
      <c r="V72" s="230" t="s">
        <v>11</v>
      </c>
      <c r="W72" s="230" t="s">
        <v>11</v>
      </c>
      <c r="X72" s="230" t="s">
        <v>11</v>
      </c>
      <c r="Y72" s="230" t="s">
        <v>11</v>
      </c>
      <c r="Z72" s="230" t="s">
        <v>11</v>
      </c>
      <c r="AA72" s="5" t="s">
        <v>11</v>
      </c>
      <c r="AB72" s="230" t="s">
        <v>11</v>
      </c>
      <c r="AC72" s="230" t="s">
        <v>11</v>
      </c>
      <c r="AD72" s="28"/>
      <c r="AE72" s="28"/>
      <c r="AF72" s="24">
        <f t="shared" si="5"/>
        <v>0</v>
      </c>
      <c r="AG72" s="24">
        <f t="shared" si="6"/>
        <v>0</v>
      </c>
      <c r="AH72" s="24">
        <f t="shared" si="7"/>
        <v>14</v>
      </c>
      <c r="AI72" s="41" t="str" cm="1">
        <f t="array" ref="AI72">_xlfn.IFS(
$AF72=15,"Not Started",
$AH72&lt;15,"In Progress",
$AH72=15,"Completed",
SUM(AF72:AH72)&gt;15,"Error"
)</f>
        <v>In Progress</v>
      </c>
    </row>
    <row r="73" spans="1:35" ht="13" x14ac:dyDescent="0.25">
      <c r="A73" s="248"/>
      <c r="B73" s="7" t="s">
        <v>922</v>
      </c>
      <c r="C73" s="138" t="s">
        <v>5351</v>
      </c>
      <c r="D73" s="138" t="s">
        <v>9165</v>
      </c>
      <c r="E73" s="138" t="s">
        <v>43</v>
      </c>
      <c r="F73" s="138" t="s">
        <v>44</v>
      </c>
      <c r="G73" s="138" t="s">
        <v>5657</v>
      </c>
      <c r="H73" s="138" t="s">
        <v>5657</v>
      </c>
      <c r="I73" s="7">
        <v>21.401540000000001</v>
      </c>
      <c r="J73" s="7">
        <v>39.793120000000002</v>
      </c>
      <c r="K73" s="7" t="str">
        <f t="shared" si="4"/>
        <v>21.40154,39.79312</v>
      </c>
      <c r="L73" s="138" t="s">
        <v>5546</v>
      </c>
      <c r="M73" s="138">
        <v>10053778247</v>
      </c>
      <c r="N73" s="7"/>
      <c r="O73" s="7"/>
      <c r="P73" s="230" t="s">
        <v>11</v>
      </c>
      <c r="Q73" s="230" t="s">
        <v>11</v>
      </c>
      <c r="R73" s="230" t="s">
        <v>11</v>
      </c>
      <c r="S73" s="230" t="s">
        <v>11</v>
      </c>
      <c r="T73" s="230" t="s">
        <v>11</v>
      </c>
      <c r="U73" s="230" t="s">
        <v>11</v>
      </c>
      <c r="V73" s="230" t="s">
        <v>11</v>
      </c>
      <c r="W73" s="230" t="s">
        <v>11</v>
      </c>
      <c r="X73" s="230" t="s">
        <v>11</v>
      </c>
      <c r="Y73" s="230" t="s">
        <v>11</v>
      </c>
      <c r="Z73" s="230" t="s">
        <v>11</v>
      </c>
      <c r="AA73" s="5" t="s">
        <v>11</v>
      </c>
      <c r="AB73" s="230" t="s">
        <v>11</v>
      </c>
      <c r="AC73" s="230" t="s">
        <v>11</v>
      </c>
      <c r="AD73" s="28"/>
      <c r="AE73" s="28"/>
      <c r="AF73" s="24">
        <f t="shared" si="5"/>
        <v>0</v>
      </c>
      <c r="AG73" s="24">
        <f t="shared" si="6"/>
        <v>0</v>
      </c>
      <c r="AH73" s="24">
        <f t="shared" si="7"/>
        <v>14</v>
      </c>
      <c r="AI73" s="41" t="str" cm="1">
        <f t="array" ref="AI73">_xlfn.IFS(
$AF73=15,"Not Started",
$AH73&lt;15,"In Progress",
$AH73=15,"Completed",
SUM(AF73:AH73)&gt;15,"Error"
)</f>
        <v>In Progress</v>
      </c>
    </row>
    <row r="74" spans="1:35" ht="13" x14ac:dyDescent="0.25">
      <c r="A74" s="248"/>
      <c r="B74" s="14" t="s">
        <v>923</v>
      </c>
      <c r="C74" s="138" t="s">
        <v>5352</v>
      </c>
      <c r="D74" s="138" t="s">
        <v>9166</v>
      </c>
      <c r="E74" s="138" t="s">
        <v>52</v>
      </c>
      <c r="F74" s="138" t="s">
        <v>48</v>
      </c>
      <c r="G74" s="138" t="s">
        <v>5657</v>
      </c>
      <c r="H74" s="138" t="s">
        <v>5657</v>
      </c>
      <c r="I74" s="7">
        <v>21.416620000000002</v>
      </c>
      <c r="J74" s="7">
        <v>39.857480000000002</v>
      </c>
      <c r="K74" s="7" t="str">
        <f t="shared" si="4"/>
        <v>21.41662,39.85748</v>
      </c>
      <c r="L74" s="138" t="s">
        <v>5547</v>
      </c>
      <c r="M74" s="138">
        <v>10053663866</v>
      </c>
      <c r="N74" s="7"/>
      <c r="O74" s="7"/>
      <c r="P74" s="230" t="s">
        <v>11</v>
      </c>
      <c r="Q74" s="230" t="s">
        <v>11</v>
      </c>
      <c r="R74" s="230" t="s">
        <v>11</v>
      </c>
      <c r="S74" s="230" t="s">
        <v>11</v>
      </c>
      <c r="T74" s="230" t="s">
        <v>11</v>
      </c>
      <c r="U74" s="230" t="s">
        <v>11</v>
      </c>
      <c r="V74" s="230" t="s">
        <v>11</v>
      </c>
      <c r="W74" s="230" t="s">
        <v>11</v>
      </c>
      <c r="X74" s="230" t="s">
        <v>11</v>
      </c>
      <c r="Y74" s="230" t="s">
        <v>11</v>
      </c>
      <c r="Z74" s="230" t="s">
        <v>11</v>
      </c>
      <c r="AA74" s="5" t="s">
        <v>11</v>
      </c>
      <c r="AB74" s="230" t="s">
        <v>11</v>
      </c>
      <c r="AC74" s="230" t="s">
        <v>11</v>
      </c>
      <c r="AD74" s="28"/>
      <c r="AE74" s="28"/>
      <c r="AF74" s="24">
        <f t="shared" si="5"/>
        <v>0</v>
      </c>
      <c r="AG74" s="24">
        <f t="shared" si="6"/>
        <v>0</v>
      </c>
      <c r="AH74" s="24">
        <f t="shared" si="7"/>
        <v>14</v>
      </c>
      <c r="AI74" s="41" t="str" cm="1">
        <f t="array" ref="AI74">_xlfn.IFS(
$AF74=15,"Not Started",
$AH74&lt;15,"In Progress",
$AH74=15,"Completed",
SUM(AF74:AH74)&gt;15,"Error"
)</f>
        <v>In Progress</v>
      </c>
    </row>
    <row r="75" spans="1:35" ht="13" x14ac:dyDescent="0.25">
      <c r="A75" s="248"/>
      <c r="B75" s="7" t="s">
        <v>924</v>
      </c>
      <c r="C75" s="138" t="s">
        <v>5353</v>
      </c>
      <c r="D75" s="138" t="s">
        <v>9167</v>
      </c>
      <c r="E75" s="138" t="s">
        <v>10347</v>
      </c>
      <c r="F75" s="138" t="s">
        <v>52</v>
      </c>
      <c r="G75" s="138" t="s">
        <v>5657</v>
      </c>
      <c r="H75" s="138" t="s">
        <v>5657</v>
      </c>
      <c r="I75" s="7">
        <v>21.393474000000001</v>
      </c>
      <c r="J75" s="7">
        <v>39.879489</v>
      </c>
      <c r="K75" s="7" t="str">
        <f t="shared" si="4"/>
        <v>21.393474,39.879489</v>
      </c>
      <c r="L75" s="138" t="s">
        <v>5548</v>
      </c>
      <c r="M75" s="138">
        <v>10053655944</v>
      </c>
      <c r="N75" s="7"/>
      <c r="O75" s="7"/>
      <c r="P75" s="230" t="s">
        <v>11</v>
      </c>
      <c r="Q75" s="230" t="s">
        <v>11</v>
      </c>
      <c r="R75" s="230" t="s">
        <v>11</v>
      </c>
      <c r="S75" s="230" t="s">
        <v>11</v>
      </c>
      <c r="T75" s="230" t="s">
        <v>11</v>
      </c>
      <c r="U75" s="230" t="s">
        <v>11</v>
      </c>
      <c r="V75" s="230" t="s">
        <v>11</v>
      </c>
      <c r="W75" s="230" t="s">
        <v>11</v>
      </c>
      <c r="X75" s="230" t="s">
        <v>11</v>
      </c>
      <c r="Y75" s="230" t="s">
        <v>11</v>
      </c>
      <c r="Z75" s="230" t="s">
        <v>11</v>
      </c>
      <c r="AA75" s="5" t="s">
        <v>11</v>
      </c>
      <c r="AB75" s="230" t="s">
        <v>11</v>
      </c>
      <c r="AC75" s="230" t="s">
        <v>11</v>
      </c>
      <c r="AD75" s="28"/>
      <c r="AE75" s="28"/>
      <c r="AF75" s="24">
        <f t="shared" si="5"/>
        <v>0</v>
      </c>
      <c r="AG75" s="24">
        <f t="shared" si="6"/>
        <v>0</v>
      </c>
      <c r="AH75" s="24">
        <f t="shared" si="7"/>
        <v>14</v>
      </c>
      <c r="AI75" s="41" t="str" cm="1">
        <f t="array" ref="AI75">_xlfn.IFS(
$AF75=15,"Not Started",
$AH75&lt;15,"In Progress",
$AH75=15,"Completed",
SUM(AF75:AH75)&gt;15,"Error"
)</f>
        <v>In Progress</v>
      </c>
    </row>
    <row r="76" spans="1:35" ht="13" x14ac:dyDescent="0.25">
      <c r="A76" s="248"/>
      <c r="B76" s="14" t="s">
        <v>925</v>
      </c>
      <c r="C76" s="138" t="s">
        <v>5354</v>
      </c>
      <c r="D76" s="138" t="s">
        <v>9168</v>
      </c>
      <c r="E76" s="138" t="s">
        <v>47</v>
      </c>
      <c r="F76" s="138" t="s">
        <v>44</v>
      </c>
      <c r="G76" s="138" t="s">
        <v>5657</v>
      </c>
      <c r="H76" s="138" t="s">
        <v>5657</v>
      </c>
      <c r="I76" s="7">
        <v>21.403390000000002</v>
      </c>
      <c r="J76" s="7">
        <v>39.867919999999998</v>
      </c>
      <c r="K76" s="7" t="str">
        <f t="shared" si="4"/>
        <v>21.40339,39.86792</v>
      </c>
      <c r="L76" s="138" t="s">
        <v>5549</v>
      </c>
      <c r="M76" s="138">
        <v>10090192262</v>
      </c>
      <c r="N76" s="7"/>
      <c r="O76" s="7"/>
      <c r="P76" s="230" t="s">
        <v>11</v>
      </c>
      <c r="Q76" s="230" t="s">
        <v>11</v>
      </c>
      <c r="R76" s="230" t="s">
        <v>11</v>
      </c>
      <c r="S76" s="230" t="s">
        <v>11</v>
      </c>
      <c r="T76" s="230" t="s">
        <v>11</v>
      </c>
      <c r="U76" s="230" t="s">
        <v>11</v>
      </c>
      <c r="V76" s="230" t="s">
        <v>11</v>
      </c>
      <c r="W76" s="230" t="s">
        <v>11</v>
      </c>
      <c r="X76" s="230" t="s">
        <v>11</v>
      </c>
      <c r="Y76" s="230" t="s">
        <v>11</v>
      </c>
      <c r="Z76" s="230" t="s">
        <v>11</v>
      </c>
      <c r="AA76" s="5" t="s">
        <v>11</v>
      </c>
      <c r="AB76" s="230" t="s">
        <v>11</v>
      </c>
      <c r="AC76" s="230" t="s">
        <v>11</v>
      </c>
      <c r="AD76" s="28"/>
      <c r="AE76" s="28"/>
      <c r="AF76" s="24">
        <f t="shared" si="5"/>
        <v>0</v>
      </c>
      <c r="AG76" s="24">
        <f t="shared" si="6"/>
        <v>0</v>
      </c>
      <c r="AH76" s="24">
        <f t="shared" si="7"/>
        <v>14</v>
      </c>
      <c r="AI76" s="41" t="str" cm="1">
        <f t="array" ref="AI76">_xlfn.IFS(
$AF76=15,"Not Started",
$AH76&lt;15,"In Progress",
$AH76=15,"Completed",
SUM(AF76:AH76)&gt;15,"Error"
)</f>
        <v>In Progress</v>
      </c>
    </row>
    <row r="77" spans="1:35" ht="13" x14ac:dyDescent="0.25">
      <c r="A77" s="248"/>
      <c r="B77" s="7" t="s">
        <v>926</v>
      </c>
      <c r="C77" s="138" t="s">
        <v>5355</v>
      </c>
      <c r="D77" s="138" t="s">
        <v>9169</v>
      </c>
      <c r="E77" s="138" t="s">
        <v>47</v>
      </c>
      <c r="F77" s="138" t="s">
        <v>44</v>
      </c>
      <c r="G77" s="138" t="s">
        <v>5657</v>
      </c>
      <c r="H77" s="138" t="s">
        <v>5657</v>
      </c>
      <c r="I77" s="7">
        <v>21.394850000000002</v>
      </c>
      <c r="J77" s="7">
        <v>39.788379999999997</v>
      </c>
      <c r="K77" s="7" t="str">
        <f t="shared" si="4"/>
        <v>21.39485,39.78838</v>
      </c>
      <c r="L77" s="138" t="s">
        <v>5550</v>
      </c>
      <c r="M77" s="138">
        <v>10053524961</v>
      </c>
      <c r="N77" s="7"/>
      <c r="O77" s="7"/>
      <c r="P77" s="230" t="s">
        <v>11</v>
      </c>
      <c r="Q77" s="230" t="s">
        <v>11</v>
      </c>
      <c r="R77" s="230" t="s">
        <v>11</v>
      </c>
      <c r="S77" s="230" t="s">
        <v>11</v>
      </c>
      <c r="T77" s="230" t="s">
        <v>11</v>
      </c>
      <c r="U77" s="230" t="s">
        <v>11</v>
      </c>
      <c r="V77" s="230" t="s">
        <v>11</v>
      </c>
      <c r="W77" s="230" t="s">
        <v>11</v>
      </c>
      <c r="X77" s="230" t="s">
        <v>11</v>
      </c>
      <c r="Y77" s="230" t="s">
        <v>11</v>
      </c>
      <c r="Z77" s="230" t="s">
        <v>11</v>
      </c>
      <c r="AA77" s="5" t="s">
        <v>11</v>
      </c>
      <c r="AB77" s="230" t="s">
        <v>11</v>
      </c>
      <c r="AC77" s="230" t="s">
        <v>11</v>
      </c>
      <c r="AD77" s="28"/>
      <c r="AE77" s="28"/>
      <c r="AF77" s="24">
        <f t="shared" si="5"/>
        <v>0</v>
      </c>
      <c r="AG77" s="24">
        <f t="shared" si="6"/>
        <v>0</v>
      </c>
      <c r="AH77" s="24">
        <f t="shared" si="7"/>
        <v>14</v>
      </c>
      <c r="AI77" s="41" t="str" cm="1">
        <f t="array" ref="AI77">_xlfn.IFS(
$AF77=15,"Not Started",
$AH77&lt;15,"In Progress",
$AH77=15,"Completed",
SUM(AF77:AH77)&gt;15,"Error"
)</f>
        <v>In Progress</v>
      </c>
    </row>
    <row r="78" spans="1:35" ht="13" x14ac:dyDescent="0.25">
      <c r="A78" s="248"/>
      <c r="B78" s="14" t="s">
        <v>927</v>
      </c>
      <c r="C78" s="138" t="s">
        <v>5356</v>
      </c>
      <c r="D78" s="138" t="s">
        <v>9170</v>
      </c>
      <c r="E78" s="138" t="s">
        <v>51</v>
      </c>
      <c r="F78" s="138" t="s">
        <v>44</v>
      </c>
      <c r="G78" s="138" t="s">
        <v>5657</v>
      </c>
      <c r="H78" s="138" t="s">
        <v>5657</v>
      </c>
      <c r="I78" s="7">
        <v>21.447644</v>
      </c>
      <c r="J78" s="7">
        <v>39.857852999999999</v>
      </c>
      <c r="K78" s="7" t="str">
        <f t="shared" si="4"/>
        <v>21.447644,39.857853</v>
      </c>
      <c r="L78" s="138" t="s">
        <v>5551</v>
      </c>
      <c r="M78" s="138">
        <v>10053384761</v>
      </c>
      <c r="N78" s="7"/>
      <c r="O78" s="7"/>
      <c r="P78" s="230" t="s">
        <v>11</v>
      </c>
      <c r="Q78" s="230" t="s">
        <v>11</v>
      </c>
      <c r="R78" s="230" t="s">
        <v>11</v>
      </c>
      <c r="S78" s="230" t="s">
        <v>11</v>
      </c>
      <c r="T78" s="230" t="s">
        <v>11</v>
      </c>
      <c r="U78" s="230" t="s">
        <v>11</v>
      </c>
      <c r="V78" s="230" t="s">
        <v>11</v>
      </c>
      <c r="W78" s="230" t="s">
        <v>11</v>
      </c>
      <c r="X78" s="230" t="s">
        <v>11</v>
      </c>
      <c r="Y78" s="230" t="s">
        <v>11</v>
      </c>
      <c r="Z78" s="230" t="s">
        <v>11</v>
      </c>
      <c r="AA78" s="5" t="s">
        <v>11</v>
      </c>
      <c r="AB78" s="230" t="s">
        <v>11</v>
      </c>
      <c r="AC78" s="230" t="s">
        <v>11</v>
      </c>
      <c r="AD78" s="28"/>
      <c r="AE78" s="28"/>
      <c r="AF78" s="24">
        <f t="shared" si="5"/>
        <v>0</v>
      </c>
      <c r="AG78" s="24">
        <f t="shared" si="6"/>
        <v>0</v>
      </c>
      <c r="AH78" s="24">
        <f t="shared" si="7"/>
        <v>14</v>
      </c>
      <c r="AI78" s="41" t="str" cm="1">
        <f t="array" ref="AI78">_xlfn.IFS(
$AF78=15,"Not Started",
$AH78&lt;15,"In Progress",
$AH78=15,"Completed",
SUM(AF78:AH78)&gt;15,"Error"
)</f>
        <v>In Progress</v>
      </c>
    </row>
    <row r="79" spans="1:35" ht="13" x14ac:dyDescent="0.25">
      <c r="A79" s="248"/>
      <c r="B79" s="7" t="s">
        <v>928</v>
      </c>
      <c r="C79" s="227" t="s">
        <v>11243</v>
      </c>
      <c r="D79" s="3" t="s">
        <v>11244</v>
      </c>
      <c r="E79" s="138" t="s">
        <v>43</v>
      </c>
      <c r="F79" s="138" t="s">
        <v>44</v>
      </c>
      <c r="G79" s="138" t="s">
        <v>5657</v>
      </c>
      <c r="H79" s="138" t="s">
        <v>5657</v>
      </c>
      <c r="I79" s="7">
        <v>21.458802680998598</v>
      </c>
      <c r="J79" s="7">
        <v>39.967484550327598</v>
      </c>
      <c r="K79" s="7" t="str">
        <f t="shared" si="4"/>
        <v>21.4588026809986,39.9674845503276</v>
      </c>
      <c r="L79" s="138" t="s">
        <v>11254</v>
      </c>
      <c r="M79" s="138">
        <v>10053219187</v>
      </c>
      <c r="N79" s="7"/>
      <c r="O79" s="7"/>
      <c r="P79" s="230" t="s">
        <v>11</v>
      </c>
      <c r="Q79" s="230" t="s">
        <v>11</v>
      </c>
      <c r="R79" s="230" t="s">
        <v>11</v>
      </c>
      <c r="S79" s="230" t="s">
        <v>11</v>
      </c>
      <c r="T79" s="230" t="s">
        <v>11</v>
      </c>
      <c r="U79" s="230" t="s">
        <v>11</v>
      </c>
      <c r="V79" s="230" t="s">
        <v>11</v>
      </c>
      <c r="W79" s="230" t="s">
        <v>11</v>
      </c>
      <c r="X79" s="230" t="s">
        <v>11</v>
      </c>
      <c r="Y79" s="230" t="s">
        <v>11</v>
      </c>
      <c r="Z79" s="230" t="s">
        <v>11</v>
      </c>
      <c r="AA79" s="230" t="s">
        <v>11</v>
      </c>
      <c r="AB79" s="230" t="s">
        <v>11</v>
      </c>
      <c r="AC79" s="230" t="s">
        <v>11</v>
      </c>
      <c r="AD79" s="28"/>
      <c r="AE79" s="28"/>
      <c r="AF79" s="24">
        <f t="shared" si="5"/>
        <v>0</v>
      </c>
      <c r="AG79" s="24">
        <f t="shared" si="6"/>
        <v>0</v>
      </c>
      <c r="AH79" s="24">
        <f t="shared" si="7"/>
        <v>14</v>
      </c>
      <c r="AI79" s="41" t="str" cm="1">
        <f t="array" ref="AI79">_xlfn.IFS(
$AF79=15,"Not Started",
$AH79&lt;15,"In Progress",
$AH79=15,"Completed",
SUM(AF79:AH79)&gt;15,"Error"
)</f>
        <v>In Progress</v>
      </c>
    </row>
    <row r="80" spans="1:35" ht="13" x14ac:dyDescent="0.25">
      <c r="A80" s="248"/>
      <c r="B80" s="14" t="s">
        <v>929</v>
      </c>
      <c r="C80" s="138" t="s">
        <v>5357</v>
      </c>
      <c r="D80" s="138" t="s">
        <v>9171</v>
      </c>
      <c r="E80" s="138" t="s">
        <v>47</v>
      </c>
      <c r="F80" s="138" t="s">
        <v>44</v>
      </c>
      <c r="G80" s="138" t="s">
        <v>5657</v>
      </c>
      <c r="H80" s="138" t="s">
        <v>5657</v>
      </c>
      <c r="I80" s="7">
        <v>21.384722</v>
      </c>
      <c r="J80" s="7">
        <v>39.867035000000001</v>
      </c>
      <c r="K80" s="7" t="str">
        <f t="shared" si="4"/>
        <v>21.384722,39.867035</v>
      </c>
      <c r="L80" s="138" t="s">
        <v>5552</v>
      </c>
      <c r="M80" s="138">
        <v>10053656665</v>
      </c>
      <c r="N80" s="7"/>
      <c r="O80" s="7"/>
      <c r="P80" s="230" t="s">
        <v>11</v>
      </c>
      <c r="Q80" s="230" t="s">
        <v>11</v>
      </c>
      <c r="R80" s="230" t="s">
        <v>11</v>
      </c>
      <c r="S80" s="230" t="s">
        <v>11</v>
      </c>
      <c r="T80" s="230" t="s">
        <v>11</v>
      </c>
      <c r="U80" s="230" t="s">
        <v>11</v>
      </c>
      <c r="V80" s="230" t="s">
        <v>11</v>
      </c>
      <c r="W80" s="230" t="s">
        <v>11</v>
      </c>
      <c r="X80" s="230" t="s">
        <v>11</v>
      </c>
      <c r="Y80" s="230" t="s">
        <v>11</v>
      </c>
      <c r="Z80" s="230" t="s">
        <v>11</v>
      </c>
      <c r="AA80" s="230" t="s">
        <v>11</v>
      </c>
      <c r="AB80" s="230" t="s">
        <v>11</v>
      </c>
      <c r="AC80" s="230" t="s">
        <v>11</v>
      </c>
      <c r="AD80" s="28"/>
      <c r="AE80" s="28"/>
      <c r="AF80" s="24">
        <f t="shared" si="5"/>
        <v>0</v>
      </c>
      <c r="AG80" s="24">
        <f t="shared" si="6"/>
        <v>0</v>
      </c>
      <c r="AH80" s="24">
        <f t="shared" si="7"/>
        <v>14</v>
      </c>
      <c r="AI80" s="41" t="str" cm="1">
        <f t="array" ref="AI80">_xlfn.IFS(
$AF80=15,"Not Started",
$AH80&lt;15,"In Progress",
$AH80=15,"Completed",
SUM(AF80:AH80)&gt;15,"Error"
)</f>
        <v>In Progress</v>
      </c>
    </row>
    <row r="81" spans="1:35" ht="13" x14ac:dyDescent="0.25">
      <c r="A81" s="248"/>
      <c r="B81" s="7" t="s">
        <v>930</v>
      </c>
      <c r="C81" s="138" t="s">
        <v>5358</v>
      </c>
      <c r="D81" s="138" t="s">
        <v>9172</v>
      </c>
      <c r="E81" s="138" t="s">
        <v>43</v>
      </c>
      <c r="F81" s="138" t="s">
        <v>48</v>
      </c>
      <c r="G81" s="138" t="s">
        <v>5657</v>
      </c>
      <c r="H81" s="138" t="s">
        <v>5657</v>
      </c>
      <c r="I81" s="7">
        <v>21.4232169</v>
      </c>
      <c r="J81" s="7">
        <v>39.803581000000001</v>
      </c>
      <c r="K81" s="7" t="str">
        <f t="shared" si="4"/>
        <v>21.4232169,39.803581</v>
      </c>
      <c r="L81" s="138" t="s">
        <v>5553</v>
      </c>
      <c r="M81" s="138">
        <v>10053429031</v>
      </c>
      <c r="N81" s="7"/>
      <c r="O81" s="7"/>
      <c r="P81" s="230" t="s">
        <v>11</v>
      </c>
      <c r="Q81" s="230" t="s">
        <v>11</v>
      </c>
      <c r="R81" s="230" t="s">
        <v>11</v>
      </c>
      <c r="S81" s="230" t="s">
        <v>11</v>
      </c>
      <c r="T81" s="230" t="s">
        <v>11</v>
      </c>
      <c r="U81" s="230" t="s">
        <v>11</v>
      </c>
      <c r="V81" s="230" t="s">
        <v>11</v>
      </c>
      <c r="W81" s="230" t="s">
        <v>11</v>
      </c>
      <c r="X81" s="230" t="s">
        <v>11</v>
      </c>
      <c r="Y81" s="230" t="s">
        <v>11</v>
      </c>
      <c r="Z81" s="230" t="s">
        <v>11</v>
      </c>
      <c r="AA81" s="5" t="s">
        <v>11</v>
      </c>
      <c r="AB81" s="230" t="s">
        <v>11</v>
      </c>
      <c r="AC81" s="230" t="s">
        <v>11</v>
      </c>
      <c r="AD81" s="28"/>
      <c r="AE81" s="28"/>
      <c r="AF81" s="24">
        <f t="shared" si="5"/>
        <v>0</v>
      </c>
      <c r="AG81" s="24">
        <f t="shared" si="6"/>
        <v>0</v>
      </c>
      <c r="AH81" s="24">
        <f t="shared" si="7"/>
        <v>14</v>
      </c>
      <c r="AI81" s="41" t="str" cm="1">
        <f t="array" ref="AI81">_xlfn.IFS(
$AF81=15,"Not Started",
$AH81&lt;15,"In Progress",
$AH81=15,"Completed",
SUM(AF81:AH81)&gt;15,"Error"
)</f>
        <v>In Progress</v>
      </c>
    </row>
    <row r="82" spans="1:35" ht="13" x14ac:dyDescent="0.25">
      <c r="A82" s="248"/>
      <c r="B82" s="14" t="s">
        <v>931</v>
      </c>
      <c r="C82" s="138" t="s">
        <v>5359</v>
      </c>
      <c r="D82" s="138" t="s">
        <v>9173</v>
      </c>
      <c r="E82" s="138" t="s">
        <v>47</v>
      </c>
      <c r="F82" s="138" t="s">
        <v>48</v>
      </c>
      <c r="G82" s="138" t="s">
        <v>5657</v>
      </c>
      <c r="H82" s="138" t="s">
        <v>5657</v>
      </c>
      <c r="I82" s="7">
        <v>21.416329999999999</v>
      </c>
      <c r="J82" s="7">
        <v>39.857230000000001</v>
      </c>
      <c r="K82" s="7" t="str">
        <f t="shared" si="4"/>
        <v>21.41633,39.85723</v>
      </c>
      <c r="L82" s="138" t="s">
        <v>5554</v>
      </c>
      <c r="M82" s="138">
        <v>10053662690</v>
      </c>
      <c r="N82" s="7"/>
      <c r="O82" s="7"/>
      <c r="P82" s="230" t="s">
        <v>11</v>
      </c>
      <c r="Q82" s="230" t="s">
        <v>11</v>
      </c>
      <c r="R82" s="230" t="s">
        <v>11</v>
      </c>
      <c r="S82" s="230" t="s">
        <v>11</v>
      </c>
      <c r="T82" s="230" t="s">
        <v>11</v>
      </c>
      <c r="U82" s="230" t="s">
        <v>11</v>
      </c>
      <c r="V82" s="230" t="s">
        <v>11</v>
      </c>
      <c r="W82" s="230" t="s">
        <v>11</v>
      </c>
      <c r="X82" s="230" t="s">
        <v>11</v>
      </c>
      <c r="Y82" s="230" t="s">
        <v>11</v>
      </c>
      <c r="Z82" s="230" t="s">
        <v>11</v>
      </c>
      <c r="AA82" s="5" t="s">
        <v>11</v>
      </c>
      <c r="AB82" s="230" t="s">
        <v>11</v>
      </c>
      <c r="AC82" s="230" t="s">
        <v>11</v>
      </c>
      <c r="AD82" s="28"/>
      <c r="AE82" s="28"/>
      <c r="AF82" s="24">
        <f t="shared" si="5"/>
        <v>0</v>
      </c>
      <c r="AG82" s="24">
        <f t="shared" si="6"/>
        <v>0</v>
      </c>
      <c r="AH82" s="24">
        <f t="shared" si="7"/>
        <v>14</v>
      </c>
      <c r="AI82" s="41" t="str" cm="1">
        <f t="array" ref="AI82">_xlfn.IFS(
$AF82=15,"Not Started",
$AH82&lt;15,"In Progress",
$AH82=15,"Completed",
SUM(AF82:AH82)&gt;15,"Error"
)</f>
        <v>In Progress</v>
      </c>
    </row>
    <row r="83" spans="1:35" ht="13" x14ac:dyDescent="0.25">
      <c r="A83" s="248"/>
      <c r="B83" s="7" t="s">
        <v>932</v>
      </c>
      <c r="C83" s="138" t="s">
        <v>5360</v>
      </c>
      <c r="D83" s="138" t="s">
        <v>9174</v>
      </c>
      <c r="E83" s="138" t="s">
        <v>43</v>
      </c>
      <c r="F83" s="138" t="s">
        <v>48</v>
      </c>
      <c r="G83" s="138" t="s">
        <v>5657</v>
      </c>
      <c r="H83" s="138" t="s">
        <v>5657</v>
      </c>
      <c r="I83" s="7">
        <v>21.399249999999999</v>
      </c>
      <c r="J83" s="7">
        <v>39.70411</v>
      </c>
      <c r="K83" s="7" t="str">
        <f t="shared" si="4"/>
        <v>21.39925,39.70411</v>
      </c>
      <c r="L83" s="138" t="s">
        <v>5555</v>
      </c>
      <c r="M83" s="138">
        <v>10053660391</v>
      </c>
      <c r="N83" s="7"/>
      <c r="O83" s="7"/>
      <c r="P83" s="230" t="s">
        <v>11</v>
      </c>
      <c r="Q83" s="230" t="s">
        <v>11</v>
      </c>
      <c r="R83" s="230" t="s">
        <v>11</v>
      </c>
      <c r="S83" s="230" t="s">
        <v>11</v>
      </c>
      <c r="T83" s="230" t="s">
        <v>11</v>
      </c>
      <c r="U83" s="230" t="s">
        <v>11</v>
      </c>
      <c r="V83" s="230" t="s">
        <v>11</v>
      </c>
      <c r="W83" s="230" t="s">
        <v>11</v>
      </c>
      <c r="X83" s="230" t="s">
        <v>11</v>
      </c>
      <c r="Y83" s="230" t="s">
        <v>11</v>
      </c>
      <c r="Z83" s="230" t="s">
        <v>11</v>
      </c>
      <c r="AA83" s="5" t="s">
        <v>11</v>
      </c>
      <c r="AB83" s="230" t="s">
        <v>11</v>
      </c>
      <c r="AC83" s="230" t="s">
        <v>11</v>
      </c>
      <c r="AD83" s="28"/>
      <c r="AE83" s="28"/>
      <c r="AF83" s="24">
        <f t="shared" si="5"/>
        <v>0</v>
      </c>
      <c r="AG83" s="24">
        <f t="shared" si="6"/>
        <v>0</v>
      </c>
      <c r="AH83" s="24">
        <f t="shared" si="7"/>
        <v>14</v>
      </c>
      <c r="AI83" s="41" t="str" cm="1">
        <f t="array" ref="AI83">_xlfn.IFS(
$AF83=15,"Not Started",
$AH83&lt;15,"In Progress",
$AH83=15,"Completed",
SUM(AF83:AH83)&gt;15,"Error"
)</f>
        <v>In Progress</v>
      </c>
    </row>
    <row r="84" spans="1:35" ht="13" x14ac:dyDescent="0.25">
      <c r="A84" s="248"/>
      <c r="B84" s="14" t="s">
        <v>933</v>
      </c>
      <c r="C84" s="138" t="s">
        <v>5361</v>
      </c>
      <c r="D84" s="138" t="s">
        <v>9175</v>
      </c>
      <c r="E84" s="138" t="s">
        <v>47</v>
      </c>
      <c r="F84" s="138" t="s">
        <v>44</v>
      </c>
      <c r="G84" s="138" t="s">
        <v>5657</v>
      </c>
      <c r="H84" s="138" t="s">
        <v>5657</v>
      </c>
      <c r="I84" s="7">
        <v>21.448868999999998</v>
      </c>
      <c r="J84" s="7">
        <v>39.839191999999997</v>
      </c>
      <c r="K84" s="7" t="str">
        <f t="shared" si="4"/>
        <v>21.448869,39.839192</v>
      </c>
      <c r="L84" s="138" t="s">
        <v>5556</v>
      </c>
      <c r="M84" s="138">
        <v>10053429273</v>
      </c>
      <c r="N84" s="7"/>
      <c r="O84" s="7"/>
      <c r="P84" s="230" t="s">
        <v>11</v>
      </c>
      <c r="Q84" s="230" t="s">
        <v>11</v>
      </c>
      <c r="R84" s="230" t="s">
        <v>11</v>
      </c>
      <c r="S84" s="230" t="s">
        <v>11</v>
      </c>
      <c r="T84" s="230" t="s">
        <v>11</v>
      </c>
      <c r="U84" s="230" t="s">
        <v>11</v>
      </c>
      <c r="V84" s="230" t="s">
        <v>11</v>
      </c>
      <c r="W84" s="230" t="s">
        <v>11</v>
      </c>
      <c r="X84" s="230" t="s">
        <v>11</v>
      </c>
      <c r="Y84" s="230" t="s">
        <v>11</v>
      </c>
      <c r="Z84" s="230" t="s">
        <v>11</v>
      </c>
      <c r="AA84" s="230" t="s">
        <v>11</v>
      </c>
      <c r="AB84" s="230" t="s">
        <v>11</v>
      </c>
      <c r="AC84" s="230" t="s">
        <v>11</v>
      </c>
      <c r="AD84" s="28"/>
      <c r="AE84" s="28"/>
      <c r="AF84" s="24">
        <f t="shared" si="5"/>
        <v>0</v>
      </c>
      <c r="AG84" s="24">
        <f t="shared" si="6"/>
        <v>0</v>
      </c>
      <c r="AH84" s="24">
        <f t="shared" si="7"/>
        <v>14</v>
      </c>
      <c r="AI84" s="41" t="str" cm="1">
        <f t="array" ref="AI84">_xlfn.IFS(
$AF84=15,"Not Started",
$AH84&lt;15,"In Progress",
$AH84=15,"Completed",
SUM(AF84:AH84)&gt;15,"Error"
)</f>
        <v>In Progress</v>
      </c>
    </row>
    <row r="85" spans="1:35" ht="13" x14ac:dyDescent="0.25">
      <c r="A85" s="248"/>
      <c r="B85" s="7" t="s">
        <v>934</v>
      </c>
      <c r="C85" s="138" t="s">
        <v>5362</v>
      </c>
      <c r="D85" s="138" t="s">
        <v>9176</v>
      </c>
      <c r="E85" s="138" t="s">
        <v>47</v>
      </c>
      <c r="F85" s="138" t="s">
        <v>44</v>
      </c>
      <c r="G85" s="138" t="s">
        <v>5657</v>
      </c>
      <c r="H85" s="138" t="s">
        <v>5657</v>
      </c>
      <c r="I85" s="7">
        <v>21.439879999999999</v>
      </c>
      <c r="J85" s="7">
        <v>39.839779999999998</v>
      </c>
      <c r="K85" s="7" t="str">
        <f t="shared" si="4"/>
        <v>21.43988,39.83978</v>
      </c>
      <c r="L85" s="138" t="s">
        <v>5557</v>
      </c>
      <c r="M85" s="138">
        <v>10101467556</v>
      </c>
      <c r="N85" s="7"/>
      <c r="O85" s="7"/>
      <c r="P85" s="230" t="s">
        <v>11</v>
      </c>
      <c r="Q85" s="230" t="s">
        <v>11</v>
      </c>
      <c r="R85" s="230" t="s">
        <v>11</v>
      </c>
      <c r="S85" s="230" t="s">
        <v>11</v>
      </c>
      <c r="T85" s="230" t="s">
        <v>11</v>
      </c>
      <c r="U85" s="230" t="s">
        <v>11</v>
      </c>
      <c r="V85" s="230" t="s">
        <v>11</v>
      </c>
      <c r="W85" s="230" t="s">
        <v>11</v>
      </c>
      <c r="X85" s="230" t="s">
        <v>11</v>
      </c>
      <c r="Y85" s="230" t="s">
        <v>11</v>
      </c>
      <c r="Z85" s="230" t="s">
        <v>11</v>
      </c>
      <c r="AA85" s="5" t="s">
        <v>11</v>
      </c>
      <c r="AB85" s="230" t="s">
        <v>11</v>
      </c>
      <c r="AC85" s="230" t="s">
        <v>11</v>
      </c>
      <c r="AD85" s="28"/>
      <c r="AE85" s="28"/>
      <c r="AF85" s="24">
        <f t="shared" si="5"/>
        <v>0</v>
      </c>
      <c r="AG85" s="24">
        <f t="shared" si="6"/>
        <v>0</v>
      </c>
      <c r="AH85" s="24">
        <f t="shared" si="7"/>
        <v>14</v>
      </c>
      <c r="AI85" s="41" t="str" cm="1">
        <f t="array" ref="AI85">_xlfn.IFS(
$AF85=15,"Not Started",
$AH85&lt;15,"In Progress",
$AH85=15,"Completed",
SUM(AF85:AH85)&gt;15,"Error"
)</f>
        <v>In Progress</v>
      </c>
    </row>
    <row r="86" spans="1:35" ht="13" x14ac:dyDescent="0.25">
      <c r="A86" s="248"/>
      <c r="B86" s="14" t="s">
        <v>935</v>
      </c>
      <c r="C86" s="138" t="s">
        <v>5363</v>
      </c>
      <c r="D86" s="138" t="s">
        <v>9177</v>
      </c>
      <c r="E86" s="138" t="s">
        <v>47</v>
      </c>
      <c r="F86" s="138" t="s">
        <v>44</v>
      </c>
      <c r="G86" s="138" t="s">
        <v>5657</v>
      </c>
      <c r="H86" s="138" t="s">
        <v>5657</v>
      </c>
      <c r="I86" s="7">
        <v>21.431349999999998</v>
      </c>
      <c r="J86" s="7">
        <v>39.788739999999997</v>
      </c>
      <c r="K86" s="7" t="str">
        <f t="shared" si="4"/>
        <v>21.43135,39.78874</v>
      </c>
      <c r="L86" s="138" t="s">
        <v>5558</v>
      </c>
      <c r="M86" s="138">
        <v>10053330223</v>
      </c>
      <c r="N86" s="7"/>
      <c r="O86" s="7"/>
      <c r="P86" s="230" t="s">
        <v>11</v>
      </c>
      <c r="Q86" s="230" t="s">
        <v>11</v>
      </c>
      <c r="R86" s="230" t="s">
        <v>11</v>
      </c>
      <c r="S86" s="230" t="s">
        <v>11</v>
      </c>
      <c r="T86" s="230" t="s">
        <v>11</v>
      </c>
      <c r="U86" s="230" t="s">
        <v>11</v>
      </c>
      <c r="V86" s="230" t="s">
        <v>11</v>
      </c>
      <c r="W86" s="230" t="s">
        <v>11</v>
      </c>
      <c r="X86" s="230" t="s">
        <v>11</v>
      </c>
      <c r="Y86" s="230" t="s">
        <v>11</v>
      </c>
      <c r="Z86" s="230" t="s">
        <v>11</v>
      </c>
      <c r="AA86" s="5" t="s">
        <v>11</v>
      </c>
      <c r="AB86" s="230" t="s">
        <v>11</v>
      </c>
      <c r="AC86" s="230" t="s">
        <v>11</v>
      </c>
      <c r="AD86" s="28"/>
      <c r="AE86" s="28"/>
      <c r="AF86" s="24">
        <f t="shared" si="5"/>
        <v>0</v>
      </c>
      <c r="AG86" s="24">
        <f t="shared" si="6"/>
        <v>0</v>
      </c>
      <c r="AH86" s="24">
        <f t="shared" si="7"/>
        <v>14</v>
      </c>
      <c r="AI86" s="41" t="str" cm="1">
        <f t="array" ref="AI86">_xlfn.IFS(
$AF86=15,"Not Started",
$AH86&lt;15,"In Progress",
$AH86=15,"Completed",
SUM(AF86:AH86)&gt;15,"Error"
)</f>
        <v>In Progress</v>
      </c>
    </row>
    <row r="87" spans="1:35" ht="13" x14ac:dyDescent="0.25">
      <c r="A87" s="248"/>
      <c r="B87" s="7" t="s">
        <v>936</v>
      </c>
      <c r="C87" s="138" t="s">
        <v>5364</v>
      </c>
      <c r="D87" s="138" t="s">
        <v>9178</v>
      </c>
      <c r="E87" s="138" t="s">
        <v>47</v>
      </c>
      <c r="F87" s="138" t="s">
        <v>44</v>
      </c>
      <c r="G87" s="138" t="s">
        <v>5657</v>
      </c>
      <c r="H87" s="138" t="s">
        <v>5657</v>
      </c>
      <c r="I87" s="7">
        <v>21.449327</v>
      </c>
      <c r="J87" s="7">
        <v>39.861331999999997</v>
      </c>
      <c r="K87" s="7" t="str">
        <f t="shared" si="4"/>
        <v>21.449327,39.861332</v>
      </c>
      <c r="L87" s="138" t="s">
        <v>5559</v>
      </c>
      <c r="M87" s="138">
        <v>10053329410</v>
      </c>
      <c r="N87" s="7"/>
      <c r="O87" s="7"/>
      <c r="P87" s="230" t="s">
        <v>11</v>
      </c>
      <c r="Q87" s="230" t="s">
        <v>11</v>
      </c>
      <c r="R87" s="230" t="s">
        <v>11</v>
      </c>
      <c r="S87" s="230" t="s">
        <v>11</v>
      </c>
      <c r="T87" s="230" t="s">
        <v>11</v>
      </c>
      <c r="U87" s="230" t="s">
        <v>11</v>
      </c>
      <c r="V87" s="230" t="s">
        <v>11</v>
      </c>
      <c r="W87" s="230" t="s">
        <v>11</v>
      </c>
      <c r="X87" s="230" t="s">
        <v>11</v>
      </c>
      <c r="Y87" s="230" t="s">
        <v>11</v>
      </c>
      <c r="Z87" s="230" t="s">
        <v>11</v>
      </c>
      <c r="AA87" s="5" t="s">
        <v>11</v>
      </c>
      <c r="AB87" s="230" t="s">
        <v>11</v>
      </c>
      <c r="AC87" s="230" t="s">
        <v>11</v>
      </c>
      <c r="AD87" s="28"/>
      <c r="AE87" s="28"/>
      <c r="AF87" s="24">
        <f t="shared" si="5"/>
        <v>0</v>
      </c>
      <c r="AG87" s="24">
        <f t="shared" si="6"/>
        <v>0</v>
      </c>
      <c r="AH87" s="24">
        <f t="shared" si="7"/>
        <v>14</v>
      </c>
      <c r="AI87" s="41" t="str" cm="1">
        <f t="array" ref="AI87">_xlfn.IFS(
$AF87=15,"Not Started",
$AH87&lt;15,"In Progress",
$AH87=15,"Completed",
SUM(AF87:AH87)&gt;15,"Error"
)</f>
        <v>In Progress</v>
      </c>
    </row>
    <row r="88" spans="1:35" ht="13" x14ac:dyDescent="0.25">
      <c r="A88" s="248"/>
      <c r="B88" s="14" t="s">
        <v>937</v>
      </c>
      <c r="C88" s="138" t="s">
        <v>5365</v>
      </c>
      <c r="D88" s="138" t="s">
        <v>8908</v>
      </c>
      <c r="E88" s="138" t="s">
        <v>43</v>
      </c>
      <c r="F88" s="138" t="s">
        <v>48</v>
      </c>
      <c r="G88" s="138" t="s">
        <v>5657</v>
      </c>
      <c r="H88" s="138" t="s">
        <v>5657</v>
      </c>
      <c r="I88" s="7">
        <v>21.405442000000001</v>
      </c>
      <c r="J88" s="7">
        <v>39.876572000000003</v>
      </c>
      <c r="K88" s="7" t="str">
        <f t="shared" si="4"/>
        <v>21.405442,39.876572</v>
      </c>
      <c r="L88" s="138" t="s">
        <v>5560</v>
      </c>
      <c r="M88" s="138">
        <v>10053543714</v>
      </c>
      <c r="N88" s="7"/>
      <c r="O88" s="7"/>
      <c r="P88" s="230" t="s">
        <v>11</v>
      </c>
      <c r="Q88" s="230" t="s">
        <v>11</v>
      </c>
      <c r="R88" s="230" t="s">
        <v>11</v>
      </c>
      <c r="S88" s="230" t="s">
        <v>11</v>
      </c>
      <c r="T88" s="230" t="s">
        <v>11</v>
      </c>
      <c r="U88" s="230" t="s">
        <v>11</v>
      </c>
      <c r="V88" s="230" t="s">
        <v>11</v>
      </c>
      <c r="W88" s="230" t="s">
        <v>11</v>
      </c>
      <c r="X88" s="230" t="s">
        <v>11</v>
      </c>
      <c r="Y88" s="230" t="s">
        <v>11</v>
      </c>
      <c r="Z88" s="230" t="s">
        <v>11</v>
      </c>
      <c r="AA88" s="5" t="s">
        <v>11</v>
      </c>
      <c r="AB88" s="230" t="s">
        <v>11</v>
      </c>
      <c r="AC88" s="230" t="s">
        <v>11</v>
      </c>
      <c r="AD88" s="28"/>
      <c r="AE88" s="28"/>
      <c r="AF88" s="24">
        <f t="shared" si="5"/>
        <v>0</v>
      </c>
      <c r="AG88" s="24">
        <f t="shared" si="6"/>
        <v>0</v>
      </c>
      <c r="AH88" s="24">
        <f t="shared" si="7"/>
        <v>14</v>
      </c>
      <c r="AI88" s="41" t="str" cm="1">
        <f t="array" ref="AI88">_xlfn.IFS(
$AF88=15,"Not Started",
$AH88&lt;15,"In Progress",
$AH88=15,"Completed",
SUM(AF88:AH88)&gt;15,"Error"
)</f>
        <v>In Progress</v>
      </c>
    </row>
    <row r="89" spans="1:35" ht="13" x14ac:dyDescent="0.25">
      <c r="A89" s="248"/>
      <c r="B89" s="7" t="s">
        <v>938</v>
      </c>
      <c r="C89" s="138" t="s">
        <v>5366</v>
      </c>
      <c r="D89" s="138" t="s">
        <v>9179</v>
      </c>
      <c r="E89" s="138" t="s">
        <v>10347</v>
      </c>
      <c r="F89" s="138" t="s">
        <v>48</v>
      </c>
      <c r="G89" s="138" t="s">
        <v>5657</v>
      </c>
      <c r="H89" s="138" t="s">
        <v>5657</v>
      </c>
      <c r="I89" s="7">
        <v>21.445951999999998</v>
      </c>
      <c r="J89" s="7">
        <v>39.869078999999999</v>
      </c>
      <c r="K89" s="7" t="str">
        <f t="shared" si="4"/>
        <v>21.445952,39.869079</v>
      </c>
      <c r="L89" s="138" t="s">
        <v>5561</v>
      </c>
      <c r="M89" s="138">
        <v>10053602575</v>
      </c>
      <c r="N89" s="7"/>
      <c r="O89" s="7"/>
      <c r="P89" s="230" t="s">
        <v>11</v>
      </c>
      <c r="Q89" s="230" t="s">
        <v>11</v>
      </c>
      <c r="R89" s="230" t="s">
        <v>11</v>
      </c>
      <c r="S89" s="230" t="s">
        <v>11</v>
      </c>
      <c r="T89" s="230" t="s">
        <v>11</v>
      </c>
      <c r="U89" s="230" t="s">
        <v>11</v>
      </c>
      <c r="V89" s="230" t="s">
        <v>11</v>
      </c>
      <c r="W89" s="230" t="s">
        <v>11</v>
      </c>
      <c r="X89" s="230" t="s">
        <v>11</v>
      </c>
      <c r="Y89" s="230" t="s">
        <v>11</v>
      </c>
      <c r="Z89" s="230" t="s">
        <v>11</v>
      </c>
      <c r="AA89" s="230" t="s">
        <v>11</v>
      </c>
      <c r="AB89" s="230" t="s">
        <v>11</v>
      </c>
      <c r="AC89" s="230" t="s">
        <v>11</v>
      </c>
      <c r="AD89" s="28"/>
      <c r="AE89" s="28"/>
      <c r="AF89" s="24">
        <f t="shared" si="5"/>
        <v>0</v>
      </c>
      <c r="AG89" s="24">
        <f t="shared" si="6"/>
        <v>0</v>
      </c>
      <c r="AH89" s="24">
        <f t="shared" si="7"/>
        <v>14</v>
      </c>
      <c r="AI89" s="41" t="str" cm="1">
        <f t="array" ref="AI89">_xlfn.IFS(
$AF89=15,"Not Started",
$AH89&lt;15,"In Progress",
$AH89=15,"Completed",
SUM(AF89:AH89)&gt;15,"Error"
)</f>
        <v>In Progress</v>
      </c>
    </row>
    <row r="90" spans="1:35" ht="13" x14ac:dyDescent="0.25">
      <c r="A90" s="248"/>
      <c r="B90" s="14" t="s">
        <v>939</v>
      </c>
      <c r="C90" s="138" t="s">
        <v>5367</v>
      </c>
      <c r="D90" s="138" t="s">
        <v>9180</v>
      </c>
      <c r="E90" s="138" t="s">
        <v>51</v>
      </c>
      <c r="F90" s="138" t="s">
        <v>48</v>
      </c>
      <c r="G90" s="138" t="s">
        <v>5657</v>
      </c>
      <c r="H90" s="138" t="s">
        <v>5657</v>
      </c>
      <c r="I90" s="7">
        <v>21.434609999999999</v>
      </c>
      <c r="J90" s="7">
        <v>39.796869999999998</v>
      </c>
      <c r="K90" s="7" t="str">
        <f t="shared" si="4"/>
        <v>21.43461,39.79687</v>
      </c>
      <c r="L90" s="138" t="s">
        <v>5562</v>
      </c>
      <c r="M90" s="138">
        <v>10053777482</v>
      </c>
      <c r="N90" s="7"/>
      <c r="O90" s="7"/>
      <c r="P90" s="230" t="s">
        <v>11</v>
      </c>
      <c r="Q90" s="230" t="s">
        <v>11</v>
      </c>
      <c r="R90" s="230" t="s">
        <v>11</v>
      </c>
      <c r="S90" s="230" t="s">
        <v>11</v>
      </c>
      <c r="T90" s="230" t="s">
        <v>11</v>
      </c>
      <c r="U90" s="230" t="s">
        <v>11</v>
      </c>
      <c r="V90" s="230" t="s">
        <v>11</v>
      </c>
      <c r="W90" s="230" t="s">
        <v>11</v>
      </c>
      <c r="X90" s="230" t="s">
        <v>11</v>
      </c>
      <c r="Y90" s="230" t="s">
        <v>11</v>
      </c>
      <c r="Z90" s="230" t="s">
        <v>11</v>
      </c>
      <c r="AA90" s="230" t="s">
        <v>11</v>
      </c>
      <c r="AB90" s="230" t="s">
        <v>11</v>
      </c>
      <c r="AC90" s="230" t="s">
        <v>11</v>
      </c>
      <c r="AD90" s="28"/>
      <c r="AE90" s="28"/>
      <c r="AF90" s="24">
        <f t="shared" si="5"/>
        <v>0</v>
      </c>
      <c r="AG90" s="24">
        <f t="shared" si="6"/>
        <v>0</v>
      </c>
      <c r="AH90" s="24">
        <f t="shared" si="7"/>
        <v>14</v>
      </c>
      <c r="AI90" s="41" t="str" cm="1">
        <f t="array" ref="AI90">_xlfn.IFS(
$AF90=15,"Not Started",
$AH90&lt;15,"In Progress",
$AH90=15,"Completed",
SUM(AF90:AH90)&gt;15,"Error"
)</f>
        <v>In Progress</v>
      </c>
    </row>
    <row r="91" spans="1:35" ht="13" x14ac:dyDescent="0.25">
      <c r="A91" s="248"/>
      <c r="B91" s="7" t="s">
        <v>940</v>
      </c>
      <c r="C91" s="138" t="s">
        <v>5368</v>
      </c>
      <c r="D91" s="138" t="s">
        <v>9181</v>
      </c>
      <c r="E91" s="138" t="s">
        <v>43</v>
      </c>
      <c r="F91" s="138" t="s">
        <v>48</v>
      </c>
      <c r="G91" s="138" t="s">
        <v>5657</v>
      </c>
      <c r="H91" s="138" t="s">
        <v>5657</v>
      </c>
      <c r="I91" s="7">
        <v>21.414290000000001</v>
      </c>
      <c r="J91" s="7">
        <v>39.803820000000002</v>
      </c>
      <c r="K91" s="7" t="str">
        <f t="shared" si="4"/>
        <v>21.41429,39.80382</v>
      </c>
      <c r="L91" s="138" t="s">
        <v>5563</v>
      </c>
      <c r="M91" s="138">
        <v>10053233471</v>
      </c>
      <c r="N91" s="7"/>
      <c r="O91" s="7"/>
      <c r="P91" s="230" t="s">
        <v>11</v>
      </c>
      <c r="Q91" s="230" t="s">
        <v>11</v>
      </c>
      <c r="R91" s="230" t="s">
        <v>11</v>
      </c>
      <c r="S91" s="230" t="s">
        <v>11</v>
      </c>
      <c r="T91" s="230" t="s">
        <v>11</v>
      </c>
      <c r="U91" s="230" t="s">
        <v>11</v>
      </c>
      <c r="V91" s="230" t="s">
        <v>11</v>
      </c>
      <c r="W91" s="230" t="s">
        <v>11</v>
      </c>
      <c r="X91" s="230" t="s">
        <v>11</v>
      </c>
      <c r="Y91" s="230" t="s">
        <v>11</v>
      </c>
      <c r="Z91" s="230" t="s">
        <v>11</v>
      </c>
      <c r="AA91" s="5" t="s">
        <v>11</v>
      </c>
      <c r="AB91" s="230" t="s">
        <v>11</v>
      </c>
      <c r="AC91" s="230" t="s">
        <v>11</v>
      </c>
      <c r="AD91" s="28"/>
      <c r="AE91" s="28"/>
      <c r="AF91" s="24">
        <f t="shared" si="5"/>
        <v>0</v>
      </c>
      <c r="AG91" s="24">
        <f t="shared" si="6"/>
        <v>0</v>
      </c>
      <c r="AH91" s="24">
        <f t="shared" si="7"/>
        <v>14</v>
      </c>
      <c r="AI91" s="41" t="str" cm="1">
        <f t="array" ref="AI91">_xlfn.IFS(
$AF91=15,"Not Started",
$AH91&lt;15,"In Progress",
$AH91=15,"Completed",
SUM(AF91:AH91)&gt;15,"Error"
)</f>
        <v>In Progress</v>
      </c>
    </row>
    <row r="92" spans="1:35" ht="13" x14ac:dyDescent="0.25">
      <c r="A92" s="248"/>
      <c r="B92" s="14" t="s">
        <v>941</v>
      </c>
      <c r="C92" s="138" t="s">
        <v>5369</v>
      </c>
      <c r="D92" s="138" t="s">
        <v>9182</v>
      </c>
      <c r="E92" s="138" t="s">
        <v>43</v>
      </c>
      <c r="F92" s="138" t="s">
        <v>48</v>
      </c>
      <c r="G92" s="138" t="s">
        <v>5657</v>
      </c>
      <c r="H92" s="138" t="s">
        <v>5657</v>
      </c>
      <c r="I92" s="7">
        <v>21.416070000000001</v>
      </c>
      <c r="J92" s="7">
        <v>39.857410000000002</v>
      </c>
      <c r="K92" s="7" t="str">
        <f t="shared" si="4"/>
        <v>21.41607,39.85741</v>
      </c>
      <c r="L92" s="138" t="s">
        <v>5564</v>
      </c>
      <c r="M92" s="138">
        <v>10053662199</v>
      </c>
      <c r="N92" s="7"/>
      <c r="O92" s="7"/>
      <c r="P92" s="230" t="s">
        <v>11</v>
      </c>
      <c r="Q92" s="230" t="s">
        <v>11</v>
      </c>
      <c r="R92" s="230" t="s">
        <v>11</v>
      </c>
      <c r="S92" s="230" t="s">
        <v>11</v>
      </c>
      <c r="T92" s="230" t="s">
        <v>11</v>
      </c>
      <c r="U92" s="230" t="s">
        <v>11</v>
      </c>
      <c r="V92" s="230" t="s">
        <v>11</v>
      </c>
      <c r="W92" s="230" t="s">
        <v>11</v>
      </c>
      <c r="X92" s="230" t="s">
        <v>11</v>
      </c>
      <c r="Y92" s="230" t="s">
        <v>11</v>
      </c>
      <c r="Z92" s="230" t="s">
        <v>11</v>
      </c>
      <c r="AA92" s="5" t="s">
        <v>11</v>
      </c>
      <c r="AB92" s="230" t="s">
        <v>11</v>
      </c>
      <c r="AC92" s="230" t="s">
        <v>11</v>
      </c>
      <c r="AD92" s="28"/>
      <c r="AE92" s="28"/>
      <c r="AF92" s="24">
        <f t="shared" si="5"/>
        <v>0</v>
      </c>
      <c r="AG92" s="24">
        <f t="shared" si="6"/>
        <v>0</v>
      </c>
      <c r="AH92" s="24">
        <f t="shared" si="7"/>
        <v>14</v>
      </c>
      <c r="AI92" s="41" t="str" cm="1">
        <f t="array" ref="AI92">_xlfn.IFS(
$AF92=15,"Not Started",
$AH92&lt;15,"In Progress",
$AH92=15,"Completed",
SUM(AF92:AH92)&gt;15,"Error"
)</f>
        <v>In Progress</v>
      </c>
    </row>
    <row r="93" spans="1:35" ht="13" x14ac:dyDescent="0.25">
      <c r="A93" s="248"/>
      <c r="B93" s="7" t="s">
        <v>942</v>
      </c>
      <c r="C93" s="138" t="s">
        <v>5370</v>
      </c>
      <c r="D93" s="138" t="s">
        <v>9183</v>
      </c>
      <c r="E93" s="138" t="s">
        <v>51</v>
      </c>
      <c r="F93" s="138" t="s">
        <v>44</v>
      </c>
      <c r="G93" s="138" t="s">
        <v>5657</v>
      </c>
      <c r="H93" s="138" t="s">
        <v>5657</v>
      </c>
      <c r="I93" s="7">
        <v>21.442899000000001</v>
      </c>
      <c r="J93" s="7">
        <v>39.845734</v>
      </c>
      <c r="K93" s="7" t="str">
        <f t="shared" si="4"/>
        <v>21.442899,39.845734</v>
      </c>
      <c r="L93" s="138" t="s">
        <v>5565</v>
      </c>
      <c r="M93" s="138">
        <v>10053332504</v>
      </c>
      <c r="N93" s="7"/>
      <c r="O93" s="7"/>
      <c r="P93" s="230" t="s">
        <v>11</v>
      </c>
      <c r="Q93" s="230" t="s">
        <v>11</v>
      </c>
      <c r="R93" s="230" t="s">
        <v>11</v>
      </c>
      <c r="S93" s="230" t="s">
        <v>11</v>
      </c>
      <c r="T93" s="230" t="s">
        <v>11</v>
      </c>
      <c r="U93" s="230" t="s">
        <v>11</v>
      </c>
      <c r="V93" s="230" t="s">
        <v>11</v>
      </c>
      <c r="W93" s="230" t="s">
        <v>11</v>
      </c>
      <c r="X93" s="230" t="s">
        <v>11</v>
      </c>
      <c r="Y93" s="230" t="s">
        <v>11</v>
      </c>
      <c r="Z93" s="230" t="s">
        <v>11</v>
      </c>
      <c r="AA93" s="5" t="s">
        <v>11</v>
      </c>
      <c r="AB93" s="230" t="s">
        <v>11</v>
      </c>
      <c r="AC93" s="230" t="s">
        <v>11</v>
      </c>
      <c r="AD93" s="28"/>
      <c r="AE93" s="28"/>
      <c r="AF93" s="24">
        <f t="shared" si="5"/>
        <v>0</v>
      </c>
      <c r="AG93" s="24">
        <f t="shared" si="6"/>
        <v>0</v>
      </c>
      <c r="AH93" s="24">
        <f t="shared" si="7"/>
        <v>14</v>
      </c>
      <c r="AI93" s="41" t="str" cm="1">
        <f t="array" ref="AI93">_xlfn.IFS(
$AF93=15,"Not Started",
$AH93&lt;15,"In Progress",
$AH93=15,"Completed",
SUM(AF93:AH93)&gt;15,"Error"
)</f>
        <v>In Progress</v>
      </c>
    </row>
    <row r="94" spans="1:35" ht="13" x14ac:dyDescent="0.25">
      <c r="A94" s="248"/>
      <c r="B94" s="14" t="s">
        <v>943</v>
      </c>
      <c r="C94" s="138" t="s">
        <v>5371</v>
      </c>
      <c r="D94" s="138" t="s">
        <v>9184</v>
      </c>
      <c r="E94" s="138" t="s">
        <v>51</v>
      </c>
      <c r="F94" s="138" t="s">
        <v>48</v>
      </c>
      <c r="G94" s="138" t="s">
        <v>5657</v>
      </c>
      <c r="H94" s="138" t="s">
        <v>5657</v>
      </c>
      <c r="I94" s="7">
        <v>21.44595</v>
      </c>
      <c r="J94" s="7">
        <v>39.804479999999998</v>
      </c>
      <c r="K94" s="7" t="str">
        <f t="shared" si="4"/>
        <v>21.44595,39.80448</v>
      </c>
      <c r="L94" s="138" t="s">
        <v>5566</v>
      </c>
      <c r="M94" s="138">
        <v>10053331427</v>
      </c>
      <c r="N94" s="7"/>
      <c r="O94" s="7"/>
      <c r="P94" s="230" t="s">
        <v>11</v>
      </c>
      <c r="Q94" s="230" t="s">
        <v>11</v>
      </c>
      <c r="R94" s="230" t="s">
        <v>11</v>
      </c>
      <c r="S94" s="230" t="s">
        <v>11</v>
      </c>
      <c r="T94" s="230" t="s">
        <v>11</v>
      </c>
      <c r="U94" s="230" t="s">
        <v>11</v>
      </c>
      <c r="V94" s="230" t="s">
        <v>11</v>
      </c>
      <c r="W94" s="230" t="s">
        <v>11</v>
      </c>
      <c r="X94" s="230" t="s">
        <v>11</v>
      </c>
      <c r="Y94" s="230" t="s">
        <v>11</v>
      </c>
      <c r="Z94" s="230" t="s">
        <v>11</v>
      </c>
      <c r="AA94" s="5" t="s">
        <v>11</v>
      </c>
      <c r="AB94" s="230" t="s">
        <v>11</v>
      </c>
      <c r="AC94" s="230" t="s">
        <v>11</v>
      </c>
      <c r="AD94" s="28"/>
      <c r="AE94" s="28"/>
      <c r="AF94" s="24">
        <f t="shared" si="5"/>
        <v>0</v>
      </c>
      <c r="AG94" s="24">
        <f t="shared" si="6"/>
        <v>0</v>
      </c>
      <c r="AH94" s="24">
        <f t="shared" si="7"/>
        <v>14</v>
      </c>
      <c r="AI94" s="41" t="str" cm="1">
        <f t="array" ref="AI94">_xlfn.IFS(
$AF94=15,"Not Started",
$AH94&lt;15,"In Progress",
$AH94=15,"Completed",
SUM(AF94:AH94)&gt;15,"Error"
)</f>
        <v>In Progress</v>
      </c>
    </row>
    <row r="95" spans="1:35" ht="13" x14ac:dyDescent="0.25">
      <c r="A95" s="248"/>
      <c r="B95" s="7" t="s">
        <v>944</v>
      </c>
      <c r="C95" s="138" t="s">
        <v>5372</v>
      </c>
      <c r="D95" s="138" t="s">
        <v>9185</v>
      </c>
      <c r="E95" s="138" t="s">
        <v>51</v>
      </c>
      <c r="F95" s="138" t="s">
        <v>44</v>
      </c>
      <c r="G95" s="138" t="s">
        <v>5657</v>
      </c>
      <c r="H95" s="138" t="s">
        <v>5657</v>
      </c>
      <c r="I95" s="7">
        <v>21.489740000000001</v>
      </c>
      <c r="J95" s="7">
        <v>39.930562000000002</v>
      </c>
      <c r="K95" s="7" t="str">
        <f t="shared" si="4"/>
        <v>21.48974,39.930562</v>
      </c>
      <c r="L95" s="138" t="s">
        <v>5567</v>
      </c>
      <c r="M95" s="138">
        <v>10053274518</v>
      </c>
      <c r="N95" s="7"/>
      <c r="O95" s="7"/>
      <c r="P95" s="230" t="s">
        <v>11</v>
      </c>
      <c r="Q95" s="230" t="s">
        <v>11</v>
      </c>
      <c r="R95" s="230" t="s">
        <v>11</v>
      </c>
      <c r="S95" s="230" t="s">
        <v>11</v>
      </c>
      <c r="T95" s="230" t="s">
        <v>11</v>
      </c>
      <c r="U95" s="230" t="s">
        <v>11</v>
      </c>
      <c r="V95" s="230" t="s">
        <v>11</v>
      </c>
      <c r="W95" s="230" t="s">
        <v>11</v>
      </c>
      <c r="X95" s="230" t="s">
        <v>11</v>
      </c>
      <c r="Y95" s="230" t="s">
        <v>11</v>
      </c>
      <c r="Z95" s="230" t="s">
        <v>11</v>
      </c>
      <c r="AA95" s="5" t="s">
        <v>11</v>
      </c>
      <c r="AB95" s="230" t="s">
        <v>11</v>
      </c>
      <c r="AC95" s="230" t="s">
        <v>11</v>
      </c>
      <c r="AD95" s="28"/>
      <c r="AE95" s="28"/>
      <c r="AF95" s="24">
        <f t="shared" si="5"/>
        <v>0</v>
      </c>
      <c r="AG95" s="24">
        <f t="shared" si="6"/>
        <v>0</v>
      </c>
      <c r="AH95" s="24">
        <f t="shared" si="7"/>
        <v>14</v>
      </c>
      <c r="AI95" s="41" t="str" cm="1">
        <f t="array" ref="AI95">_xlfn.IFS(
$AF95=15,"Not Started",
$AH95&lt;15,"In Progress",
$AH95=15,"Completed",
SUM(AF95:AH95)&gt;15,"Error"
)</f>
        <v>In Progress</v>
      </c>
    </row>
    <row r="96" spans="1:35" ht="13" x14ac:dyDescent="0.25">
      <c r="A96" s="248"/>
      <c r="B96" s="14" t="s">
        <v>945</v>
      </c>
      <c r="C96" s="138" t="s">
        <v>5373</v>
      </c>
      <c r="D96" s="138" t="s">
        <v>9186</v>
      </c>
      <c r="E96" s="138" t="s">
        <v>47</v>
      </c>
      <c r="F96" s="138" t="s">
        <v>44</v>
      </c>
      <c r="G96" s="138" t="s">
        <v>5657</v>
      </c>
      <c r="H96" s="138" t="s">
        <v>5657</v>
      </c>
      <c r="I96" s="7">
        <v>21.413170000000001</v>
      </c>
      <c r="J96" s="7">
        <v>39.861690000000003</v>
      </c>
      <c r="K96" s="7" t="str">
        <f t="shared" si="4"/>
        <v>21.41317,39.86169</v>
      </c>
      <c r="L96" s="138" t="s">
        <v>5568</v>
      </c>
      <c r="M96" s="138">
        <v>30065950045</v>
      </c>
      <c r="N96" s="7"/>
      <c r="O96" s="7"/>
      <c r="P96" s="230" t="s">
        <v>11</v>
      </c>
      <c r="Q96" s="230" t="s">
        <v>11</v>
      </c>
      <c r="R96" s="230" t="s">
        <v>11</v>
      </c>
      <c r="S96" s="230" t="s">
        <v>11</v>
      </c>
      <c r="T96" s="230" t="s">
        <v>11</v>
      </c>
      <c r="U96" s="230" t="s">
        <v>11</v>
      </c>
      <c r="V96" s="230" t="s">
        <v>11</v>
      </c>
      <c r="W96" s="230" t="s">
        <v>11</v>
      </c>
      <c r="X96" s="230" t="s">
        <v>11</v>
      </c>
      <c r="Y96" s="230" t="s">
        <v>11</v>
      </c>
      <c r="Z96" s="230" t="s">
        <v>11</v>
      </c>
      <c r="AA96" s="5" t="s">
        <v>11</v>
      </c>
      <c r="AB96" s="230" t="s">
        <v>11</v>
      </c>
      <c r="AC96" s="230" t="s">
        <v>11</v>
      </c>
      <c r="AD96" s="28"/>
      <c r="AE96" s="28"/>
      <c r="AF96" s="24">
        <f t="shared" si="5"/>
        <v>0</v>
      </c>
      <c r="AG96" s="24">
        <f t="shared" si="6"/>
        <v>0</v>
      </c>
      <c r="AH96" s="24">
        <f t="shared" si="7"/>
        <v>14</v>
      </c>
      <c r="AI96" s="41" t="str" cm="1">
        <f t="array" ref="AI96">_xlfn.IFS(
$AF96=15,"Not Started",
$AH96&lt;15,"In Progress",
$AH96=15,"Completed",
SUM(AF96:AH96)&gt;15,"Error"
)</f>
        <v>In Progress</v>
      </c>
    </row>
    <row r="97" spans="1:35" ht="13" x14ac:dyDescent="0.25">
      <c r="A97" s="248"/>
      <c r="B97" s="7" t="s">
        <v>946</v>
      </c>
      <c r="C97" s="138" t="s">
        <v>5374</v>
      </c>
      <c r="D97" s="138" t="s">
        <v>9187</v>
      </c>
      <c r="E97" s="138" t="s">
        <v>43</v>
      </c>
      <c r="F97" s="138" t="s">
        <v>48</v>
      </c>
      <c r="G97" s="138" t="s">
        <v>5657</v>
      </c>
      <c r="H97" s="138" t="s">
        <v>5657</v>
      </c>
      <c r="I97" s="7">
        <v>21.446120000000001</v>
      </c>
      <c r="J97" s="7">
        <v>39.855502999999999</v>
      </c>
      <c r="K97" s="7" t="str">
        <f t="shared" si="4"/>
        <v>21.44612,39.855503</v>
      </c>
      <c r="L97" s="138" t="s">
        <v>5569</v>
      </c>
      <c r="M97" s="138">
        <v>10053382542</v>
      </c>
      <c r="N97" s="7"/>
      <c r="O97" s="7"/>
      <c r="P97" s="230" t="s">
        <v>11</v>
      </c>
      <c r="Q97" s="230" t="s">
        <v>11</v>
      </c>
      <c r="R97" s="230" t="s">
        <v>11</v>
      </c>
      <c r="S97" s="230" t="s">
        <v>11</v>
      </c>
      <c r="T97" s="230" t="s">
        <v>11</v>
      </c>
      <c r="U97" s="230" t="s">
        <v>11</v>
      </c>
      <c r="V97" s="230" t="s">
        <v>11</v>
      </c>
      <c r="W97" s="230" t="s">
        <v>11</v>
      </c>
      <c r="X97" s="230" t="s">
        <v>11</v>
      </c>
      <c r="Y97" s="230" t="s">
        <v>11</v>
      </c>
      <c r="Z97" s="230" t="s">
        <v>11</v>
      </c>
      <c r="AA97" s="5" t="s">
        <v>11</v>
      </c>
      <c r="AB97" s="230" t="s">
        <v>11</v>
      </c>
      <c r="AC97" s="230" t="s">
        <v>11</v>
      </c>
      <c r="AD97" s="28"/>
      <c r="AE97" s="28"/>
      <c r="AF97" s="24">
        <f t="shared" si="5"/>
        <v>0</v>
      </c>
      <c r="AG97" s="24">
        <f t="shared" si="6"/>
        <v>0</v>
      </c>
      <c r="AH97" s="24">
        <f t="shared" si="7"/>
        <v>14</v>
      </c>
      <c r="AI97" s="41" t="str" cm="1">
        <f t="array" ref="AI97">_xlfn.IFS(
$AF97=15,"Not Started",
$AH97&lt;15,"In Progress",
$AH97=15,"Completed",
SUM(AF97:AH97)&gt;15,"Error"
)</f>
        <v>In Progress</v>
      </c>
    </row>
    <row r="98" spans="1:35" ht="13" x14ac:dyDescent="0.25">
      <c r="A98" s="248"/>
      <c r="B98" s="14" t="s">
        <v>947</v>
      </c>
      <c r="C98" s="138" t="s">
        <v>5375</v>
      </c>
      <c r="D98" s="138" t="s">
        <v>9188</v>
      </c>
      <c r="E98" s="138" t="s">
        <v>52</v>
      </c>
      <c r="F98" s="138" t="s">
        <v>44</v>
      </c>
      <c r="G98" s="138" t="s">
        <v>5657</v>
      </c>
      <c r="H98" s="138" t="s">
        <v>5657</v>
      </c>
      <c r="I98" s="7">
        <v>21.433309999999999</v>
      </c>
      <c r="J98" s="7">
        <v>39.786439999999999</v>
      </c>
      <c r="K98" s="7" t="str">
        <f t="shared" si="4"/>
        <v>21.43331,39.78644</v>
      </c>
      <c r="L98" s="138" t="s">
        <v>5570</v>
      </c>
      <c r="M98" s="138">
        <v>10053328299</v>
      </c>
      <c r="N98" s="7"/>
      <c r="O98" s="7"/>
      <c r="P98" s="230" t="s">
        <v>11</v>
      </c>
      <c r="Q98" s="230" t="s">
        <v>11</v>
      </c>
      <c r="R98" s="230" t="s">
        <v>11</v>
      </c>
      <c r="S98" s="230" t="s">
        <v>11</v>
      </c>
      <c r="T98" s="230" t="s">
        <v>11</v>
      </c>
      <c r="U98" s="230" t="s">
        <v>11</v>
      </c>
      <c r="V98" s="230" t="s">
        <v>11</v>
      </c>
      <c r="W98" s="230" t="s">
        <v>11</v>
      </c>
      <c r="X98" s="230" t="s">
        <v>11</v>
      </c>
      <c r="Y98" s="230" t="s">
        <v>11</v>
      </c>
      <c r="Z98" s="230" t="s">
        <v>11</v>
      </c>
      <c r="AA98" s="5" t="s">
        <v>11</v>
      </c>
      <c r="AB98" s="230" t="s">
        <v>11</v>
      </c>
      <c r="AC98" s="230" t="s">
        <v>11</v>
      </c>
      <c r="AD98" s="28"/>
      <c r="AE98" s="28"/>
      <c r="AF98" s="24">
        <f t="shared" si="5"/>
        <v>0</v>
      </c>
      <c r="AG98" s="24">
        <f t="shared" si="6"/>
        <v>0</v>
      </c>
      <c r="AH98" s="24">
        <f t="shared" si="7"/>
        <v>14</v>
      </c>
      <c r="AI98" s="41" t="str" cm="1">
        <f t="array" ref="AI98">_xlfn.IFS(
$AF98=15,"Not Started",
$AH98&lt;15,"In Progress",
$AH98=15,"Completed",
SUM(AF98:AH98)&gt;15,"Error"
)</f>
        <v>In Progress</v>
      </c>
    </row>
    <row r="99" spans="1:35" ht="13" x14ac:dyDescent="0.25">
      <c r="A99" s="248"/>
      <c r="B99" s="7" t="s">
        <v>948</v>
      </c>
      <c r="C99" s="138" t="s">
        <v>5376</v>
      </c>
      <c r="D99" s="138" t="s">
        <v>9189</v>
      </c>
      <c r="E99" s="138" t="s">
        <v>51</v>
      </c>
      <c r="F99" s="138" t="s">
        <v>44</v>
      </c>
      <c r="G99" s="138" t="s">
        <v>5657</v>
      </c>
      <c r="H99" s="138" t="s">
        <v>5657</v>
      </c>
      <c r="I99" s="7">
        <v>21.395399999999999</v>
      </c>
      <c r="J99" s="7">
        <v>39.782170000000001</v>
      </c>
      <c r="K99" s="7" t="str">
        <f t="shared" si="4"/>
        <v>21.3954,39.78217</v>
      </c>
      <c r="L99" s="138" t="s">
        <v>5571</v>
      </c>
      <c r="M99" s="138">
        <v>10053267943</v>
      </c>
      <c r="N99" s="7"/>
      <c r="O99" s="7"/>
      <c r="P99" s="230" t="s">
        <v>11</v>
      </c>
      <c r="Q99" s="230" t="s">
        <v>11</v>
      </c>
      <c r="R99" s="230" t="s">
        <v>11</v>
      </c>
      <c r="S99" s="230" t="s">
        <v>11</v>
      </c>
      <c r="T99" s="230" t="s">
        <v>11</v>
      </c>
      <c r="U99" s="230" t="s">
        <v>11</v>
      </c>
      <c r="V99" s="230" t="s">
        <v>11</v>
      </c>
      <c r="W99" s="230" t="s">
        <v>11</v>
      </c>
      <c r="X99" s="230" t="s">
        <v>11</v>
      </c>
      <c r="Y99" s="230" t="s">
        <v>11</v>
      </c>
      <c r="Z99" s="230" t="s">
        <v>11</v>
      </c>
      <c r="AA99" s="5" t="s">
        <v>11</v>
      </c>
      <c r="AB99" s="230" t="s">
        <v>11</v>
      </c>
      <c r="AC99" s="230" t="s">
        <v>11</v>
      </c>
      <c r="AD99" s="28"/>
      <c r="AE99" s="28"/>
      <c r="AF99" s="24">
        <f t="shared" si="5"/>
        <v>0</v>
      </c>
      <c r="AG99" s="24">
        <f t="shared" si="6"/>
        <v>0</v>
      </c>
      <c r="AH99" s="24">
        <f t="shared" si="7"/>
        <v>14</v>
      </c>
      <c r="AI99" s="41" t="str" cm="1">
        <f t="array" ref="AI99">_xlfn.IFS(
$AF99=15,"Not Started",
$AH99&lt;15,"In Progress",
$AH99=15,"Completed",
SUM(AF99:AH99)&gt;15,"Error"
)</f>
        <v>In Progress</v>
      </c>
    </row>
    <row r="100" spans="1:35" ht="13" x14ac:dyDescent="0.25">
      <c r="A100" s="248"/>
      <c r="B100" s="14" t="s">
        <v>949</v>
      </c>
      <c r="C100" s="138" t="s">
        <v>5377</v>
      </c>
      <c r="D100" s="138" t="s">
        <v>9190</v>
      </c>
      <c r="E100" s="138" t="s">
        <v>43</v>
      </c>
      <c r="F100" s="138" t="s">
        <v>48</v>
      </c>
      <c r="G100" s="138" t="s">
        <v>5657</v>
      </c>
      <c r="H100" s="138" t="s">
        <v>5657</v>
      </c>
      <c r="I100" s="140">
        <v>21.400639000000002</v>
      </c>
      <c r="J100" s="140">
        <v>39.798364300000003</v>
      </c>
      <c r="K100" s="7" t="str">
        <f t="shared" si="4"/>
        <v>21.400639,39.7983643</v>
      </c>
      <c r="L100" s="138" t="s">
        <v>5572</v>
      </c>
      <c r="M100" s="138">
        <v>10096891261</v>
      </c>
      <c r="N100" s="7"/>
      <c r="O100" s="7"/>
      <c r="P100" s="230" t="s">
        <v>11</v>
      </c>
      <c r="Q100" s="230" t="s">
        <v>11</v>
      </c>
      <c r="R100" s="230" t="s">
        <v>11</v>
      </c>
      <c r="S100" s="230" t="s">
        <v>11</v>
      </c>
      <c r="T100" s="230" t="s">
        <v>11</v>
      </c>
      <c r="U100" s="230" t="s">
        <v>11</v>
      </c>
      <c r="V100" s="230" t="s">
        <v>11</v>
      </c>
      <c r="W100" s="230" t="s">
        <v>11</v>
      </c>
      <c r="X100" s="230" t="s">
        <v>11</v>
      </c>
      <c r="Y100" s="230" t="s">
        <v>11</v>
      </c>
      <c r="Z100" s="230" t="s">
        <v>11</v>
      </c>
      <c r="AA100" s="230" t="s">
        <v>11</v>
      </c>
      <c r="AB100" s="230" t="s">
        <v>11</v>
      </c>
      <c r="AC100" s="230" t="s">
        <v>11</v>
      </c>
      <c r="AD100" s="28"/>
      <c r="AE100" s="28"/>
      <c r="AF100" s="24">
        <f t="shared" si="5"/>
        <v>0</v>
      </c>
      <c r="AG100" s="24">
        <f t="shared" si="6"/>
        <v>0</v>
      </c>
      <c r="AH100" s="24">
        <f t="shared" si="7"/>
        <v>14</v>
      </c>
      <c r="AI100" s="41" t="str" cm="1">
        <f t="array" ref="AI100">_xlfn.IFS(
$AF100=15,"Not Started",
$AH100&lt;15,"In Progress",
$AH100=15,"Completed",
SUM(AF100:AH100)&gt;15,"Error"
)</f>
        <v>In Progress</v>
      </c>
    </row>
    <row r="101" spans="1:35" ht="13" x14ac:dyDescent="0.25">
      <c r="A101" s="248"/>
      <c r="B101" s="7" t="s">
        <v>950</v>
      </c>
      <c r="C101" s="227" t="s">
        <v>11245</v>
      </c>
      <c r="D101" s="3" t="s">
        <v>11246</v>
      </c>
      <c r="E101" s="138" t="s">
        <v>47</v>
      </c>
      <c r="F101" s="138" t="s">
        <v>44</v>
      </c>
      <c r="G101" s="138" t="s">
        <v>5657</v>
      </c>
      <c r="H101" s="138" t="s">
        <v>5657</v>
      </c>
      <c r="I101" s="7">
        <v>21.458269821952399</v>
      </c>
      <c r="J101" s="7">
        <v>39.967036546626801</v>
      </c>
      <c r="K101" s="7" t="str">
        <f t="shared" si="4"/>
        <v>21.4582698219524,39.9670365466268</v>
      </c>
      <c r="L101" s="138" t="s">
        <v>11255</v>
      </c>
      <c r="M101" s="138">
        <v>10053218958</v>
      </c>
      <c r="N101" s="7"/>
      <c r="O101" s="7"/>
      <c r="P101" s="230" t="s">
        <v>11</v>
      </c>
      <c r="Q101" s="230" t="s">
        <v>11</v>
      </c>
      <c r="R101" s="230" t="s">
        <v>11</v>
      </c>
      <c r="S101" s="230" t="s">
        <v>11</v>
      </c>
      <c r="T101" s="230" t="s">
        <v>11</v>
      </c>
      <c r="U101" s="230" t="s">
        <v>11</v>
      </c>
      <c r="V101" s="230" t="s">
        <v>11</v>
      </c>
      <c r="W101" s="230" t="s">
        <v>11</v>
      </c>
      <c r="X101" s="230" t="s">
        <v>11</v>
      </c>
      <c r="Y101" s="230" t="s">
        <v>11</v>
      </c>
      <c r="Z101" s="230" t="s">
        <v>11</v>
      </c>
      <c r="AA101" s="230" t="s">
        <v>11</v>
      </c>
      <c r="AB101" s="230" t="s">
        <v>11</v>
      </c>
      <c r="AC101" s="230" t="s">
        <v>11</v>
      </c>
      <c r="AD101" s="28"/>
      <c r="AE101" s="28"/>
      <c r="AF101" s="24">
        <f t="shared" si="5"/>
        <v>0</v>
      </c>
      <c r="AG101" s="24">
        <f t="shared" si="6"/>
        <v>0</v>
      </c>
      <c r="AH101" s="24">
        <f t="shared" si="7"/>
        <v>14</v>
      </c>
      <c r="AI101" s="41" t="str" cm="1">
        <f t="array" ref="AI101">_xlfn.IFS(
$AF101=15,"Not Started",
$AH101&lt;15,"In Progress",
$AH101=15,"Completed",
SUM(AF101:AH101)&gt;15,"Error"
)</f>
        <v>In Progress</v>
      </c>
    </row>
    <row r="102" spans="1:35" ht="13" x14ac:dyDescent="0.25">
      <c r="A102" s="248"/>
      <c r="B102" s="14" t="s">
        <v>951</v>
      </c>
      <c r="C102" s="138" t="s">
        <v>5378</v>
      </c>
      <c r="D102" s="138" t="s">
        <v>9191</v>
      </c>
      <c r="E102" s="138" t="s">
        <v>10347</v>
      </c>
      <c r="F102" s="138" t="s">
        <v>44</v>
      </c>
      <c r="G102" s="138" t="s">
        <v>5657</v>
      </c>
      <c r="H102" s="138" t="s">
        <v>5657</v>
      </c>
      <c r="I102" s="7">
        <v>21.45187</v>
      </c>
      <c r="J102" s="7">
        <v>39.858319999999999</v>
      </c>
      <c r="K102" s="7" t="str">
        <f t="shared" si="4"/>
        <v>21.45187,39.85832</v>
      </c>
      <c r="L102" s="138" t="s">
        <v>5573</v>
      </c>
      <c r="M102" s="138">
        <v>10053489601</v>
      </c>
      <c r="N102" s="7"/>
      <c r="O102" s="7"/>
      <c r="P102" s="230" t="s">
        <v>11</v>
      </c>
      <c r="Q102" s="230" t="s">
        <v>11</v>
      </c>
      <c r="R102" s="230" t="s">
        <v>11</v>
      </c>
      <c r="S102" s="230" t="s">
        <v>11</v>
      </c>
      <c r="T102" s="230" t="s">
        <v>11</v>
      </c>
      <c r="U102" s="230" t="s">
        <v>11</v>
      </c>
      <c r="V102" s="230" t="s">
        <v>11</v>
      </c>
      <c r="W102" s="230" t="s">
        <v>11</v>
      </c>
      <c r="X102" s="230" t="s">
        <v>11</v>
      </c>
      <c r="Y102" s="230" t="s">
        <v>11</v>
      </c>
      <c r="Z102" s="230" t="s">
        <v>11</v>
      </c>
      <c r="AA102" s="5" t="s">
        <v>11</v>
      </c>
      <c r="AB102" s="230" t="s">
        <v>11</v>
      </c>
      <c r="AC102" s="230" t="s">
        <v>11</v>
      </c>
      <c r="AD102" s="147"/>
      <c r="AE102" s="147"/>
      <c r="AF102" s="24">
        <f t="shared" si="5"/>
        <v>0</v>
      </c>
      <c r="AG102" s="24">
        <f t="shared" si="6"/>
        <v>0</v>
      </c>
      <c r="AH102" s="24">
        <f t="shared" si="7"/>
        <v>14</v>
      </c>
      <c r="AI102" s="41" t="str" cm="1">
        <f t="array" ref="AI102">_xlfn.IFS(
$AF102=15,"Not Started",
$AH102&lt;15,"In Progress",
$AH102=15,"Completed",
SUM(AF102:AH102)&gt;15,"Error"
)</f>
        <v>In Progress</v>
      </c>
    </row>
    <row r="103" spans="1:35" ht="13" x14ac:dyDescent="0.25">
      <c r="A103" s="248"/>
      <c r="B103" s="7" t="s">
        <v>952</v>
      </c>
      <c r="C103" s="138" t="s">
        <v>5379</v>
      </c>
      <c r="D103" s="138" t="s">
        <v>9192</v>
      </c>
      <c r="E103" s="138" t="s">
        <v>47</v>
      </c>
      <c r="F103" s="138" t="s">
        <v>44</v>
      </c>
      <c r="G103" s="138" t="s">
        <v>5657</v>
      </c>
      <c r="H103" s="138" t="s">
        <v>5657</v>
      </c>
      <c r="I103" s="7">
        <v>21.382480000000001</v>
      </c>
      <c r="J103" s="7">
        <v>39.820650000000001</v>
      </c>
      <c r="K103" s="7" t="str">
        <f t="shared" si="4"/>
        <v>21.38248,39.82065</v>
      </c>
      <c r="L103" s="138" t="s">
        <v>5574</v>
      </c>
      <c r="M103" s="138">
        <v>10053342224</v>
      </c>
      <c r="N103" s="7"/>
      <c r="O103" s="7"/>
      <c r="P103" s="230" t="s">
        <v>11</v>
      </c>
      <c r="Q103" s="230" t="s">
        <v>11</v>
      </c>
      <c r="R103" s="230" t="s">
        <v>11</v>
      </c>
      <c r="S103" s="230" t="s">
        <v>11</v>
      </c>
      <c r="T103" s="230" t="s">
        <v>11</v>
      </c>
      <c r="U103" s="230" t="s">
        <v>11</v>
      </c>
      <c r="V103" s="230" t="s">
        <v>11</v>
      </c>
      <c r="W103" s="230" t="s">
        <v>11</v>
      </c>
      <c r="X103" s="230" t="s">
        <v>11</v>
      </c>
      <c r="Y103" s="230" t="s">
        <v>11</v>
      </c>
      <c r="Z103" s="230" t="s">
        <v>11</v>
      </c>
      <c r="AA103" s="5" t="s">
        <v>11</v>
      </c>
      <c r="AB103" s="230" t="s">
        <v>11</v>
      </c>
      <c r="AC103" s="230" t="s">
        <v>11</v>
      </c>
      <c r="AD103" s="28"/>
      <c r="AE103" s="28"/>
      <c r="AF103" s="24">
        <f t="shared" si="5"/>
        <v>0</v>
      </c>
      <c r="AG103" s="24">
        <f t="shared" si="6"/>
        <v>0</v>
      </c>
      <c r="AH103" s="24">
        <f t="shared" si="7"/>
        <v>14</v>
      </c>
      <c r="AI103" s="41" t="str" cm="1">
        <f t="array" ref="AI103">_xlfn.IFS(
$AF103=15,"Not Started",
$AH103&lt;15,"In Progress",
$AH103=15,"Completed",
SUM(AF103:AH103)&gt;15,"Error"
)</f>
        <v>In Progress</v>
      </c>
    </row>
    <row r="104" spans="1:35" ht="13" x14ac:dyDescent="0.25">
      <c r="A104" s="248"/>
      <c r="B104" s="14" t="s">
        <v>953</v>
      </c>
      <c r="C104" s="138" t="s">
        <v>5380</v>
      </c>
      <c r="D104" s="138" t="s">
        <v>9193</v>
      </c>
      <c r="E104" s="138" t="s">
        <v>52</v>
      </c>
      <c r="F104" s="138" t="s">
        <v>48</v>
      </c>
      <c r="G104" s="138" t="s">
        <v>5657</v>
      </c>
      <c r="H104" s="138" t="s">
        <v>5657</v>
      </c>
      <c r="I104" s="7">
        <v>21.415230000000001</v>
      </c>
      <c r="J104" s="7">
        <v>39.778350000000003</v>
      </c>
      <c r="K104" s="7" t="str">
        <f t="shared" si="4"/>
        <v>21.41523,39.77835</v>
      </c>
      <c r="L104" s="138" t="s">
        <v>5575</v>
      </c>
      <c r="M104" s="138">
        <v>10053753874</v>
      </c>
      <c r="N104" s="7"/>
      <c r="O104" s="7"/>
      <c r="P104" s="230" t="s">
        <v>11</v>
      </c>
      <c r="Q104" s="230" t="s">
        <v>11</v>
      </c>
      <c r="R104" s="230" t="s">
        <v>11</v>
      </c>
      <c r="S104" s="230" t="s">
        <v>11</v>
      </c>
      <c r="T104" s="230" t="s">
        <v>11</v>
      </c>
      <c r="U104" s="230" t="s">
        <v>11</v>
      </c>
      <c r="V104" s="230" t="s">
        <v>11</v>
      </c>
      <c r="W104" s="230" t="s">
        <v>11</v>
      </c>
      <c r="X104" s="230" t="s">
        <v>11</v>
      </c>
      <c r="Y104" s="230" t="s">
        <v>11</v>
      </c>
      <c r="Z104" s="230" t="s">
        <v>11</v>
      </c>
      <c r="AA104" s="5" t="s">
        <v>11</v>
      </c>
      <c r="AB104" s="230" t="s">
        <v>11</v>
      </c>
      <c r="AC104" s="230" t="s">
        <v>11</v>
      </c>
      <c r="AD104" s="28"/>
      <c r="AE104" s="28"/>
      <c r="AF104" s="24">
        <f t="shared" si="5"/>
        <v>0</v>
      </c>
      <c r="AG104" s="24">
        <f t="shared" si="6"/>
        <v>0</v>
      </c>
      <c r="AH104" s="24">
        <f t="shared" si="7"/>
        <v>14</v>
      </c>
      <c r="AI104" s="41" t="str" cm="1">
        <f t="array" ref="AI104">_xlfn.IFS(
$AF104=15,"Not Started",
$AH104&lt;15,"In Progress",
$AH104=15,"Completed",
SUM(AF104:AH104)&gt;15,"Error"
)</f>
        <v>In Progress</v>
      </c>
    </row>
    <row r="105" spans="1:35" ht="13" x14ac:dyDescent="0.25">
      <c r="A105" s="248"/>
      <c r="B105" s="7" t="s">
        <v>954</v>
      </c>
      <c r="C105" s="138" t="s">
        <v>5381</v>
      </c>
      <c r="D105" s="138" t="s">
        <v>9194</v>
      </c>
      <c r="E105" s="138" t="s">
        <v>43</v>
      </c>
      <c r="F105" s="138" t="s">
        <v>48</v>
      </c>
      <c r="G105" s="138" t="s">
        <v>5657</v>
      </c>
      <c r="H105" s="138" t="s">
        <v>5657</v>
      </c>
      <c r="I105" s="7">
        <v>21.389040000000001</v>
      </c>
      <c r="J105" s="7">
        <v>39.789940000000001</v>
      </c>
      <c r="K105" s="7" t="str">
        <f t="shared" si="4"/>
        <v>21.38904,39.78994</v>
      </c>
      <c r="L105" s="138" t="s">
        <v>5576</v>
      </c>
      <c r="M105" s="138">
        <v>10105126027</v>
      </c>
      <c r="N105" s="7"/>
      <c r="O105" s="7"/>
      <c r="P105" s="230" t="s">
        <v>11</v>
      </c>
      <c r="Q105" s="230" t="s">
        <v>11</v>
      </c>
      <c r="R105" s="230" t="s">
        <v>11</v>
      </c>
      <c r="S105" s="230" t="s">
        <v>11</v>
      </c>
      <c r="T105" s="230" t="s">
        <v>11</v>
      </c>
      <c r="U105" s="230" t="s">
        <v>11</v>
      </c>
      <c r="V105" s="230" t="s">
        <v>11</v>
      </c>
      <c r="W105" s="230" t="s">
        <v>11</v>
      </c>
      <c r="X105" s="230" t="s">
        <v>11</v>
      </c>
      <c r="Y105" s="230" t="s">
        <v>11</v>
      </c>
      <c r="Z105" s="230" t="s">
        <v>11</v>
      </c>
      <c r="AA105" s="5" t="s">
        <v>11</v>
      </c>
      <c r="AB105" s="230" t="s">
        <v>11</v>
      </c>
      <c r="AC105" s="230" t="s">
        <v>11</v>
      </c>
      <c r="AD105" s="28"/>
      <c r="AE105" s="28"/>
      <c r="AF105" s="24">
        <f t="shared" si="5"/>
        <v>0</v>
      </c>
      <c r="AG105" s="24">
        <f t="shared" si="6"/>
        <v>0</v>
      </c>
      <c r="AH105" s="24">
        <f t="shared" si="7"/>
        <v>14</v>
      </c>
      <c r="AI105" s="41" t="str" cm="1">
        <f t="array" ref="AI105">_xlfn.IFS(
$AF105=15,"Not Started",
$AH105&lt;15,"In Progress",
$AH105=15,"Completed",
SUM(AF105:AH105)&gt;15,"Error"
)</f>
        <v>In Progress</v>
      </c>
    </row>
    <row r="106" spans="1:35" ht="13" x14ac:dyDescent="0.25">
      <c r="A106" s="248"/>
      <c r="B106" s="14" t="s">
        <v>955</v>
      </c>
      <c r="C106" s="227" t="s">
        <v>11247</v>
      </c>
      <c r="D106" s="3" t="s">
        <v>11248</v>
      </c>
      <c r="E106" s="138" t="s">
        <v>43</v>
      </c>
      <c r="F106" s="138" t="s">
        <v>48</v>
      </c>
      <c r="G106" s="138" t="s">
        <v>5657</v>
      </c>
      <c r="H106" s="138" t="s">
        <v>5657</v>
      </c>
      <c r="I106" s="7">
        <v>21.4585089074289</v>
      </c>
      <c r="J106" s="7">
        <v>39.967569136266299</v>
      </c>
      <c r="K106" s="7" t="str">
        <f t="shared" si="4"/>
        <v>21.4585089074289,39.9675691362663</v>
      </c>
      <c r="L106" s="138" t="s">
        <v>5577</v>
      </c>
      <c r="M106" s="138">
        <v>10053461360</v>
      </c>
      <c r="N106" s="7"/>
      <c r="O106" s="7"/>
      <c r="P106" s="230" t="s">
        <v>11</v>
      </c>
      <c r="Q106" s="230" t="s">
        <v>11</v>
      </c>
      <c r="R106" s="230" t="s">
        <v>11</v>
      </c>
      <c r="S106" s="230" t="s">
        <v>11</v>
      </c>
      <c r="T106" s="230" t="s">
        <v>11</v>
      </c>
      <c r="U106" s="230" t="s">
        <v>11</v>
      </c>
      <c r="V106" s="230" t="s">
        <v>11</v>
      </c>
      <c r="W106" s="230" t="s">
        <v>11</v>
      </c>
      <c r="X106" s="230" t="s">
        <v>11</v>
      </c>
      <c r="Y106" s="230" t="s">
        <v>11</v>
      </c>
      <c r="Z106" s="230" t="s">
        <v>11</v>
      </c>
      <c r="AA106" s="230" t="s">
        <v>11</v>
      </c>
      <c r="AB106" s="230" t="s">
        <v>11</v>
      </c>
      <c r="AC106" s="230" t="s">
        <v>11</v>
      </c>
      <c r="AD106" s="28"/>
      <c r="AE106" s="28"/>
      <c r="AF106" s="24">
        <f t="shared" si="5"/>
        <v>0</v>
      </c>
      <c r="AG106" s="24">
        <f t="shared" si="6"/>
        <v>0</v>
      </c>
      <c r="AH106" s="24">
        <f t="shared" si="7"/>
        <v>14</v>
      </c>
      <c r="AI106" s="41" t="str" cm="1">
        <f t="array" ref="AI106">_xlfn.IFS(
$AF106=15,"Not Started",
$AH106&lt;15,"In Progress",
$AH106=15,"Completed",
SUM(AF106:AH106)&gt;15,"Error"
)</f>
        <v>In Progress</v>
      </c>
    </row>
    <row r="107" spans="1:35" ht="13" x14ac:dyDescent="0.25">
      <c r="A107" s="248"/>
      <c r="B107" s="7" t="s">
        <v>956</v>
      </c>
      <c r="C107" s="138" t="s">
        <v>5382</v>
      </c>
      <c r="D107" s="138" t="s">
        <v>9195</v>
      </c>
      <c r="E107" s="138" t="s">
        <v>43</v>
      </c>
      <c r="F107" s="138" t="s">
        <v>44</v>
      </c>
      <c r="G107" s="138" t="s">
        <v>5657</v>
      </c>
      <c r="H107" s="138" t="s">
        <v>5657</v>
      </c>
      <c r="I107" s="7">
        <v>21.39986</v>
      </c>
      <c r="J107" s="7">
        <v>39.802390000000003</v>
      </c>
      <c r="K107" s="7" t="str">
        <f t="shared" si="4"/>
        <v>21.39986,39.80239</v>
      </c>
      <c r="L107" s="138" t="s">
        <v>5578</v>
      </c>
      <c r="M107" s="138">
        <v>10095439522</v>
      </c>
      <c r="N107" s="7"/>
      <c r="O107" s="7"/>
      <c r="P107" s="230" t="s">
        <v>11</v>
      </c>
      <c r="Q107" s="230" t="s">
        <v>11</v>
      </c>
      <c r="R107" s="230" t="s">
        <v>11</v>
      </c>
      <c r="S107" s="230" t="s">
        <v>11</v>
      </c>
      <c r="T107" s="230" t="s">
        <v>11</v>
      </c>
      <c r="U107" s="230" t="s">
        <v>11</v>
      </c>
      <c r="V107" s="230" t="s">
        <v>11</v>
      </c>
      <c r="W107" s="230" t="s">
        <v>11</v>
      </c>
      <c r="X107" s="230" t="s">
        <v>11</v>
      </c>
      <c r="Y107" s="230" t="s">
        <v>11</v>
      </c>
      <c r="Z107" s="230" t="s">
        <v>11</v>
      </c>
      <c r="AA107" s="230" t="s">
        <v>11</v>
      </c>
      <c r="AB107" s="230" t="s">
        <v>11</v>
      </c>
      <c r="AC107" s="230" t="s">
        <v>11</v>
      </c>
      <c r="AD107" s="28"/>
      <c r="AE107" s="28"/>
      <c r="AF107" s="24">
        <f t="shared" si="5"/>
        <v>0</v>
      </c>
      <c r="AG107" s="24">
        <f t="shared" si="6"/>
        <v>0</v>
      </c>
      <c r="AH107" s="24">
        <f t="shared" si="7"/>
        <v>14</v>
      </c>
      <c r="AI107" s="41" t="str" cm="1">
        <f t="array" ref="AI107">_xlfn.IFS(
$AF107=15,"Not Started",
$AH107&lt;15,"In Progress",
$AH107=15,"Completed",
SUM(AF107:AH107)&gt;15,"Error"
)</f>
        <v>In Progress</v>
      </c>
    </row>
    <row r="108" spans="1:35" ht="13" x14ac:dyDescent="0.25">
      <c r="A108" s="248"/>
      <c r="B108" s="14" t="s">
        <v>957</v>
      </c>
      <c r="C108" s="138" t="s">
        <v>5383</v>
      </c>
      <c r="D108" s="138" t="s">
        <v>9196</v>
      </c>
      <c r="E108" s="138" t="s">
        <v>43</v>
      </c>
      <c r="F108" s="138" t="s">
        <v>48</v>
      </c>
      <c r="G108" s="138" t="s">
        <v>5657</v>
      </c>
      <c r="H108" s="138" t="s">
        <v>5657</v>
      </c>
      <c r="I108" s="7">
        <v>21.472083000000001</v>
      </c>
      <c r="J108" s="7">
        <v>39.925238999999998</v>
      </c>
      <c r="K108" s="7" t="str">
        <f t="shared" si="4"/>
        <v>21.472083,39.925239</v>
      </c>
      <c r="L108" s="138" t="s">
        <v>5579</v>
      </c>
      <c r="M108" s="138">
        <v>10053578792</v>
      </c>
      <c r="N108" s="7"/>
      <c r="O108" s="7"/>
      <c r="P108" s="230" t="s">
        <v>11</v>
      </c>
      <c r="Q108" s="230" t="s">
        <v>11</v>
      </c>
      <c r="R108" s="230" t="s">
        <v>11</v>
      </c>
      <c r="S108" s="230" t="s">
        <v>11</v>
      </c>
      <c r="T108" s="230" t="s">
        <v>11</v>
      </c>
      <c r="U108" s="230" t="s">
        <v>11</v>
      </c>
      <c r="V108" s="230" t="s">
        <v>11</v>
      </c>
      <c r="W108" s="230" t="s">
        <v>11</v>
      </c>
      <c r="X108" s="230" t="s">
        <v>11</v>
      </c>
      <c r="Y108" s="230" t="s">
        <v>11</v>
      </c>
      <c r="Z108" s="230" t="s">
        <v>11</v>
      </c>
      <c r="AA108" s="230" t="s">
        <v>11</v>
      </c>
      <c r="AB108" s="230" t="s">
        <v>11</v>
      </c>
      <c r="AC108" s="230" t="s">
        <v>11</v>
      </c>
      <c r="AD108" s="28"/>
      <c r="AE108" s="28"/>
      <c r="AF108" s="24">
        <f t="shared" si="5"/>
        <v>0</v>
      </c>
      <c r="AG108" s="24">
        <f t="shared" si="6"/>
        <v>0</v>
      </c>
      <c r="AH108" s="24">
        <f t="shared" si="7"/>
        <v>14</v>
      </c>
      <c r="AI108" s="41" t="str" cm="1">
        <f t="array" ref="AI108">_xlfn.IFS(
$AF108=15,"Not Started",
$AH108&lt;15,"In Progress",
$AH108=15,"Completed",
SUM(AF108:AH108)&gt;15,"Error"
)</f>
        <v>In Progress</v>
      </c>
    </row>
    <row r="109" spans="1:35" ht="13" x14ac:dyDescent="0.25">
      <c r="A109" s="248"/>
      <c r="B109" s="7" t="s">
        <v>958</v>
      </c>
      <c r="C109" s="138" t="s">
        <v>5384</v>
      </c>
      <c r="D109" s="138" t="s">
        <v>9197</v>
      </c>
      <c r="E109" s="138" t="s">
        <v>47</v>
      </c>
      <c r="F109" s="138" t="s">
        <v>48</v>
      </c>
      <c r="G109" s="138" t="s">
        <v>5657</v>
      </c>
      <c r="H109" s="138" t="s">
        <v>5657</v>
      </c>
      <c r="I109" s="7">
        <v>21.472083000000001</v>
      </c>
      <c r="J109" s="7">
        <v>39.925238999999998</v>
      </c>
      <c r="K109" s="7" t="str">
        <f t="shared" si="4"/>
        <v>21.472083,39.925239</v>
      </c>
      <c r="L109" s="138" t="s">
        <v>5580</v>
      </c>
      <c r="M109" s="138">
        <v>10053578541</v>
      </c>
      <c r="N109" s="7"/>
      <c r="O109" s="7"/>
      <c r="P109" s="230" t="s">
        <v>11</v>
      </c>
      <c r="Q109" s="230" t="s">
        <v>11</v>
      </c>
      <c r="R109" s="230" t="s">
        <v>11</v>
      </c>
      <c r="S109" s="230" t="s">
        <v>11</v>
      </c>
      <c r="T109" s="230" t="s">
        <v>11</v>
      </c>
      <c r="U109" s="230" t="s">
        <v>11</v>
      </c>
      <c r="V109" s="230" t="s">
        <v>11</v>
      </c>
      <c r="W109" s="230" t="s">
        <v>11</v>
      </c>
      <c r="X109" s="230" t="s">
        <v>11</v>
      </c>
      <c r="Y109" s="230" t="s">
        <v>11</v>
      </c>
      <c r="Z109" s="230" t="s">
        <v>11</v>
      </c>
      <c r="AA109" s="230" t="s">
        <v>11</v>
      </c>
      <c r="AB109" s="5" t="s">
        <v>9</v>
      </c>
      <c r="AC109" s="230" t="s">
        <v>11</v>
      </c>
      <c r="AD109" s="28"/>
      <c r="AE109" s="28"/>
      <c r="AF109" s="24">
        <f t="shared" si="5"/>
        <v>1</v>
      </c>
      <c r="AG109" s="24">
        <f t="shared" si="6"/>
        <v>0</v>
      </c>
      <c r="AH109" s="24">
        <f t="shared" si="7"/>
        <v>13</v>
      </c>
      <c r="AI109" s="41" t="str" cm="1">
        <f t="array" ref="AI109">_xlfn.IFS(
$AF109=15,"Not Started",
$AH109&lt;15,"In Progress",
$AH109=15,"Completed",
SUM(AF109:AH109)&gt;15,"Error"
)</f>
        <v>In Progress</v>
      </c>
    </row>
    <row r="110" spans="1:35" ht="13" x14ac:dyDescent="0.25">
      <c r="A110" s="248"/>
      <c r="B110" s="14" t="s">
        <v>959</v>
      </c>
      <c r="C110" s="138" t="s">
        <v>5385</v>
      </c>
      <c r="D110" s="138" t="s">
        <v>9198</v>
      </c>
      <c r="E110" s="138" t="s">
        <v>51</v>
      </c>
      <c r="F110" s="138" t="s">
        <v>44</v>
      </c>
      <c r="G110" s="138" t="s">
        <v>5657</v>
      </c>
      <c r="H110" s="138" t="s">
        <v>5657</v>
      </c>
      <c r="I110" s="7">
        <v>21.429480000000002</v>
      </c>
      <c r="J110" s="7">
        <v>39.786915</v>
      </c>
      <c r="K110" s="7" t="str">
        <f t="shared" si="4"/>
        <v>21.42948,39.786915</v>
      </c>
      <c r="L110" s="138" t="s">
        <v>5581</v>
      </c>
      <c r="M110" s="138">
        <v>10053333299</v>
      </c>
      <c r="N110" s="7"/>
      <c r="O110" s="7"/>
      <c r="P110" s="230" t="s">
        <v>11</v>
      </c>
      <c r="Q110" s="230" t="s">
        <v>11</v>
      </c>
      <c r="R110" s="230" t="s">
        <v>11</v>
      </c>
      <c r="S110" s="230" t="s">
        <v>11</v>
      </c>
      <c r="T110" s="230" t="s">
        <v>11</v>
      </c>
      <c r="U110" s="230" t="s">
        <v>11</v>
      </c>
      <c r="V110" s="230" t="s">
        <v>11</v>
      </c>
      <c r="W110" s="230" t="s">
        <v>11</v>
      </c>
      <c r="X110" s="230" t="s">
        <v>11</v>
      </c>
      <c r="Y110" s="230" t="s">
        <v>11</v>
      </c>
      <c r="Z110" s="230" t="s">
        <v>11</v>
      </c>
      <c r="AA110" s="5" t="s">
        <v>11</v>
      </c>
      <c r="AB110" s="230" t="s">
        <v>11</v>
      </c>
      <c r="AC110" s="230" t="s">
        <v>11</v>
      </c>
      <c r="AD110" s="28"/>
      <c r="AE110" s="28"/>
      <c r="AF110" s="24">
        <f t="shared" si="5"/>
        <v>0</v>
      </c>
      <c r="AG110" s="24">
        <f t="shared" si="6"/>
        <v>0</v>
      </c>
      <c r="AH110" s="24">
        <f t="shared" si="7"/>
        <v>14</v>
      </c>
      <c r="AI110" s="41" t="str" cm="1">
        <f t="array" ref="AI110">_xlfn.IFS(
$AF110=15,"Not Started",
$AH110&lt;15,"In Progress",
$AH110=15,"Completed",
SUM(AF110:AH110)&gt;15,"Error"
)</f>
        <v>In Progress</v>
      </c>
    </row>
    <row r="111" spans="1:35" ht="13" x14ac:dyDescent="0.25">
      <c r="A111" s="248"/>
      <c r="B111" s="7" t="s">
        <v>960</v>
      </c>
      <c r="C111" s="138" t="s">
        <v>5386</v>
      </c>
      <c r="D111" s="138" t="s">
        <v>9199</v>
      </c>
      <c r="E111" s="138" t="s">
        <v>47</v>
      </c>
      <c r="F111" s="138" t="s">
        <v>48</v>
      </c>
      <c r="G111" s="138" t="s">
        <v>5657</v>
      </c>
      <c r="H111" s="138" t="s">
        <v>5657</v>
      </c>
      <c r="I111" s="7">
        <v>21.44087</v>
      </c>
      <c r="J111" s="7">
        <v>39.785559999999997</v>
      </c>
      <c r="K111" s="7" t="str">
        <f t="shared" si="4"/>
        <v>21.44087,39.78556</v>
      </c>
      <c r="L111" s="138" t="s">
        <v>5582</v>
      </c>
      <c r="M111" s="138">
        <v>10053194696</v>
      </c>
      <c r="N111" s="7"/>
      <c r="O111" s="7"/>
      <c r="P111" s="230" t="s">
        <v>11</v>
      </c>
      <c r="Q111" s="230" t="s">
        <v>11</v>
      </c>
      <c r="R111" s="230" t="s">
        <v>11</v>
      </c>
      <c r="S111" s="230" t="s">
        <v>11</v>
      </c>
      <c r="T111" s="230" t="s">
        <v>11</v>
      </c>
      <c r="U111" s="230" t="s">
        <v>11</v>
      </c>
      <c r="V111" s="230" t="s">
        <v>11</v>
      </c>
      <c r="W111" s="230" t="s">
        <v>11</v>
      </c>
      <c r="X111" s="230" t="s">
        <v>11</v>
      </c>
      <c r="Y111" s="230" t="s">
        <v>11</v>
      </c>
      <c r="Z111" s="230" t="s">
        <v>11</v>
      </c>
      <c r="AA111" s="5" t="s">
        <v>11</v>
      </c>
      <c r="AB111" s="230" t="s">
        <v>11</v>
      </c>
      <c r="AC111" s="230" t="s">
        <v>11</v>
      </c>
      <c r="AD111" s="28"/>
      <c r="AE111" s="28"/>
      <c r="AF111" s="24">
        <f t="shared" si="5"/>
        <v>0</v>
      </c>
      <c r="AG111" s="24">
        <f t="shared" si="6"/>
        <v>0</v>
      </c>
      <c r="AH111" s="24">
        <f t="shared" si="7"/>
        <v>14</v>
      </c>
      <c r="AI111" s="41" t="str" cm="1">
        <f t="array" ref="AI111">_xlfn.IFS(
$AF111=15,"Not Started",
$AH111&lt;15,"In Progress",
$AH111=15,"Completed",
SUM(AF111:AH111)&gt;15,"Error"
)</f>
        <v>In Progress</v>
      </c>
    </row>
    <row r="112" spans="1:35" ht="13" x14ac:dyDescent="0.25">
      <c r="A112" s="248"/>
      <c r="B112" s="14" t="s">
        <v>961</v>
      </c>
      <c r="C112" s="138" t="s">
        <v>5387</v>
      </c>
      <c r="D112" s="138" t="s">
        <v>9200</v>
      </c>
      <c r="E112" s="138" t="s">
        <v>43</v>
      </c>
      <c r="F112" s="138" t="s">
        <v>44</v>
      </c>
      <c r="G112" s="138" t="s">
        <v>5657</v>
      </c>
      <c r="H112" s="138" t="s">
        <v>5657</v>
      </c>
      <c r="I112" s="7">
        <v>21.417059999999999</v>
      </c>
      <c r="J112" s="7">
        <v>39.79318</v>
      </c>
      <c r="K112" s="7" t="str">
        <f t="shared" si="4"/>
        <v>21.41706,39.79318</v>
      </c>
      <c r="L112" s="138" t="s">
        <v>5583</v>
      </c>
      <c r="M112" s="138">
        <v>10053777025</v>
      </c>
      <c r="N112" s="7"/>
      <c r="O112" s="7"/>
      <c r="P112" s="230" t="s">
        <v>11</v>
      </c>
      <c r="Q112" s="230" t="s">
        <v>11</v>
      </c>
      <c r="R112" s="230" t="s">
        <v>11</v>
      </c>
      <c r="S112" s="230" t="s">
        <v>11</v>
      </c>
      <c r="T112" s="230" t="s">
        <v>11</v>
      </c>
      <c r="U112" s="230" t="s">
        <v>11</v>
      </c>
      <c r="V112" s="230" t="s">
        <v>11</v>
      </c>
      <c r="W112" s="230" t="s">
        <v>11</v>
      </c>
      <c r="X112" s="230" t="s">
        <v>11</v>
      </c>
      <c r="Y112" s="230" t="s">
        <v>11</v>
      </c>
      <c r="Z112" s="230" t="s">
        <v>11</v>
      </c>
      <c r="AA112" s="5" t="s">
        <v>11</v>
      </c>
      <c r="AB112" s="230" t="s">
        <v>11</v>
      </c>
      <c r="AC112" s="230" t="s">
        <v>11</v>
      </c>
      <c r="AD112" s="28"/>
      <c r="AE112" s="28"/>
      <c r="AF112" s="24">
        <f t="shared" si="5"/>
        <v>0</v>
      </c>
      <c r="AG112" s="24">
        <f t="shared" si="6"/>
        <v>0</v>
      </c>
      <c r="AH112" s="24">
        <f t="shared" si="7"/>
        <v>14</v>
      </c>
      <c r="AI112" s="41" t="str" cm="1">
        <f t="array" ref="AI112">_xlfn.IFS(
$AF112=15,"Not Started",
$AH112&lt;15,"In Progress",
$AH112=15,"Completed",
SUM(AF112:AH112)&gt;15,"Error"
)</f>
        <v>In Progress</v>
      </c>
    </row>
    <row r="113" spans="1:35" ht="13" x14ac:dyDescent="0.25">
      <c r="A113" s="248"/>
      <c r="B113" s="7" t="s">
        <v>962</v>
      </c>
      <c r="C113" s="138" t="s">
        <v>5388</v>
      </c>
      <c r="D113" s="138" t="s">
        <v>9201</v>
      </c>
      <c r="E113" s="138" t="s">
        <v>43</v>
      </c>
      <c r="F113" s="138" t="s">
        <v>44</v>
      </c>
      <c r="G113" s="138" t="s">
        <v>5657</v>
      </c>
      <c r="H113" s="138" t="s">
        <v>5657</v>
      </c>
      <c r="I113" s="7">
        <v>21.405728</v>
      </c>
      <c r="J113" s="7">
        <v>39.777203</v>
      </c>
      <c r="K113" s="7" t="str">
        <f t="shared" si="4"/>
        <v>21.405728,39.777203</v>
      </c>
      <c r="L113" s="138" t="s">
        <v>5584</v>
      </c>
      <c r="M113" s="138">
        <v>10053798938</v>
      </c>
      <c r="N113" s="7"/>
      <c r="O113" s="7"/>
      <c r="P113" s="230" t="s">
        <v>11</v>
      </c>
      <c r="Q113" s="230" t="s">
        <v>11</v>
      </c>
      <c r="R113" s="230" t="s">
        <v>11</v>
      </c>
      <c r="S113" s="230" t="s">
        <v>11</v>
      </c>
      <c r="T113" s="230" t="s">
        <v>11</v>
      </c>
      <c r="U113" s="230" t="s">
        <v>11</v>
      </c>
      <c r="V113" s="230" t="s">
        <v>11</v>
      </c>
      <c r="W113" s="230" t="s">
        <v>11</v>
      </c>
      <c r="X113" s="230" t="s">
        <v>11</v>
      </c>
      <c r="Y113" s="230" t="s">
        <v>11</v>
      </c>
      <c r="Z113" s="230" t="s">
        <v>11</v>
      </c>
      <c r="AA113" s="5" t="s">
        <v>11</v>
      </c>
      <c r="AB113" s="230" t="s">
        <v>9</v>
      </c>
      <c r="AC113" s="5" t="s">
        <v>11</v>
      </c>
      <c r="AD113" s="28"/>
      <c r="AE113" s="28"/>
      <c r="AF113" s="24">
        <f t="shared" si="5"/>
        <v>1</v>
      </c>
      <c r="AG113" s="24">
        <f t="shared" si="6"/>
        <v>0</v>
      </c>
      <c r="AH113" s="24">
        <f t="shared" si="7"/>
        <v>13</v>
      </c>
      <c r="AI113" s="41" t="str" cm="1">
        <f t="array" ref="AI113">_xlfn.IFS(
$AF113=15,"Not Started",
$AH113&lt;15,"In Progress",
$AH113=15,"Completed",
SUM(AF113:AH113)&gt;15,"Error"
)</f>
        <v>In Progress</v>
      </c>
    </row>
    <row r="114" spans="1:35" ht="13" x14ac:dyDescent="0.25">
      <c r="A114" s="248"/>
      <c r="B114" s="14" t="s">
        <v>963</v>
      </c>
      <c r="C114" s="138" t="s">
        <v>5389</v>
      </c>
      <c r="D114" s="138" t="s">
        <v>9202</v>
      </c>
      <c r="E114" s="138" t="s">
        <v>47</v>
      </c>
      <c r="F114" s="138" t="s">
        <v>48</v>
      </c>
      <c r="G114" s="138" t="s">
        <v>5657</v>
      </c>
      <c r="H114" s="138" t="s">
        <v>5657</v>
      </c>
      <c r="I114" s="7">
        <v>21.452484999999999</v>
      </c>
      <c r="J114" s="7">
        <v>39.859059000000002</v>
      </c>
      <c r="K114" s="7" t="str">
        <f t="shared" si="4"/>
        <v>21.452485,39.859059</v>
      </c>
      <c r="L114" s="138" t="s">
        <v>5585</v>
      </c>
      <c r="M114" s="138">
        <v>10053488846</v>
      </c>
      <c r="N114" s="7"/>
      <c r="O114" s="7"/>
      <c r="P114" s="230" t="s">
        <v>11</v>
      </c>
      <c r="Q114" s="230" t="s">
        <v>11</v>
      </c>
      <c r="R114" s="230" t="s">
        <v>11</v>
      </c>
      <c r="S114" s="230" t="s">
        <v>11</v>
      </c>
      <c r="T114" s="230" t="s">
        <v>11</v>
      </c>
      <c r="U114" s="230" t="s">
        <v>11</v>
      </c>
      <c r="V114" s="230" t="s">
        <v>11</v>
      </c>
      <c r="W114" s="230" t="s">
        <v>11</v>
      </c>
      <c r="X114" s="230" t="s">
        <v>11</v>
      </c>
      <c r="Y114" s="230" t="s">
        <v>11</v>
      </c>
      <c r="Z114" s="230" t="s">
        <v>11</v>
      </c>
      <c r="AA114" s="5" t="s">
        <v>11</v>
      </c>
      <c r="AB114" s="230" t="s">
        <v>11</v>
      </c>
      <c r="AC114" s="230" t="s">
        <v>11</v>
      </c>
      <c r="AD114" s="28"/>
      <c r="AE114" s="28"/>
      <c r="AF114" s="24">
        <f t="shared" si="5"/>
        <v>0</v>
      </c>
      <c r="AG114" s="24">
        <f t="shared" si="6"/>
        <v>0</v>
      </c>
      <c r="AH114" s="24">
        <f t="shared" si="7"/>
        <v>14</v>
      </c>
      <c r="AI114" s="41" t="str" cm="1">
        <f t="array" ref="AI114">_xlfn.IFS(
$AF114=15,"Not Started",
$AH114&lt;15,"In Progress",
$AH114=15,"Completed",
SUM(AF114:AH114)&gt;15,"Error"
)</f>
        <v>In Progress</v>
      </c>
    </row>
    <row r="115" spans="1:35" ht="13" x14ac:dyDescent="0.25">
      <c r="A115" s="248"/>
      <c r="B115" s="7" t="s">
        <v>964</v>
      </c>
      <c r="C115" s="138" t="s">
        <v>5390</v>
      </c>
      <c r="D115" s="138" t="s">
        <v>9203</v>
      </c>
      <c r="E115" s="138" t="s">
        <v>47</v>
      </c>
      <c r="F115" s="138" t="s">
        <v>44</v>
      </c>
      <c r="G115" s="138" t="s">
        <v>5657</v>
      </c>
      <c r="H115" s="138" t="s">
        <v>5657</v>
      </c>
      <c r="I115" s="7">
        <v>21.390512999999999</v>
      </c>
      <c r="J115" s="7">
        <v>39.804713999999997</v>
      </c>
      <c r="K115" s="7" t="str">
        <f t="shared" si="4"/>
        <v>21.390513,39.804714</v>
      </c>
      <c r="L115" s="138" t="s">
        <v>5586</v>
      </c>
      <c r="M115" s="138">
        <v>10053702768</v>
      </c>
      <c r="N115" s="7"/>
      <c r="O115" s="7"/>
      <c r="P115" s="230" t="s">
        <v>11</v>
      </c>
      <c r="Q115" s="230" t="s">
        <v>11</v>
      </c>
      <c r="R115" s="230" t="s">
        <v>11</v>
      </c>
      <c r="S115" s="230" t="s">
        <v>11</v>
      </c>
      <c r="T115" s="230" t="s">
        <v>11</v>
      </c>
      <c r="U115" s="230" t="s">
        <v>11</v>
      </c>
      <c r="V115" s="230" t="s">
        <v>11</v>
      </c>
      <c r="W115" s="230" t="s">
        <v>11</v>
      </c>
      <c r="X115" s="230" t="s">
        <v>9</v>
      </c>
      <c r="Y115" s="230" t="s">
        <v>11</v>
      </c>
      <c r="Z115" s="230" t="s">
        <v>11</v>
      </c>
      <c r="AA115" s="230" t="s">
        <v>11</v>
      </c>
      <c r="AB115" s="230" t="s">
        <v>11</v>
      </c>
      <c r="AC115" s="230" t="s">
        <v>9</v>
      </c>
      <c r="AD115" s="28"/>
      <c r="AE115" s="28"/>
      <c r="AF115" s="24">
        <f t="shared" si="5"/>
        <v>2</v>
      </c>
      <c r="AG115" s="24">
        <f t="shared" si="6"/>
        <v>0</v>
      </c>
      <c r="AH115" s="24">
        <f t="shared" si="7"/>
        <v>12</v>
      </c>
      <c r="AI115" s="41" t="str" cm="1">
        <f t="array" ref="AI115">_xlfn.IFS(
$AF115=15,"Not Started",
$AH115&lt;15,"In Progress",
$AH115=15,"Completed",
SUM(AF115:AH115)&gt;15,"Error"
)</f>
        <v>In Progress</v>
      </c>
    </row>
    <row r="116" spans="1:35" ht="13" x14ac:dyDescent="0.25">
      <c r="A116" s="248"/>
      <c r="B116" s="14" t="s">
        <v>965</v>
      </c>
      <c r="C116" s="138" t="s">
        <v>5391</v>
      </c>
      <c r="D116" s="138" t="s">
        <v>9204</v>
      </c>
      <c r="E116" s="138" t="s">
        <v>43</v>
      </c>
      <c r="F116" s="138" t="s">
        <v>44</v>
      </c>
      <c r="G116" s="138" t="s">
        <v>5657</v>
      </c>
      <c r="H116" s="138" t="s">
        <v>5657</v>
      </c>
      <c r="I116" s="7">
        <v>21.387613999999999</v>
      </c>
      <c r="J116" s="7">
        <v>39.835248</v>
      </c>
      <c r="K116" s="7" t="str">
        <f t="shared" si="4"/>
        <v>21.387614,39.835248</v>
      </c>
      <c r="L116" s="138" t="s">
        <v>5587</v>
      </c>
      <c r="M116" s="138">
        <v>10053776968</v>
      </c>
      <c r="N116" s="7"/>
      <c r="O116" s="7"/>
      <c r="P116" s="230" t="s">
        <v>11</v>
      </c>
      <c r="Q116" s="230" t="s">
        <v>11</v>
      </c>
      <c r="R116" s="230" t="s">
        <v>11</v>
      </c>
      <c r="S116" s="230" t="s">
        <v>11</v>
      </c>
      <c r="T116" s="230" t="s">
        <v>11</v>
      </c>
      <c r="U116" s="230" t="s">
        <v>11</v>
      </c>
      <c r="V116" s="230" t="s">
        <v>11</v>
      </c>
      <c r="W116" s="230" t="s">
        <v>11</v>
      </c>
      <c r="X116" s="230" t="s">
        <v>11</v>
      </c>
      <c r="Y116" s="230" t="s">
        <v>11</v>
      </c>
      <c r="Z116" s="230" t="s">
        <v>11</v>
      </c>
      <c r="AA116" s="5" t="s">
        <v>11</v>
      </c>
      <c r="AB116" s="230" t="s">
        <v>11</v>
      </c>
      <c r="AC116" s="230" t="s">
        <v>11</v>
      </c>
      <c r="AD116" s="28"/>
      <c r="AE116" s="28"/>
      <c r="AF116" s="24">
        <f t="shared" si="5"/>
        <v>0</v>
      </c>
      <c r="AG116" s="24">
        <f t="shared" si="6"/>
        <v>0</v>
      </c>
      <c r="AH116" s="24">
        <f t="shared" si="7"/>
        <v>14</v>
      </c>
      <c r="AI116" s="41" t="str" cm="1">
        <f t="array" ref="AI116">_xlfn.IFS(
$AF116=15,"Not Started",
$AH116&lt;15,"In Progress",
$AH116=15,"Completed",
SUM(AF116:AH116)&gt;15,"Error"
)</f>
        <v>In Progress</v>
      </c>
    </row>
    <row r="117" spans="1:35" ht="13" x14ac:dyDescent="0.25">
      <c r="A117" s="248"/>
      <c r="B117" s="7" t="s">
        <v>966</v>
      </c>
      <c r="C117" s="138" t="s">
        <v>5392</v>
      </c>
      <c r="D117" s="138" t="s">
        <v>9205</v>
      </c>
      <c r="E117" s="138" t="s">
        <v>43</v>
      </c>
      <c r="F117" s="138" t="s">
        <v>48</v>
      </c>
      <c r="G117" s="138" t="s">
        <v>5657</v>
      </c>
      <c r="H117" s="138" t="s">
        <v>5657</v>
      </c>
      <c r="I117" s="7">
        <v>21.43984</v>
      </c>
      <c r="J117" s="7">
        <v>39.843269999999997</v>
      </c>
      <c r="K117" s="7" t="str">
        <f t="shared" si="4"/>
        <v>21.43984,39.84327</v>
      </c>
      <c r="L117" s="138" t="s">
        <v>5588</v>
      </c>
      <c r="M117" s="138">
        <v>10053661816</v>
      </c>
      <c r="N117" s="7"/>
      <c r="O117" s="7"/>
      <c r="P117" s="230" t="s">
        <v>11</v>
      </c>
      <c r="Q117" s="230" t="s">
        <v>11</v>
      </c>
      <c r="R117" s="230" t="s">
        <v>11</v>
      </c>
      <c r="S117" s="230" t="s">
        <v>11</v>
      </c>
      <c r="T117" s="230" t="s">
        <v>11</v>
      </c>
      <c r="U117" s="230" t="s">
        <v>11</v>
      </c>
      <c r="V117" s="230" t="s">
        <v>11</v>
      </c>
      <c r="W117" s="230" t="s">
        <v>11</v>
      </c>
      <c r="X117" s="230" t="s">
        <v>11</v>
      </c>
      <c r="Y117" s="230" t="s">
        <v>11</v>
      </c>
      <c r="Z117" s="230" t="s">
        <v>11</v>
      </c>
      <c r="AA117" s="230" t="s">
        <v>11</v>
      </c>
      <c r="AB117" s="230" t="s">
        <v>11</v>
      </c>
      <c r="AC117" s="230" t="s">
        <v>11</v>
      </c>
      <c r="AD117" s="28"/>
      <c r="AE117" s="28"/>
      <c r="AF117" s="24">
        <f t="shared" si="5"/>
        <v>0</v>
      </c>
      <c r="AG117" s="24">
        <f t="shared" si="6"/>
        <v>0</v>
      </c>
      <c r="AH117" s="24">
        <f t="shared" si="7"/>
        <v>14</v>
      </c>
      <c r="AI117" s="41" t="str" cm="1">
        <f t="array" ref="AI117">_xlfn.IFS(
$AF117=15,"Not Started",
$AH117&lt;15,"In Progress",
$AH117=15,"Completed",
SUM(AF117:AH117)&gt;15,"Error"
)</f>
        <v>In Progress</v>
      </c>
    </row>
    <row r="118" spans="1:35" ht="13" x14ac:dyDescent="0.25">
      <c r="A118" s="248"/>
      <c r="B118" s="14" t="s">
        <v>967</v>
      </c>
      <c r="C118" s="138" t="s">
        <v>5393</v>
      </c>
      <c r="D118" s="138" t="s">
        <v>9206</v>
      </c>
      <c r="E118" s="138" t="s">
        <v>47</v>
      </c>
      <c r="F118" s="138" t="s">
        <v>44</v>
      </c>
      <c r="G118" s="138" t="s">
        <v>5657</v>
      </c>
      <c r="H118" s="138" t="s">
        <v>5657</v>
      </c>
      <c r="I118" s="7">
        <v>21.438244000000001</v>
      </c>
      <c r="J118" s="7">
        <v>39.804965000000003</v>
      </c>
      <c r="K118" s="7" t="str">
        <f t="shared" si="4"/>
        <v>21.438244,39.804965</v>
      </c>
      <c r="L118" s="138" t="s">
        <v>5589</v>
      </c>
      <c r="M118" s="138">
        <v>10053604892</v>
      </c>
      <c r="N118" s="7"/>
      <c r="O118" s="7"/>
      <c r="P118" s="230" t="s">
        <v>11</v>
      </c>
      <c r="Q118" s="230" t="s">
        <v>11</v>
      </c>
      <c r="R118" s="230" t="s">
        <v>11</v>
      </c>
      <c r="S118" s="230" t="s">
        <v>11</v>
      </c>
      <c r="T118" s="230" t="s">
        <v>11</v>
      </c>
      <c r="U118" s="230" t="s">
        <v>11</v>
      </c>
      <c r="V118" s="230" t="s">
        <v>11</v>
      </c>
      <c r="W118" s="230" t="s">
        <v>11</v>
      </c>
      <c r="X118" s="230" t="s">
        <v>11</v>
      </c>
      <c r="Y118" s="230" t="s">
        <v>11</v>
      </c>
      <c r="Z118" s="230" t="s">
        <v>11</v>
      </c>
      <c r="AA118" s="5" t="s">
        <v>11</v>
      </c>
      <c r="AB118" s="230" t="s">
        <v>11</v>
      </c>
      <c r="AC118" s="230" t="s">
        <v>11</v>
      </c>
      <c r="AD118" s="28"/>
      <c r="AE118" s="28"/>
      <c r="AF118" s="24">
        <f t="shared" si="5"/>
        <v>0</v>
      </c>
      <c r="AG118" s="24">
        <f t="shared" si="6"/>
        <v>0</v>
      </c>
      <c r="AH118" s="24">
        <f t="shared" si="7"/>
        <v>14</v>
      </c>
      <c r="AI118" s="41" t="str" cm="1">
        <f t="array" ref="AI118">_xlfn.IFS(
$AF118=15,"Not Started",
$AH118&lt;15,"In Progress",
$AH118=15,"Completed",
SUM(AF118:AH118)&gt;15,"Error"
)</f>
        <v>In Progress</v>
      </c>
    </row>
    <row r="119" spans="1:35" ht="13" x14ac:dyDescent="0.25">
      <c r="A119" s="248"/>
      <c r="B119" s="7" t="s">
        <v>968</v>
      </c>
      <c r="C119" s="138" t="s">
        <v>5394</v>
      </c>
      <c r="D119" s="138" t="s">
        <v>9207</v>
      </c>
      <c r="E119" s="138" t="s">
        <v>51</v>
      </c>
      <c r="F119" s="138" t="s">
        <v>44</v>
      </c>
      <c r="G119" s="138" t="s">
        <v>5657</v>
      </c>
      <c r="H119" s="138" t="s">
        <v>5657</v>
      </c>
      <c r="I119" s="7">
        <v>21.401720000000001</v>
      </c>
      <c r="J119" s="7">
        <v>39.792520000000003</v>
      </c>
      <c r="K119" s="7" t="str">
        <f t="shared" si="4"/>
        <v>21.40172,39.79252</v>
      </c>
      <c r="L119" s="138" t="s">
        <v>5590</v>
      </c>
      <c r="M119" s="138">
        <v>10053778176</v>
      </c>
      <c r="N119" s="7"/>
      <c r="O119" s="7"/>
      <c r="P119" s="230" t="s">
        <v>11</v>
      </c>
      <c r="Q119" s="230" t="s">
        <v>11</v>
      </c>
      <c r="R119" s="230" t="s">
        <v>11</v>
      </c>
      <c r="S119" s="230" t="s">
        <v>11</v>
      </c>
      <c r="T119" s="230" t="s">
        <v>11</v>
      </c>
      <c r="U119" s="230" t="s">
        <v>11</v>
      </c>
      <c r="V119" s="230" t="s">
        <v>11</v>
      </c>
      <c r="W119" s="230" t="s">
        <v>11</v>
      </c>
      <c r="X119" s="230" t="s">
        <v>11</v>
      </c>
      <c r="Y119" s="230" t="s">
        <v>11</v>
      </c>
      <c r="Z119" s="230" t="s">
        <v>11</v>
      </c>
      <c r="AA119" s="5" t="s">
        <v>11</v>
      </c>
      <c r="AB119" s="230" t="s">
        <v>11</v>
      </c>
      <c r="AC119" s="230" t="s">
        <v>11</v>
      </c>
      <c r="AD119" s="28"/>
      <c r="AE119" s="28"/>
      <c r="AF119" s="24">
        <f t="shared" si="5"/>
        <v>0</v>
      </c>
      <c r="AG119" s="24">
        <f t="shared" si="6"/>
        <v>0</v>
      </c>
      <c r="AH119" s="24">
        <f t="shared" si="7"/>
        <v>14</v>
      </c>
      <c r="AI119" s="41" t="str" cm="1">
        <f t="array" ref="AI119">_xlfn.IFS(
$AF119=15,"Not Started",
$AH119&lt;15,"In Progress",
$AH119=15,"Completed",
SUM(AF119:AH119)&gt;15,"Error"
)</f>
        <v>In Progress</v>
      </c>
    </row>
    <row r="120" spans="1:35" ht="13" x14ac:dyDescent="0.25">
      <c r="A120" s="248"/>
      <c r="B120" s="14" t="s">
        <v>969</v>
      </c>
      <c r="C120" s="138" t="s">
        <v>5395</v>
      </c>
      <c r="D120" s="138" t="s">
        <v>9208</v>
      </c>
      <c r="E120" s="138" t="s">
        <v>43</v>
      </c>
      <c r="F120" s="138" t="s">
        <v>48</v>
      </c>
      <c r="G120" s="138" t="s">
        <v>5657</v>
      </c>
      <c r="H120" s="138" t="s">
        <v>5657</v>
      </c>
      <c r="I120" s="7">
        <v>21.445875000000001</v>
      </c>
      <c r="J120" s="7">
        <v>39.855752000000003</v>
      </c>
      <c r="K120" s="7" t="str">
        <f t="shared" si="4"/>
        <v>21.445875,39.855752</v>
      </c>
      <c r="L120" s="138" t="s">
        <v>5591</v>
      </c>
      <c r="M120" s="138">
        <v>10053382776</v>
      </c>
      <c r="N120" s="7"/>
      <c r="O120" s="7"/>
      <c r="P120" s="230" t="s">
        <v>11</v>
      </c>
      <c r="Q120" s="230" t="s">
        <v>11</v>
      </c>
      <c r="R120" s="230" t="s">
        <v>11</v>
      </c>
      <c r="S120" s="230" t="s">
        <v>11</v>
      </c>
      <c r="T120" s="230" t="s">
        <v>11</v>
      </c>
      <c r="U120" s="230" t="s">
        <v>11</v>
      </c>
      <c r="V120" s="230" t="s">
        <v>11</v>
      </c>
      <c r="W120" s="230" t="s">
        <v>11</v>
      </c>
      <c r="X120" s="230" t="s">
        <v>11</v>
      </c>
      <c r="Y120" s="230" t="s">
        <v>11</v>
      </c>
      <c r="Z120" s="230" t="s">
        <v>11</v>
      </c>
      <c r="AA120" s="5" t="s">
        <v>11</v>
      </c>
      <c r="AB120" s="230" t="s">
        <v>11</v>
      </c>
      <c r="AC120" s="230" t="s">
        <v>11</v>
      </c>
      <c r="AD120" s="28"/>
      <c r="AE120" s="28"/>
      <c r="AF120" s="24">
        <f t="shared" si="5"/>
        <v>0</v>
      </c>
      <c r="AG120" s="24">
        <f t="shared" si="6"/>
        <v>0</v>
      </c>
      <c r="AH120" s="24">
        <f t="shared" si="7"/>
        <v>14</v>
      </c>
      <c r="AI120" s="41" t="str" cm="1">
        <f t="array" ref="AI120">_xlfn.IFS(
$AF120=15,"Not Started",
$AH120&lt;15,"In Progress",
$AH120=15,"Completed",
SUM(AF120:AH120)&gt;15,"Error"
)</f>
        <v>In Progress</v>
      </c>
    </row>
    <row r="121" spans="1:35" ht="13" x14ac:dyDescent="0.25">
      <c r="A121" s="248"/>
      <c r="B121" s="7" t="s">
        <v>970</v>
      </c>
      <c r="C121" s="138" t="s">
        <v>5396</v>
      </c>
      <c r="D121" s="138" t="s">
        <v>9209</v>
      </c>
      <c r="E121" s="138" t="s">
        <v>43</v>
      </c>
      <c r="F121" s="138" t="s">
        <v>48</v>
      </c>
      <c r="G121" s="138" t="s">
        <v>5657</v>
      </c>
      <c r="H121" s="138" t="s">
        <v>5657</v>
      </c>
      <c r="I121" s="7">
        <v>21.383790000000001</v>
      </c>
      <c r="J121" s="7">
        <v>39.835970000000003</v>
      </c>
      <c r="K121" s="7" t="str">
        <f t="shared" si="4"/>
        <v>21.38379,39.83597</v>
      </c>
      <c r="L121" s="138" t="s">
        <v>5592</v>
      </c>
      <c r="M121" s="138">
        <v>10053223706</v>
      </c>
      <c r="N121" s="7"/>
      <c r="O121" s="7"/>
      <c r="P121" s="230" t="s">
        <v>11</v>
      </c>
      <c r="Q121" s="230" t="s">
        <v>11</v>
      </c>
      <c r="R121" s="230" t="s">
        <v>11</v>
      </c>
      <c r="S121" s="230" t="s">
        <v>11</v>
      </c>
      <c r="T121" s="230" t="s">
        <v>11</v>
      </c>
      <c r="U121" s="230" t="s">
        <v>11</v>
      </c>
      <c r="V121" s="230" t="s">
        <v>11</v>
      </c>
      <c r="W121" s="230" t="s">
        <v>11</v>
      </c>
      <c r="X121" s="230" t="s">
        <v>11</v>
      </c>
      <c r="Y121" s="230" t="s">
        <v>11</v>
      </c>
      <c r="Z121" s="230" t="s">
        <v>11</v>
      </c>
      <c r="AA121" s="5" t="s">
        <v>11</v>
      </c>
      <c r="AB121" s="230" t="s">
        <v>11</v>
      </c>
      <c r="AC121" s="230" t="s">
        <v>11</v>
      </c>
      <c r="AD121" s="28"/>
      <c r="AE121" s="28"/>
      <c r="AF121" s="24">
        <f t="shared" si="5"/>
        <v>0</v>
      </c>
      <c r="AG121" s="24">
        <f t="shared" si="6"/>
        <v>0</v>
      </c>
      <c r="AH121" s="24">
        <f t="shared" si="7"/>
        <v>14</v>
      </c>
      <c r="AI121" s="41" t="str" cm="1">
        <f t="array" ref="AI121">_xlfn.IFS(
$AF121=15,"Not Started",
$AH121&lt;15,"In Progress",
$AH121=15,"Completed",
SUM(AF121:AH121)&gt;15,"Error"
)</f>
        <v>In Progress</v>
      </c>
    </row>
    <row r="122" spans="1:35" ht="13" x14ac:dyDescent="0.25">
      <c r="A122" s="248"/>
      <c r="B122" s="14" t="s">
        <v>971</v>
      </c>
      <c r="C122" s="138" t="s">
        <v>5397</v>
      </c>
      <c r="D122" s="138" t="s">
        <v>9210</v>
      </c>
      <c r="E122" s="138" t="s">
        <v>51</v>
      </c>
      <c r="F122" s="138" t="s">
        <v>44</v>
      </c>
      <c r="G122" s="138" t="s">
        <v>5657</v>
      </c>
      <c r="H122" s="138" t="s">
        <v>5657</v>
      </c>
      <c r="I122" s="7">
        <v>21.475159999999999</v>
      </c>
      <c r="J122" s="7">
        <v>39.841059999999999</v>
      </c>
      <c r="K122" s="7" t="str">
        <f t="shared" si="4"/>
        <v>21.47516,39.84106</v>
      </c>
      <c r="L122" s="138" t="s">
        <v>5593</v>
      </c>
      <c r="M122" s="138">
        <v>10053721487</v>
      </c>
      <c r="N122" s="7"/>
      <c r="O122" s="7"/>
      <c r="P122" s="230" t="s">
        <v>11</v>
      </c>
      <c r="Q122" s="230" t="s">
        <v>11</v>
      </c>
      <c r="R122" s="230" t="s">
        <v>11</v>
      </c>
      <c r="S122" s="230" t="s">
        <v>11</v>
      </c>
      <c r="T122" s="230" t="s">
        <v>11</v>
      </c>
      <c r="U122" s="230" t="s">
        <v>11</v>
      </c>
      <c r="V122" s="230" t="s">
        <v>11</v>
      </c>
      <c r="W122" s="230" t="s">
        <v>11</v>
      </c>
      <c r="X122" s="230" t="s">
        <v>9</v>
      </c>
      <c r="Y122" s="230" t="s">
        <v>11</v>
      </c>
      <c r="Z122" s="230" t="s">
        <v>11</v>
      </c>
      <c r="AA122" s="230" t="s">
        <v>11</v>
      </c>
      <c r="AB122" s="230" t="s">
        <v>11</v>
      </c>
      <c r="AC122" s="230" t="s">
        <v>9</v>
      </c>
      <c r="AD122" s="28"/>
      <c r="AE122" s="28"/>
      <c r="AF122" s="24">
        <f t="shared" si="5"/>
        <v>2</v>
      </c>
      <c r="AG122" s="24">
        <f t="shared" si="6"/>
        <v>0</v>
      </c>
      <c r="AH122" s="24">
        <f t="shared" si="7"/>
        <v>12</v>
      </c>
      <c r="AI122" s="41" t="str" cm="1">
        <f t="array" ref="AI122">_xlfn.IFS(
$AF122=15,"Not Started",
$AH122&lt;15,"In Progress",
$AH122=15,"Completed",
SUM(AF122:AH122)&gt;15,"Error"
)</f>
        <v>In Progress</v>
      </c>
    </row>
    <row r="123" spans="1:35" ht="13" x14ac:dyDescent="0.25">
      <c r="A123" s="248"/>
      <c r="B123" s="7" t="s">
        <v>972</v>
      </c>
      <c r="C123" s="138" t="s">
        <v>5398</v>
      </c>
      <c r="D123" s="138" t="s">
        <v>9211</v>
      </c>
      <c r="E123" s="138" t="s">
        <v>51</v>
      </c>
      <c r="F123" s="138" t="s">
        <v>44</v>
      </c>
      <c r="G123" s="138" t="s">
        <v>5657</v>
      </c>
      <c r="H123" s="138" t="s">
        <v>5657</v>
      </c>
      <c r="I123" s="7">
        <v>21.446619999999999</v>
      </c>
      <c r="J123" s="7">
        <v>39.808349999999997</v>
      </c>
      <c r="K123" s="7" t="str">
        <f t="shared" si="4"/>
        <v>21.44662,39.80835</v>
      </c>
      <c r="L123" s="138" t="s">
        <v>5594</v>
      </c>
      <c r="M123" s="138">
        <v>10053538429</v>
      </c>
      <c r="N123" s="7"/>
      <c r="O123" s="7"/>
      <c r="P123" s="230" t="s">
        <v>11</v>
      </c>
      <c r="Q123" s="230" t="s">
        <v>11</v>
      </c>
      <c r="R123" s="230" t="s">
        <v>11</v>
      </c>
      <c r="S123" s="230" t="s">
        <v>11</v>
      </c>
      <c r="T123" s="230" t="s">
        <v>11</v>
      </c>
      <c r="U123" s="230" t="s">
        <v>11</v>
      </c>
      <c r="V123" s="230" t="s">
        <v>11</v>
      </c>
      <c r="W123" s="230" t="s">
        <v>11</v>
      </c>
      <c r="X123" s="230" t="s">
        <v>11</v>
      </c>
      <c r="Y123" s="230" t="s">
        <v>11</v>
      </c>
      <c r="Z123" s="230" t="s">
        <v>11</v>
      </c>
      <c r="AA123" s="5" t="s">
        <v>11</v>
      </c>
      <c r="AB123" s="230" t="s">
        <v>9</v>
      </c>
      <c r="AC123" s="230" t="s">
        <v>11</v>
      </c>
      <c r="AD123" s="28"/>
      <c r="AE123" s="28"/>
      <c r="AF123" s="24">
        <f t="shared" si="5"/>
        <v>1</v>
      </c>
      <c r="AG123" s="24">
        <f t="shared" si="6"/>
        <v>0</v>
      </c>
      <c r="AH123" s="24">
        <f t="shared" si="7"/>
        <v>13</v>
      </c>
      <c r="AI123" s="41" t="str" cm="1">
        <f t="array" ref="AI123">_xlfn.IFS(
$AF123=15,"Not Started",
$AH123&lt;15,"In Progress",
$AH123=15,"Completed",
SUM(AF123:AH123)&gt;15,"Error"
)</f>
        <v>In Progress</v>
      </c>
    </row>
    <row r="124" spans="1:35" ht="13" x14ac:dyDescent="0.25">
      <c r="A124" s="248"/>
      <c r="B124" s="14" t="s">
        <v>973</v>
      </c>
      <c r="C124" s="138" t="s">
        <v>5399</v>
      </c>
      <c r="D124" s="138" t="s">
        <v>9212</v>
      </c>
      <c r="E124" s="138" t="s">
        <v>43</v>
      </c>
      <c r="F124" s="138" t="s">
        <v>48</v>
      </c>
      <c r="G124" s="138" t="s">
        <v>5657</v>
      </c>
      <c r="H124" s="138" t="s">
        <v>5657</v>
      </c>
      <c r="I124" s="7">
        <v>21.459707000000002</v>
      </c>
      <c r="J124" s="7">
        <v>39.843755000000002</v>
      </c>
      <c r="K124" s="7" t="str">
        <f t="shared" si="4"/>
        <v>21.459707,39.843755</v>
      </c>
      <c r="L124" s="138" t="s">
        <v>5595</v>
      </c>
      <c r="M124" s="138">
        <v>10053163653</v>
      </c>
      <c r="N124" s="7"/>
      <c r="O124" s="7"/>
      <c r="P124" s="230" t="s">
        <v>11</v>
      </c>
      <c r="Q124" s="230" t="s">
        <v>11</v>
      </c>
      <c r="R124" s="230" t="s">
        <v>11</v>
      </c>
      <c r="S124" s="230" t="s">
        <v>11</v>
      </c>
      <c r="T124" s="230" t="s">
        <v>11</v>
      </c>
      <c r="U124" s="230" t="s">
        <v>11</v>
      </c>
      <c r="V124" s="230" t="s">
        <v>11</v>
      </c>
      <c r="W124" s="230" t="s">
        <v>11</v>
      </c>
      <c r="X124" s="230" t="s">
        <v>11</v>
      </c>
      <c r="Y124" s="230" t="s">
        <v>11</v>
      </c>
      <c r="Z124" s="230" t="s">
        <v>11</v>
      </c>
      <c r="AA124" s="5" t="s">
        <v>11</v>
      </c>
      <c r="AB124" s="230" t="s">
        <v>11</v>
      </c>
      <c r="AC124" s="230" t="s">
        <v>11</v>
      </c>
      <c r="AD124" s="28"/>
      <c r="AE124" s="28"/>
      <c r="AF124" s="24">
        <f t="shared" si="5"/>
        <v>0</v>
      </c>
      <c r="AG124" s="24">
        <f t="shared" si="6"/>
        <v>0</v>
      </c>
      <c r="AH124" s="24">
        <f t="shared" si="7"/>
        <v>14</v>
      </c>
      <c r="AI124" s="41" t="str" cm="1">
        <f t="array" ref="AI124">_xlfn.IFS(
$AF124=15,"Not Started",
$AH124&lt;15,"In Progress",
$AH124=15,"Completed",
SUM(AF124:AH124)&gt;15,"Error"
)</f>
        <v>In Progress</v>
      </c>
    </row>
    <row r="125" spans="1:35" ht="13" x14ac:dyDescent="0.25">
      <c r="A125" s="248"/>
      <c r="B125" s="7" t="s">
        <v>974</v>
      </c>
      <c r="C125" s="138" t="s">
        <v>5400</v>
      </c>
      <c r="D125" s="138" t="s">
        <v>9213</v>
      </c>
      <c r="E125" s="138" t="s">
        <v>47</v>
      </c>
      <c r="F125" s="138" t="s">
        <v>48</v>
      </c>
      <c r="G125" s="138" t="s">
        <v>5657</v>
      </c>
      <c r="H125" s="138" t="s">
        <v>5657</v>
      </c>
      <c r="I125" s="7">
        <v>21.42728</v>
      </c>
      <c r="J125" s="7">
        <v>39.784350000000003</v>
      </c>
      <c r="K125" s="7" t="str">
        <f t="shared" si="4"/>
        <v>21.42728,39.78435</v>
      </c>
      <c r="L125" s="138" t="s">
        <v>5596</v>
      </c>
      <c r="M125" s="138">
        <v>10053377918</v>
      </c>
      <c r="N125" s="7"/>
      <c r="O125" s="7"/>
      <c r="P125" s="230" t="s">
        <v>11</v>
      </c>
      <c r="Q125" s="230" t="s">
        <v>11</v>
      </c>
      <c r="R125" s="230" t="s">
        <v>11</v>
      </c>
      <c r="S125" s="230" t="s">
        <v>11</v>
      </c>
      <c r="T125" s="230" t="s">
        <v>11</v>
      </c>
      <c r="U125" s="230" t="s">
        <v>11</v>
      </c>
      <c r="V125" s="230" t="s">
        <v>11</v>
      </c>
      <c r="W125" s="230" t="s">
        <v>11</v>
      </c>
      <c r="X125" s="230" t="s">
        <v>11</v>
      </c>
      <c r="Y125" s="230" t="s">
        <v>11</v>
      </c>
      <c r="Z125" s="230" t="s">
        <v>11</v>
      </c>
      <c r="AA125" s="5" t="s">
        <v>11</v>
      </c>
      <c r="AB125" s="230" t="s">
        <v>11</v>
      </c>
      <c r="AC125" s="230" t="s">
        <v>11</v>
      </c>
      <c r="AD125" s="28"/>
      <c r="AE125" s="28"/>
      <c r="AF125" s="24">
        <f t="shared" si="5"/>
        <v>0</v>
      </c>
      <c r="AG125" s="24">
        <f t="shared" si="6"/>
        <v>0</v>
      </c>
      <c r="AH125" s="24">
        <f t="shared" si="7"/>
        <v>14</v>
      </c>
      <c r="AI125" s="41" t="str" cm="1">
        <f t="array" ref="AI125">_xlfn.IFS(
$AF125=15,"Not Started",
$AH125&lt;15,"In Progress",
$AH125=15,"Completed",
SUM(AF125:AH125)&gt;15,"Error"
)</f>
        <v>In Progress</v>
      </c>
    </row>
    <row r="126" spans="1:35" ht="13" x14ac:dyDescent="0.25">
      <c r="A126" s="248"/>
      <c r="B126" s="14" t="s">
        <v>975</v>
      </c>
      <c r="C126" s="138" t="s">
        <v>5401</v>
      </c>
      <c r="D126" s="138" t="s">
        <v>9214</v>
      </c>
      <c r="E126" s="138" t="s">
        <v>43</v>
      </c>
      <c r="F126" s="138" t="s">
        <v>44</v>
      </c>
      <c r="G126" s="138" t="s">
        <v>5657</v>
      </c>
      <c r="H126" s="138" t="s">
        <v>5657</v>
      </c>
      <c r="I126" s="7">
        <v>21.449092</v>
      </c>
      <c r="J126" s="7">
        <v>39.861789999999999</v>
      </c>
      <c r="K126" s="7" t="str">
        <f t="shared" si="4"/>
        <v>21.449092,39.86179</v>
      </c>
      <c r="L126" s="138" t="s">
        <v>5597</v>
      </c>
      <c r="M126" s="138">
        <v>10053329170</v>
      </c>
      <c r="N126" s="7"/>
      <c r="O126" s="7"/>
      <c r="P126" s="230" t="s">
        <v>11</v>
      </c>
      <c r="Q126" s="230" t="s">
        <v>11</v>
      </c>
      <c r="R126" s="230" t="s">
        <v>11</v>
      </c>
      <c r="S126" s="230" t="s">
        <v>11</v>
      </c>
      <c r="T126" s="230" t="s">
        <v>11</v>
      </c>
      <c r="U126" s="230" t="s">
        <v>11</v>
      </c>
      <c r="V126" s="230" t="s">
        <v>11</v>
      </c>
      <c r="W126" s="230" t="s">
        <v>11</v>
      </c>
      <c r="X126" s="230" t="s">
        <v>11</v>
      </c>
      <c r="Y126" s="230" t="s">
        <v>11</v>
      </c>
      <c r="Z126" s="230" t="s">
        <v>11</v>
      </c>
      <c r="AA126" s="5" t="s">
        <v>11</v>
      </c>
      <c r="AB126" s="230" t="s">
        <v>11</v>
      </c>
      <c r="AC126" s="230" t="s">
        <v>11</v>
      </c>
      <c r="AD126" s="28"/>
      <c r="AE126" s="28"/>
      <c r="AF126" s="24">
        <f t="shared" si="5"/>
        <v>0</v>
      </c>
      <c r="AG126" s="24">
        <f t="shared" si="6"/>
        <v>0</v>
      </c>
      <c r="AH126" s="24">
        <f t="shared" si="7"/>
        <v>14</v>
      </c>
      <c r="AI126" s="41" t="str" cm="1">
        <f t="array" ref="AI126">_xlfn.IFS(
$AF126=15,"Not Started",
$AH126&lt;15,"In Progress",
$AH126=15,"Completed",
SUM(AF126:AH126)&gt;15,"Error"
)</f>
        <v>In Progress</v>
      </c>
    </row>
    <row r="127" spans="1:35" ht="13" x14ac:dyDescent="0.25">
      <c r="A127" s="248"/>
      <c r="B127" s="7" t="s">
        <v>976</v>
      </c>
      <c r="C127" s="138" t="s">
        <v>5402</v>
      </c>
      <c r="D127" s="138" t="s">
        <v>9215</v>
      </c>
      <c r="E127" s="138" t="s">
        <v>43</v>
      </c>
      <c r="F127" s="138" t="s">
        <v>44</v>
      </c>
      <c r="G127" s="138" t="s">
        <v>5657</v>
      </c>
      <c r="H127" s="138" t="s">
        <v>5657</v>
      </c>
      <c r="I127" s="7">
        <v>21.403040000000001</v>
      </c>
      <c r="J127" s="7">
        <v>39.785960000000003</v>
      </c>
      <c r="K127" s="7" t="str">
        <f t="shared" si="4"/>
        <v>21.40304,39.78596</v>
      </c>
      <c r="L127" s="138" t="s">
        <v>5598</v>
      </c>
      <c r="M127" s="138">
        <v>10053716576</v>
      </c>
      <c r="N127" s="7"/>
      <c r="O127" s="7"/>
      <c r="P127" s="230" t="s">
        <v>11</v>
      </c>
      <c r="Q127" s="230" t="s">
        <v>11</v>
      </c>
      <c r="R127" s="230" t="s">
        <v>11</v>
      </c>
      <c r="S127" s="230" t="s">
        <v>11</v>
      </c>
      <c r="T127" s="230" t="s">
        <v>11</v>
      </c>
      <c r="U127" s="230" t="s">
        <v>11</v>
      </c>
      <c r="V127" s="230" t="s">
        <v>11</v>
      </c>
      <c r="W127" s="230" t="s">
        <v>11</v>
      </c>
      <c r="X127" s="230" t="s">
        <v>11</v>
      </c>
      <c r="Y127" s="230" t="s">
        <v>11</v>
      </c>
      <c r="Z127" s="230" t="s">
        <v>11</v>
      </c>
      <c r="AA127" s="230" t="s">
        <v>11</v>
      </c>
      <c r="AB127" s="230" t="s">
        <v>11</v>
      </c>
      <c r="AC127" s="230" t="s">
        <v>11</v>
      </c>
      <c r="AD127" s="28"/>
      <c r="AE127" s="28"/>
      <c r="AF127" s="24">
        <f t="shared" si="5"/>
        <v>0</v>
      </c>
      <c r="AG127" s="24">
        <f t="shared" si="6"/>
        <v>0</v>
      </c>
      <c r="AH127" s="24">
        <f t="shared" si="7"/>
        <v>14</v>
      </c>
      <c r="AI127" s="41" t="str" cm="1">
        <f t="array" ref="AI127">_xlfn.IFS(
$AF127=15,"Not Started",
$AH127&lt;15,"In Progress",
$AH127=15,"Completed",
SUM(AF127:AH127)&gt;15,"Error"
)</f>
        <v>In Progress</v>
      </c>
    </row>
    <row r="128" spans="1:35" ht="13" x14ac:dyDescent="0.25">
      <c r="A128" s="248"/>
      <c r="B128" s="14" t="s">
        <v>977</v>
      </c>
      <c r="C128" s="138" t="s">
        <v>5403</v>
      </c>
      <c r="D128" s="138" t="s">
        <v>9216</v>
      </c>
      <c r="E128" s="138" t="s">
        <v>47</v>
      </c>
      <c r="F128" s="138" t="s">
        <v>44</v>
      </c>
      <c r="G128" s="138" t="s">
        <v>5657</v>
      </c>
      <c r="H128" s="138" t="s">
        <v>5657</v>
      </c>
      <c r="I128" s="7">
        <v>21.483420020707001</v>
      </c>
      <c r="J128" s="140">
        <v>39.795895577284099</v>
      </c>
      <c r="K128" s="7" t="str">
        <f t="shared" si="4"/>
        <v>21.483420020707,39.7958955772841</v>
      </c>
      <c r="L128" s="138" t="s">
        <v>5599</v>
      </c>
      <c r="M128" s="138">
        <v>10053715990</v>
      </c>
      <c r="N128" s="7"/>
      <c r="O128" s="7"/>
      <c r="P128" s="230" t="s">
        <v>11</v>
      </c>
      <c r="Q128" s="230" t="s">
        <v>11</v>
      </c>
      <c r="R128" s="230" t="s">
        <v>11</v>
      </c>
      <c r="S128" s="230" t="s">
        <v>11</v>
      </c>
      <c r="T128" s="230" t="s">
        <v>11</v>
      </c>
      <c r="U128" s="230" t="s">
        <v>11</v>
      </c>
      <c r="V128" s="230" t="s">
        <v>11</v>
      </c>
      <c r="W128" s="230" t="s">
        <v>11</v>
      </c>
      <c r="X128" s="230" t="s">
        <v>11</v>
      </c>
      <c r="Y128" s="230" t="s">
        <v>11</v>
      </c>
      <c r="Z128" s="230" t="s">
        <v>11</v>
      </c>
      <c r="AA128" s="230" t="s">
        <v>11</v>
      </c>
      <c r="AB128" s="230" t="s">
        <v>11</v>
      </c>
      <c r="AC128" s="230" t="s">
        <v>11</v>
      </c>
      <c r="AD128" s="28"/>
      <c r="AE128" s="28"/>
      <c r="AF128" s="24">
        <f t="shared" si="5"/>
        <v>0</v>
      </c>
      <c r="AG128" s="24">
        <f t="shared" si="6"/>
        <v>0</v>
      </c>
      <c r="AH128" s="24">
        <f t="shared" si="7"/>
        <v>14</v>
      </c>
      <c r="AI128" s="41" t="str" cm="1">
        <f t="array" ref="AI128">_xlfn.IFS(
$AF128=15,"Not Started",
$AH128&lt;15,"In Progress",
$AH128=15,"Completed",
SUM(AF128:AH128)&gt;15,"Error"
)</f>
        <v>In Progress</v>
      </c>
    </row>
    <row r="129" spans="1:35" ht="13" x14ac:dyDescent="0.25">
      <c r="A129" s="248"/>
      <c r="B129" s="7" t="s">
        <v>978</v>
      </c>
      <c r="C129" s="138" t="s">
        <v>5404</v>
      </c>
      <c r="D129" s="138" t="s">
        <v>9217</v>
      </c>
      <c r="E129" s="138" t="s">
        <v>43</v>
      </c>
      <c r="F129" s="138" t="s">
        <v>48</v>
      </c>
      <c r="G129" s="138" t="s">
        <v>5657</v>
      </c>
      <c r="H129" s="138" t="s">
        <v>5657</v>
      </c>
      <c r="I129" s="7">
        <v>21.445487</v>
      </c>
      <c r="J129" s="7">
        <v>39.804341000000001</v>
      </c>
      <c r="K129" s="7" t="str">
        <f t="shared" si="4"/>
        <v>21.445487,39.804341</v>
      </c>
      <c r="L129" s="138" t="s">
        <v>5600</v>
      </c>
      <c r="M129" s="138">
        <v>10053330911</v>
      </c>
      <c r="N129" s="7"/>
      <c r="O129" s="7"/>
      <c r="P129" s="230" t="s">
        <v>11</v>
      </c>
      <c r="Q129" s="230" t="s">
        <v>11</v>
      </c>
      <c r="R129" s="230" t="s">
        <v>11</v>
      </c>
      <c r="S129" s="230" t="s">
        <v>11</v>
      </c>
      <c r="T129" s="230" t="s">
        <v>11</v>
      </c>
      <c r="U129" s="230" t="s">
        <v>11</v>
      </c>
      <c r="V129" s="230" t="s">
        <v>11</v>
      </c>
      <c r="W129" s="230" t="s">
        <v>11</v>
      </c>
      <c r="X129" s="230" t="s">
        <v>11</v>
      </c>
      <c r="Y129" s="230" t="s">
        <v>11</v>
      </c>
      <c r="Z129" s="230" t="s">
        <v>11</v>
      </c>
      <c r="AA129" s="5" t="s">
        <v>11</v>
      </c>
      <c r="AB129" s="230" t="s">
        <v>11</v>
      </c>
      <c r="AC129" s="230" t="s">
        <v>11</v>
      </c>
      <c r="AD129" s="28"/>
      <c r="AE129" s="28"/>
      <c r="AF129" s="24">
        <f t="shared" si="5"/>
        <v>0</v>
      </c>
      <c r="AG129" s="24">
        <f t="shared" si="6"/>
        <v>0</v>
      </c>
      <c r="AH129" s="24">
        <f t="shared" si="7"/>
        <v>14</v>
      </c>
      <c r="AI129" s="41" t="str" cm="1">
        <f t="array" ref="AI129">_xlfn.IFS(
$AF129=15,"Not Started",
$AH129&lt;15,"In Progress",
$AH129=15,"Completed",
SUM(AF129:AH129)&gt;15,"Error"
)</f>
        <v>In Progress</v>
      </c>
    </row>
    <row r="130" spans="1:35" ht="13" x14ac:dyDescent="0.25">
      <c r="A130" s="248"/>
      <c r="B130" s="14" t="s">
        <v>979</v>
      </c>
      <c r="C130" s="138" t="s">
        <v>5405</v>
      </c>
      <c r="D130" s="138" t="s">
        <v>9218</v>
      </c>
      <c r="E130" s="138" t="s">
        <v>47</v>
      </c>
      <c r="F130" s="138" t="s">
        <v>44</v>
      </c>
      <c r="G130" s="138" t="s">
        <v>5657</v>
      </c>
      <c r="H130" s="138" t="s">
        <v>5657</v>
      </c>
      <c r="I130" s="7">
        <v>21.38691</v>
      </c>
      <c r="J130" s="7">
        <v>39.835799999999999</v>
      </c>
      <c r="K130" s="7" t="str">
        <f t="shared" si="4"/>
        <v>21.38691,39.8358</v>
      </c>
      <c r="L130" s="138" t="s">
        <v>5601</v>
      </c>
      <c r="M130" s="138">
        <v>10053777741</v>
      </c>
      <c r="N130" s="7"/>
      <c r="O130" s="7"/>
      <c r="P130" s="230" t="s">
        <v>11</v>
      </c>
      <c r="Q130" s="230" t="s">
        <v>11</v>
      </c>
      <c r="R130" s="230" t="s">
        <v>11</v>
      </c>
      <c r="S130" s="230" t="s">
        <v>11</v>
      </c>
      <c r="T130" s="230" t="s">
        <v>11</v>
      </c>
      <c r="U130" s="230" t="s">
        <v>11</v>
      </c>
      <c r="V130" s="230" t="s">
        <v>11</v>
      </c>
      <c r="W130" s="230" t="s">
        <v>11</v>
      </c>
      <c r="X130" s="230" t="s">
        <v>11</v>
      </c>
      <c r="Y130" s="230" t="s">
        <v>11</v>
      </c>
      <c r="Z130" s="230" t="s">
        <v>11</v>
      </c>
      <c r="AA130" s="230" t="s">
        <v>11</v>
      </c>
      <c r="AB130" s="230" t="s">
        <v>11</v>
      </c>
      <c r="AC130" s="230" t="s">
        <v>11</v>
      </c>
      <c r="AD130" s="28"/>
      <c r="AE130" s="28"/>
      <c r="AF130" s="24">
        <f t="shared" si="5"/>
        <v>0</v>
      </c>
      <c r="AG130" s="24">
        <f t="shared" si="6"/>
        <v>0</v>
      </c>
      <c r="AH130" s="24">
        <f t="shared" si="7"/>
        <v>14</v>
      </c>
      <c r="AI130" s="41" t="str" cm="1">
        <f t="array" ref="AI130">_xlfn.IFS(
$AF130=15,"Not Started",
$AH130&lt;15,"In Progress",
$AH130=15,"Completed",
SUM(AF130:AH130)&gt;15,"Error"
)</f>
        <v>In Progress</v>
      </c>
    </row>
    <row r="131" spans="1:35" ht="13" x14ac:dyDescent="0.25">
      <c r="A131" s="248"/>
      <c r="B131" s="7" t="s">
        <v>980</v>
      </c>
      <c r="C131" s="138" t="s">
        <v>5406</v>
      </c>
      <c r="D131" s="138" t="s">
        <v>9219</v>
      </c>
      <c r="E131" s="138" t="s">
        <v>51</v>
      </c>
      <c r="F131" s="138" t="s">
        <v>44</v>
      </c>
      <c r="G131" s="138" t="s">
        <v>5657</v>
      </c>
      <c r="H131" s="138" t="s">
        <v>5657</v>
      </c>
      <c r="I131" s="7">
        <v>21.42597</v>
      </c>
      <c r="J131" s="7">
        <v>39.787140999999998</v>
      </c>
      <c r="K131" s="7" t="str">
        <f t="shared" si="4"/>
        <v>21.42597,39.787141</v>
      </c>
      <c r="L131" s="138" t="s">
        <v>5602</v>
      </c>
      <c r="M131" s="138">
        <v>10053493111</v>
      </c>
      <c r="N131" s="7"/>
      <c r="O131" s="7"/>
      <c r="P131" s="230" t="s">
        <v>11</v>
      </c>
      <c r="Q131" s="230" t="s">
        <v>11</v>
      </c>
      <c r="R131" s="230" t="s">
        <v>11</v>
      </c>
      <c r="S131" s="230" t="s">
        <v>11</v>
      </c>
      <c r="T131" s="230" t="s">
        <v>11</v>
      </c>
      <c r="U131" s="230" t="s">
        <v>11</v>
      </c>
      <c r="V131" s="230" t="s">
        <v>11</v>
      </c>
      <c r="W131" s="230" t="s">
        <v>11</v>
      </c>
      <c r="X131" s="230" t="s">
        <v>11</v>
      </c>
      <c r="Y131" s="230" t="s">
        <v>11</v>
      </c>
      <c r="Z131" s="230" t="s">
        <v>11</v>
      </c>
      <c r="AA131" s="5" t="s">
        <v>11</v>
      </c>
      <c r="AB131" s="230" t="s">
        <v>11</v>
      </c>
      <c r="AC131" s="230" t="s">
        <v>11</v>
      </c>
      <c r="AD131" s="28"/>
      <c r="AE131" s="28"/>
      <c r="AF131" s="24">
        <f t="shared" si="5"/>
        <v>0</v>
      </c>
      <c r="AG131" s="24">
        <f t="shared" si="6"/>
        <v>0</v>
      </c>
      <c r="AH131" s="24">
        <f t="shared" si="7"/>
        <v>14</v>
      </c>
      <c r="AI131" s="41" t="str" cm="1">
        <f t="array" ref="AI131">_xlfn.IFS(
$AF131=15,"Not Started",
$AH131&lt;15,"In Progress",
$AH131=15,"Completed",
SUM(AF131:AH131)&gt;15,"Error"
)</f>
        <v>In Progress</v>
      </c>
    </row>
    <row r="132" spans="1:35" ht="13" x14ac:dyDescent="0.25">
      <c r="A132" s="248"/>
      <c r="B132" s="14" t="s">
        <v>981</v>
      </c>
      <c r="C132" s="138" t="s">
        <v>5407</v>
      </c>
      <c r="D132" s="138" t="s">
        <v>9220</v>
      </c>
      <c r="E132" s="138" t="s">
        <v>52</v>
      </c>
      <c r="F132" s="138" t="s">
        <v>44</v>
      </c>
      <c r="G132" s="138" t="s">
        <v>5657</v>
      </c>
      <c r="H132" s="138" t="s">
        <v>5657</v>
      </c>
      <c r="I132" s="7">
        <v>21.435590000000001</v>
      </c>
      <c r="J132" s="7">
        <v>39.759950000000003</v>
      </c>
      <c r="K132" s="7" t="str">
        <f t="shared" si="4"/>
        <v>21.43559,39.75995</v>
      </c>
      <c r="L132" s="138" t="s">
        <v>5603</v>
      </c>
      <c r="M132" s="138">
        <v>10053377749</v>
      </c>
      <c r="N132" s="7"/>
      <c r="O132" s="7"/>
      <c r="P132" s="230" t="s">
        <v>11</v>
      </c>
      <c r="Q132" s="230" t="s">
        <v>11</v>
      </c>
      <c r="R132" s="230" t="s">
        <v>11</v>
      </c>
      <c r="S132" s="230" t="s">
        <v>11</v>
      </c>
      <c r="T132" s="230" t="s">
        <v>11</v>
      </c>
      <c r="U132" s="230" t="s">
        <v>11</v>
      </c>
      <c r="V132" s="230" t="s">
        <v>11</v>
      </c>
      <c r="W132" s="230" t="s">
        <v>11</v>
      </c>
      <c r="X132" s="230" t="s">
        <v>11</v>
      </c>
      <c r="Y132" s="230" t="s">
        <v>11</v>
      </c>
      <c r="Z132" s="230" t="s">
        <v>11</v>
      </c>
      <c r="AA132" s="5" t="s">
        <v>11</v>
      </c>
      <c r="AB132" s="230" t="s">
        <v>11</v>
      </c>
      <c r="AC132" s="230" t="s">
        <v>11</v>
      </c>
      <c r="AD132" s="28"/>
      <c r="AE132" s="28"/>
      <c r="AF132" s="24">
        <f t="shared" si="5"/>
        <v>0</v>
      </c>
      <c r="AG132" s="24">
        <f t="shared" si="6"/>
        <v>0</v>
      </c>
      <c r="AH132" s="24">
        <f t="shared" si="7"/>
        <v>14</v>
      </c>
      <c r="AI132" s="41" t="str" cm="1">
        <f t="array" ref="AI132">_xlfn.IFS(
$AF132=15,"Not Started",
$AH132&lt;15,"In Progress",
$AH132=15,"Completed",
SUM(AF132:AH132)&gt;15,"Error"
)</f>
        <v>In Progress</v>
      </c>
    </row>
    <row r="133" spans="1:35" ht="13" x14ac:dyDescent="0.25">
      <c r="A133" s="248"/>
      <c r="B133" s="7" t="s">
        <v>982</v>
      </c>
      <c r="C133" s="138" t="s">
        <v>5408</v>
      </c>
      <c r="D133" s="138" t="s">
        <v>9221</v>
      </c>
      <c r="E133" s="138" t="s">
        <v>43</v>
      </c>
      <c r="F133" s="138" t="s">
        <v>48</v>
      </c>
      <c r="G133" s="138" t="s">
        <v>5657</v>
      </c>
      <c r="H133" s="138" t="s">
        <v>5657</v>
      </c>
      <c r="I133" s="7">
        <v>21.44631</v>
      </c>
      <c r="J133" s="7">
        <v>39.804319999999997</v>
      </c>
      <c r="K133" s="7" t="str">
        <f t="shared" ref="K133:K196" si="8">_xlfn.CONCAT(I133,",",J133)</f>
        <v>21.44631,39.80432</v>
      </c>
      <c r="L133" s="138" t="s">
        <v>5604</v>
      </c>
      <c r="M133" s="138">
        <v>10053486144</v>
      </c>
      <c r="N133" s="7"/>
      <c r="O133" s="7"/>
      <c r="P133" s="230" t="s">
        <v>11</v>
      </c>
      <c r="Q133" s="230" t="s">
        <v>11</v>
      </c>
      <c r="R133" s="230" t="s">
        <v>11</v>
      </c>
      <c r="S133" s="230" t="s">
        <v>11</v>
      </c>
      <c r="T133" s="230" t="s">
        <v>11</v>
      </c>
      <c r="U133" s="230" t="s">
        <v>11</v>
      </c>
      <c r="V133" s="230" t="s">
        <v>11</v>
      </c>
      <c r="W133" s="230" t="s">
        <v>11</v>
      </c>
      <c r="X133" s="230" t="s">
        <v>11</v>
      </c>
      <c r="Y133" s="230" t="s">
        <v>11</v>
      </c>
      <c r="Z133" s="230" t="s">
        <v>11</v>
      </c>
      <c r="AA133" s="5" t="s">
        <v>11</v>
      </c>
      <c r="AB133" s="230" t="s">
        <v>11</v>
      </c>
      <c r="AC133" s="230" t="s">
        <v>11</v>
      </c>
      <c r="AD133" s="28"/>
      <c r="AE133" s="28"/>
      <c r="AF133" s="24">
        <f t="shared" ref="AF133:AF196" si="9">COUNTIF(P133:AD133,$AF$2)</f>
        <v>0</v>
      </c>
      <c r="AG133" s="24">
        <f t="shared" ref="AG133:AG196" si="10">COUNTIF(P133:AD133,$AG$2)</f>
        <v>0</v>
      </c>
      <c r="AH133" s="24">
        <f t="shared" ref="AH133:AH196" si="11">COUNTIF(P133:AD133,$AH$2)</f>
        <v>14</v>
      </c>
      <c r="AI133" s="41" t="str" cm="1">
        <f t="array" ref="AI133">_xlfn.IFS(
$AF133=15,"Not Started",
$AH133&lt;15,"In Progress",
$AH133=15,"Completed",
SUM(AF133:AH133)&gt;15,"Error"
)</f>
        <v>In Progress</v>
      </c>
    </row>
    <row r="134" spans="1:35" ht="13" x14ac:dyDescent="0.25">
      <c r="A134" s="248"/>
      <c r="B134" s="14" t="s">
        <v>983</v>
      </c>
      <c r="C134" s="138" t="s">
        <v>5409</v>
      </c>
      <c r="D134" s="138" t="s">
        <v>9222</v>
      </c>
      <c r="E134" s="138" t="s">
        <v>51</v>
      </c>
      <c r="F134" s="138" t="s">
        <v>48</v>
      </c>
      <c r="G134" s="138" t="s">
        <v>5657</v>
      </c>
      <c r="H134" s="138" t="s">
        <v>5657</v>
      </c>
      <c r="I134" s="7">
        <v>21.386472000000001</v>
      </c>
      <c r="J134" s="7">
        <v>39.876506999999997</v>
      </c>
      <c r="K134" s="7" t="str">
        <f t="shared" si="8"/>
        <v>21.386472,39.876507</v>
      </c>
      <c r="L134" s="138" t="s">
        <v>5605</v>
      </c>
      <c r="M134" s="138">
        <v>10053429200</v>
      </c>
      <c r="N134" s="7"/>
      <c r="O134" s="7"/>
      <c r="P134" s="230" t="s">
        <v>11</v>
      </c>
      <c r="Q134" s="230" t="s">
        <v>11</v>
      </c>
      <c r="R134" s="230" t="s">
        <v>11</v>
      </c>
      <c r="S134" s="230" t="s">
        <v>11</v>
      </c>
      <c r="T134" s="230" t="s">
        <v>11</v>
      </c>
      <c r="U134" s="230" t="s">
        <v>11</v>
      </c>
      <c r="V134" s="230" t="s">
        <v>11</v>
      </c>
      <c r="W134" s="230" t="s">
        <v>11</v>
      </c>
      <c r="X134" s="230" t="s">
        <v>11</v>
      </c>
      <c r="Y134" s="230" t="s">
        <v>11</v>
      </c>
      <c r="Z134" s="230" t="s">
        <v>11</v>
      </c>
      <c r="AA134" s="5" t="s">
        <v>11</v>
      </c>
      <c r="AB134" s="230" t="s">
        <v>11</v>
      </c>
      <c r="AC134" s="230" t="s">
        <v>11</v>
      </c>
      <c r="AD134" s="28"/>
      <c r="AE134" s="28"/>
      <c r="AF134" s="24">
        <f t="shared" si="9"/>
        <v>0</v>
      </c>
      <c r="AG134" s="24">
        <f t="shared" si="10"/>
        <v>0</v>
      </c>
      <c r="AH134" s="24">
        <f t="shared" si="11"/>
        <v>14</v>
      </c>
      <c r="AI134" s="41" t="str" cm="1">
        <f t="array" ref="AI134">_xlfn.IFS(
$AF134=15,"Not Started",
$AH134&lt;15,"In Progress",
$AH134=15,"Completed",
SUM(AF134:AH134)&gt;15,"Error"
)</f>
        <v>In Progress</v>
      </c>
    </row>
    <row r="135" spans="1:35" ht="13" x14ac:dyDescent="0.25">
      <c r="A135" s="248"/>
      <c r="B135" s="7" t="s">
        <v>984</v>
      </c>
      <c r="C135" s="138" t="s">
        <v>5410</v>
      </c>
      <c r="D135" s="138" t="s">
        <v>9223</v>
      </c>
      <c r="E135" s="138" t="s">
        <v>47</v>
      </c>
      <c r="F135" s="138" t="s">
        <v>44</v>
      </c>
      <c r="G135" s="138" t="s">
        <v>5657</v>
      </c>
      <c r="H135" s="138" t="s">
        <v>5657</v>
      </c>
      <c r="I135" s="7">
        <v>21.404074000000001</v>
      </c>
      <c r="J135" s="7">
        <v>39.818232000000002</v>
      </c>
      <c r="K135" s="7" t="str">
        <f t="shared" si="8"/>
        <v>21.404074,39.818232</v>
      </c>
      <c r="L135" s="138" t="s">
        <v>5606</v>
      </c>
      <c r="M135" s="138">
        <v>10053541747</v>
      </c>
      <c r="N135" s="7"/>
      <c r="O135" s="7"/>
      <c r="P135" s="230" t="s">
        <v>11</v>
      </c>
      <c r="Q135" s="230" t="s">
        <v>11</v>
      </c>
      <c r="R135" s="230" t="s">
        <v>11</v>
      </c>
      <c r="S135" s="230" t="s">
        <v>11</v>
      </c>
      <c r="T135" s="230" t="s">
        <v>11</v>
      </c>
      <c r="U135" s="230" t="s">
        <v>11</v>
      </c>
      <c r="V135" s="230" t="s">
        <v>11</v>
      </c>
      <c r="W135" s="230" t="s">
        <v>11</v>
      </c>
      <c r="X135" s="230" t="s">
        <v>11</v>
      </c>
      <c r="Y135" s="230" t="s">
        <v>11</v>
      </c>
      <c r="Z135" s="230" t="s">
        <v>11</v>
      </c>
      <c r="AA135" s="5" t="s">
        <v>11</v>
      </c>
      <c r="AB135" s="230" t="s">
        <v>11</v>
      </c>
      <c r="AC135" s="230" t="s">
        <v>11</v>
      </c>
      <c r="AD135" s="28"/>
      <c r="AE135" s="28"/>
      <c r="AF135" s="24">
        <f t="shared" si="9"/>
        <v>0</v>
      </c>
      <c r="AG135" s="24">
        <f t="shared" si="10"/>
        <v>0</v>
      </c>
      <c r="AH135" s="24">
        <f t="shared" si="11"/>
        <v>14</v>
      </c>
      <c r="AI135" s="41" t="str" cm="1">
        <f t="array" ref="AI135">_xlfn.IFS(
$AF135=15,"Not Started",
$AH135&lt;15,"In Progress",
$AH135=15,"Completed",
SUM(AF135:AH135)&gt;15,"Error"
)</f>
        <v>In Progress</v>
      </c>
    </row>
    <row r="136" spans="1:35" ht="13" x14ac:dyDescent="0.25">
      <c r="A136" s="248"/>
      <c r="B136" s="14" t="s">
        <v>985</v>
      </c>
      <c r="C136" s="138" t="s">
        <v>5411</v>
      </c>
      <c r="D136" s="138" t="s">
        <v>9224</v>
      </c>
      <c r="E136" s="138" t="s">
        <v>47</v>
      </c>
      <c r="F136" s="138" t="s">
        <v>48</v>
      </c>
      <c r="G136" s="138" t="s">
        <v>5657</v>
      </c>
      <c r="H136" s="138" t="s">
        <v>5657</v>
      </c>
      <c r="I136" s="7">
        <v>21.375537999999999</v>
      </c>
      <c r="J136" s="7">
        <v>39.764138000000003</v>
      </c>
      <c r="K136" s="7" t="str">
        <f t="shared" si="8"/>
        <v>21.375538,39.764138</v>
      </c>
      <c r="L136" s="138" t="s">
        <v>5607</v>
      </c>
      <c r="M136" s="138">
        <v>10053335032</v>
      </c>
      <c r="N136" s="7"/>
      <c r="O136" s="7"/>
      <c r="P136" s="230" t="s">
        <v>11</v>
      </c>
      <c r="Q136" s="230" t="s">
        <v>11</v>
      </c>
      <c r="R136" s="230" t="s">
        <v>11</v>
      </c>
      <c r="S136" s="230" t="s">
        <v>11</v>
      </c>
      <c r="T136" s="230" t="s">
        <v>11</v>
      </c>
      <c r="U136" s="230" t="s">
        <v>11</v>
      </c>
      <c r="V136" s="230" t="s">
        <v>11</v>
      </c>
      <c r="W136" s="230" t="s">
        <v>11</v>
      </c>
      <c r="X136" s="230" t="s">
        <v>11</v>
      </c>
      <c r="Y136" s="230" t="s">
        <v>11</v>
      </c>
      <c r="Z136" s="230" t="s">
        <v>11</v>
      </c>
      <c r="AA136" s="5" t="s">
        <v>11</v>
      </c>
      <c r="AB136" s="230" t="s">
        <v>11</v>
      </c>
      <c r="AC136" s="230" t="s">
        <v>11</v>
      </c>
      <c r="AD136" s="28"/>
      <c r="AE136" s="28"/>
      <c r="AF136" s="24">
        <f t="shared" si="9"/>
        <v>0</v>
      </c>
      <c r="AG136" s="24">
        <f t="shared" si="10"/>
        <v>0</v>
      </c>
      <c r="AH136" s="24">
        <f t="shared" si="11"/>
        <v>14</v>
      </c>
      <c r="AI136" s="41" t="str" cm="1">
        <f t="array" ref="AI136">_xlfn.IFS(
$AF136=15,"Not Started",
$AH136&lt;15,"In Progress",
$AH136=15,"Completed",
SUM(AF136:AH136)&gt;15,"Error"
)</f>
        <v>In Progress</v>
      </c>
    </row>
    <row r="137" spans="1:35" ht="13" x14ac:dyDescent="0.25">
      <c r="A137" s="248"/>
      <c r="B137" s="7" t="s">
        <v>986</v>
      </c>
      <c r="C137" s="138" t="s">
        <v>5412</v>
      </c>
      <c r="D137" s="138" t="s">
        <v>8095</v>
      </c>
      <c r="E137" s="138" t="s">
        <v>10358</v>
      </c>
      <c r="F137" s="138" t="s">
        <v>48</v>
      </c>
      <c r="G137" s="138" t="s">
        <v>5657</v>
      </c>
      <c r="H137" s="138" t="s">
        <v>5657</v>
      </c>
      <c r="I137" s="7">
        <v>21.41339</v>
      </c>
      <c r="J137" s="7">
        <v>39.803829999999998</v>
      </c>
      <c r="K137" s="7" t="str">
        <f t="shared" si="8"/>
        <v>21.41339,39.80383</v>
      </c>
      <c r="L137" s="138" t="s">
        <v>5608</v>
      </c>
      <c r="M137" s="138">
        <v>10053234245</v>
      </c>
      <c r="N137" s="7"/>
      <c r="O137" s="7"/>
      <c r="P137" s="230" t="s">
        <v>11</v>
      </c>
      <c r="Q137" s="230" t="s">
        <v>11</v>
      </c>
      <c r="R137" s="230" t="s">
        <v>11</v>
      </c>
      <c r="S137" s="230" t="s">
        <v>11</v>
      </c>
      <c r="T137" s="230" t="s">
        <v>11</v>
      </c>
      <c r="U137" s="230" t="s">
        <v>11</v>
      </c>
      <c r="V137" s="230" t="s">
        <v>11</v>
      </c>
      <c r="W137" s="230" t="s">
        <v>11</v>
      </c>
      <c r="X137" s="230" t="s">
        <v>11</v>
      </c>
      <c r="Y137" s="230" t="s">
        <v>11</v>
      </c>
      <c r="Z137" s="230" t="s">
        <v>11</v>
      </c>
      <c r="AA137" s="5" t="s">
        <v>11</v>
      </c>
      <c r="AB137" s="230" t="s">
        <v>11</v>
      </c>
      <c r="AC137" s="230" t="s">
        <v>11</v>
      </c>
      <c r="AD137" s="28"/>
      <c r="AE137" s="28"/>
      <c r="AF137" s="24">
        <f t="shared" si="9"/>
        <v>0</v>
      </c>
      <c r="AG137" s="24">
        <f t="shared" si="10"/>
        <v>0</v>
      </c>
      <c r="AH137" s="24">
        <f t="shared" si="11"/>
        <v>14</v>
      </c>
      <c r="AI137" s="41" t="str" cm="1">
        <f t="array" ref="AI137">_xlfn.IFS(
$AF137=15,"Not Started",
$AH137&lt;15,"In Progress",
$AH137=15,"Completed",
SUM(AF137:AH137)&gt;15,"Error"
)</f>
        <v>In Progress</v>
      </c>
    </row>
    <row r="138" spans="1:35" ht="13" x14ac:dyDescent="0.25">
      <c r="A138" s="248"/>
      <c r="B138" s="14" t="s">
        <v>987</v>
      </c>
      <c r="C138" s="138" t="s">
        <v>5413</v>
      </c>
      <c r="D138" s="138" t="s">
        <v>9225</v>
      </c>
      <c r="E138" s="138" t="s">
        <v>10347</v>
      </c>
      <c r="F138" s="138" t="s">
        <v>44</v>
      </c>
      <c r="G138" s="138" t="s">
        <v>5657</v>
      </c>
      <c r="H138" s="138" t="s">
        <v>5657</v>
      </c>
      <c r="I138" s="7">
        <v>21.367270000000001</v>
      </c>
      <c r="J138" s="7">
        <v>39.795560000000002</v>
      </c>
      <c r="K138" s="7" t="str">
        <f t="shared" si="8"/>
        <v>21.36727,39.79556</v>
      </c>
      <c r="L138" s="138" t="s">
        <v>5609</v>
      </c>
      <c r="M138" s="138">
        <v>10053273495</v>
      </c>
      <c r="N138" s="7"/>
      <c r="O138" s="7"/>
      <c r="P138" s="230" t="s">
        <v>11</v>
      </c>
      <c r="Q138" s="230" t="s">
        <v>11</v>
      </c>
      <c r="R138" s="230" t="s">
        <v>11</v>
      </c>
      <c r="S138" s="230" t="s">
        <v>11</v>
      </c>
      <c r="T138" s="230" t="s">
        <v>11</v>
      </c>
      <c r="U138" s="230" t="s">
        <v>11</v>
      </c>
      <c r="V138" s="230" t="s">
        <v>11</v>
      </c>
      <c r="W138" s="230" t="s">
        <v>11</v>
      </c>
      <c r="X138" s="230" t="s">
        <v>11</v>
      </c>
      <c r="Y138" s="230" t="s">
        <v>11</v>
      </c>
      <c r="Z138" s="230" t="s">
        <v>11</v>
      </c>
      <c r="AA138" s="230" t="s">
        <v>11</v>
      </c>
      <c r="AB138" s="230" t="s">
        <v>11</v>
      </c>
      <c r="AC138" s="230" t="s">
        <v>11</v>
      </c>
      <c r="AD138" s="28"/>
      <c r="AE138" s="28"/>
      <c r="AF138" s="24">
        <f t="shared" si="9"/>
        <v>0</v>
      </c>
      <c r="AG138" s="24">
        <f t="shared" si="10"/>
        <v>0</v>
      </c>
      <c r="AH138" s="24">
        <f t="shared" si="11"/>
        <v>14</v>
      </c>
      <c r="AI138" s="41" t="str" cm="1">
        <f t="array" ref="AI138">_xlfn.IFS(
$AF138=15,"Not Started",
$AH138&lt;15,"In Progress",
$AH138=15,"Completed",
SUM(AF138:AH138)&gt;15,"Error"
)</f>
        <v>In Progress</v>
      </c>
    </row>
    <row r="139" spans="1:35" ht="13" x14ac:dyDescent="0.25">
      <c r="A139" s="248"/>
      <c r="B139" s="7" t="s">
        <v>988</v>
      </c>
      <c r="C139" s="138" t="s">
        <v>5414</v>
      </c>
      <c r="D139" s="138" t="s">
        <v>9226</v>
      </c>
      <c r="E139" s="138" t="s">
        <v>10347</v>
      </c>
      <c r="F139" s="138" t="s">
        <v>44</v>
      </c>
      <c r="G139" s="138" t="s">
        <v>5657</v>
      </c>
      <c r="H139" s="138" t="s">
        <v>5657</v>
      </c>
      <c r="I139" s="7">
        <v>21.376059999999999</v>
      </c>
      <c r="J139" s="7">
        <v>39.777270000000001</v>
      </c>
      <c r="K139" s="7" t="str">
        <f t="shared" si="8"/>
        <v>21.37606,39.77727</v>
      </c>
      <c r="L139" s="138" t="s">
        <v>5610</v>
      </c>
      <c r="M139" s="138">
        <v>10102875554</v>
      </c>
      <c r="N139" s="7"/>
      <c r="O139" s="7"/>
      <c r="P139" s="230" t="s">
        <v>11</v>
      </c>
      <c r="Q139" s="230" t="s">
        <v>11</v>
      </c>
      <c r="R139" s="230" t="s">
        <v>11</v>
      </c>
      <c r="S139" s="230" t="s">
        <v>11</v>
      </c>
      <c r="T139" s="230" t="s">
        <v>11</v>
      </c>
      <c r="U139" s="230" t="s">
        <v>11</v>
      </c>
      <c r="V139" s="230" t="s">
        <v>11</v>
      </c>
      <c r="W139" s="230" t="s">
        <v>11</v>
      </c>
      <c r="X139" s="230" t="s">
        <v>11</v>
      </c>
      <c r="Y139" s="230" t="s">
        <v>11</v>
      </c>
      <c r="Z139" s="230" t="s">
        <v>11</v>
      </c>
      <c r="AA139" s="5" t="s">
        <v>11</v>
      </c>
      <c r="AB139" s="230" t="s">
        <v>9</v>
      </c>
      <c r="AC139" s="78" t="s">
        <v>11</v>
      </c>
      <c r="AD139" s="28"/>
      <c r="AE139" s="28"/>
      <c r="AF139" s="24">
        <f t="shared" si="9"/>
        <v>1</v>
      </c>
      <c r="AG139" s="24">
        <f t="shared" si="10"/>
        <v>0</v>
      </c>
      <c r="AH139" s="24">
        <f t="shared" si="11"/>
        <v>13</v>
      </c>
      <c r="AI139" s="41" t="str" cm="1">
        <f t="array" ref="AI139">_xlfn.IFS(
$AF139=15,"Not Started",
$AH139&lt;15,"In Progress",
$AH139=15,"Completed",
SUM(AF139:AH139)&gt;15,"Error"
)</f>
        <v>In Progress</v>
      </c>
    </row>
    <row r="140" spans="1:35" ht="13" x14ac:dyDescent="0.25">
      <c r="A140" s="248"/>
      <c r="B140" s="14" t="s">
        <v>989</v>
      </c>
      <c r="C140" s="138" t="s">
        <v>5415</v>
      </c>
      <c r="D140" s="138" t="s">
        <v>9227</v>
      </c>
      <c r="E140" s="138" t="s">
        <v>47</v>
      </c>
      <c r="F140" s="138" t="s">
        <v>44</v>
      </c>
      <c r="G140" s="138" t="s">
        <v>5657</v>
      </c>
      <c r="H140" s="138" t="s">
        <v>5657</v>
      </c>
      <c r="I140" s="7">
        <v>21.415237999999999</v>
      </c>
      <c r="J140" s="7">
        <v>39.865020000000001</v>
      </c>
      <c r="K140" s="7" t="str">
        <f t="shared" si="8"/>
        <v>21.415238,39.86502</v>
      </c>
      <c r="L140" s="138" t="s">
        <v>5611</v>
      </c>
      <c r="M140" s="138">
        <v>10053776627</v>
      </c>
      <c r="N140" s="7"/>
      <c r="O140" s="7"/>
      <c r="P140" s="230" t="s">
        <v>11</v>
      </c>
      <c r="Q140" s="230" t="s">
        <v>11</v>
      </c>
      <c r="R140" s="230" t="s">
        <v>11</v>
      </c>
      <c r="S140" s="230" t="s">
        <v>11</v>
      </c>
      <c r="T140" s="230" t="s">
        <v>11</v>
      </c>
      <c r="U140" s="230" t="s">
        <v>11</v>
      </c>
      <c r="V140" s="230" t="s">
        <v>11</v>
      </c>
      <c r="W140" s="230" t="s">
        <v>11</v>
      </c>
      <c r="X140" s="230" t="s">
        <v>11</v>
      </c>
      <c r="Y140" s="230" t="s">
        <v>11</v>
      </c>
      <c r="Z140" s="230" t="s">
        <v>11</v>
      </c>
      <c r="AA140" s="5" t="s">
        <v>11</v>
      </c>
      <c r="AB140" s="230" t="s">
        <v>11</v>
      </c>
      <c r="AC140" s="230" t="s">
        <v>11</v>
      </c>
      <c r="AD140" s="28"/>
      <c r="AE140" s="28"/>
      <c r="AF140" s="24">
        <f t="shared" si="9"/>
        <v>0</v>
      </c>
      <c r="AG140" s="24">
        <f t="shared" si="10"/>
        <v>0</v>
      </c>
      <c r="AH140" s="24">
        <f t="shared" si="11"/>
        <v>14</v>
      </c>
      <c r="AI140" s="41" t="str" cm="1">
        <f t="array" ref="AI140">_xlfn.IFS(
$AF140=15,"Not Started",
$AH140&lt;15,"In Progress",
$AH140=15,"Completed",
SUM(AF140:AH140)&gt;15,"Error"
)</f>
        <v>In Progress</v>
      </c>
    </row>
    <row r="141" spans="1:35" ht="13" x14ac:dyDescent="0.25">
      <c r="A141" s="248"/>
      <c r="B141" s="7" t="s">
        <v>990</v>
      </c>
      <c r="C141" s="138" t="s">
        <v>5416</v>
      </c>
      <c r="D141" s="138" t="s">
        <v>9228</v>
      </c>
      <c r="E141" s="138" t="s">
        <v>51</v>
      </c>
      <c r="F141" s="138" t="s">
        <v>48</v>
      </c>
      <c r="G141" s="138" t="s">
        <v>5657</v>
      </c>
      <c r="H141" s="138" t="s">
        <v>5657</v>
      </c>
      <c r="I141" s="7">
        <v>21.437249999999999</v>
      </c>
      <c r="J141" s="7">
        <v>39.837629999999997</v>
      </c>
      <c r="K141" s="7" t="str">
        <f t="shared" si="8"/>
        <v>21.43725,39.83763</v>
      </c>
      <c r="L141" s="138" t="s">
        <v>5612</v>
      </c>
      <c r="M141" s="138">
        <v>10053489781</v>
      </c>
      <c r="N141" s="7"/>
      <c r="O141" s="7"/>
      <c r="P141" s="230" t="s">
        <v>11</v>
      </c>
      <c r="Q141" s="230" t="s">
        <v>11</v>
      </c>
      <c r="R141" s="230" t="s">
        <v>11</v>
      </c>
      <c r="S141" s="230" t="s">
        <v>11</v>
      </c>
      <c r="T141" s="230" t="s">
        <v>11</v>
      </c>
      <c r="U141" s="230" t="s">
        <v>11</v>
      </c>
      <c r="V141" s="230" t="s">
        <v>11</v>
      </c>
      <c r="W141" s="230" t="s">
        <v>11</v>
      </c>
      <c r="X141" s="230" t="s">
        <v>11</v>
      </c>
      <c r="Y141" s="230" t="s">
        <v>11</v>
      </c>
      <c r="Z141" s="230" t="s">
        <v>11</v>
      </c>
      <c r="AA141" s="5" t="s">
        <v>11</v>
      </c>
      <c r="AB141" s="230" t="s">
        <v>11</v>
      </c>
      <c r="AC141" s="78" t="s">
        <v>11</v>
      </c>
      <c r="AD141" s="28"/>
      <c r="AE141" s="28"/>
      <c r="AF141" s="24">
        <f t="shared" si="9"/>
        <v>0</v>
      </c>
      <c r="AG141" s="24">
        <f t="shared" si="10"/>
        <v>0</v>
      </c>
      <c r="AH141" s="24">
        <f t="shared" si="11"/>
        <v>14</v>
      </c>
      <c r="AI141" s="41" t="str" cm="1">
        <f t="array" ref="AI141">_xlfn.IFS(
$AF141=15,"Not Started",
$AH141&lt;15,"In Progress",
$AH141=15,"Completed",
SUM(AF141:AH141)&gt;15,"Error"
)</f>
        <v>In Progress</v>
      </c>
    </row>
    <row r="142" spans="1:35" ht="13" x14ac:dyDescent="0.25">
      <c r="A142" s="248"/>
      <c r="B142" s="14" t="s">
        <v>991</v>
      </c>
      <c r="C142" s="138" t="s">
        <v>5417</v>
      </c>
      <c r="D142" s="138" t="s">
        <v>9229</v>
      </c>
      <c r="E142" s="138" t="s">
        <v>43</v>
      </c>
      <c r="F142" s="138" t="s">
        <v>48</v>
      </c>
      <c r="G142" s="138" t="s">
        <v>5657</v>
      </c>
      <c r="H142" s="138" t="s">
        <v>5657</v>
      </c>
      <c r="I142" s="7">
        <v>21.38937</v>
      </c>
      <c r="J142" s="7">
        <v>39.881045</v>
      </c>
      <c r="K142" s="7" t="str">
        <f t="shared" si="8"/>
        <v>21.38937,39.881045</v>
      </c>
      <c r="L142" s="138" t="s">
        <v>5613</v>
      </c>
      <c r="M142" s="138">
        <v>10053384421</v>
      </c>
      <c r="N142" s="7"/>
      <c r="O142" s="7"/>
      <c r="P142" s="230" t="s">
        <v>11</v>
      </c>
      <c r="Q142" s="230" t="s">
        <v>11</v>
      </c>
      <c r="R142" s="230" t="s">
        <v>11</v>
      </c>
      <c r="S142" s="230" t="s">
        <v>11</v>
      </c>
      <c r="T142" s="230" t="s">
        <v>11</v>
      </c>
      <c r="U142" s="230" t="s">
        <v>11</v>
      </c>
      <c r="V142" s="230" t="s">
        <v>11</v>
      </c>
      <c r="W142" s="230" t="s">
        <v>11</v>
      </c>
      <c r="X142" s="230" t="s">
        <v>11</v>
      </c>
      <c r="Y142" s="230" t="s">
        <v>11</v>
      </c>
      <c r="Z142" s="230" t="s">
        <v>11</v>
      </c>
      <c r="AA142" s="5" t="s">
        <v>11</v>
      </c>
      <c r="AB142" s="230" t="s">
        <v>11</v>
      </c>
      <c r="AC142" s="230" t="s">
        <v>11</v>
      </c>
      <c r="AD142" s="28"/>
      <c r="AE142" s="28"/>
      <c r="AF142" s="24">
        <f t="shared" si="9"/>
        <v>0</v>
      </c>
      <c r="AG142" s="24">
        <f t="shared" si="10"/>
        <v>0</v>
      </c>
      <c r="AH142" s="24">
        <f t="shared" si="11"/>
        <v>14</v>
      </c>
      <c r="AI142" s="41" t="str" cm="1">
        <f t="array" ref="AI142">_xlfn.IFS(
$AF142=15,"Not Started",
$AH142&lt;15,"In Progress",
$AH142=15,"Completed",
SUM(AF142:AH142)&gt;15,"Error"
)</f>
        <v>In Progress</v>
      </c>
    </row>
    <row r="143" spans="1:35" ht="13" x14ac:dyDescent="0.25">
      <c r="A143" s="248"/>
      <c r="B143" s="7" t="s">
        <v>992</v>
      </c>
      <c r="C143" s="138" t="s">
        <v>5418</v>
      </c>
      <c r="D143" s="138" t="s">
        <v>9014</v>
      </c>
      <c r="E143" s="138" t="s">
        <v>43</v>
      </c>
      <c r="F143" s="138" t="s">
        <v>44</v>
      </c>
      <c r="G143" s="138" t="s">
        <v>5657</v>
      </c>
      <c r="H143" s="138" t="s">
        <v>5657</v>
      </c>
      <c r="I143" s="7">
        <v>21.441241999999999</v>
      </c>
      <c r="J143" s="7">
        <v>39.793815000000002</v>
      </c>
      <c r="K143" s="7" t="str">
        <f t="shared" si="8"/>
        <v>21.441242,39.793815</v>
      </c>
      <c r="L143" s="138" t="s">
        <v>5614</v>
      </c>
      <c r="M143" s="138">
        <v>10053382702</v>
      </c>
      <c r="N143" s="7"/>
      <c r="O143" s="7"/>
      <c r="P143" s="230" t="s">
        <v>11</v>
      </c>
      <c r="Q143" s="230" t="s">
        <v>11</v>
      </c>
      <c r="R143" s="230" t="s">
        <v>11</v>
      </c>
      <c r="S143" s="230" t="s">
        <v>11</v>
      </c>
      <c r="T143" s="230" t="s">
        <v>11</v>
      </c>
      <c r="U143" s="230" t="s">
        <v>11</v>
      </c>
      <c r="V143" s="230" t="s">
        <v>11</v>
      </c>
      <c r="W143" s="230" t="s">
        <v>11</v>
      </c>
      <c r="X143" s="230" t="s">
        <v>11</v>
      </c>
      <c r="Y143" s="230" t="s">
        <v>11</v>
      </c>
      <c r="Z143" s="230" t="s">
        <v>11</v>
      </c>
      <c r="AA143" s="5" t="s">
        <v>11</v>
      </c>
      <c r="AB143" s="230" t="s">
        <v>11</v>
      </c>
      <c r="AC143" s="78" t="s">
        <v>11</v>
      </c>
      <c r="AD143" s="28"/>
      <c r="AE143" s="28"/>
      <c r="AF143" s="24">
        <f t="shared" si="9"/>
        <v>0</v>
      </c>
      <c r="AG143" s="24">
        <f t="shared" si="10"/>
        <v>0</v>
      </c>
      <c r="AH143" s="24">
        <f t="shared" si="11"/>
        <v>14</v>
      </c>
      <c r="AI143" s="41" t="str" cm="1">
        <f t="array" ref="AI143">_xlfn.IFS(
$AF143=15,"Not Started",
$AH143&lt;15,"In Progress",
$AH143=15,"Completed",
SUM(AF143:AH143)&gt;15,"Error"
)</f>
        <v>In Progress</v>
      </c>
    </row>
    <row r="144" spans="1:35" ht="13" x14ac:dyDescent="0.25">
      <c r="A144" s="248"/>
      <c r="B144" s="14" t="s">
        <v>993</v>
      </c>
      <c r="C144" s="138" t="s">
        <v>5419</v>
      </c>
      <c r="D144" s="138" t="s">
        <v>9230</v>
      </c>
      <c r="E144" s="138" t="s">
        <v>43</v>
      </c>
      <c r="F144" s="138" t="s">
        <v>48</v>
      </c>
      <c r="G144" s="138" t="s">
        <v>5657</v>
      </c>
      <c r="H144" s="138" t="s">
        <v>5657</v>
      </c>
      <c r="I144" s="7">
        <v>21.417999999999999</v>
      </c>
      <c r="J144" s="7">
        <v>39.856319999999997</v>
      </c>
      <c r="K144" s="7" t="str">
        <f t="shared" si="8"/>
        <v>21.418,39.85632</v>
      </c>
      <c r="L144" s="138" t="s">
        <v>5615</v>
      </c>
      <c r="M144" s="138">
        <v>10088073818</v>
      </c>
      <c r="N144" s="7"/>
      <c r="O144" s="7"/>
      <c r="P144" s="230" t="s">
        <v>11</v>
      </c>
      <c r="Q144" s="230" t="s">
        <v>11</v>
      </c>
      <c r="R144" s="230" t="s">
        <v>11</v>
      </c>
      <c r="S144" s="230" t="s">
        <v>11</v>
      </c>
      <c r="T144" s="230" t="s">
        <v>11</v>
      </c>
      <c r="U144" s="230" t="s">
        <v>11</v>
      </c>
      <c r="V144" s="230" t="s">
        <v>11</v>
      </c>
      <c r="W144" s="230" t="s">
        <v>11</v>
      </c>
      <c r="X144" s="230" t="s">
        <v>11</v>
      </c>
      <c r="Y144" s="230" t="s">
        <v>11</v>
      </c>
      <c r="Z144" s="230" t="s">
        <v>11</v>
      </c>
      <c r="AA144" s="5" t="s">
        <v>11</v>
      </c>
      <c r="AB144" s="230" t="s">
        <v>11</v>
      </c>
      <c r="AC144" s="230" t="s">
        <v>11</v>
      </c>
      <c r="AD144" s="28"/>
      <c r="AE144" s="28"/>
      <c r="AF144" s="24">
        <f t="shared" si="9"/>
        <v>0</v>
      </c>
      <c r="AG144" s="24">
        <f t="shared" si="10"/>
        <v>0</v>
      </c>
      <c r="AH144" s="24">
        <f t="shared" si="11"/>
        <v>14</v>
      </c>
      <c r="AI144" s="41" t="str" cm="1">
        <f t="array" ref="AI144">_xlfn.IFS(
$AF144=15,"Not Started",
$AH144&lt;15,"In Progress",
$AH144=15,"Completed",
SUM(AF144:AH144)&gt;15,"Error"
)</f>
        <v>In Progress</v>
      </c>
    </row>
    <row r="145" spans="1:35" ht="13" x14ac:dyDescent="0.25">
      <c r="A145" s="248"/>
      <c r="B145" s="7" t="s">
        <v>994</v>
      </c>
      <c r="C145" s="138" t="s">
        <v>5420</v>
      </c>
      <c r="D145" s="138" t="s">
        <v>9231</v>
      </c>
      <c r="E145" s="138" t="s">
        <v>43</v>
      </c>
      <c r="F145" s="138" t="s">
        <v>44</v>
      </c>
      <c r="G145" s="138" t="s">
        <v>5657</v>
      </c>
      <c r="H145" s="138" t="s">
        <v>5657</v>
      </c>
      <c r="I145" s="7">
        <v>21.435053</v>
      </c>
      <c r="J145" s="7">
        <v>39.804865999999997</v>
      </c>
      <c r="K145" s="7" t="str">
        <f t="shared" si="8"/>
        <v>21.435053,39.804866</v>
      </c>
      <c r="L145" s="138" t="s">
        <v>5616</v>
      </c>
      <c r="M145" s="138">
        <v>10053658276</v>
      </c>
      <c r="N145" s="7"/>
      <c r="O145" s="7"/>
      <c r="P145" s="230" t="s">
        <v>11</v>
      </c>
      <c r="Q145" s="230" t="s">
        <v>11</v>
      </c>
      <c r="R145" s="230" t="s">
        <v>11</v>
      </c>
      <c r="S145" s="230" t="s">
        <v>11</v>
      </c>
      <c r="T145" s="230" t="s">
        <v>11</v>
      </c>
      <c r="U145" s="230" t="s">
        <v>11</v>
      </c>
      <c r="V145" s="230" t="s">
        <v>11</v>
      </c>
      <c r="W145" s="230" t="s">
        <v>11</v>
      </c>
      <c r="X145" s="230" t="s">
        <v>11</v>
      </c>
      <c r="Y145" s="230" t="s">
        <v>11</v>
      </c>
      <c r="Z145" s="230" t="s">
        <v>11</v>
      </c>
      <c r="AA145" s="5" t="s">
        <v>11</v>
      </c>
      <c r="AB145" s="230" t="s">
        <v>11</v>
      </c>
      <c r="AC145" s="230" t="s">
        <v>11</v>
      </c>
      <c r="AD145" s="28"/>
      <c r="AE145" s="28"/>
      <c r="AF145" s="24">
        <f t="shared" si="9"/>
        <v>0</v>
      </c>
      <c r="AG145" s="24">
        <f t="shared" si="10"/>
        <v>0</v>
      </c>
      <c r="AH145" s="24">
        <f t="shared" si="11"/>
        <v>14</v>
      </c>
      <c r="AI145" s="41" t="str" cm="1">
        <f t="array" ref="AI145">_xlfn.IFS(
$AF145=15,"Not Started",
$AH145&lt;15,"In Progress",
$AH145=15,"Completed",
SUM(AF145:AH145)&gt;15,"Error"
)</f>
        <v>In Progress</v>
      </c>
    </row>
    <row r="146" spans="1:35" ht="13" x14ac:dyDescent="0.25">
      <c r="A146" s="248"/>
      <c r="B146" s="14" t="s">
        <v>995</v>
      </c>
      <c r="C146" s="138" t="s">
        <v>5421</v>
      </c>
      <c r="D146" s="138" t="s">
        <v>9232</v>
      </c>
      <c r="E146" s="138" t="s">
        <v>51</v>
      </c>
      <c r="F146" s="138" t="s">
        <v>44</v>
      </c>
      <c r="G146" s="138" t="s">
        <v>5657</v>
      </c>
      <c r="H146" s="138" t="s">
        <v>5657</v>
      </c>
      <c r="I146" s="7">
        <v>21.401</v>
      </c>
      <c r="J146" s="7">
        <v>39.782550000000001</v>
      </c>
      <c r="K146" s="7" t="str">
        <f t="shared" si="8"/>
        <v>21.401,39.78255</v>
      </c>
      <c r="L146" s="138" t="s">
        <v>5617</v>
      </c>
      <c r="M146" s="138">
        <v>10053747492</v>
      </c>
      <c r="N146" s="7"/>
      <c r="O146" s="7"/>
      <c r="P146" s="230" t="s">
        <v>11</v>
      </c>
      <c r="Q146" s="230" t="s">
        <v>11</v>
      </c>
      <c r="R146" s="230" t="s">
        <v>11</v>
      </c>
      <c r="S146" s="230" t="s">
        <v>11</v>
      </c>
      <c r="T146" s="230" t="s">
        <v>11</v>
      </c>
      <c r="U146" s="230" t="s">
        <v>11</v>
      </c>
      <c r="V146" s="230" t="s">
        <v>11</v>
      </c>
      <c r="W146" s="230" t="s">
        <v>11</v>
      </c>
      <c r="X146" s="230" t="s">
        <v>11</v>
      </c>
      <c r="Y146" s="230" t="s">
        <v>11</v>
      </c>
      <c r="Z146" s="230" t="s">
        <v>11</v>
      </c>
      <c r="AA146" s="5" t="s">
        <v>11</v>
      </c>
      <c r="AB146" s="230" t="s">
        <v>11</v>
      </c>
      <c r="AC146" s="78" t="s">
        <v>11</v>
      </c>
      <c r="AD146" s="28"/>
      <c r="AE146" s="28"/>
      <c r="AF146" s="24">
        <f t="shared" si="9"/>
        <v>0</v>
      </c>
      <c r="AG146" s="24">
        <f t="shared" si="10"/>
        <v>0</v>
      </c>
      <c r="AH146" s="24">
        <f t="shared" si="11"/>
        <v>14</v>
      </c>
      <c r="AI146" s="41" t="str" cm="1">
        <f t="array" ref="AI146">_xlfn.IFS(
$AF146=15,"Not Started",
$AH146&lt;15,"In Progress",
$AH146=15,"Completed",
SUM(AF146:AH146)&gt;15,"Error"
)</f>
        <v>In Progress</v>
      </c>
    </row>
    <row r="147" spans="1:35" ht="13" x14ac:dyDescent="0.25">
      <c r="A147" s="248"/>
      <c r="B147" s="7" t="s">
        <v>996</v>
      </c>
      <c r="C147" s="138" t="s">
        <v>5422</v>
      </c>
      <c r="D147" s="138" t="s">
        <v>9233</v>
      </c>
      <c r="E147" s="138" t="s">
        <v>51</v>
      </c>
      <c r="F147" s="138" t="s">
        <v>48</v>
      </c>
      <c r="G147" s="138" t="s">
        <v>5657</v>
      </c>
      <c r="H147" s="138" t="s">
        <v>5657</v>
      </c>
      <c r="I147" s="7">
        <v>21.389711999999999</v>
      </c>
      <c r="J147" s="7">
        <v>39.881534000000002</v>
      </c>
      <c r="K147" s="7" t="str">
        <f t="shared" si="8"/>
        <v>21.389712,39.881534</v>
      </c>
      <c r="L147" s="138" t="s">
        <v>5618</v>
      </c>
      <c r="M147" s="138">
        <v>10053384181</v>
      </c>
      <c r="N147" s="7"/>
      <c r="O147" s="7"/>
      <c r="P147" s="230" t="s">
        <v>11</v>
      </c>
      <c r="Q147" s="230" t="s">
        <v>11</v>
      </c>
      <c r="R147" s="230" t="s">
        <v>11</v>
      </c>
      <c r="S147" s="230" t="s">
        <v>11</v>
      </c>
      <c r="T147" s="230" t="s">
        <v>11</v>
      </c>
      <c r="U147" s="230" t="s">
        <v>11</v>
      </c>
      <c r="V147" s="230" t="s">
        <v>11</v>
      </c>
      <c r="W147" s="230" t="s">
        <v>11</v>
      </c>
      <c r="X147" s="230" t="s">
        <v>11</v>
      </c>
      <c r="Y147" s="230" t="s">
        <v>11</v>
      </c>
      <c r="Z147" s="230" t="s">
        <v>11</v>
      </c>
      <c r="AA147" s="5" t="s">
        <v>11</v>
      </c>
      <c r="AB147" s="230" t="s">
        <v>11</v>
      </c>
      <c r="AC147" s="230" t="s">
        <v>11</v>
      </c>
      <c r="AD147" s="28"/>
      <c r="AE147" s="28"/>
      <c r="AF147" s="24">
        <f t="shared" si="9"/>
        <v>0</v>
      </c>
      <c r="AG147" s="24">
        <f t="shared" si="10"/>
        <v>0</v>
      </c>
      <c r="AH147" s="24">
        <f t="shared" si="11"/>
        <v>14</v>
      </c>
      <c r="AI147" s="41" t="str" cm="1">
        <f t="array" ref="AI147">_xlfn.IFS(
$AF147=15,"Not Started",
$AH147&lt;15,"In Progress",
$AH147=15,"Completed",
SUM(AF147:AH147)&gt;15,"Error"
)</f>
        <v>In Progress</v>
      </c>
    </row>
    <row r="148" spans="1:35" ht="13" x14ac:dyDescent="0.25">
      <c r="A148" s="248"/>
      <c r="B148" s="14" t="s">
        <v>997</v>
      </c>
      <c r="C148" s="138" t="s">
        <v>5423</v>
      </c>
      <c r="D148" s="138" t="s">
        <v>9234</v>
      </c>
      <c r="E148" s="138" t="s">
        <v>47</v>
      </c>
      <c r="F148" s="138" t="s">
        <v>44</v>
      </c>
      <c r="G148" s="138" t="s">
        <v>5657</v>
      </c>
      <c r="H148" s="138" t="s">
        <v>5657</v>
      </c>
      <c r="I148" s="7">
        <v>21.410976999999999</v>
      </c>
      <c r="J148" s="7">
        <v>39.779572000000002</v>
      </c>
      <c r="K148" s="7" t="str">
        <f t="shared" si="8"/>
        <v>21.410977,39.779572</v>
      </c>
      <c r="L148" s="138" t="s">
        <v>5619</v>
      </c>
      <c r="M148" s="138">
        <v>10053796746</v>
      </c>
      <c r="N148" s="7"/>
      <c r="O148" s="7"/>
      <c r="P148" s="230" t="s">
        <v>11</v>
      </c>
      <c r="Q148" s="230" t="s">
        <v>11</v>
      </c>
      <c r="R148" s="230" t="s">
        <v>11</v>
      </c>
      <c r="S148" s="230" t="s">
        <v>11</v>
      </c>
      <c r="T148" s="230" t="s">
        <v>11</v>
      </c>
      <c r="U148" s="230" t="s">
        <v>11</v>
      </c>
      <c r="V148" s="230" t="s">
        <v>11</v>
      </c>
      <c r="W148" s="230" t="s">
        <v>11</v>
      </c>
      <c r="X148" s="230" t="s">
        <v>11</v>
      </c>
      <c r="Y148" s="230" t="s">
        <v>11</v>
      </c>
      <c r="Z148" s="230" t="s">
        <v>11</v>
      </c>
      <c r="AA148" s="5" t="s">
        <v>11</v>
      </c>
      <c r="AB148" s="230" t="s">
        <v>11</v>
      </c>
      <c r="AC148" s="230" t="s">
        <v>11</v>
      </c>
      <c r="AD148" s="28"/>
      <c r="AE148" s="28"/>
      <c r="AF148" s="24">
        <f t="shared" si="9"/>
        <v>0</v>
      </c>
      <c r="AG148" s="24">
        <f t="shared" si="10"/>
        <v>0</v>
      </c>
      <c r="AH148" s="24">
        <f t="shared" si="11"/>
        <v>14</v>
      </c>
      <c r="AI148" s="41" t="str" cm="1">
        <f t="array" ref="AI148">_xlfn.IFS(
$AF148=15,"Not Started",
$AH148&lt;15,"In Progress",
$AH148=15,"Completed",
SUM(AF148:AH148)&gt;15,"Error"
)</f>
        <v>In Progress</v>
      </c>
    </row>
    <row r="149" spans="1:35" ht="13" x14ac:dyDescent="0.25">
      <c r="A149" s="248"/>
      <c r="B149" s="7" t="s">
        <v>998</v>
      </c>
      <c r="C149" s="138" t="s">
        <v>5424</v>
      </c>
      <c r="D149" s="138" t="s">
        <v>9235</v>
      </c>
      <c r="E149" s="138" t="s">
        <v>51</v>
      </c>
      <c r="F149" s="138" t="s">
        <v>48</v>
      </c>
      <c r="G149" s="138" t="s">
        <v>5657</v>
      </c>
      <c r="H149" s="138" t="s">
        <v>5657</v>
      </c>
      <c r="I149" s="7">
        <v>21.405929</v>
      </c>
      <c r="J149" s="7">
        <v>39.876798999999998</v>
      </c>
      <c r="K149" s="7" t="str">
        <f t="shared" si="8"/>
        <v>21.405929,39.876799</v>
      </c>
      <c r="L149" s="138" t="s">
        <v>5620</v>
      </c>
      <c r="M149" s="138">
        <v>10053542691</v>
      </c>
      <c r="N149" s="7"/>
      <c r="O149" s="7"/>
      <c r="P149" s="230" t="s">
        <v>11</v>
      </c>
      <c r="Q149" s="230" t="s">
        <v>11</v>
      </c>
      <c r="R149" s="230" t="s">
        <v>11</v>
      </c>
      <c r="S149" s="230" t="s">
        <v>11</v>
      </c>
      <c r="T149" s="230" t="s">
        <v>11</v>
      </c>
      <c r="U149" s="230" t="s">
        <v>11</v>
      </c>
      <c r="V149" s="230" t="s">
        <v>11</v>
      </c>
      <c r="W149" s="230" t="s">
        <v>11</v>
      </c>
      <c r="X149" s="230" t="s">
        <v>11</v>
      </c>
      <c r="Y149" s="230" t="s">
        <v>11</v>
      </c>
      <c r="Z149" s="230" t="s">
        <v>11</v>
      </c>
      <c r="AA149" s="5" t="s">
        <v>11</v>
      </c>
      <c r="AB149" s="230" t="s">
        <v>11</v>
      </c>
      <c r="AC149" s="230" t="s">
        <v>11</v>
      </c>
      <c r="AD149" s="28"/>
      <c r="AE149" s="28"/>
      <c r="AF149" s="24">
        <f t="shared" si="9"/>
        <v>0</v>
      </c>
      <c r="AG149" s="24">
        <f t="shared" si="10"/>
        <v>0</v>
      </c>
      <c r="AH149" s="24">
        <f t="shared" si="11"/>
        <v>14</v>
      </c>
      <c r="AI149" s="41" t="str" cm="1">
        <f t="array" ref="AI149">_xlfn.IFS(
$AF149=15,"Not Started",
$AH149&lt;15,"In Progress",
$AH149=15,"Completed",
SUM(AF149:AH149)&gt;15,"Error"
)</f>
        <v>In Progress</v>
      </c>
    </row>
    <row r="150" spans="1:35" ht="13" x14ac:dyDescent="0.25">
      <c r="A150" s="248"/>
      <c r="B150" s="14" t="s">
        <v>999</v>
      </c>
      <c r="C150" s="138" t="s">
        <v>5425</v>
      </c>
      <c r="D150" s="138" t="s">
        <v>9236</v>
      </c>
      <c r="E150" s="138" t="s">
        <v>51</v>
      </c>
      <c r="F150" s="138" t="s">
        <v>48</v>
      </c>
      <c r="G150" s="138" t="s">
        <v>5657</v>
      </c>
      <c r="H150" s="138" t="s">
        <v>5657</v>
      </c>
      <c r="I150" s="7">
        <v>21.401748999999999</v>
      </c>
      <c r="J150" s="7">
        <v>39.869849000000002</v>
      </c>
      <c r="K150" s="7" t="str">
        <f t="shared" si="8"/>
        <v>21.401749,39.869849</v>
      </c>
      <c r="L150" s="138" t="s">
        <v>5621</v>
      </c>
      <c r="M150" s="138">
        <v>10053232581</v>
      </c>
      <c r="N150" s="7"/>
      <c r="O150" s="7"/>
      <c r="P150" s="230" t="s">
        <v>11</v>
      </c>
      <c r="Q150" s="230" t="s">
        <v>11</v>
      </c>
      <c r="R150" s="230" t="s">
        <v>11</v>
      </c>
      <c r="S150" s="230" t="s">
        <v>11</v>
      </c>
      <c r="T150" s="230" t="s">
        <v>11</v>
      </c>
      <c r="U150" s="230" t="s">
        <v>11</v>
      </c>
      <c r="V150" s="230" t="s">
        <v>11</v>
      </c>
      <c r="W150" s="230" t="s">
        <v>11</v>
      </c>
      <c r="X150" s="230" t="s">
        <v>11</v>
      </c>
      <c r="Y150" s="230" t="s">
        <v>11</v>
      </c>
      <c r="Z150" s="230" t="s">
        <v>11</v>
      </c>
      <c r="AA150" s="5" t="s">
        <v>11</v>
      </c>
      <c r="AB150" s="230" t="s">
        <v>11</v>
      </c>
      <c r="AC150" s="230" t="s">
        <v>11</v>
      </c>
      <c r="AD150" s="28"/>
      <c r="AE150" s="28"/>
      <c r="AF150" s="24">
        <f t="shared" si="9"/>
        <v>0</v>
      </c>
      <c r="AG150" s="24">
        <f t="shared" si="10"/>
        <v>0</v>
      </c>
      <c r="AH150" s="24">
        <f t="shared" si="11"/>
        <v>14</v>
      </c>
      <c r="AI150" s="41" t="str" cm="1">
        <f t="array" ref="AI150">_xlfn.IFS(
$AF150=15,"Not Started",
$AH150&lt;15,"In Progress",
$AH150=15,"Completed",
SUM(AF150:AH150)&gt;15,"Error"
)</f>
        <v>In Progress</v>
      </c>
    </row>
    <row r="151" spans="1:35" ht="13" x14ac:dyDescent="0.25">
      <c r="A151" s="248"/>
      <c r="B151" s="7" t="s">
        <v>1000</v>
      </c>
      <c r="C151" s="138" t="s">
        <v>5426</v>
      </c>
      <c r="D151" s="138" t="s">
        <v>9237</v>
      </c>
      <c r="E151" s="138" t="s">
        <v>51</v>
      </c>
      <c r="F151" s="138" t="s">
        <v>44</v>
      </c>
      <c r="G151" s="138" t="s">
        <v>5657</v>
      </c>
      <c r="H151" s="138" t="s">
        <v>5657</v>
      </c>
      <c r="I151" s="7">
        <v>21.482769999999999</v>
      </c>
      <c r="J151" s="7">
        <v>39.795850000000002</v>
      </c>
      <c r="K151" s="7" t="str">
        <f t="shared" si="8"/>
        <v>21.48277,39.79585</v>
      </c>
      <c r="L151" s="138" t="s">
        <v>5622</v>
      </c>
      <c r="M151" s="138">
        <v>10053715775</v>
      </c>
      <c r="N151" s="7"/>
      <c r="O151" s="7"/>
      <c r="P151" s="230" t="s">
        <v>11</v>
      </c>
      <c r="Q151" s="230" t="s">
        <v>11</v>
      </c>
      <c r="R151" s="230" t="s">
        <v>11</v>
      </c>
      <c r="S151" s="230" t="s">
        <v>11</v>
      </c>
      <c r="T151" s="230" t="s">
        <v>11</v>
      </c>
      <c r="U151" s="230" t="s">
        <v>11</v>
      </c>
      <c r="V151" s="230" t="s">
        <v>11</v>
      </c>
      <c r="W151" s="230" t="s">
        <v>11</v>
      </c>
      <c r="X151" s="230" t="s">
        <v>11</v>
      </c>
      <c r="Y151" s="230" t="s">
        <v>11</v>
      </c>
      <c r="Z151" s="230" t="s">
        <v>11</v>
      </c>
      <c r="AA151" s="5" t="s">
        <v>11</v>
      </c>
      <c r="AB151" s="230" t="s">
        <v>11</v>
      </c>
      <c r="AC151" s="230" t="s">
        <v>11</v>
      </c>
      <c r="AD151" s="28"/>
      <c r="AE151" s="28"/>
      <c r="AF151" s="24">
        <f t="shared" si="9"/>
        <v>0</v>
      </c>
      <c r="AG151" s="24">
        <f t="shared" si="10"/>
        <v>0</v>
      </c>
      <c r="AH151" s="24">
        <f t="shared" si="11"/>
        <v>14</v>
      </c>
      <c r="AI151" s="41" t="str" cm="1">
        <f t="array" ref="AI151">_xlfn.IFS(
$AF151=15,"Not Started",
$AH151&lt;15,"In Progress",
$AH151=15,"Completed",
SUM(AF151:AH151)&gt;15,"Error"
)</f>
        <v>In Progress</v>
      </c>
    </row>
    <row r="152" spans="1:35" ht="13" x14ac:dyDescent="0.25">
      <c r="A152" s="248"/>
      <c r="B152" s="14" t="s">
        <v>1001</v>
      </c>
      <c r="C152" s="138" t="s">
        <v>5427</v>
      </c>
      <c r="D152" s="138" t="s">
        <v>9238</v>
      </c>
      <c r="E152" s="138" t="s">
        <v>51</v>
      </c>
      <c r="F152" s="138" t="s">
        <v>44</v>
      </c>
      <c r="G152" s="138" t="s">
        <v>5657</v>
      </c>
      <c r="H152" s="138" t="s">
        <v>5657</v>
      </c>
      <c r="I152" s="7">
        <v>21.478421999999998</v>
      </c>
      <c r="J152" s="7">
        <v>39.843501000000003</v>
      </c>
      <c r="K152" s="7" t="str">
        <f t="shared" si="8"/>
        <v>21.478422,39.843501</v>
      </c>
      <c r="L152" s="138" t="s">
        <v>5623</v>
      </c>
      <c r="M152" s="138">
        <v>10053192898</v>
      </c>
      <c r="N152" s="7"/>
      <c r="O152" s="7"/>
      <c r="P152" s="230" t="s">
        <v>11</v>
      </c>
      <c r="Q152" s="230" t="s">
        <v>11</v>
      </c>
      <c r="R152" s="230" t="s">
        <v>11</v>
      </c>
      <c r="S152" s="230" t="s">
        <v>11</v>
      </c>
      <c r="T152" s="230" t="s">
        <v>11</v>
      </c>
      <c r="U152" s="230" t="s">
        <v>11</v>
      </c>
      <c r="V152" s="230" t="s">
        <v>11</v>
      </c>
      <c r="W152" s="230" t="s">
        <v>11</v>
      </c>
      <c r="X152" s="230" t="s">
        <v>11</v>
      </c>
      <c r="Y152" s="230" t="s">
        <v>11</v>
      </c>
      <c r="Z152" s="230" t="s">
        <v>11</v>
      </c>
      <c r="AA152" s="5" t="s">
        <v>11</v>
      </c>
      <c r="AB152" s="230" t="s">
        <v>11</v>
      </c>
      <c r="AC152" s="230" t="s">
        <v>11</v>
      </c>
      <c r="AD152" s="28"/>
      <c r="AE152" s="28"/>
      <c r="AF152" s="24">
        <f t="shared" si="9"/>
        <v>0</v>
      </c>
      <c r="AG152" s="24">
        <f t="shared" si="10"/>
        <v>0</v>
      </c>
      <c r="AH152" s="24">
        <f t="shared" si="11"/>
        <v>14</v>
      </c>
      <c r="AI152" s="41" t="str" cm="1">
        <f t="array" ref="AI152">_xlfn.IFS(
$AF152=15,"Not Started",
$AH152&lt;15,"In Progress",
$AH152=15,"Completed",
SUM(AF152:AH152)&gt;15,"Error"
)</f>
        <v>In Progress</v>
      </c>
    </row>
    <row r="153" spans="1:35" ht="13" x14ac:dyDescent="0.25">
      <c r="A153" s="248"/>
      <c r="B153" s="7" t="s">
        <v>1002</v>
      </c>
      <c r="C153" s="138" t="s">
        <v>5428</v>
      </c>
      <c r="D153" s="138" t="s">
        <v>9239</v>
      </c>
      <c r="E153" s="138" t="s">
        <v>43</v>
      </c>
      <c r="F153" s="138" t="s">
        <v>48</v>
      </c>
      <c r="G153" s="138" t="s">
        <v>5657</v>
      </c>
      <c r="H153" s="138" t="s">
        <v>5657</v>
      </c>
      <c r="I153" s="7">
        <v>21.385259999999999</v>
      </c>
      <c r="J153" s="7">
        <v>39.872010000000003</v>
      </c>
      <c r="K153" s="7" t="str">
        <f t="shared" si="8"/>
        <v>21.38526,39.87201</v>
      </c>
      <c r="L153" s="138" t="s">
        <v>5624</v>
      </c>
      <c r="M153" s="138">
        <v>10053490728</v>
      </c>
      <c r="N153" s="7"/>
      <c r="O153" s="7"/>
      <c r="P153" s="230" t="s">
        <v>11</v>
      </c>
      <c r="Q153" s="230" t="s">
        <v>11</v>
      </c>
      <c r="R153" s="230" t="s">
        <v>11</v>
      </c>
      <c r="S153" s="230" t="s">
        <v>11</v>
      </c>
      <c r="T153" s="230" t="s">
        <v>11</v>
      </c>
      <c r="U153" s="230" t="s">
        <v>11</v>
      </c>
      <c r="V153" s="230" t="s">
        <v>11</v>
      </c>
      <c r="W153" s="230" t="s">
        <v>11</v>
      </c>
      <c r="X153" s="230" t="s">
        <v>11</v>
      </c>
      <c r="Y153" s="230" t="s">
        <v>11</v>
      </c>
      <c r="Z153" s="230" t="s">
        <v>11</v>
      </c>
      <c r="AA153" s="5" t="s">
        <v>11</v>
      </c>
      <c r="AB153" s="230" t="s">
        <v>9</v>
      </c>
      <c r="AC153" s="230" t="s">
        <v>11</v>
      </c>
      <c r="AD153" s="28"/>
      <c r="AE153" s="28"/>
      <c r="AF153" s="24">
        <f t="shared" si="9"/>
        <v>1</v>
      </c>
      <c r="AG153" s="24">
        <f t="shared" si="10"/>
        <v>0</v>
      </c>
      <c r="AH153" s="24">
        <f t="shared" si="11"/>
        <v>13</v>
      </c>
      <c r="AI153" s="41" t="str" cm="1">
        <f t="array" ref="AI153">_xlfn.IFS(
$AF153=15,"Not Started",
$AH153&lt;15,"In Progress",
$AH153=15,"Completed",
SUM(AF153:AH153)&gt;15,"Error"
)</f>
        <v>In Progress</v>
      </c>
    </row>
    <row r="154" spans="1:35" ht="13" x14ac:dyDescent="0.25">
      <c r="A154" s="248"/>
      <c r="B154" s="14" t="s">
        <v>1003</v>
      </c>
      <c r="C154" s="138" t="s">
        <v>5429</v>
      </c>
      <c r="D154" s="138" t="s">
        <v>9240</v>
      </c>
      <c r="E154" s="138" t="s">
        <v>51</v>
      </c>
      <c r="F154" s="138" t="s">
        <v>48</v>
      </c>
      <c r="G154" s="138" t="s">
        <v>5657</v>
      </c>
      <c r="H154" s="138" t="s">
        <v>5657</v>
      </c>
      <c r="I154" s="7">
        <v>21.44710444</v>
      </c>
      <c r="J154" s="7">
        <v>39.805320790000003</v>
      </c>
      <c r="K154" s="7" t="str">
        <f t="shared" si="8"/>
        <v>21.44710444,39.80532079</v>
      </c>
      <c r="L154" s="138" t="s">
        <v>5625</v>
      </c>
      <c r="M154" s="138">
        <v>10053487277</v>
      </c>
      <c r="N154" s="7"/>
      <c r="O154" s="7"/>
      <c r="P154" s="230" t="s">
        <v>11</v>
      </c>
      <c r="Q154" s="230" t="s">
        <v>11</v>
      </c>
      <c r="R154" s="230" t="s">
        <v>11</v>
      </c>
      <c r="S154" s="230" t="s">
        <v>11</v>
      </c>
      <c r="T154" s="230" t="s">
        <v>11</v>
      </c>
      <c r="U154" s="230" t="s">
        <v>11</v>
      </c>
      <c r="V154" s="230" t="s">
        <v>11</v>
      </c>
      <c r="W154" s="230" t="s">
        <v>11</v>
      </c>
      <c r="X154" s="230" t="s">
        <v>11</v>
      </c>
      <c r="Y154" s="230" t="s">
        <v>11</v>
      </c>
      <c r="Z154" s="230" t="s">
        <v>11</v>
      </c>
      <c r="AA154" s="5" t="s">
        <v>11</v>
      </c>
      <c r="AB154" s="230" t="s">
        <v>11</v>
      </c>
      <c r="AC154" s="78" t="s">
        <v>11</v>
      </c>
      <c r="AD154" s="28"/>
      <c r="AE154" s="28"/>
      <c r="AF154" s="24">
        <f t="shared" si="9"/>
        <v>0</v>
      </c>
      <c r="AG154" s="24">
        <f t="shared" si="10"/>
        <v>0</v>
      </c>
      <c r="AH154" s="24">
        <f t="shared" si="11"/>
        <v>14</v>
      </c>
      <c r="AI154" s="41" t="str" cm="1">
        <f t="array" ref="AI154">_xlfn.IFS(
$AF154=15,"Not Started",
$AH154&lt;15,"In Progress",
$AH154=15,"Completed",
SUM(AF154:AH154)&gt;15,"Error"
)</f>
        <v>In Progress</v>
      </c>
    </row>
    <row r="155" spans="1:35" ht="13" x14ac:dyDescent="0.25">
      <c r="A155" s="248"/>
      <c r="B155" s="7" t="s">
        <v>1004</v>
      </c>
      <c r="C155" s="138" t="s">
        <v>5430</v>
      </c>
      <c r="D155" s="138" t="s">
        <v>9241</v>
      </c>
      <c r="E155" s="138" t="s">
        <v>47</v>
      </c>
      <c r="F155" s="138" t="s">
        <v>44</v>
      </c>
      <c r="G155" s="138" t="s">
        <v>5657</v>
      </c>
      <c r="H155" s="138" t="s">
        <v>5657</v>
      </c>
      <c r="I155" s="7">
        <v>21.43328</v>
      </c>
      <c r="J155" s="7">
        <v>39.772860000000001</v>
      </c>
      <c r="K155" s="7" t="str">
        <f t="shared" si="8"/>
        <v>21.43328,39.77286</v>
      </c>
      <c r="L155" s="138" t="s">
        <v>5626</v>
      </c>
      <c r="M155" s="138">
        <v>10091625978</v>
      </c>
      <c r="N155" s="7"/>
      <c r="O155" s="7"/>
      <c r="P155" s="230" t="s">
        <v>11</v>
      </c>
      <c r="Q155" s="230" t="s">
        <v>11</v>
      </c>
      <c r="R155" s="230" t="s">
        <v>11</v>
      </c>
      <c r="S155" s="230" t="s">
        <v>11</v>
      </c>
      <c r="T155" s="230" t="s">
        <v>11</v>
      </c>
      <c r="U155" s="230" t="s">
        <v>11</v>
      </c>
      <c r="V155" s="230" t="s">
        <v>11</v>
      </c>
      <c r="W155" s="230" t="s">
        <v>11</v>
      </c>
      <c r="X155" s="230" t="s">
        <v>11</v>
      </c>
      <c r="Y155" s="230" t="s">
        <v>11</v>
      </c>
      <c r="Z155" s="230" t="s">
        <v>11</v>
      </c>
      <c r="AA155" s="5" t="s">
        <v>11</v>
      </c>
      <c r="AB155" s="230" t="s">
        <v>9</v>
      </c>
      <c r="AC155" s="230" t="s">
        <v>11</v>
      </c>
      <c r="AD155" s="28"/>
      <c r="AE155" s="28"/>
      <c r="AF155" s="24">
        <f t="shared" si="9"/>
        <v>1</v>
      </c>
      <c r="AG155" s="24">
        <f t="shared" si="10"/>
        <v>0</v>
      </c>
      <c r="AH155" s="24">
        <f t="shared" si="11"/>
        <v>13</v>
      </c>
      <c r="AI155" s="41" t="str" cm="1">
        <f t="array" ref="AI155">_xlfn.IFS(
$AF155=15,"Not Started",
$AH155&lt;15,"In Progress",
$AH155=15,"Completed",
SUM(AF155:AH155)&gt;15,"Error"
)</f>
        <v>In Progress</v>
      </c>
    </row>
    <row r="156" spans="1:35" ht="13" x14ac:dyDescent="0.25">
      <c r="A156" s="248"/>
      <c r="B156" s="14" t="s">
        <v>1005</v>
      </c>
      <c r="C156" s="138" t="s">
        <v>5431</v>
      </c>
      <c r="D156" s="138" t="s">
        <v>9242</v>
      </c>
      <c r="E156" s="138" t="s">
        <v>51</v>
      </c>
      <c r="F156" s="138" t="s">
        <v>48</v>
      </c>
      <c r="G156" s="138" t="s">
        <v>5657</v>
      </c>
      <c r="H156" s="138" t="s">
        <v>5657</v>
      </c>
      <c r="I156" s="7">
        <v>21.366700000000002</v>
      </c>
      <c r="J156" s="7">
        <v>39.797069999999998</v>
      </c>
      <c r="K156" s="7" t="str">
        <f t="shared" si="8"/>
        <v>21.3667,39.79707</v>
      </c>
      <c r="L156" s="138" t="s">
        <v>5627</v>
      </c>
      <c r="M156" s="138">
        <v>10053272273</v>
      </c>
      <c r="N156" s="7"/>
      <c r="O156" s="7"/>
      <c r="P156" s="230" t="s">
        <v>11</v>
      </c>
      <c r="Q156" s="230" t="s">
        <v>11</v>
      </c>
      <c r="R156" s="230" t="s">
        <v>11</v>
      </c>
      <c r="S156" s="230" t="s">
        <v>11</v>
      </c>
      <c r="T156" s="230" t="s">
        <v>11</v>
      </c>
      <c r="U156" s="230" t="s">
        <v>11</v>
      </c>
      <c r="V156" s="230" t="s">
        <v>11</v>
      </c>
      <c r="W156" s="230" t="s">
        <v>11</v>
      </c>
      <c r="X156" s="230" t="s">
        <v>11</v>
      </c>
      <c r="Y156" s="230" t="s">
        <v>11</v>
      </c>
      <c r="Z156" s="230" t="s">
        <v>11</v>
      </c>
      <c r="AA156" s="5" t="s">
        <v>11</v>
      </c>
      <c r="AB156" s="230" t="s">
        <v>11</v>
      </c>
      <c r="AC156" s="230" t="s">
        <v>11</v>
      </c>
      <c r="AD156" s="28"/>
      <c r="AE156" s="28"/>
      <c r="AF156" s="24">
        <f t="shared" si="9"/>
        <v>0</v>
      </c>
      <c r="AG156" s="24">
        <f t="shared" si="10"/>
        <v>0</v>
      </c>
      <c r="AH156" s="24">
        <f t="shared" si="11"/>
        <v>14</v>
      </c>
      <c r="AI156" s="41" t="str" cm="1">
        <f t="array" ref="AI156">_xlfn.IFS(
$AF156=15,"Not Started",
$AH156&lt;15,"In Progress",
$AH156=15,"Completed",
SUM(AF156:AH156)&gt;15,"Error"
)</f>
        <v>In Progress</v>
      </c>
    </row>
    <row r="157" spans="1:35" ht="13" x14ac:dyDescent="0.25">
      <c r="A157" s="248"/>
      <c r="B157" s="7" t="s">
        <v>1006</v>
      </c>
      <c r="C157" s="138" t="s">
        <v>5432</v>
      </c>
      <c r="D157" s="138" t="s">
        <v>9243</v>
      </c>
      <c r="E157" s="138" t="s">
        <v>43</v>
      </c>
      <c r="F157" s="138" t="s">
        <v>48</v>
      </c>
      <c r="G157" s="138" t="s">
        <v>5657</v>
      </c>
      <c r="H157" s="138" t="s">
        <v>5657</v>
      </c>
      <c r="I157" s="7">
        <v>21.366700000000002</v>
      </c>
      <c r="J157" s="7">
        <v>39.797069999999998</v>
      </c>
      <c r="K157" s="7" t="str">
        <f t="shared" si="8"/>
        <v>21.3667,39.79707</v>
      </c>
      <c r="L157" s="138" t="s">
        <v>5628</v>
      </c>
      <c r="M157" s="138">
        <v>10053272513</v>
      </c>
      <c r="N157" s="7"/>
      <c r="O157" s="7"/>
      <c r="P157" s="230" t="s">
        <v>11</v>
      </c>
      <c r="Q157" s="230" t="s">
        <v>11</v>
      </c>
      <c r="R157" s="230" t="s">
        <v>11</v>
      </c>
      <c r="S157" s="230" t="s">
        <v>11</v>
      </c>
      <c r="T157" s="230" t="s">
        <v>11</v>
      </c>
      <c r="U157" s="230" t="s">
        <v>11</v>
      </c>
      <c r="V157" s="230" t="s">
        <v>11</v>
      </c>
      <c r="W157" s="230" t="s">
        <v>11</v>
      </c>
      <c r="X157" s="230" t="s">
        <v>11</v>
      </c>
      <c r="Y157" s="230" t="s">
        <v>11</v>
      </c>
      <c r="Z157" s="230" t="s">
        <v>11</v>
      </c>
      <c r="AA157" s="5" t="s">
        <v>11</v>
      </c>
      <c r="AB157" s="230" t="s">
        <v>11</v>
      </c>
      <c r="AC157" s="78" t="s">
        <v>11</v>
      </c>
      <c r="AD157" s="28"/>
      <c r="AE157" s="28"/>
      <c r="AF157" s="24">
        <f t="shared" si="9"/>
        <v>0</v>
      </c>
      <c r="AG157" s="24">
        <f t="shared" si="10"/>
        <v>0</v>
      </c>
      <c r="AH157" s="24">
        <f t="shared" si="11"/>
        <v>14</v>
      </c>
      <c r="AI157" s="41" t="str" cm="1">
        <f t="array" ref="AI157">_xlfn.IFS(
$AF157=15,"Not Started",
$AH157&lt;15,"In Progress",
$AH157=15,"Completed",
SUM(AF157:AH157)&gt;15,"Error"
)</f>
        <v>In Progress</v>
      </c>
    </row>
    <row r="158" spans="1:35" ht="13" x14ac:dyDescent="0.25">
      <c r="A158" s="248"/>
      <c r="B158" s="14" t="s">
        <v>1007</v>
      </c>
      <c r="C158" s="138" t="s">
        <v>5433</v>
      </c>
      <c r="D158" s="138" t="s">
        <v>9244</v>
      </c>
      <c r="E158" s="138" t="s">
        <v>43</v>
      </c>
      <c r="F158" s="138" t="s">
        <v>44</v>
      </c>
      <c r="G158" s="138" t="s">
        <v>5657</v>
      </c>
      <c r="H158" s="138" t="s">
        <v>5657</v>
      </c>
      <c r="I158" s="7">
        <v>21.444555000000001</v>
      </c>
      <c r="J158" s="7">
        <v>39.766072999999999</v>
      </c>
      <c r="K158" s="7" t="str">
        <f t="shared" si="8"/>
        <v>21.444555,39.766073</v>
      </c>
      <c r="L158" s="138" t="s">
        <v>5629</v>
      </c>
      <c r="M158" s="138">
        <v>10053775700</v>
      </c>
      <c r="N158" s="7"/>
      <c r="O158" s="7"/>
      <c r="P158" s="230" t="s">
        <v>11</v>
      </c>
      <c r="Q158" s="230" t="s">
        <v>11</v>
      </c>
      <c r="R158" s="230" t="s">
        <v>11</v>
      </c>
      <c r="S158" s="230" t="s">
        <v>11</v>
      </c>
      <c r="T158" s="230" t="s">
        <v>11</v>
      </c>
      <c r="U158" s="230" t="s">
        <v>11</v>
      </c>
      <c r="V158" s="230" t="s">
        <v>11</v>
      </c>
      <c r="W158" s="230" t="s">
        <v>11</v>
      </c>
      <c r="X158" s="230" t="s">
        <v>11</v>
      </c>
      <c r="Y158" s="230" t="s">
        <v>11</v>
      </c>
      <c r="Z158" s="230" t="s">
        <v>11</v>
      </c>
      <c r="AA158" s="5" t="s">
        <v>11</v>
      </c>
      <c r="AB158" s="230" t="s">
        <v>11</v>
      </c>
      <c r="AC158" s="230" t="s">
        <v>11</v>
      </c>
      <c r="AD158" s="28"/>
      <c r="AE158" s="28"/>
      <c r="AF158" s="24">
        <f t="shared" si="9"/>
        <v>0</v>
      </c>
      <c r="AG158" s="24">
        <f t="shared" si="10"/>
        <v>0</v>
      </c>
      <c r="AH158" s="24">
        <f t="shared" si="11"/>
        <v>14</v>
      </c>
      <c r="AI158" s="41" t="str" cm="1">
        <f t="array" ref="AI158">_xlfn.IFS(
$AF158=15,"Not Started",
$AH158&lt;15,"In Progress",
$AH158=15,"Completed",
SUM(AF158:AH158)&gt;15,"Error"
)</f>
        <v>In Progress</v>
      </c>
    </row>
    <row r="159" spans="1:35" ht="13" x14ac:dyDescent="0.25">
      <c r="A159" s="248"/>
      <c r="B159" s="7" t="s">
        <v>1008</v>
      </c>
      <c r="C159" s="138" t="s">
        <v>5434</v>
      </c>
      <c r="D159" s="138" t="s">
        <v>9245</v>
      </c>
      <c r="E159" s="138" t="s">
        <v>43</v>
      </c>
      <c r="F159" s="138" t="s">
        <v>44</v>
      </c>
      <c r="G159" s="138" t="s">
        <v>5657</v>
      </c>
      <c r="H159" s="138" t="s">
        <v>5657</v>
      </c>
      <c r="I159" s="7">
        <v>21.422260300000001</v>
      </c>
      <c r="J159" s="7">
        <v>39.769255600000001</v>
      </c>
      <c r="K159" s="7" t="str">
        <f t="shared" si="8"/>
        <v>21.4222603,39.7692556</v>
      </c>
      <c r="L159" s="138" t="s">
        <v>5630</v>
      </c>
      <c r="M159" s="138">
        <v>10053378236</v>
      </c>
      <c r="N159" s="7"/>
      <c r="O159" s="7"/>
      <c r="P159" s="230" t="s">
        <v>11</v>
      </c>
      <c r="Q159" s="230" t="s">
        <v>11</v>
      </c>
      <c r="R159" s="230" t="s">
        <v>11</v>
      </c>
      <c r="S159" s="230" t="s">
        <v>11</v>
      </c>
      <c r="T159" s="230" t="s">
        <v>11</v>
      </c>
      <c r="U159" s="230" t="s">
        <v>11</v>
      </c>
      <c r="V159" s="230" t="s">
        <v>11</v>
      </c>
      <c r="W159" s="230" t="s">
        <v>11</v>
      </c>
      <c r="X159" s="230" t="s">
        <v>11</v>
      </c>
      <c r="Y159" s="230" t="s">
        <v>11</v>
      </c>
      <c r="Z159" s="230" t="s">
        <v>11</v>
      </c>
      <c r="AA159" s="5" t="s">
        <v>11</v>
      </c>
      <c r="AB159" s="230" t="s">
        <v>11</v>
      </c>
      <c r="AC159" s="78" t="s">
        <v>11</v>
      </c>
      <c r="AD159" s="28"/>
      <c r="AE159" s="28"/>
      <c r="AF159" s="24">
        <f t="shared" si="9"/>
        <v>0</v>
      </c>
      <c r="AG159" s="24">
        <f t="shared" si="10"/>
        <v>0</v>
      </c>
      <c r="AH159" s="24">
        <f t="shared" si="11"/>
        <v>14</v>
      </c>
      <c r="AI159" s="41" t="str" cm="1">
        <f t="array" ref="AI159">_xlfn.IFS(
$AF159=15,"Not Started",
$AH159&lt;15,"In Progress",
$AH159=15,"Completed",
SUM(AF159:AH159)&gt;15,"Error"
)</f>
        <v>In Progress</v>
      </c>
    </row>
    <row r="160" spans="1:35" ht="13" x14ac:dyDescent="0.25">
      <c r="A160" s="248"/>
      <c r="B160" s="14" t="s">
        <v>1009</v>
      </c>
      <c r="C160" s="138" t="s">
        <v>5435</v>
      </c>
      <c r="D160" s="138" t="s">
        <v>9246</v>
      </c>
      <c r="E160" s="138" t="s">
        <v>43</v>
      </c>
      <c r="F160" s="138" t="s">
        <v>48</v>
      </c>
      <c r="G160" s="138" t="s">
        <v>5657</v>
      </c>
      <c r="H160" s="138" t="s">
        <v>5657</v>
      </c>
      <c r="I160" s="7">
        <v>21.383895599999999</v>
      </c>
      <c r="J160" s="7">
        <v>39.807978599999998</v>
      </c>
      <c r="K160" s="7" t="str">
        <f t="shared" si="8"/>
        <v>21.3838956,39.8079786</v>
      </c>
      <c r="L160" s="138" t="s">
        <v>5631</v>
      </c>
      <c r="M160" s="138">
        <v>10102405441</v>
      </c>
      <c r="N160" s="7"/>
      <c r="O160" s="7"/>
      <c r="P160" s="230" t="s">
        <v>11</v>
      </c>
      <c r="Q160" s="230" t="s">
        <v>11</v>
      </c>
      <c r="R160" s="230" t="s">
        <v>11</v>
      </c>
      <c r="S160" s="230" t="s">
        <v>11</v>
      </c>
      <c r="T160" s="230" t="s">
        <v>11</v>
      </c>
      <c r="U160" s="230" t="s">
        <v>11</v>
      </c>
      <c r="V160" s="230" t="s">
        <v>11</v>
      </c>
      <c r="W160" s="230" t="s">
        <v>11</v>
      </c>
      <c r="X160" s="230" t="s">
        <v>11</v>
      </c>
      <c r="Y160" s="230" t="s">
        <v>11</v>
      </c>
      <c r="Z160" s="230" t="s">
        <v>11</v>
      </c>
      <c r="AA160" s="230" t="s">
        <v>11</v>
      </c>
      <c r="AB160" s="230" t="s">
        <v>11</v>
      </c>
      <c r="AC160" s="230" t="s">
        <v>11</v>
      </c>
      <c r="AD160" s="28"/>
      <c r="AE160" s="28"/>
      <c r="AF160" s="24">
        <f t="shared" si="9"/>
        <v>0</v>
      </c>
      <c r="AG160" s="24">
        <f t="shared" si="10"/>
        <v>0</v>
      </c>
      <c r="AH160" s="24">
        <f t="shared" si="11"/>
        <v>14</v>
      </c>
      <c r="AI160" s="41" t="str" cm="1">
        <f t="array" ref="AI160">_xlfn.IFS(
$AF160=15,"Not Started",
$AH160&lt;15,"In Progress",
$AH160=15,"Completed",
SUM(AF160:AH160)&gt;15,"Error"
)</f>
        <v>In Progress</v>
      </c>
    </row>
    <row r="161" spans="1:35" ht="13" x14ac:dyDescent="0.25">
      <c r="A161" s="248"/>
      <c r="B161" s="7" t="s">
        <v>1010</v>
      </c>
      <c r="C161" s="138" t="s">
        <v>5436</v>
      </c>
      <c r="D161" s="138" t="s">
        <v>9247</v>
      </c>
      <c r="E161" s="138" t="s">
        <v>47</v>
      </c>
      <c r="F161" s="138" t="s">
        <v>48</v>
      </c>
      <c r="G161" s="138" t="s">
        <v>5657</v>
      </c>
      <c r="H161" s="138" t="s">
        <v>5657</v>
      </c>
      <c r="I161" s="7">
        <v>21.464594209119699</v>
      </c>
      <c r="J161" s="140">
        <v>39.937620442969298</v>
      </c>
      <c r="K161" s="7" t="str">
        <f t="shared" si="8"/>
        <v>21.4645942091197,39.9376204429693</v>
      </c>
      <c r="L161" s="138" t="s">
        <v>5632</v>
      </c>
      <c r="M161" s="138">
        <v>10053752886</v>
      </c>
      <c r="N161" s="7"/>
      <c r="O161" s="7"/>
      <c r="P161" s="230" t="s">
        <v>11</v>
      </c>
      <c r="Q161" s="230" t="s">
        <v>11</v>
      </c>
      <c r="R161" s="230" t="s">
        <v>11</v>
      </c>
      <c r="S161" s="230" t="s">
        <v>11</v>
      </c>
      <c r="T161" s="230" t="s">
        <v>11</v>
      </c>
      <c r="U161" s="230" t="s">
        <v>11</v>
      </c>
      <c r="V161" s="230" t="s">
        <v>11</v>
      </c>
      <c r="W161" s="230" t="s">
        <v>11</v>
      </c>
      <c r="X161" s="230" t="s">
        <v>11</v>
      </c>
      <c r="Y161" s="230" t="s">
        <v>11</v>
      </c>
      <c r="Z161" s="230" t="s">
        <v>11</v>
      </c>
      <c r="AA161" s="78" t="s">
        <v>11</v>
      </c>
      <c r="AB161" s="230" t="s">
        <v>9</v>
      </c>
      <c r="AC161" s="78" t="s">
        <v>11</v>
      </c>
      <c r="AD161" s="28"/>
      <c r="AE161" s="28"/>
      <c r="AF161" s="24">
        <f t="shared" si="9"/>
        <v>1</v>
      </c>
      <c r="AG161" s="24">
        <f t="shared" si="10"/>
        <v>0</v>
      </c>
      <c r="AH161" s="24">
        <f t="shared" si="11"/>
        <v>13</v>
      </c>
      <c r="AI161" s="41" t="str" cm="1">
        <f t="array" ref="AI161">_xlfn.IFS(
$AF161=15,"Not Started",
$AH161&lt;15,"In Progress",
$AH161=15,"Completed",
SUM(AF161:AH161)&gt;15,"Error"
)</f>
        <v>In Progress</v>
      </c>
    </row>
    <row r="162" spans="1:35" ht="13" x14ac:dyDescent="0.25">
      <c r="A162" s="248"/>
      <c r="B162" s="14" t="s">
        <v>1011</v>
      </c>
      <c r="C162" s="138" t="s">
        <v>5437</v>
      </c>
      <c r="D162" s="138" t="s">
        <v>9248</v>
      </c>
      <c r="E162" s="138" t="s">
        <v>10347</v>
      </c>
      <c r="F162" s="138" t="s">
        <v>48</v>
      </c>
      <c r="G162" s="138" t="s">
        <v>5657</v>
      </c>
      <c r="H162" s="138" t="s">
        <v>5657</v>
      </c>
      <c r="I162" s="7">
        <v>21.463924062398601</v>
      </c>
      <c r="J162" s="140">
        <v>39.9370592466964</v>
      </c>
      <c r="K162" s="7" t="str">
        <f t="shared" si="8"/>
        <v>21.4639240623986,39.9370592466964</v>
      </c>
      <c r="L162" s="138" t="s">
        <v>5633</v>
      </c>
      <c r="M162" s="138">
        <v>10053699395</v>
      </c>
      <c r="N162" s="7"/>
      <c r="O162" s="7"/>
      <c r="P162" s="230" t="s">
        <v>11</v>
      </c>
      <c r="Q162" s="230" t="s">
        <v>11</v>
      </c>
      <c r="R162" s="230" t="s">
        <v>11</v>
      </c>
      <c r="S162" s="230" t="s">
        <v>11</v>
      </c>
      <c r="T162" s="230" t="s">
        <v>11</v>
      </c>
      <c r="U162" s="230" t="s">
        <v>11</v>
      </c>
      <c r="V162" s="230" t="s">
        <v>11</v>
      </c>
      <c r="W162" s="230" t="s">
        <v>11</v>
      </c>
      <c r="X162" s="230" t="s">
        <v>11</v>
      </c>
      <c r="Y162" s="230" t="s">
        <v>11</v>
      </c>
      <c r="Z162" s="230" t="s">
        <v>11</v>
      </c>
      <c r="AA162" s="230" t="s">
        <v>11</v>
      </c>
      <c r="AB162" s="230" t="s">
        <v>9</v>
      </c>
      <c r="AC162" s="230" t="s">
        <v>11</v>
      </c>
      <c r="AD162" s="28"/>
      <c r="AE162" s="28"/>
      <c r="AF162" s="24">
        <f t="shared" si="9"/>
        <v>1</v>
      </c>
      <c r="AG162" s="24">
        <f t="shared" si="10"/>
        <v>0</v>
      </c>
      <c r="AH162" s="24">
        <f t="shared" si="11"/>
        <v>13</v>
      </c>
      <c r="AI162" s="41" t="str" cm="1">
        <f t="array" ref="AI162">_xlfn.IFS(
$AF162=15,"Not Started",
$AH162&lt;15,"In Progress",
$AH162=15,"Completed",
SUM(AF162:AH162)&gt;15,"Error"
)</f>
        <v>In Progress</v>
      </c>
    </row>
    <row r="163" spans="1:35" ht="13" x14ac:dyDescent="0.25">
      <c r="A163" s="248"/>
      <c r="B163" s="7" t="s">
        <v>1012</v>
      </c>
      <c r="C163" s="138" t="s">
        <v>5438</v>
      </c>
      <c r="D163" s="138" t="s">
        <v>9249</v>
      </c>
      <c r="E163" s="138" t="s">
        <v>43</v>
      </c>
      <c r="F163" s="138" t="s">
        <v>48</v>
      </c>
      <c r="G163" s="138" t="s">
        <v>5657</v>
      </c>
      <c r="H163" s="138" t="s">
        <v>5657</v>
      </c>
      <c r="I163" s="7">
        <v>21.463719787223202</v>
      </c>
      <c r="J163" s="140">
        <v>39.937491055194599</v>
      </c>
      <c r="K163" s="7" t="str">
        <f t="shared" si="8"/>
        <v>21.4637197872232,39.9374910551946</v>
      </c>
      <c r="L163" s="227" t="s">
        <v>11256</v>
      </c>
      <c r="M163" s="138">
        <v>10053700066</v>
      </c>
      <c r="N163" s="7"/>
      <c r="O163" s="7"/>
      <c r="P163" s="230" t="s">
        <v>11</v>
      </c>
      <c r="Q163" s="230" t="s">
        <v>11</v>
      </c>
      <c r="R163" s="230" t="s">
        <v>11</v>
      </c>
      <c r="S163" s="230" t="s">
        <v>11</v>
      </c>
      <c r="T163" s="230" t="s">
        <v>11</v>
      </c>
      <c r="U163" s="230" t="s">
        <v>11</v>
      </c>
      <c r="V163" s="230" t="s">
        <v>11</v>
      </c>
      <c r="W163" s="230" t="s">
        <v>11</v>
      </c>
      <c r="X163" s="230" t="s">
        <v>11</v>
      </c>
      <c r="Y163" s="230" t="s">
        <v>11</v>
      </c>
      <c r="Z163" s="230" t="s">
        <v>11</v>
      </c>
      <c r="AA163" s="230" t="s">
        <v>9</v>
      </c>
      <c r="AB163" s="230" t="s">
        <v>9</v>
      </c>
      <c r="AC163" s="230" t="s">
        <v>9</v>
      </c>
      <c r="AD163" s="28"/>
      <c r="AE163" s="28"/>
      <c r="AF163" s="24">
        <f t="shared" si="9"/>
        <v>3</v>
      </c>
      <c r="AG163" s="24">
        <f t="shared" si="10"/>
        <v>0</v>
      </c>
      <c r="AH163" s="24">
        <f t="shared" si="11"/>
        <v>11</v>
      </c>
      <c r="AI163" s="41" t="str" cm="1">
        <f t="array" ref="AI163">_xlfn.IFS(
$AF163=15,"Not Started",
$AH163&lt;15,"In Progress",
$AH163=15,"Completed",
SUM(AF163:AH163)&gt;15,"Error"
)</f>
        <v>In Progress</v>
      </c>
    </row>
    <row r="164" spans="1:35" ht="13" x14ac:dyDescent="0.25">
      <c r="A164" s="248"/>
      <c r="B164" s="14" t="s">
        <v>1013</v>
      </c>
      <c r="C164" s="227" t="s">
        <v>11249</v>
      </c>
      <c r="D164" s="228" t="s">
        <v>11250</v>
      </c>
      <c r="E164" s="138" t="s">
        <v>43</v>
      </c>
      <c r="F164" s="138" t="s">
        <v>48</v>
      </c>
      <c r="G164" s="138" t="s">
        <v>5657</v>
      </c>
      <c r="H164" s="138" t="s">
        <v>5657</v>
      </c>
      <c r="I164" s="7">
        <v>21.401972577064299</v>
      </c>
      <c r="J164" s="140">
        <v>39.816021930640602</v>
      </c>
      <c r="K164" s="7" t="str">
        <f t="shared" si="8"/>
        <v>21.4019725770643,39.8160219306406</v>
      </c>
      <c r="L164" s="227" t="s">
        <v>11257</v>
      </c>
      <c r="M164" s="227">
        <v>10053581411</v>
      </c>
      <c r="N164" s="7"/>
      <c r="O164" s="7"/>
      <c r="P164" s="230" t="s">
        <v>11</v>
      </c>
      <c r="Q164" s="230" t="s">
        <v>11</v>
      </c>
      <c r="R164" s="230" t="s">
        <v>11</v>
      </c>
      <c r="S164" s="230" t="s">
        <v>11</v>
      </c>
      <c r="T164" s="230" t="s">
        <v>11</v>
      </c>
      <c r="U164" s="230" t="s">
        <v>11</v>
      </c>
      <c r="V164" s="230" t="s">
        <v>11</v>
      </c>
      <c r="W164" s="230" t="s">
        <v>11</v>
      </c>
      <c r="X164" s="230" t="s">
        <v>11</v>
      </c>
      <c r="Y164" s="230" t="s">
        <v>11</v>
      </c>
      <c r="Z164" s="230" t="s">
        <v>11</v>
      </c>
      <c r="AA164" s="5" t="s">
        <v>11</v>
      </c>
      <c r="AB164" s="230" t="s">
        <v>11</v>
      </c>
      <c r="AC164" s="230" t="s">
        <v>11</v>
      </c>
      <c r="AD164" s="28"/>
      <c r="AE164" s="28"/>
      <c r="AF164" s="24">
        <f t="shared" si="9"/>
        <v>0</v>
      </c>
      <c r="AG164" s="24">
        <f t="shared" si="10"/>
        <v>0</v>
      </c>
      <c r="AH164" s="24">
        <f t="shared" si="11"/>
        <v>14</v>
      </c>
      <c r="AI164" s="41" t="str" cm="1">
        <f t="array" ref="AI164">_xlfn.IFS(
$AF164=15,"Not Started",
$AH164&lt;15,"In Progress",
$AH164=15,"Completed",
SUM(AF164:AH164)&gt;15,"Error"
)</f>
        <v>In Progress</v>
      </c>
    </row>
    <row r="165" spans="1:35" ht="13" x14ac:dyDescent="0.25">
      <c r="A165" s="248"/>
      <c r="B165" s="7" t="s">
        <v>1014</v>
      </c>
      <c r="C165" s="138" t="s">
        <v>5439</v>
      </c>
      <c r="D165" s="138" t="s">
        <v>9250</v>
      </c>
      <c r="E165" s="138" t="s">
        <v>51</v>
      </c>
      <c r="F165" s="138" t="s">
        <v>48</v>
      </c>
      <c r="G165" s="138" t="s">
        <v>5657</v>
      </c>
      <c r="H165" s="138" t="s">
        <v>5657</v>
      </c>
      <c r="I165" s="7">
        <v>21.464226514192099</v>
      </c>
      <c r="J165" s="140">
        <v>39.938014085938697</v>
      </c>
      <c r="K165" s="7" t="str">
        <f t="shared" si="8"/>
        <v>21.4642265141921,39.9380140859387</v>
      </c>
      <c r="L165" s="138" t="s">
        <v>5634</v>
      </c>
      <c r="M165" s="138">
        <v>10053699813</v>
      </c>
      <c r="N165" s="7"/>
      <c r="O165" s="7"/>
      <c r="P165" s="230" t="s">
        <v>11</v>
      </c>
      <c r="Q165" s="230" t="s">
        <v>11</v>
      </c>
      <c r="R165" s="230" t="s">
        <v>11</v>
      </c>
      <c r="S165" s="230" t="s">
        <v>11</v>
      </c>
      <c r="T165" s="230" t="s">
        <v>11</v>
      </c>
      <c r="U165" s="230" t="s">
        <v>11</v>
      </c>
      <c r="V165" s="230" t="s">
        <v>11</v>
      </c>
      <c r="W165" s="230" t="s">
        <v>11</v>
      </c>
      <c r="X165" s="230" t="s">
        <v>11</v>
      </c>
      <c r="Y165" s="230" t="s">
        <v>11</v>
      </c>
      <c r="Z165" s="230" t="s">
        <v>11</v>
      </c>
      <c r="AA165" s="230" t="s">
        <v>11</v>
      </c>
      <c r="AB165" s="230" t="s">
        <v>9</v>
      </c>
      <c r="AC165" s="230" t="s">
        <v>11</v>
      </c>
      <c r="AD165" s="28"/>
      <c r="AE165" s="28"/>
      <c r="AF165" s="24">
        <f t="shared" si="9"/>
        <v>1</v>
      </c>
      <c r="AG165" s="24">
        <f t="shared" si="10"/>
        <v>0</v>
      </c>
      <c r="AH165" s="24">
        <f t="shared" si="11"/>
        <v>13</v>
      </c>
      <c r="AI165" s="41" t="str" cm="1">
        <f t="array" ref="AI165">_xlfn.IFS(
$AF165=15,"Not Started",
$AH165&lt;15,"In Progress",
$AH165=15,"Completed",
SUM(AF165:AH165)&gt;15,"Error"
)</f>
        <v>In Progress</v>
      </c>
    </row>
    <row r="166" spans="1:35" ht="13" x14ac:dyDescent="0.25">
      <c r="A166" s="248"/>
      <c r="B166" s="14" t="s">
        <v>1015</v>
      </c>
      <c r="C166" s="138" t="s">
        <v>5440</v>
      </c>
      <c r="D166" s="138" t="s">
        <v>9251</v>
      </c>
      <c r="E166" s="138" t="s">
        <v>51</v>
      </c>
      <c r="F166" s="138" t="s">
        <v>48</v>
      </c>
      <c r="G166" s="138" t="s">
        <v>5657</v>
      </c>
      <c r="H166" s="138" t="s">
        <v>5657</v>
      </c>
      <c r="I166" s="7">
        <v>21.405314183374202</v>
      </c>
      <c r="J166" s="140">
        <v>39.780851614404803</v>
      </c>
      <c r="K166" s="7" t="str">
        <f t="shared" si="8"/>
        <v>21.4053141833742,39.7808516144048</v>
      </c>
      <c r="L166" s="138" t="s">
        <v>11258</v>
      </c>
      <c r="M166" s="227">
        <v>10053801391</v>
      </c>
      <c r="N166" s="7"/>
      <c r="O166" s="7"/>
      <c r="P166" s="230" t="s">
        <v>11</v>
      </c>
      <c r="Q166" s="230" t="s">
        <v>11</v>
      </c>
      <c r="R166" s="230" t="s">
        <v>11</v>
      </c>
      <c r="S166" s="230" t="s">
        <v>11</v>
      </c>
      <c r="T166" s="230" t="s">
        <v>11</v>
      </c>
      <c r="U166" s="230" t="s">
        <v>11</v>
      </c>
      <c r="V166" s="230" t="s">
        <v>11</v>
      </c>
      <c r="W166" s="230" t="s">
        <v>11</v>
      </c>
      <c r="X166" s="230" t="s">
        <v>11</v>
      </c>
      <c r="Y166" s="230" t="s">
        <v>11</v>
      </c>
      <c r="Z166" s="230" t="s">
        <v>11</v>
      </c>
      <c r="AA166" s="230" t="s">
        <v>11</v>
      </c>
      <c r="AB166" s="230" t="s">
        <v>11</v>
      </c>
      <c r="AC166" s="230" t="s">
        <v>11</v>
      </c>
      <c r="AD166" s="28"/>
      <c r="AE166" s="28"/>
      <c r="AF166" s="24">
        <f t="shared" si="9"/>
        <v>0</v>
      </c>
      <c r="AG166" s="24">
        <f t="shared" si="10"/>
        <v>0</v>
      </c>
      <c r="AH166" s="24">
        <f t="shared" si="11"/>
        <v>14</v>
      </c>
      <c r="AI166" s="41" t="str" cm="1">
        <f t="array" ref="AI166">_xlfn.IFS(
$AF166=15,"Not Started",
$AH166&lt;15,"In Progress",
$AH166=15,"Completed",
SUM(AF166:AH166)&gt;15,"Error"
)</f>
        <v>In Progress</v>
      </c>
    </row>
    <row r="167" spans="1:35" ht="13" x14ac:dyDescent="0.25">
      <c r="A167" s="248"/>
      <c r="B167" s="7" t="s">
        <v>1016</v>
      </c>
      <c r="C167" s="138" t="s">
        <v>5441</v>
      </c>
      <c r="D167" s="138" t="s">
        <v>9252</v>
      </c>
      <c r="E167" s="138" t="s">
        <v>51</v>
      </c>
      <c r="F167" s="138" t="s">
        <v>44</v>
      </c>
      <c r="G167" s="138" t="s">
        <v>5657</v>
      </c>
      <c r="H167" s="138" t="s">
        <v>5657</v>
      </c>
      <c r="I167" s="7">
        <v>21.472736246764399</v>
      </c>
      <c r="J167" s="140">
        <v>39.7903163779539</v>
      </c>
      <c r="K167" s="7" t="str">
        <f t="shared" si="8"/>
        <v>21.4727362467644,39.7903163779539</v>
      </c>
      <c r="L167" s="227" t="s">
        <v>11259</v>
      </c>
      <c r="M167" s="138">
        <v>10053664621</v>
      </c>
      <c r="N167" s="7"/>
      <c r="O167" s="7"/>
      <c r="P167" s="230" t="s">
        <v>11</v>
      </c>
      <c r="Q167" s="230" t="s">
        <v>11</v>
      </c>
      <c r="R167" s="230" t="s">
        <v>11</v>
      </c>
      <c r="S167" s="230" t="s">
        <v>11</v>
      </c>
      <c r="T167" s="230" t="s">
        <v>11</v>
      </c>
      <c r="U167" s="230" t="s">
        <v>11</v>
      </c>
      <c r="V167" s="230" t="s">
        <v>11</v>
      </c>
      <c r="W167" s="230" t="s">
        <v>11</v>
      </c>
      <c r="X167" s="230" t="s">
        <v>9</v>
      </c>
      <c r="Y167" s="230" t="s">
        <v>11</v>
      </c>
      <c r="Z167" s="230" t="s">
        <v>11</v>
      </c>
      <c r="AA167" s="230" t="s">
        <v>11</v>
      </c>
      <c r="AB167" s="230" t="s">
        <v>11</v>
      </c>
      <c r="AC167" s="230" t="s">
        <v>9</v>
      </c>
      <c r="AD167" s="28"/>
      <c r="AE167" s="28"/>
      <c r="AF167" s="24">
        <f t="shared" si="9"/>
        <v>2</v>
      </c>
      <c r="AG167" s="24">
        <f t="shared" si="10"/>
        <v>0</v>
      </c>
      <c r="AH167" s="24">
        <f t="shared" si="11"/>
        <v>12</v>
      </c>
      <c r="AI167" s="41" t="str" cm="1">
        <f t="array" ref="AI167">_xlfn.IFS(
$AF167=15,"Not Started",
$AH167&lt;15,"In Progress",
$AH167=15,"Completed",
SUM(AF167:AH167)&gt;15,"Error"
)</f>
        <v>In Progress</v>
      </c>
    </row>
    <row r="168" spans="1:35" ht="50" x14ac:dyDescent="0.25">
      <c r="A168" s="248"/>
      <c r="B168" s="14" t="s">
        <v>1017</v>
      </c>
      <c r="C168" s="138" t="s">
        <v>5442</v>
      </c>
      <c r="D168" s="138" t="s">
        <v>9253</v>
      </c>
      <c r="E168" s="138" t="s">
        <v>47</v>
      </c>
      <c r="F168" s="138" t="s">
        <v>44</v>
      </c>
      <c r="G168" s="138" t="s">
        <v>5657</v>
      </c>
      <c r="H168" s="138" t="s">
        <v>5657</v>
      </c>
      <c r="I168" s="7">
        <v>21.3582526618892</v>
      </c>
      <c r="J168" s="140">
        <v>39.882958385937698</v>
      </c>
      <c r="K168" s="7" t="str">
        <f t="shared" si="8"/>
        <v>21.3582526618892,39.8829583859377</v>
      </c>
      <c r="L168" s="229" t="s">
        <v>11260</v>
      </c>
      <c r="M168" s="138">
        <v>10053163359</v>
      </c>
      <c r="N168" s="7"/>
      <c r="O168" s="7"/>
      <c r="P168" s="230" t="s">
        <v>11</v>
      </c>
      <c r="Q168" s="230" t="s">
        <v>11</v>
      </c>
      <c r="R168" s="230" t="s">
        <v>11</v>
      </c>
      <c r="S168" s="230" t="s">
        <v>11</v>
      </c>
      <c r="T168" s="230" t="s">
        <v>11</v>
      </c>
      <c r="U168" s="230" t="s">
        <v>11</v>
      </c>
      <c r="V168" s="230" t="s">
        <v>11</v>
      </c>
      <c r="W168" s="230" t="s">
        <v>11</v>
      </c>
      <c r="X168" s="230" t="s">
        <v>11</v>
      </c>
      <c r="Y168" s="230" t="s">
        <v>11</v>
      </c>
      <c r="Z168" s="230" t="s">
        <v>11</v>
      </c>
      <c r="AA168" s="230" t="s">
        <v>11</v>
      </c>
      <c r="AB168" s="230" t="s">
        <v>11</v>
      </c>
      <c r="AC168" s="230" t="s">
        <v>11</v>
      </c>
      <c r="AD168" s="28"/>
      <c r="AE168" s="28"/>
      <c r="AF168" s="24">
        <f t="shared" si="9"/>
        <v>0</v>
      </c>
      <c r="AG168" s="24">
        <f t="shared" si="10"/>
        <v>0</v>
      </c>
      <c r="AH168" s="24">
        <f t="shared" si="11"/>
        <v>14</v>
      </c>
      <c r="AI168" s="41" t="str" cm="1">
        <f t="array" ref="AI168">_xlfn.IFS(
$AF168=15,"Not Started",
$AH168&lt;15,"In Progress",
$AH168=15,"Completed",
SUM(AF168:AH168)&gt;15,"Error"
)</f>
        <v>In Progress</v>
      </c>
    </row>
    <row r="169" spans="1:35" ht="13" x14ac:dyDescent="0.25">
      <c r="A169" s="248"/>
      <c r="B169" s="7" t="s">
        <v>1018</v>
      </c>
      <c r="C169" s="138" t="s">
        <v>11251</v>
      </c>
      <c r="D169" s="138" t="s">
        <v>11252</v>
      </c>
      <c r="E169" s="138" t="s">
        <v>43</v>
      </c>
      <c r="F169" s="138" t="s">
        <v>44</v>
      </c>
      <c r="G169" s="138" t="s">
        <v>5657</v>
      </c>
      <c r="H169" s="138" t="s">
        <v>5657</v>
      </c>
      <c r="I169" s="7">
        <v>21.568478916076302</v>
      </c>
      <c r="J169" s="140">
        <v>39.778907029440397</v>
      </c>
      <c r="K169" s="7" t="str">
        <f t="shared" si="8"/>
        <v>21.5684789160763,39.7789070294404</v>
      </c>
      <c r="L169" s="138" t="s">
        <v>11261</v>
      </c>
      <c r="M169" s="138">
        <v>10053376376</v>
      </c>
      <c r="N169" s="7"/>
      <c r="O169" s="7"/>
      <c r="P169" s="230" t="s">
        <v>11</v>
      </c>
      <c r="Q169" s="230" t="s">
        <v>11</v>
      </c>
      <c r="R169" s="230" t="s">
        <v>11</v>
      </c>
      <c r="S169" s="230" t="s">
        <v>11</v>
      </c>
      <c r="T169" s="230" t="s">
        <v>11</v>
      </c>
      <c r="U169" s="230" t="s">
        <v>11</v>
      </c>
      <c r="V169" s="230" t="s">
        <v>11</v>
      </c>
      <c r="W169" s="230" t="s">
        <v>11</v>
      </c>
      <c r="X169" s="230" t="s">
        <v>11</v>
      </c>
      <c r="Y169" s="230" t="s">
        <v>11</v>
      </c>
      <c r="Z169" s="230" t="s">
        <v>11</v>
      </c>
      <c r="AA169" s="230" t="s">
        <v>9</v>
      </c>
      <c r="AB169" s="230" t="s">
        <v>11</v>
      </c>
      <c r="AC169" s="230" t="s">
        <v>9</v>
      </c>
      <c r="AD169" s="28"/>
      <c r="AE169" s="28"/>
      <c r="AF169" s="24">
        <f t="shared" si="9"/>
        <v>2</v>
      </c>
      <c r="AG169" s="24">
        <f t="shared" si="10"/>
        <v>0</v>
      </c>
      <c r="AH169" s="24">
        <f t="shared" si="11"/>
        <v>12</v>
      </c>
      <c r="AI169" s="41" t="str" cm="1">
        <f t="array" ref="AI169">_xlfn.IFS(
$AF169=15,"Not Started",
$AH169&lt;15,"In Progress",
$AH169=15,"Completed",
SUM(AF169:AH169)&gt;15,"Error"
)</f>
        <v>In Progress</v>
      </c>
    </row>
    <row r="170" spans="1:35" ht="13" x14ac:dyDescent="0.25">
      <c r="A170" s="248"/>
      <c r="B170" s="14" t="s">
        <v>1019</v>
      </c>
      <c r="C170" s="138" t="s">
        <v>5443</v>
      </c>
      <c r="D170" s="138" t="s">
        <v>9254</v>
      </c>
      <c r="E170" s="138" t="s">
        <v>43</v>
      </c>
      <c r="F170" s="138" t="s">
        <v>44</v>
      </c>
      <c r="G170" s="138" t="s">
        <v>5657</v>
      </c>
      <c r="H170" s="138" t="s">
        <v>5657</v>
      </c>
      <c r="I170" s="7">
        <v>21.570115462235702</v>
      </c>
      <c r="J170" s="140">
        <v>39.776689446191398</v>
      </c>
      <c r="K170" s="7" t="str">
        <f t="shared" si="8"/>
        <v>21.5701154622357,39.7766894461914</v>
      </c>
      <c r="L170" s="138" t="s">
        <v>10869</v>
      </c>
      <c r="M170" s="138">
        <v>10096961525</v>
      </c>
      <c r="N170" s="7"/>
      <c r="O170" s="7"/>
      <c r="P170" s="230" t="s">
        <v>11</v>
      </c>
      <c r="Q170" s="230" t="s">
        <v>11</v>
      </c>
      <c r="R170" s="230" t="s">
        <v>11</v>
      </c>
      <c r="S170" s="230" t="s">
        <v>11</v>
      </c>
      <c r="T170" s="230" t="s">
        <v>11</v>
      </c>
      <c r="U170" s="230" t="s">
        <v>11</v>
      </c>
      <c r="V170" s="230" t="s">
        <v>9</v>
      </c>
      <c r="W170" s="230" t="s">
        <v>11</v>
      </c>
      <c r="X170" s="230" t="s">
        <v>11</v>
      </c>
      <c r="Y170" s="230" t="s">
        <v>11</v>
      </c>
      <c r="Z170" s="230" t="s">
        <v>11</v>
      </c>
      <c r="AA170" s="230" t="s">
        <v>11</v>
      </c>
      <c r="AB170" s="230" t="s">
        <v>9</v>
      </c>
      <c r="AC170" s="230" t="s">
        <v>9</v>
      </c>
      <c r="AD170" s="28"/>
      <c r="AE170" s="28"/>
      <c r="AF170" s="24">
        <f t="shared" si="9"/>
        <v>3</v>
      </c>
      <c r="AG170" s="24">
        <f t="shared" si="10"/>
        <v>0</v>
      </c>
      <c r="AH170" s="24">
        <f t="shared" si="11"/>
        <v>11</v>
      </c>
      <c r="AI170" s="41" t="str" cm="1">
        <f t="array" ref="AI170">_xlfn.IFS(
$AF170=15,"Not Started",
$AH170&lt;15,"In Progress",
$AH170=15,"Completed",
SUM(AF170:AH170)&gt;15,"Error"
)</f>
        <v>In Progress</v>
      </c>
    </row>
    <row r="171" spans="1:35" ht="13" x14ac:dyDescent="0.25">
      <c r="A171" s="248"/>
      <c r="B171" s="7" t="s">
        <v>1020</v>
      </c>
      <c r="C171" s="138" t="s">
        <v>5444</v>
      </c>
      <c r="D171" s="138" t="s">
        <v>9255</v>
      </c>
      <c r="E171" s="138" t="s">
        <v>43</v>
      </c>
      <c r="F171" s="138" t="s">
        <v>48</v>
      </c>
      <c r="G171" s="138" t="s">
        <v>5657</v>
      </c>
      <c r="H171" s="138" t="s">
        <v>5657</v>
      </c>
      <c r="I171" s="7">
        <v>21.4529468317903</v>
      </c>
      <c r="J171" s="140">
        <v>39.863451749332199</v>
      </c>
      <c r="K171" s="7" t="str">
        <f t="shared" si="8"/>
        <v>21.4529468317903,39.8634517493322</v>
      </c>
      <c r="L171" s="138" t="s">
        <v>5635</v>
      </c>
      <c r="M171" s="138">
        <v>10102901341</v>
      </c>
      <c r="N171" s="7"/>
      <c r="O171" s="7"/>
      <c r="P171" s="230" t="s">
        <v>11</v>
      </c>
      <c r="Q171" s="230" t="s">
        <v>11</v>
      </c>
      <c r="R171" s="230" t="s">
        <v>11</v>
      </c>
      <c r="S171" s="230" t="s">
        <v>11</v>
      </c>
      <c r="T171" s="230" t="s">
        <v>11</v>
      </c>
      <c r="U171" s="230" t="s">
        <v>11</v>
      </c>
      <c r="V171" s="230" t="s">
        <v>11</v>
      </c>
      <c r="W171" s="230" t="s">
        <v>11</v>
      </c>
      <c r="X171" s="230" t="s">
        <v>11</v>
      </c>
      <c r="Y171" s="230" t="s">
        <v>11</v>
      </c>
      <c r="Z171" s="230" t="s">
        <v>11</v>
      </c>
      <c r="AA171" s="230" t="s">
        <v>11</v>
      </c>
      <c r="AB171" s="230" t="s">
        <v>11</v>
      </c>
      <c r="AC171" s="230" t="s">
        <v>11</v>
      </c>
      <c r="AD171" s="28"/>
      <c r="AE171" s="28"/>
      <c r="AF171" s="24">
        <f t="shared" si="9"/>
        <v>0</v>
      </c>
      <c r="AG171" s="24">
        <f t="shared" si="10"/>
        <v>0</v>
      </c>
      <c r="AH171" s="24">
        <f t="shared" si="11"/>
        <v>14</v>
      </c>
      <c r="AI171" s="41" t="str" cm="1">
        <f t="array" ref="AI171">_xlfn.IFS(
$AF171=15,"Not Started",
$AH171&lt;15,"In Progress",
$AH171=15,"Completed",
SUM(AF171:AH171)&gt;15,"Error"
)</f>
        <v>In Progress</v>
      </c>
    </row>
    <row r="172" spans="1:35" ht="13" x14ac:dyDescent="0.25">
      <c r="A172" s="248"/>
      <c r="B172" s="14" t="s">
        <v>1021</v>
      </c>
      <c r="C172" s="138" t="s">
        <v>5445</v>
      </c>
      <c r="D172" s="138" t="s">
        <v>9256</v>
      </c>
      <c r="E172" s="138" t="s">
        <v>47</v>
      </c>
      <c r="F172" s="138" t="s">
        <v>48</v>
      </c>
      <c r="G172" s="138" t="s">
        <v>5657</v>
      </c>
      <c r="H172" s="138" t="s">
        <v>5657</v>
      </c>
      <c r="I172" s="7">
        <v>21.5690154478152</v>
      </c>
      <c r="J172" s="140">
        <v>39.779677958038</v>
      </c>
      <c r="K172" s="7" t="str">
        <f t="shared" si="8"/>
        <v>21.5690154478152,39.779677958038</v>
      </c>
      <c r="L172" s="138" t="s">
        <v>5636</v>
      </c>
      <c r="M172" s="138">
        <v>10053537744</v>
      </c>
      <c r="N172" s="7"/>
      <c r="O172" s="7"/>
      <c r="P172" s="230" t="s">
        <v>11</v>
      </c>
      <c r="Q172" s="230" t="s">
        <v>11</v>
      </c>
      <c r="R172" s="230" t="s">
        <v>11</v>
      </c>
      <c r="S172" s="230" t="s">
        <v>11</v>
      </c>
      <c r="T172" s="230" t="s">
        <v>11</v>
      </c>
      <c r="U172" s="230" t="s">
        <v>11</v>
      </c>
      <c r="V172" s="230" t="s">
        <v>11</v>
      </c>
      <c r="W172" s="230" t="s">
        <v>9</v>
      </c>
      <c r="X172" s="230" t="s">
        <v>9</v>
      </c>
      <c r="Y172" s="230" t="s">
        <v>11</v>
      </c>
      <c r="Z172" s="230" t="s">
        <v>11</v>
      </c>
      <c r="AA172" s="230" t="s">
        <v>11</v>
      </c>
      <c r="AB172" s="230" t="s">
        <v>11</v>
      </c>
      <c r="AC172" s="230" t="s">
        <v>9</v>
      </c>
      <c r="AD172" s="28"/>
      <c r="AE172" s="28"/>
      <c r="AF172" s="24">
        <f t="shared" si="9"/>
        <v>3</v>
      </c>
      <c r="AG172" s="24">
        <f t="shared" si="10"/>
        <v>0</v>
      </c>
      <c r="AH172" s="24">
        <f t="shared" si="11"/>
        <v>11</v>
      </c>
      <c r="AI172" s="41" t="str" cm="1">
        <f t="array" ref="AI172">_xlfn.IFS(
$AF172=15,"Not Started",
$AH172&lt;15,"In Progress",
$AH172=15,"Completed",
SUM(AF172:AH172)&gt;15,"Error"
)</f>
        <v>In Progress</v>
      </c>
    </row>
    <row r="173" spans="1:35" ht="13" x14ac:dyDescent="0.25">
      <c r="A173" s="248"/>
      <c r="B173" s="7" t="s">
        <v>1022</v>
      </c>
      <c r="C173" s="138" t="s">
        <v>5446</v>
      </c>
      <c r="D173" s="138" t="s">
        <v>9257</v>
      </c>
      <c r="E173" s="138" t="s">
        <v>43</v>
      </c>
      <c r="F173" s="138" t="s">
        <v>44</v>
      </c>
      <c r="G173" s="138" t="s">
        <v>5657</v>
      </c>
      <c r="H173" s="138" t="s">
        <v>5657</v>
      </c>
      <c r="I173" s="7">
        <v>21.357196677162499</v>
      </c>
      <c r="J173" s="140">
        <v>39.8773854551713</v>
      </c>
      <c r="K173" s="7" t="str">
        <f t="shared" si="8"/>
        <v>21.3571966771625,39.8773854551713</v>
      </c>
      <c r="L173" s="227" t="s">
        <v>11262</v>
      </c>
      <c r="M173" s="138">
        <v>10053162567</v>
      </c>
      <c r="N173" s="7"/>
      <c r="O173" s="7"/>
      <c r="P173" s="230" t="s">
        <v>11</v>
      </c>
      <c r="Q173" s="230" t="s">
        <v>11</v>
      </c>
      <c r="R173" s="230" t="s">
        <v>11</v>
      </c>
      <c r="S173" s="230" t="s">
        <v>11</v>
      </c>
      <c r="T173" s="230" t="s">
        <v>11</v>
      </c>
      <c r="U173" s="230" t="s">
        <v>11</v>
      </c>
      <c r="V173" s="230" t="s">
        <v>11</v>
      </c>
      <c r="W173" s="230" t="s">
        <v>11</v>
      </c>
      <c r="X173" s="230" t="s">
        <v>9</v>
      </c>
      <c r="Y173" s="230" t="s">
        <v>11</v>
      </c>
      <c r="Z173" s="230" t="s">
        <v>11</v>
      </c>
      <c r="AA173" s="230" t="s">
        <v>11</v>
      </c>
      <c r="AB173" s="230" t="s">
        <v>11</v>
      </c>
      <c r="AC173" s="230" t="s">
        <v>9</v>
      </c>
      <c r="AD173" s="28"/>
      <c r="AE173" s="28"/>
      <c r="AF173" s="24">
        <f t="shared" si="9"/>
        <v>2</v>
      </c>
      <c r="AG173" s="24">
        <f t="shared" si="10"/>
        <v>0</v>
      </c>
      <c r="AH173" s="24">
        <f t="shared" si="11"/>
        <v>12</v>
      </c>
      <c r="AI173" s="41" t="str" cm="1">
        <f t="array" ref="AI173">_xlfn.IFS(
$AF173=15,"Not Started",
$AH173&lt;15,"In Progress",
$AH173=15,"Completed",
SUM(AF173:AH173)&gt;15,"Error"
)</f>
        <v>In Progress</v>
      </c>
    </row>
    <row r="174" spans="1:35" ht="13" x14ac:dyDescent="0.25">
      <c r="A174" s="248"/>
      <c r="B174" s="14" t="s">
        <v>1023</v>
      </c>
      <c r="C174" s="138" t="s">
        <v>5447</v>
      </c>
      <c r="D174" s="138" t="s">
        <v>9258</v>
      </c>
      <c r="E174" s="138" t="s">
        <v>51</v>
      </c>
      <c r="F174" s="138" t="s">
        <v>48</v>
      </c>
      <c r="G174" s="138" t="s">
        <v>5657</v>
      </c>
      <c r="H174" s="138" t="s">
        <v>5657</v>
      </c>
      <c r="I174" s="7">
        <v>21.556782890457601</v>
      </c>
      <c r="J174" s="140">
        <v>39.769233257138403</v>
      </c>
      <c r="K174" s="7" t="str">
        <f t="shared" si="8"/>
        <v>21.5567828904576,39.7692332571384</v>
      </c>
      <c r="L174" s="138" t="s">
        <v>5637</v>
      </c>
      <c r="M174" s="138">
        <v>10053657303</v>
      </c>
      <c r="N174" s="7"/>
      <c r="O174" s="7"/>
      <c r="P174" s="230" t="s">
        <v>11</v>
      </c>
      <c r="Q174" s="230" t="s">
        <v>11</v>
      </c>
      <c r="R174" s="230" t="s">
        <v>11</v>
      </c>
      <c r="S174" s="230" t="s">
        <v>11</v>
      </c>
      <c r="T174" s="230" t="s">
        <v>11</v>
      </c>
      <c r="U174" s="230" t="s">
        <v>11</v>
      </c>
      <c r="V174" s="230" t="s">
        <v>11</v>
      </c>
      <c r="W174" s="230" t="s">
        <v>11</v>
      </c>
      <c r="X174" s="230" t="s">
        <v>9</v>
      </c>
      <c r="Y174" s="230" t="s">
        <v>11</v>
      </c>
      <c r="Z174" s="230" t="s">
        <v>11</v>
      </c>
      <c r="AA174" s="5" t="s">
        <v>11</v>
      </c>
      <c r="AB174" s="230" t="s">
        <v>11</v>
      </c>
      <c r="AC174" s="230" t="s">
        <v>9</v>
      </c>
      <c r="AD174" s="28"/>
      <c r="AE174" s="28"/>
      <c r="AF174" s="24">
        <f t="shared" si="9"/>
        <v>2</v>
      </c>
      <c r="AG174" s="24">
        <f t="shared" si="10"/>
        <v>0</v>
      </c>
      <c r="AH174" s="24">
        <f t="shared" si="11"/>
        <v>12</v>
      </c>
      <c r="AI174" s="41" t="str" cm="1">
        <f t="array" ref="AI174">_xlfn.IFS(
$AF174=15,"Not Started",
$AH174&lt;15,"In Progress",
$AH174=15,"Completed",
SUM(AF174:AH174)&gt;15,"Error"
)</f>
        <v>In Progress</v>
      </c>
    </row>
    <row r="175" spans="1:35" ht="13" x14ac:dyDescent="0.25">
      <c r="A175" s="248"/>
      <c r="B175" s="7" t="s">
        <v>1024</v>
      </c>
      <c r="C175" s="138" t="s">
        <v>5448</v>
      </c>
      <c r="D175" s="138" t="s">
        <v>9259</v>
      </c>
      <c r="E175" s="138" t="s">
        <v>43</v>
      </c>
      <c r="F175" s="138" t="s">
        <v>48</v>
      </c>
      <c r="G175" s="138" t="s">
        <v>5657</v>
      </c>
      <c r="H175" s="138" t="s">
        <v>5657</v>
      </c>
      <c r="I175" s="7">
        <v>21.568316590051399</v>
      </c>
      <c r="J175" s="140">
        <v>39.779246324989501</v>
      </c>
      <c r="K175" s="7" t="str">
        <f t="shared" si="8"/>
        <v>21.5683165900514,39.7792463249895</v>
      </c>
      <c r="L175" s="138" t="s">
        <v>5638</v>
      </c>
      <c r="M175" s="138">
        <v>10053537495</v>
      </c>
      <c r="N175" s="7"/>
      <c r="O175" s="7"/>
      <c r="P175" s="230" t="s">
        <v>11</v>
      </c>
      <c r="Q175" s="230" t="s">
        <v>11</v>
      </c>
      <c r="R175" s="230" t="s">
        <v>11</v>
      </c>
      <c r="S175" s="230" t="s">
        <v>11</v>
      </c>
      <c r="T175" s="230" t="s">
        <v>11</v>
      </c>
      <c r="U175" s="230" t="s">
        <v>11</v>
      </c>
      <c r="V175" s="230" t="s">
        <v>11</v>
      </c>
      <c r="W175" s="230" t="s">
        <v>11</v>
      </c>
      <c r="X175" s="230" t="s">
        <v>11</v>
      </c>
      <c r="Y175" s="230" t="s">
        <v>11</v>
      </c>
      <c r="Z175" s="230" t="s">
        <v>11</v>
      </c>
      <c r="AA175" s="230" t="s">
        <v>11</v>
      </c>
      <c r="AB175" s="230" t="s">
        <v>11</v>
      </c>
      <c r="AC175" s="230" t="s">
        <v>11</v>
      </c>
      <c r="AD175" s="28"/>
      <c r="AE175" s="28"/>
      <c r="AF175" s="24">
        <f t="shared" si="9"/>
        <v>0</v>
      </c>
      <c r="AG175" s="24">
        <f t="shared" si="10"/>
        <v>0</v>
      </c>
      <c r="AH175" s="24">
        <f t="shared" si="11"/>
        <v>14</v>
      </c>
      <c r="AI175" s="41" t="str" cm="1">
        <f t="array" ref="AI175">_xlfn.IFS(
$AF175=15,"Not Started",
$AH175&lt;15,"In Progress",
$AH175=15,"Completed",
SUM(AF175:AH175)&gt;15,"Error"
)</f>
        <v>In Progress</v>
      </c>
    </row>
    <row r="176" spans="1:35" ht="13" x14ac:dyDescent="0.25">
      <c r="A176" s="248"/>
      <c r="B176" s="14" t="s">
        <v>1025</v>
      </c>
      <c r="C176" s="138" t="s">
        <v>5449</v>
      </c>
      <c r="D176" s="138" t="s">
        <v>9260</v>
      </c>
      <c r="E176" s="138" t="s">
        <v>43</v>
      </c>
      <c r="F176" s="138" t="s">
        <v>44</v>
      </c>
      <c r="G176" s="138" t="s">
        <v>5657</v>
      </c>
      <c r="H176" s="138" t="s">
        <v>5657</v>
      </c>
      <c r="I176" s="7">
        <v>21.455320530027699</v>
      </c>
      <c r="J176" s="140">
        <v>39.763169387452699</v>
      </c>
      <c r="K176" s="7" t="str">
        <f t="shared" si="8"/>
        <v>21.4553205300277,39.7631693874527</v>
      </c>
      <c r="L176" s="138" t="s">
        <v>5483</v>
      </c>
      <c r="M176" s="138">
        <v>10053190697</v>
      </c>
      <c r="N176" s="7"/>
      <c r="O176" s="7"/>
      <c r="P176" s="230" t="s">
        <v>11</v>
      </c>
      <c r="Q176" s="230" t="s">
        <v>11</v>
      </c>
      <c r="R176" s="230" t="s">
        <v>11</v>
      </c>
      <c r="S176" s="230" t="s">
        <v>11</v>
      </c>
      <c r="T176" s="230" t="s">
        <v>11</v>
      </c>
      <c r="U176" s="230" t="s">
        <v>11</v>
      </c>
      <c r="V176" s="230" t="s">
        <v>11</v>
      </c>
      <c r="W176" s="230" t="s">
        <v>11</v>
      </c>
      <c r="X176" s="230" t="s">
        <v>11</v>
      </c>
      <c r="Y176" s="230" t="s">
        <v>11</v>
      </c>
      <c r="Z176" s="230" t="s">
        <v>11</v>
      </c>
      <c r="AA176" s="5" t="s">
        <v>11</v>
      </c>
      <c r="AB176" s="230" t="s">
        <v>11</v>
      </c>
      <c r="AC176" s="230" t="s">
        <v>11</v>
      </c>
      <c r="AD176" s="28"/>
      <c r="AE176" s="28"/>
      <c r="AF176" s="24">
        <f t="shared" si="9"/>
        <v>0</v>
      </c>
      <c r="AG176" s="24">
        <f t="shared" si="10"/>
        <v>0</v>
      </c>
      <c r="AH176" s="24">
        <f t="shared" si="11"/>
        <v>14</v>
      </c>
      <c r="AI176" s="41" t="str" cm="1">
        <f t="array" ref="AI176">_xlfn.IFS(
$AF176=15,"Not Started",
$AH176&lt;15,"In Progress",
$AH176=15,"Completed",
SUM(AF176:AH176)&gt;15,"Error"
)</f>
        <v>In Progress</v>
      </c>
    </row>
    <row r="177" spans="1:35" ht="13" x14ac:dyDescent="0.25">
      <c r="A177" s="248"/>
      <c r="B177" s="7" t="s">
        <v>1026</v>
      </c>
      <c r="C177" s="138" t="s">
        <v>5450</v>
      </c>
      <c r="D177" s="138" t="s">
        <v>9261</v>
      </c>
      <c r="E177" s="138" t="s">
        <v>43</v>
      </c>
      <c r="F177" s="138" t="s">
        <v>48</v>
      </c>
      <c r="G177" s="138" t="s">
        <v>5657</v>
      </c>
      <c r="H177" s="138" t="s">
        <v>5657</v>
      </c>
      <c r="I177" s="7">
        <v>21.557266839985299</v>
      </c>
      <c r="J177" s="140">
        <v>39.768510714946501</v>
      </c>
      <c r="K177" s="7" t="str">
        <f t="shared" si="8"/>
        <v>21.5572668399853,39.7685107149465</v>
      </c>
      <c r="L177" s="138" t="s">
        <v>5639</v>
      </c>
      <c r="M177" s="138">
        <v>10053657789</v>
      </c>
      <c r="N177" s="7"/>
      <c r="O177" s="7"/>
      <c r="P177" s="230" t="s">
        <v>11</v>
      </c>
      <c r="Q177" s="230" t="s">
        <v>11</v>
      </c>
      <c r="R177" s="230" t="s">
        <v>11</v>
      </c>
      <c r="S177" s="230" t="s">
        <v>11</v>
      </c>
      <c r="T177" s="230" t="s">
        <v>11</v>
      </c>
      <c r="U177" s="230" t="s">
        <v>11</v>
      </c>
      <c r="V177" s="230" t="s">
        <v>11</v>
      </c>
      <c r="W177" s="230" t="s">
        <v>11</v>
      </c>
      <c r="X177" s="230" t="s">
        <v>9</v>
      </c>
      <c r="Y177" s="230" t="s">
        <v>11</v>
      </c>
      <c r="Z177" s="230" t="s">
        <v>11</v>
      </c>
      <c r="AA177" s="230" t="s">
        <v>11</v>
      </c>
      <c r="AB177" s="230" t="s">
        <v>11</v>
      </c>
      <c r="AC177" s="230" t="s">
        <v>9</v>
      </c>
      <c r="AD177" s="28"/>
      <c r="AE177" s="28"/>
      <c r="AF177" s="24">
        <f t="shared" si="9"/>
        <v>2</v>
      </c>
      <c r="AG177" s="24">
        <f t="shared" si="10"/>
        <v>0</v>
      </c>
      <c r="AH177" s="24">
        <f t="shared" si="11"/>
        <v>12</v>
      </c>
      <c r="AI177" s="41" t="str" cm="1">
        <f t="array" ref="AI177">_xlfn.IFS(
$AF177=15,"Not Started",
$AH177&lt;15,"In Progress",
$AH177=15,"Completed",
SUM(AF177:AH177)&gt;15,"Error"
)</f>
        <v>In Progress</v>
      </c>
    </row>
    <row r="178" spans="1:35" ht="13" x14ac:dyDescent="0.25">
      <c r="A178" s="248"/>
      <c r="B178" s="14" t="s">
        <v>1027</v>
      </c>
      <c r="C178" s="138" t="s">
        <v>5451</v>
      </c>
      <c r="D178" s="138" t="s">
        <v>9262</v>
      </c>
      <c r="E178" s="138" t="s">
        <v>10358</v>
      </c>
      <c r="F178" s="138" t="s">
        <v>48</v>
      </c>
      <c r="G178" s="138" t="s">
        <v>5657</v>
      </c>
      <c r="H178" s="138" t="s">
        <v>5657</v>
      </c>
      <c r="I178" s="7">
        <v>21.557391442462102</v>
      </c>
      <c r="J178" s="140">
        <v>39.768998583560098</v>
      </c>
      <c r="K178" s="7" t="str">
        <f t="shared" si="8"/>
        <v>21.5573914424621,39.7689985835601</v>
      </c>
      <c r="L178" s="138" t="s">
        <v>5640</v>
      </c>
      <c r="M178" s="138">
        <v>10053658338</v>
      </c>
      <c r="N178" s="7"/>
      <c r="O178" s="7"/>
      <c r="P178" s="230" t="s">
        <v>11</v>
      </c>
      <c r="Q178" s="230" t="s">
        <v>11</v>
      </c>
      <c r="R178" s="230" t="s">
        <v>11</v>
      </c>
      <c r="S178" s="230" t="s">
        <v>11</v>
      </c>
      <c r="T178" s="230" t="s">
        <v>11</v>
      </c>
      <c r="U178" s="230" t="s">
        <v>11</v>
      </c>
      <c r="V178" s="230" t="s">
        <v>11</v>
      </c>
      <c r="W178" s="230" t="s">
        <v>11</v>
      </c>
      <c r="X178" s="230" t="s">
        <v>11</v>
      </c>
      <c r="Y178" s="230" t="s">
        <v>11</v>
      </c>
      <c r="Z178" s="230" t="s">
        <v>11</v>
      </c>
      <c r="AA178" s="230" t="s">
        <v>11</v>
      </c>
      <c r="AB178" s="230" t="s">
        <v>11</v>
      </c>
      <c r="AC178" s="230" t="s">
        <v>11</v>
      </c>
      <c r="AD178" s="28"/>
      <c r="AE178" s="28"/>
      <c r="AF178" s="24">
        <f t="shared" si="9"/>
        <v>0</v>
      </c>
      <c r="AG178" s="24">
        <f t="shared" si="10"/>
        <v>0</v>
      </c>
      <c r="AH178" s="24">
        <f t="shared" si="11"/>
        <v>14</v>
      </c>
      <c r="AI178" s="41" t="str" cm="1">
        <f t="array" ref="AI178">_xlfn.IFS(
$AF178=15,"Not Started",
$AH178&lt;15,"In Progress",
$AH178=15,"Completed",
SUM(AF178:AH178)&gt;15,"Error"
)</f>
        <v>In Progress</v>
      </c>
    </row>
    <row r="179" spans="1:35" ht="13" x14ac:dyDescent="0.25">
      <c r="A179" s="248"/>
      <c r="B179" s="7" t="s">
        <v>1028</v>
      </c>
      <c r="C179" s="138" t="s">
        <v>5452</v>
      </c>
      <c r="D179" s="138" t="s">
        <v>9263</v>
      </c>
      <c r="E179" s="138" t="s">
        <v>43</v>
      </c>
      <c r="F179" s="138" t="s">
        <v>48</v>
      </c>
      <c r="G179" s="138" t="s">
        <v>5657</v>
      </c>
      <c r="H179" s="138" t="s">
        <v>5657</v>
      </c>
      <c r="I179" s="7">
        <v>21.5579215605234</v>
      </c>
      <c r="J179" s="140">
        <v>39.771108046486603</v>
      </c>
      <c r="K179" s="7" t="str">
        <f t="shared" si="8"/>
        <v>21.5579215605234,39.7711080464866</v>
      </c>
      <c r="L179" s="227" t="s">
        <v>10895</v>
      </c>
      <c r="M179" s="138">
        <v>10053656585</v>
      </c>
      <c r="N179" s="7"/>
      <c r="O179" s="7"/>
      <c r="P179" s="230" t="s">
        <v>11</v>
      </c>
      <c r="Q179" s="230" t="s">
        <v>11</v>
      </c>
      <c r="R179" s="230" t="s">
        <v>11</v>
      </c>
      <c r="S179" s="230" t="s">
        <v>11</v>
      </c>
      <c r="T179" s="230" t="s">
        <v>11</v>
      </c>
      <c r="U179" s="230" t="s">
        <v>11</v>
      </c>
      <c r="V179" s="230" t="s">
        <v>11</v>
      </c>
      <c r="W179" s="230" t="s">
        <v>11</v>
      </c>
      <c r="X179" s="230" t="s">
        <v>11</v>
      </c>
      <c r="Y179" s="230" t="s">
        <v>11</v>
      </c>
      <c r="Z179" s="230" t="s">
        <v>11</v>
      </c>
      <c r="AA179" s="5" t="s">
        <v>11</v>
      </c>
      <c r="AB179" s="230" t="s">
        <v>11</v>
      </c>
      <c r="AC179" s="230" t="s">
        <v>11</v>
      </c>
      <c r="AD179" s="28"/>
      <c r="AE179" s="28"/>
      <c r="AF179" s="24">
        <f t="shared" si="9"/>
        <v>0</v>
      </c>
      <c r="AG179" s="24">
        <f t="shared" si="10"/>
        <v>0</v>
      </c>
      <c r="AH179" s="24">
        <f t="shared" si="11"/>
        <v>14</v>
      </c>
      <c r="AI179" s="41" t="str" cm="1">
        <f t="array" ref="AI179">_xlfn.IFS(
$AF179=15,"Not Started",
$AH179&lt;15,"In Progress",
$AH179=15,"Completed",
SUM(AF179:AH179)&gt;15,"Error"
)</f>
        <v>In Progress</v>
      </c>
    </row>
    <row r="180" spans="1:35" ht="13" x14ac:dyDescent="0.25">
      <c r="A180" s="248"/>
      <c r="B180" s="14" t="s">
        <v>1029</v>
      </c>
      <c r="C180" s="138" t="s">
        <v>5453</v>
      </c>
      <c r="D180" s="138" t="s">
        <v>9264</v>
      </c>
      <c r="E180" s="138" t="s">
        <v>47</v>
      </c>
      <c r="F180" s="138" t="s">
        <v>48</v>
      </c>
      <c r="G180" s="138" t="s">
        <v>5657</v>
      </c>
      <c r="H180" s="138" t="s">
        <v>5657</v>
      </c>
      <c r="I180" s="7">
        <v>21.452710118076201</v>
      </c>
      <c r="J180" s="140">
        <v>39.863820212268699</v>
      </c>
      <c r="K180" s="7" t="str">
        <f t="shared" si="8"/>
        <v>21.4527101180762,39.8638202122687</v>
      </c>
      <c r="L180" s="138" t="s">
        <v>5641</v>
      </c>
      <c r="M180" s="138">
        <v>10102901331</v>
      </c>
      <c r="N180" s="7"/>
      <c r="O180" s="7"/>
      <c r="P180" s="230" t="s">
        <v>11</v>
      </c>
      <c r="Q180" s="230" t="s">
        <v>11</v>
      </c>
      <c r="R180" s="230" t="s">
        <v>11</v>
      </c>
      <c r="S180" s="230" t="s">
        <v>11</v>
      </c>
      <c r="T180" s="230" t="s">
        <v>11</v>
      </c>
      <c r="U180" s="230" t="s">
        <v>11</v>
      </c>
      <c r="V180" s="230" t="s">
        <v>11</v>
      </c>
      <c r="W180" s="230" t="s">
        <v>11</v>
      </c>
      <c r="X180" s="230" t="s">
        <v>11</v>
      </c>
      <c r="Y180" s="230" t="s">
        <v>11</v>
      </c>
      <c r="Z180" s="230" t="s">
        <v>11</v>
      </c>
      <c r="AA180" s="230" t="s">
        <v>11</v>
      </c>
      <c r="AB180" s="230" t="s">
        <v>11</v>
      </c>
      <c r="AC180" s="230" t="s">
        <v>11</v>
      </c>
      <c r="AD180" s="28"/>
      <c r="AE180" s="28"/>
      <c r="AF180" s="24">
        <f t="shared" si="9"/>
        <v>0</v>
      </c>
      <c r="AG180" s="24">
        <f t="shared" si="10"/>
        <v>0</v>
      </c>
      <c r="AH180" s="24">
        <f t="shared" si="11"/>
        <v>14</v>
      </c>
      <c r="AI180" s="41" t="str" cm="1">
        <f t="array" ref="AI180">_xlfn.IFS(
$AF180=15,"Not Started",
$AH180&lt;15,"In Progress",
$AH180=15,"Completed",
SUM(AF180:AH180)&gt;15,"Error"
)</f>
        <v>In Progress</v>
      </c>
    </row>
    <row r="181" spans="1:35" ht="13" x14ac:dyDescent="0.25">
      <c r="A181" s="248"/>
      <c r="B181" s="7" t="s">
        <v>1030</v>
      </c>
      <c r="C181" s="138" t="s">
        <v>5454</v>
      </c>
      <c r="D181" s="138" t="s">
        <v>9265</v>
      </c>
      <c r="E181" s="138" t="s">
        <v>47</v>
      </c>
      <c r="F181" s="138" t="s">
        <v>44</v>
      </c>
      <c r="G181" s="138" t="s">
        <v>5657</v>
      </c>
      <c r="H181" s="138" t="s">
        <v>5657</v>
      </c>
      <c r="I181" s="7">
        <v>21.557650593622</v>
      </c>
      <c r="J181" s="140">
        <v>39.770808130055499</v>
      </c>
      <c r="K181" s="7" t="str">
        <f t="shared" si="8"/>
        <v>21.557650593622,39.7708081300555</v>
      </c>
      <c r="L181" s="227" t="s">
        <v>10870</v>
      </c>
      <c r="M181" s="138">
        <v>10053656825</v>
      </c>
      <c r="N181" s="7"/>
      <c r="O181" s="7"/>
      <c r="P181" s="230" t="s">
        <v>11</v>
      </c>
      <c r="Q181" s="230" t="s">
        <v>11</v>
      </c>
      <c r="R181" s="230" t="s">
        <v>11</v>
      </c>
      <c r="S181" s="230" t="s">
        <v>11</v>
      </c>
      <c r="T181" s="230" t="s">
        <v>11</v>
      </c>
      <c r="U181" s="230" t="s">
        <v>11</v>
      </c>
      <c r="V181" s="230" t="s">
        <v>11</v>
      </c>
      <c r="W181" s="230" t="s">
        <v>11</v>
      </c>
      <c r="X181" s="230" t="s">
        <v>11</v>
      </c>
      <c r="Y181" s="230" t="s">
        <v>11</v>
      </c>
      <c r="Z181" s="230" t="s">
        <v>11</v>
      </c>
      <c r="AA181" s="5" t="s">
        <v>11</v>
      </c>
      <c r="AB181" s="230" t="s">
        <v>11</v>
      </c>
      <c r="AC181" s="230" t="s">
        <v>11</v>
      </c>
      <c r="AD181" s="28"/>
      <c r="AE181" s="28"/>
      <c r="AF181" s="24">
        <f t="shared" si="9"/>
        <v>0</v>
      </c>
      <c r="AG181" s="24">
        <f t="shared" si="10"/>
        <v>0</v>
      </c>
      <c r="AH181" s="24">
        <f t="shared" si="11"/>
        <v>14</v>
      </c>
      <c r="AI181" s="41" t="str" cm="1">
        <f t="array" ref="AI181">_xlfn.IFS(
$AF181=15,"Not Started",
$AH181&lt;15,"In Progress",
$AH181=15,"Completed",
SUM(AF181:AH181)&gt;15,"Error"
)</f>
        <v>In Progress</v>
      </c>
    </row>
    <row r="182" spans="1:35" ht="13" x14ac:dyDescent="0.25">
      <c r="A182" s="248"/>
      <c r="B182" s="14" t="s">
        <v>1031</v>
      </c>
      <c r="C182" s="138" t="s">
        <v>5455</v>
      </c>
      <c r="D182" s="138" t="s">
        <v>9266</v>
      </c>
      <c r="E182" s="138" t="s">
        <v>47</v>
      </c>
      <c r="F182" s="138" t="s">
        <v>44</v>
      </c>
      <c r="G182" s="138" t="s">
        <v>5657</v>
      </c>
      <c r="H182" s="138" t="s">
        <v>5657</v>
      </c>
      <c r="I182" s="7">
        <v>21.569620214051099</v>
      </c>
      <c r="J182" s="140">
        <v>39.776795719296899</v>
      </c>
      <c r="K182" s="7" t="str">
        <f t="shared" si="8"/>
        <v>21.5696202140511,39.7767957192969</v>
      </c>
      <c r="L182" s="138" t="s">
        <v>11238</v>
      </c>
      <c r="M182" s="138">
        <v>10096966209</v>
      </c>
      <c r="N182" s="7"/>
      <c r="O182" s="7"/>
      <c r="P182" s="230" t="s">
        <v>11</v>
      </c>
      <c r="Q182" s="230" t="s">
        <v>11</v>
      </c>
      <c r="R182" s="230" t="s">
        <v>11</v>
      </c>
      <c r="S182" s="230" t="s">
        <v>11</v>
      </c>
      <c r="T182" s="230" t="s">
        <v>11</v>
      </c>
      <c r="U182" s="230" t="s">
        <v>11</v>
      </c>
      <c r="V182" s="230" t="s">
        <v>11</v>
      </c>
      <c r="W182" s="230" t="s">
        <v>11</v>
      </c>
      <c r="X182" s="230" t="s">
        <v>11</v>
      </c>
      <c r="Y182" s="230" t="s">
        <v>11</v>
      </c>
      <c r="Z182" s="230" t="s">
        <v>11</v>
      </c>
      <c r="AA182" s="230" t="s">
        <v>9</v>
      </c>
      <c r="AB182" s="230" t="s">
        <v>9</v>
      </c>
      <c r="AC182" s="230" t="s">
        <v>9</v>
      </c>
      <c r="AD182" s="28"/>
      <c r="AE182" s="28"/>
      <c r="AF182" s="24">
        <f t="shared" si="9"/>
        <v>3</v>
      </c>
      <c r="AG182" s="24">
        <f t="shared" si="10"/>
        <v>0</v>
      </c>
      <c r="AH182" s="24">
        <f t="shared" si="11"/>
        <v>11</v>
      </c>
      <c r="AI182" s="41" t="str" cm="1">
        <f t="array" ref="AI182">_xlfn.IFS(
$AF182=15,"Not Started",
$AH182&lt;15,"In Progress",
$AH182=15,"Completed",
SUM(AF182:AH182)&gt;15,"Error"
)</f>
        <v>In Progress</v>
      </c>
    </row>
    <row r="183" spans="1:35" ht="13" x14ac:dyDescent="0.25">
      <c r="A183" s="248"/>
      <c r="B183" s="7" t="s">
        <v>1032</v>
      </c>
      <c r="C183" s="138" t="s">
        <v>5456</v>
      </c>
      <c r="D183" s="138" t="s">
        <v>9267</v>
      </c>
      <c r="E183" s="138" t="s">
        <v>51</v>
      </c>
      <c r="F183" s="138" t="s">
        <v>48</v>
      </c>
      <c r="G183" s="138" t="s">
        <v>5657</v>
      </c>
      <c r="H183" s="138" t="s">
        <v>5657</v>
      </c>
      <c r="I183" s="7">
        <v>21.3836292878118</v>
      </c>
      <c r="J183" s="140">
        <v>39.835045480427702</v>
      </c>
      <c r="K183" s="7" t="str">
        <f t="shared" si="8"/>
        <v>21.3836292878118,39.8350454804277</v>
      </c>
      <c r="L183" s="138" t="s">
        <v>5642</v>
      </c>
      <c r="M183" s="138">
        <v>10053223911</v>
      </c>
      <c r="N183" s="7"/>
      <c r="O183" s="7"/>
      <c r="P183" s="230" t="s">
        <v>11</v>
      </c>
      <c r="Q183" s="230" t="s">
        <v>11</v>
      </c>
      <c r="R183" s="230" t="s">
        <v>11</v>
      </c>
      <c r="S183" s="230" t="s">
        <v>11</v>
      </c>
      <c r="T183" s="230" t="s">
        <v>11</v>
      </c>
      <c r="U183" s="230" t="s">
        <v>11</v>
      </c>
      <c r="V183" s="230" t="s">
        <v>11</v>
      </c>
      <c r="W183" s="230" t="s">
        <v>11</v>
      </c>
      <c r="X183" s="230" t="s">
        <v>11</v>
      </c>
      <c r="Y183" s="230" t="s">
        <v>11</v>
      </c>
      <c r="Z183" s="230" t="s">
        <v>11</v>
      </c>
      <c r="AA183" s="5" t="s">
        <v>11</v>
      </c>
      <c r="AB183" s="230" t="s">
        <v>11</v>
      </c>
      <c r="AC183" s="230" t="s">
        <v>11</v>
      </c>
      <c r="AD183" s="28"/>
      <c r="AE183" s="28"/>
      <c r="AF183" s="24">
        <f t="shared" si="9"/>
        <v>0</v>
      </c>
      <c r="AG183" s="24">
        <f t="shared" si="10"/>
        <v>0</v>
      </c>
      <c r="AH183" s="24">
        <f t="shared" si="11"/>
        <v>14</v>
      </c>
      <c r="AI183" s="41" t="str" cm="1">
        <f t="array" ref="AI183">_xlfn.IFS(
$AF183=15,"Not Started",
$AH183&lt;15,"In Progress",
$AH183=15,"Completed",
SUM(AF183:AH183)&gt;15,"Error"
)</f>
        <v>In Progress</v>
      </c>
    </row>
    <row r="184" spans="1:35" ht="13" x14ac:dyDescent="0.25">
      <c r="A184" s="248"/>
      <c r="B184" s="14" t="s">
        <v>1033</v>
      </c>
      <c r="C184" s="138" t="s">
        <v>5457</v>
      </c>
      <c r="D184" s="138" t="s">
        <v>9268</v>
      </c>
      <c r="E184" s="138" t="s">
        <v>51</v>
      </c>
      <c r="F184" s="138" t="s">
        <v>48</v>
      </c>
      <c r="G184" s="138" t="s">
        <v>5657</v>
      </c>
      <c r="H184" s="138" t="s">
        <v>5657</v>
      </c>
      <c r="I184" s="7">
        <v>21.468153231038499</v>
      </c>
      <c r="J184" s="140">
        <v>39.940365711729001</v>
      </c>
      <c r="K184" s="7" t="str">
        <f t="shared" si="8"/>
        <v>21.4681532310385,39.940365711729</v>
      </c>
      <c r="L184" s="227" t="s">
        <v>11263</v>
      </c>
      <c r="M184" s="138">
        <v>10053702946</v>
      </c>
      <c r="N184" s="7"/>
      <c r="O184" s="7"/>
      <c r="P184" s="230" t="s">
        <v>11</v>
      </c>
      <c r="Q184" s="230" t="s">
        <v>11</v>
      </c>
      <c r="R184" s="230" t="s">
        <v>11</v>
      </c>
      <c r="S184" s="230" t="s">
        <v>11</v>
      </c>
      <c r="T184" s="230" t="s">
        <v>11</v>
      </c>
      <c r="U184" s="230" t="s">
        <v>11</v>
      </c>
      <c r="V184" s="230" t="s">
        <v>11</v>
      </c>
      <c r="W184" s="230" t="s">
        <v>11</v>
      </c>
      <c r="X184" s="230" t="s">
        <v>11</v>
      </c>
      <c r="Y184" s="230" t="s">
        <v>11</v>
      </c>
      <c r="Z184" s="230" t="s">
        <v>11</v>
      </c>
      <c r="AA184" s="230" t="s">
        <v>11</v>
      </c>
      <c r="AB184" s="230" t="s">
        <v>11</v>
      </c>
      <c r="AC184" s="230" t="s">
        <v>11</v>
      </c>
      <c r="AD184" s="28"/>
      <c r="AE184" s="28"/>
      <c r="AF184" s="24">
        <f t="shared" si="9"/>
        <v>0</v>
      </c>
      <c r="AG184" s="24">
        <f t="shared" si="10"/>
        <v>0</v>
      </c>
      <c r="AH184" s="24">
        <f t="shared" si="11"/>
        <v>14</v>
      </c>
      <c r="AI184" s="41" t="str" cm="1">
        <f t="array" ref="AI184">_xlfn.IFS(
$AF184=15,"Not Started",
$AH184&lt;15,"In Progress",
$AH184=15,"Completed",
SUM(AF184:AH184)&gt;15,"Error"
)</f>
        <v>In Progress</v>
      </c>
    </row>
    <row r="185" spans="1:35" ht="13" x14ac:dyDescent="0.25">
      <c r="A185" s="248"/>
      <c r="B185" s="7" t="s">
        <v>1034</v>
      </c>
      <c r="C185" s="138" t="s">
        <v>5458</v>
      </c>
      <c r="D185" s="138" t="s">
        <v>9269</v>
      </c>
      <c r="E185" s="138" t="s">
        <v>52</v>
      </c>
      <c r="F185" s="138" t="s">
        <v>48</v>
      </c>
      <c r="G185" s="138" t="s">
        <v>5657</v>
      </c>
      <c r="H185" s="138" t="s">
        <v>5657</v>
      </c>
      <c r="I185" s="7">
        <v>21.446729279397498</v>
      </c>
      <c r="J185" s="140">
        <v>39.804084282371797</v>
      </c>
      <c r="K185" s="7" t="str">
        <f t="shared" si="8"/>
        <v>21.4467292793975,39.8040842823718</v>
      </c>
      <c r="L185" s="138" t="s">
        <v>5643</v>
      </c>
      <c r="M185" s="138">
        <v>10053329699</v>
      </c>
      <c r="N185" s="7"/>
      <c r="O185" s="7"/>
      <c r="P185" s="230" t="s">
        <v>11</v>
      </c>
      <c r="Q185" s="230" t="s">
        <v>11</v>
      </c>
      <c r="R185" s="230" t="s">
        <v>11</v>
      </c>
      <c r="S185" s="230" t="s">
        <v>11</v>
      </c>
      <c r="T185" s="230" t="s">
        <v>11</v>
      </c>
      <c r="U185" s="230" t="s">
        <v>11</v>
      </c>
      <c r="V185" s="230" t="s">
        <v>11</v>
      </c>
      <c r="W185" s="230" t="s">
        <v>11</v>
      </c>
      <c r="X185" s="230" t="s">
        <v>11</v>
      </c>
      <c r="Y185" s="230" t="s">
        <v>11</v>
      </c>
      <c r="Z185" s="230" t="s">
        <v>11</v>
      </c>
      <c r="AA185" s="5" t="s">
        <v>9</v>
      </c>
      <c r="AB185" s="230" t="s">
        <v>9</v>
      </c>
      <c r="AC185" s="230" t="s">
        <v>9</v>
      </c>
      <c r="AD185" s="28"/>
      <c r="AE185" s="28"/>
      <c r="AF185" s="24">
        <f t="shared" si="9"/>
        <v>3</v>
      </c>
      <c r="AG185" s="24">
        <f t="shared" si="10"/>
        <v>0</v>
      </c>
      <c r="AH185" s="24">
        <f t="shared" si="11"/>
        <v>11</v>
      </c>
      <c r="AI185" s="41" t="str" cm="1">
        <f t="array" ref="AI185">_xlfn.IFS(
$AF185=15,"Not Started",
$AH185&lt;15,"In Progress",
$AH185=15,"Completed",
SUM(AF185:AH185)&gt;15,"Error"
)</f>
        <v>In Progress</v>
      </c>
    </row>
    <row r="186" spans="1:35" ht="13" x14ac:dyDescent="0.25">
      <c r="A186" s="248"/>
      <c r="B186" s="14" t="s">
        <v>1035</v>
      </c>
      <c r="C186" s="138" t="s">
        <v>5459</v>
      </c>
      <c r="D186" s="138" t="s">
        <v>9270</v>
      </c>
      <c r="E186" s="138" t="s">
        <v>43</v>
      </c>
      <c r="F186" s="138" t="s">
        <v>48</v>
      </c>
      <c r="G186" s="138" t="s">
        <v>5657</v>
      </c>
      <c r="H186" s="138" t="s">
        <v>5657</v>
      </c>
      <c r="I186" s="7">
        <v>21.468549731566501</v>
      </c>
      <c r="J186" s="140">
        <v>39.940099782610098</v>
      </c>
      <c r="K186" s="7" t="str">
        <f t="shared" si="8"/>
        <v>21.4685497315665,39.9400997826101</v>
      </c>
      <c r="L186" s="138" t="s">
        <v>5644</v>
      </c>
      <c r="M186" s="138">
        <v>10053702712</v>
      </c>
      <c r="N186" s="7"/>
      <c r="O186" s="7"/>
      <c r="P186" s="230" t="s">
        <v>11</v>
      </c>
      <c r="Q186" s="230" t="s">
        <v>11</v>
      </c>
      <c r="R186" s="230" t="s">
        <v>11</v>
      </c>
      <c r="S186" s="230" t="s">
        <v>11</v>
      </c>
      <c r="T186" s="230" t="s">
        <v>11</v>
      </c>
      <c r="U186" s="230" t="s">
        <v>11</v>
      </c>
      <c r="V186" s="230" t="s">
        <v>11</v>
      </c>
      <c r="W186" s="230" t="s">
        <v>11</v>
      </c>
      <c r="X186" s="230" t="s">
        <v>11</v>
      </c>
      <c r="Y186" s="230" t="s">
        <v>11</v>
      </c>
      <c r="Z186" s="230" t="s">
        <v>11</v>
      </c>
      <c r="AA186" s="230" t="s">
        <v>11</v>
      </c>
      <c r="AB186" s="230" t="s">
        <v>11</v>
      </c>
      <c r="AC186" s="230" t="s">
        <v>11</v>
      </c>
      <c r="AD186" s="28"/>
      <c r="AE186" s="28"/>
      <c r="AF186" s="24">
        <f t="shared" si="9"/>
        <v>0</v>
      </c>
      <c r="AG186" s="24">
        <f t="shared" si="10"/>
        <v>0</v>
      </c>
      <c r="AH186" s="24">
        <f t="shared" si="11"/>
        <v>14</v>
      </c>
      <c r="AI186" s="41" t="str" cm="1">
        <f t="array" ref="AI186">_xlfn.IFS(
$AF186=15,"Not Started",
$AH186&lt;15,"In Progress",
$AH186=15,"Completed",
SUM(AF186:AH186)&gt;15,"Error"
)</f>
        <v>In Progress</v>
      </c>
    </row>
    <row r="187" spans="1:35" ht="13" x14ac:dyDescent="0.25">
      <c r="A187" s="248"/>
      <c r="B187" s="7" t="s">
        <v>1036</v>
      </c>
      <c r="C187" s="138" t="s">
        <v>5460</v>
      </c>
      <c r="D187" s="138" t="s">
        <v>9271</v>
      </c>
      <c r="E187" s="138" t="s">
        <v>47</v>
      </c>
      <c r="F187" s="138" t="s">
        <v>44</v>
      </c>
      <c r="G187" s="138" t="s">
        <v>5657</v>
      </c>
      <c r="H187" s="138" t="s">
        <v>5657</v>
      </c>
      <c r="I187" s="7">
        <v>21.5427115893451</v>
      </c>
      <c r="J187" s="140">
        <v>39.7943535168138</v>
      </c>
      <c r="K187" s="7" t="str">
        <f t="shared" si="8"/>
        <v>21.5427115893451,39.7943535168138</v>
      </c>
      <c r="L187" s="138" t="s">
        <v>5645</v>
      </c>
      <c r="M187" s="138">
        <v>10087535417</v>
      </c>
      <c r="N187" s="7"/>
      <c r="O187" s="7"/>
      <c r="P187" s="230" t="s">
        <v>11</v>
      </c>
      <c r="Q187" s="230" t="s">
        <v>11</v>
      </c>
      <c r="R187" s="230" t="s">
        <v>11</v>
      </c>
      <c r="S187" s="230" t="s">
        <v>11</v>
      </c>
      <c r="T187" s="230" t="s">
        <v>11</v>
      </c>
      <c r="U187" s="230" t="s">
        <v>11</v>
      </c>
      <c r="V187" s="230" t="s">
        <v>11</v>
      </c>
      <c r="W187" s="230" t="s">
        <v>11</v>
      </c>
      <c r="X187" s="230" t="s">
        <v>11</v>
      </c>
      <c r="Y187" s="230" t="s">
        <v>11</v>
      </c>
      <c r="Z187" s="230" t="s">
        <v>11</v>
      </c>
      <c r="AA187" s="5" t="s">
        <v>11</v>
      </c>
      <c r="AB187" s="230" t="s">
        <v>9</v>
      </c>
      <c r="AC187" s="78" t="s">
        <v>11</v>
      </c>
      <c r="AD187" s="28"/>
      <c r="AE187" s="28"/>
      <c r="AF187" s="24">
        <f t="shared" si="9"/>
        <v>1</v>
      </c>
      <c r="AG187" s="24">
        <f t="shared" si="10"/>
        <v>0</v>
      </c>
      <c r="AH187" s="24">
        <f t="shared" si="11"/>
        <v>13</v>
      </c>
      <c r="AI187" s="41" t="str" cm="1">
        <f t="array" ref="AI187">_xlfn.IFS(
$AF187=15,"Not Started",
$AH187&lt;15,"In Progress",
$AH187=15,"Completed",
SUM(AF187:AH187)&gt;15,"Error"
)</f>
        <v>In Progress</v>
      </c>
    </row>
    <row r="188" spans="1:35" ht="13" x14ac:dyDescent="0.25">
      <c r="A188" s="248"/>
      <c r="B188" s="14" t="s">
        <v>1037</v>
      </c>
      <c r="C188" s="138" t="s">
        <v>5461</v>
      </c>
      <c r="D188" s="138" t="s">
        <v>9272</v>
      </c>
      <c r="E188" s="138" t="s">
        <v>43</v>
      </c>
      <c r="F188" s="138" t="s">
        <v>44</v>
      </c>
      <c r="G188" s="138" t="s">
        <v>5657</v>
      </c>
      <c r="H188" s="138" t="s">
        <v>5657</v>
      </c>
      <c r="I188" s="7">
        <v>21.465502497519299</v>
      </c>
      <c r="J188" s="140">
        <v>39.942802721720298</v>
      </c>
      <c r="K188" s="7" t="str">
        <f t="shared" si="8"/>
        <v>21.4655024975193,39.9428027217203</v>
      </c>
      <c r="L188" s="138" t="s">
        <v>5646</v>
      </c>
      <c r="M188" s="138">
        <v>10053745040</v>
      </c>
      <c r="N188" s="7"/>
      <c r="O188" s="7"/>
      <c r="P188" s="230" t="s">
        <v>11</v>
      </c>
      <c r="Q188" s="230" t="s">
        <v>11</v>
      </c>
      <c r="R188" s="230" t="s">
        <v>11</v>
      </c>
      <c r="S188" s="230" t="s">
        <v>11</v>
      </c>
      <c r="T188" s="230" t="s">
        <v>11</v>
      </c>
      <c r="U188" s="230" t="s">
        <v>11</v>
      </c>
      <c r="V188" s="230" t="s">
        <v>11</v>
      </c>
      <c r="W188" s="230" t="s">
        <v>11</v>
      </c>
      <c r="X188" s="230" t="s">
        <v>11</v>
      </c>
      <c r="Y188" s="230" t="s">
        <v>11</v>
      </c>
      <c r="Z188" s="230" t="s">
        <v>11</v>
      </c>
      <c r="AA188" s="230" t="s">
        <v>11</v>
      </c>
      <c r="AB188" s="230" t="s">
        <v>11</v>
      </c>
      <c r="AC188" s="230" t="s">
        <v>11</v>
      </c>
      <c r="AD188" s="28"/>
      <c r="AE188" s="28"/>
      <c r="AF188" s="24">
        <f t="shared" si="9"/>
        <v>0</v>
      </c>
      <c r="AG188" s="24">
        <f t="shared" si="10"/>
        <v>0</v>
      </c>
      <c r="AH188" s="24">
        <f t="shared" si="11"/>
        <v>14</v>
      </c>
      <c r="AI188" s="41" t="str" cm="1">
        <f t="array" ref="AI188">_xlfn.IFS(
$AF188=15,"Not Started",
$AH188&lt;15,"In Progress",
$AH188=15,"Completed",
SUM(AF188:AH188)&gt;15,"Error"
)</f>
        <v>In Progress</v>
      </c>
    </row>
    <row r="189" spans="1:35" ht="13" x14ac:dyDescent="0.25">
      <c r="A189" s="248"/>
      <c r="B189" s="7" t="s">
        <v>1038</v>
      </c>
      <c r="C189" s="138" t="s">
        <v>5462</v>
      </c>
      <c r="D189" s="138" t="s">
        <v>9273</v>
      </c>
      <c r="E189" s="138" t="s">
        <v>43</v>
      </c>
      <c r="F189" s="138" t="s">
        <v>48</v>
      </c>
      <c r="G189" s="138" t="s">
        <v>5657</v>
      </c>
      <c r="H189" s="138" t="s">
        <v>5657</v>
      </c>
      <c r="I189" s="7">
        <v>21.4651432580084</v>
      </c>
      <c r="J189" s="140">
        <v>39.962166449017602</v>
      </c>
      <c r="K189" s="7" t="str">
        <f t="shared" si="8"/>
        <v>21.4651432580084,39.9621664490176</v>
      </c>
      <c r="L189" s="227" t="s">
        <v>11264</v>
      </c>
      <c r="M189" s="138">
        <v>10053337618</v>
      </c>
      <c r="N189" s="7"/>
      <c r="O189" s="7"/>
      <c r="P189" s="230" t="s">
        <v>11</v>
      </c>
      <c r="Q189" s="230" t="s">
        <v>11</v>
      </c>
      <c r="R189" s="230" t="s">
        <v>11</v>
      </c>
      <c r="S189" s="230" t="s">
        <v>11</v>
      </c>
      <c r="T189" s="230" t="s">
        <v>11</v>
      </c>
      <c r="U189" s="230" t="s">
        <v>11</v>
      </c>
      <c r="V189" s="230" t="s">
        <v>11</v>
      </c>
      <c r="W189" s="230" t="s">
        <v>11</v>
      </c>
      <c r="X189" s="230" t="s">
        <v>11</v>
      </c>
      <c r="Y189" s="230" t="s">
        <v>11</v>
      </c>
      <c r="Z189" s="230" t="s">
        <v>11</v>
      </c>
      <c r="AA189" s="230" t="s">
        <v>11</v>
      </c>
      <c r="AB189" s="230" t="s">
        <v>11</v>
      </c>
      <c r="AC189" s="230" t="s">
        <v>11</v>
      </c>
      <c r="AD189" s="28"/>
      <c r="AE189" s="28"/>
      <c r="AF189" s="24">
        <f t="shared" si="9"/>
        <v>0</v>
      </c>
      <c r="AG189" s="24">
        <f t="shared" si="10"/>
        <v>0</v>
      </c>
      <c r="AH189" s="24">
        <f t="shared" si="11"/>
        <v>14</v>
      </c>
      <c r="AI189" s="41" t="str" cm="1">
        <f t="array" ref="AI189">_xlfn.IFS(
$AF189=15,"Not Started",
$AH189&lt;15,"In Progress",
$AH189=15,"Completed",
SUM(AF189:AH189)&gt;15,"Error"
)</f>
        <v>In Progress</v>
      </c>
    </row>
    <row r="190" spans="1:35" ht="13" x14ac:dyDescent="0.25">
      <c r="A190" s="248"/>
      <c r="B190" s="14" t="s">
        <v>1039</v>
      </c>
      <c r="C190" s="138" t="s">
        <v>5463</v>
      </c>
      <c r="D190" s="138" t="s">
        <v>9274</v>
      </c>
      <c r="E190" s="138" t="s">
        <v>10347</v>
      </c>
      <c r="F190" s="138" t="s">
        <v>48</v>
      </c>
      <c r="G190" s="138" t="s">
        <v>5657</v>
      </c>
      <c r="H190" s="138" t="s">
        <v>5657</v>
      </c>
      <c r="I190" s="7">
        <v>21.533298655179198</v>
      </c>
      <c r="J190" s="140">
        <v>39.786555069998002</v>
      </c>
      <c r="K190" s="7" t="str">
        <f t="shared" si="8"/>
        <v>21.5332986551792,39.786555069998</v>
      </c>
      <c r="L190" s="227" t="s">
        <v>10887</v>
      </c>
      <c r="M190" s="138">
        <v>10105319711</v>
      </c>
      <c r="N190" s="7"/>
      <c r="O190" s="7"/>
      <c r="P190" s="230" t="s">
        <v>11</v>
      </c>
      <c r="Q190" s="230" t="s">
        <v>11</v>
      </c>
      <c r="R190" s="230" t="s">
        <v>11</v>
      </c>
      <c r="S190" s="230" t="s">
        <v>11</v>
      </c>
      <c r="T190" s="230" t="s">
        <v>11</v>
      </c>
      <c r="U190" s="230" t="s">
        <v>11</v>
      </c>
      <c r="V190" s="230" t="s">
        <v>11</v>
      </c>
      <c r="W190" s="230" t="s">
        <v>11</v>
      </c>
      <c r="X190" s="230" t="s">
        <v>11</v>
      </c>
      <c r="Y190" s="230" t="s">
        <v>11</v>
      </c>
      <c r="Z190" s="230" t="s">
        <v>11</v>
      </c>
      <c r="AA190" s="230" t="s">
        <v>9</v>
      </c>
      <c r="AB190" s="230" t="s">
        <v>9</v>
      </c>
      <c r="AC190" s="230" t="s">
        <v>9</v>
      </c>
      <c r="AD190" s="28"/>
      <c r="AE190" s="28"/>
      <c r="AF190" s="24">
        <f t="shared" si="9"/>
        <v>3</v>
      </c>
      <c r="AG190" s="24">
        <f t="shared" si="10"/>
        <v>0</v>
      </c>
      <c r="AH190" s="24">
        <f t="shared" si="11"/>
        <v>11</v>
      </c>
      <c r="AI190" s="41" t="str" cm="1">
        <f t="array" ref="AI190">_xlfn.IFS(
$AF190=15,"Not Started",
$AH190&lt;15,"In Progress",
$AH190=15,"Completed",
SUM(AF190:AH190)&gt;15,"Error"
)</f>
        <v>In Progress</v>
      </c>
    </row>
    <row r="191" spans="1:35" ht="13" x14ac:dyDescent="0.25">
      <c r="A191" s="248"/>
      <c r="B191" s="7" t="s">
        <v>1040</v>
      </c>
      <c r="C191" s="138" t="s">
        <v>5464</v>
      </c>
      <c r="D191" s="138" t="s">
        <v>9275</v>
      </c>
      <c r="E191" s="138" t="s">
        <v>51</v>
      </c>
      <c r="F191" s="138" t="s">
        <v>44</v>
      </c>
      <c r="G191" s="138" t="s">
        <v>5657</v>
      </c>
      <c r="H191" s="138" t="s">
        <v>5657</v>
      </c>
      <c r="I191" s="7">
        <v>21.465819797781201</v>
      </c>
      <c r="J191" s="140">
        <v>39.939829320534898</v>
      </c>
      <c r="K191" s="7" t="str">
        <f t="shared" si="8"/>
        <v>21.4658197977812,39.9398293205349</v>
      </c>
      <c r="L191" s="138" t="s">
        <v>5647</v>
      </c>
      <c r="M191" s="138">
        <v>10053704806</v>
      </c>
      <c r="N191" s="7"/>
      <c r="O191" s="7"/>
      <c r="P191" s="230" t="s">
        <v>11</v>
      </c>
      <c r="Q191" s="230" t="s">
        <v>11</v>
      </c>
      <c r="R191" s="230" t="s">
        <v>11</v>
      </c>
      <c r="S191" s="230" t="s">
        <v>11</v>
      </c>
      <c r="T191" s="230" t="s">
        <v>11</v>
      </c>
      <c r="U191" s="230" t="s">
        <v>11</v>
      </c>
      <c r="V191" s="230" t="s">
        <v>11</v>
      </c>
      <c r="W191" s="230" t="s">
        <v>9</v>
      </c>
      <c r="X191" s="230" t="s">
        <v>9</v>
      </c>
      <c r="Y191" s="230" t="s">
        <v>11</v>
      </c>
      <c r="Z191" s="230" t="s">
        <v>11</v>
      </c>
      <c r="AA191" s="230" t="s">
        <v>9</v>
      </c>
      <c r="AB191" s="230" t="s">
        <v>9</v>
      </c>
      <c r="AC191" s="230" t="s">
        <v>9</v>
      </c>
      <c r="AD191" s="28"/>
      <c r="AE191" s="28"/>
      <c r="AF191" s="24">
        <f t="shared" si="9"/>
        <v>5</v>
      </c>
      <c r="AG191" s="24">
        <f t="shared" si="10"/>
        <v>0</v>
      </c>
      <c r="AH191" s="24">
        <f t="shared" si="11"/>
        <v>9</v>
      </c>
      <c r="AI191" s="41" t="str" cm="1">
        <f t="array" ref="AI191">_xlfn.IFS(
$AF191=15,"Not Started",
$AH191&lt;15,"In Progress",
$AH191=15,"Completed",
SUM(AF191:AH191)&gt;15,"Error"
)</f>
        <v>In Progress</v>
      </c>
    </row>
    <row r="192" spans="1:35" ht="13" x14ac:dyDescent="0.25">
      <c r="A192" s="248"/>
      <c r="B192" s="14" t="s">
        <v>1041</v>
      </c>
      <c r="C192" s="138" t="s">
        <v>5465</v>
      </c>
      <c r="D192" s="138" t="s">
        <v>9276</v>
      </c>
      <c r="E192" s="138" t="s">
        <v>51</v>
      </c>
      <c r="F192" s="138" t="s">
        <v>44</v>
      </c>
      <c r="G192" s="138" t="s">
        <v>5657</v>
      </c>
      <c r="H192" s="138" t="s">
        <v>5657</v>
      </c>
      <c r="I192" s="7">
        <v>21.463203820468799</v>
      </c>
      <c r="J192" s="140">
        <v>39.966822545535003</v>
      </c>
      <c r="K192" s="7" t="str">
        <f t="shared" si="8"/>
        <v>21.4632038204688,39.966822545535</v>
      </c>
      <c r="L192" s="138" t="s">
        <v>5648</v>
      </c>
      <c r="M192" s="138">
        <v>10053339597</v>
      </c>
      <c r="N192" s="7"/>
      <c r="O192" s="7"/>
      <c r="P192" s="230" t="s">
        <v>11</v>
      </c>
      <c r="Q192" s="230" t="s">
        <v>11</v>
      </c>
      <c r="R192" s="230" t="s">
        <v>11</v>
      </c>
      <c r="S192" s="230" t="s">
        <v>11</v>
      </c>
      <c r="T192" s="230" t="s">
        <v>11</v>
      </c>
      <c r="U192" s="230" t="s">
        <v>11</v>
      </c>
      <c r="V192" s="230" t="s">
        <v>11</v>
      </c>
      <c r="W192" s="230" t="s">
        <v>11</v>
      </c>
      <c r="X192" s="230" t="s">
        <v>11</v>
      </c>
      <c r="Y192" s="230" t="s">
        <v>11</v>
      </c>
      <c r="Z192" s="230" t="s">
        <v>11</v>
      </c>
      <c r="AA192" s="230" t="s">
        <v>11</v>
      </c>
      <c r="AB192" s="230" t="s">
        <v>11</v>
      </c>
      <c r="AC192" s="230" t="s">
        <v>11</v>
      </c>
      <c r="AD192" s="28"/>
      <c r="AE192" s="28"/>
      <c r="AF192" s="24">
        <f t="shared" si="9"/>
        <v>0</v>
      </c>
      <c r="AG192" s="24">
        <f t="shared" si="10"/>
        <v>0</v>
      </c>
      <c r="AH192" s="24">
        <f t="shared" si="11"/>
        <v>14</v>
      </c>
      <c r="AI192" s="41" t="str" cm="1">
        <f t="array" ref="AI192">_xlfn.IFS(
$AF192=15,"Not Started",
$AH192&lt;15,"In Progress",
$AH192=15,"Completed",
SUM(AF192:AH192)&gt;15,"Error"
)</f>
        <v>In Progress</v>
      </c>
    </row>
    <row r="193" spans="1:35" ht="13" x14ac:dyDescent="0.25">
      <c r="A193" s="248"/>
      <c r="B193" s="7" t="s">
        <v>1042</v>
      </c>
      <c r="C193" s="138" t="s">
        <v>5466</v>
      </c>
      <c r="D193" s="138" t="s">
        <v>9277</v>
      </c>
      <c r="E193" s="138" t="s">
        <v>47</v>
      </c>
      <c r="F193" s="138" t="s">
        <v>48</v>
      </c>
      <c r="G193" s="138" t="s">
        <v>5657</v>
      </c>
      <c r="H193" s="138" t="s">
        <v>5657</v>
      </c>
      <c r="I193" s="7">
        <v>21.532729100420301</v>
      </c>
      <c r="J193" s="140">
        <v>39.785936218333802</v>
      </c>
      <c r="K193" s="7" t="str">
        <f t="shared" si="8"/>
        <v>21.5327291004203,39.7859362183338</v>
      </c>
      <c r="L193" s="138" t="s">
        <v>5649</v>
      </c>
      <c r="M193" s="138">
        <v>10053328781</v>
      </c>
      <c r="N193" s="7"/>
      <c r="O193" s="7"/>
      <c r="P193" s="230" t="s">
        <v>11</v>
      </c>
      <c r="Q193" s="230" t="s">
        <v>11</v>
      </c>
      <c r="R193" s="230" t="s">
        <v>11</v>
      </c>
      <c r="S193" s="230" t="s">
        <v>11</v>
      </c>
      <c r="T193" s="230" t="s">
        <v>11</v>
      </c>
      <c r="U193" s="230" t="s">
        <v>11</v>
      </c>
      <c r="V193" s="230" t="s">
        <v>11</v>
      </c>
      <c r="W193" s="230" t="s">
        <v>11</v>
      </c>
      <c r="X193" s="230" t="s">
        <v>11</v>
      </c>
      <c r="Y193" s="230" t="s">
        <v>11</v>
      </c>
      <c r="Z193" s="230" t="s">
        <v>11</v>
      </c>
      <c r="AA193" s="5" t="s">
        <v>11</v>
      </c>
      <c r="AB193" s="230" t="s">
        <v>11</v>
      </c>
      <c r="AC193" s="78" t="s">
        <v>11</v>
      </c>
      <c r="AD193" s="28"/>
      <c r="AE193" s="28"/>
      <c r="AF193" s="24">
        <f t="shared" si="9"/>
        <v>0</v>
      </c>
      <c r="AG193" s="24">
        <f t="shared" si="10"/>
        <v>0</v>
      </c>
      <c r="AH193" s="24">
        <f t="shared" si="11"/>
        <v>14</v>
      </c>
      <c r="AI193" s="41" t="str" cm="1">
        <f t="array" ref="AI193">_xlfn.IFS(
$AF193=15,"Not Started",
$AH193&lt;15,"In Progress",
$AH193=15,"Completed",
SUM(AF193:AH193)&gt;15,"Error"
)</f>
        <v>In Progress</v>
      </c>
    </row>
    <row r="194" spans="1:35" ht="13" x14ac:dyDescent="0.25">
      <c r="A194" s="248"/>
      <c r="B194" s="14" t="s">
        <v>1043</v>
      </c>
      <c r="C194" s="138" t="s">
        <v>5467</v>
      </c>
      <c r="D194" s="138" t="s">
        <v>9278</v>
      </c>
      <c r="E194" s="138" t="s">
        <v>51</v>
      </c>
      <c r="F194" s="138" t="s">
        <v>48</v>
      </c>
      <c r="G194" s="138" t="s">
        <v>5657</v>
      </c>
      <c r="H194" s="138" t="s">
        <v>5657</v>
      </c>
      <c r="I194" s="7">
        <v>21.452644903643399</v>
      </c>
      <c r="J194" s="140">
        <v>39.859129273907499</v>
      </c>
      <c r="K194" s="7" t="str">
        <f t="shared" si="8"/>
        <v>21.4526449036434,39.8591292739075</v>
      </c>
      <c r="L194" s="138" t="s">
        <v>5650</v>
      </c>
      <c r="M194" s="138">
        <v>10053488309</v>
      </c>
      <c r="N194" s="7"/>
      <c r="O194" s="7"/>
      <c r="P194" s="230" t="s">
        <v>11</v>
      </c>
      <c r="Q194" s="230" t="s">
        <v>11</v>
      </c>
      <c r="R194" s="230" t="s">
        <v>11</v>
      </c>
      <c r="S194" s="230" t="s">
        <v>11</v>
      </c>
      <c r="T194" s="230" t="s">
        <v>11</v>
      </c>
      <c r="U194" s="230" t="s">
        <v>11</v>
      </c>
      <c r="V194" s="230" t="s">
        <v>11</v>
      </c>
      <c r="W194" s="230" t="s">
        <v>11</v>
      </c>
      <c r="X194" s="230" t="s">
        <v>11</v>
      </c>
      <c r="Y194" s="230" t="s">
        <v>11</v>
      </c>
      <c r="Z194" s="230" t="s">
        <v>11</v>
      </c>
      <c r="AA194" s="5" t="s">
        <v>11</v>
      </c>
      <c r="AB194" s="230" t="s">
        <v>11</v>
      </c>
      <c r="AC194" s="230" t="s">
        <v>11</v>
      </c>
      <c r="AD194" s="28"/>
      <c r="AE194" s="28"/>
      <c r="AF194" s="24">
        <f t="shared" si="9"/>
        <v>0</v>
      </c>
      <c r="AG194" s="24">
        <f t="shared" si="10"/>
        <v>0</v>
      </c>
      <c r="AH194" s="24">
        <f t="shared" si="11"/>
        <v>14</v>
      </c>
      <c r="AI194" s="41" t="str" cm="1">
        <f t="array" ref="AI194">_xlfn.IFS(
$AF194=15,"Not Started",
$AH194&lt;15,"In Progress",
$AH194=15,"Completed",
SUM(AF194:AH194)&gt;15,"Error"
)</f>
        <v>In Progress</v>
      </c>
    </row>
    <row r="195" spans="1:35" ht="13" x14ac:dyDescent="0.25">
      <c r="A195" s="248"/>
      <c r="B195" s="7" t="s">
        <v>1044</v>
      </c>
      <c r="C195" s="138" t="s">
        <v>5468</v>
      </c>
      <c r="D195" s="138" t="s">
        <v>9279</v>
      </c>
      <c r="E195" s="138" t="s">
        <v>43</v>
      </c>
      <c r="F195" s="138" t="s">
        <v>44</v>
      </c>
      <c r="G195" s="138" t="s">
        <v>5657</v>
      </c>
      <c r="H195" s="138" t="s">
        <v>5657</v>
      </c>
      <c r="I195" s="7">
        <v>21.502637367893499</v>
      </c>
      <c r="J195" s="140">
        <v>39.959427073029097</v>
      </c>
      <c r="K195" s="7" t="str">
        <f t="shared" si="8"/>
        <v>21.5026373678935,39.9594270730291</v>
      </c>
      <c r="L195" s="138" t="s">
        <v>5651</v>
      </c>
      <c r="M195" s="138">
        <v>10094270483</v>
      </c>
      <c r="N195" s="7"/>
      <c r="O195" s="7"/>
      <c r="P195" s="230" t="s">
        <v>11</v>
      </c>
      <c r="Q195" s="230" t="s">
        <v>11</v>
      </c>
      <c r="R195" s="230" t="s">
        <v>11</v>
      </c>
      <c r="S195" s="230" t="s">
        <v>11</v>
      </c>
      <c r="T195" s="230" t="s">
        <v>11</v>
      </c>
      <c r="U195" s="230" t="s">
        <v>11</v>
      </c>
      <c r="V195" s="230" t="s">
        <v>11</v>
      </c>
      <c r="W195" s="230" t="s">
        <v>11</v>
      </c>
      <c r="X195" s="230" t="s">
        <v>11</v>
      </c>
      <c r="Y195" s="230" t="s">
        <v>11</v>
      </c>
      <c r="Z195" s="230" t="s">
        <v>11</v>
      </c>
      <c r="AA195" s="230" t="s">
        <v>11</v>
      </c>
      <c r="AB195" s="230" t="s">
        <v>11</v>
      </c>
      <c r="AC195" s="230" t="s">
        <v>9</v>
      </c>
      <c r="AD195" s="28"/>
      <c r="AE195" s="28"/>
      <c r="AF195" s="24">
        <f t="shared" si="9"/>
        <v>1</v>
      </c>
      <c r="AG195" s="24">
        <f t="shared" si="10"/>
        <v>0</v>
      </c>
      <c r="AH195" s="24">
        <f t="shared" si="11"/>
        <v>13</v>
      </c>
      <c r="AI195" s="41" t="str" cm="1">
        <f t="array" ref="AI195">_xlfn.IFS(
$AF195=15,"Not Started",
$AH195&lt;15,"In Progress",
$AH195=15,"Completed",
SUM(AF195:AH195)&gt;15,"Error"
)</f>
        <v>In Progress</v>
      </c>
    </row>
    <row r="196" spans="1:35" ht="13" x14ac:dyDescent="0.25">
      <c r="A196" s="248"/>
      <c r="B196" s="14" t="s">
        <v>1045</v>
      </c>
      <c r="C196" s="138" t="s">
        <v>5469</v>
      </c>
      <c r="D196" s="138" t="s">
        <v>9280</v>
      </c>
      <c r="E196" s="138" t="s">
        <v>47</v>
      </c>
      <c r="F196" s="138" t="s">
        <v>44</v>
      </c>
      <c r="G196" s="138" t="s">
        <v>5657</v>
      </c>
      <c r="H196" s="138" t="s">
        <v>5657</v>
      </c>
      <c r="I196" s="7">
        <v>21.4683047646825</v>
      </c>
      <c r="J196" s="140">
        <v>39.955330151923803</v>
      </c>
      <c r="K196" s="7" t="str">
        <f t="shared" si="8"/>
        <v>21.4683047646825,39.9553301519238</v>
      </c>
      <c r="L196" s="138" t="s">
        <v>11265</v>
      </c>
      <c r="M196" s="138">
        <v>10103447042</v>
      </c>
      <c r="N196" s="7"/>
      <c r="O196" s="7"/>
      <c r="P196" s="230" t="s">
        <v>11</v>
      </c>
      <c r="Q196" s="230" t="s">
        <v>11</v>
      </c>
      <c r="R196" s="230" t="s">
        <v>11</v>
      </c>
      <c r="S196" s="230" t="s">
        <v>11</v>
      </c>
      <c r="T196" s="230" t="s">
        <v>11</v>
      </c>
      <c r="U196" s="230" t="s">
        <v>11</v>
      </c>
      <c r="V196" s="230" t="s">
        <v>11</v>
      </c>
      <c r="W196" s="230" t="s">
        <v>11</v>
      </c>
      <c r="X196" s="230" t="s">
        <v>11</v>
      </c>
      <c r="Y196" s="230" t="s">
        <v>11</v>
      </c>
      <c r="Z196" s="230" t="s">
        <v>11</v>
      </c>
      <c r="AA196" s="5" t="s">
        <v>11</v>
      </c>
      <c r="AB196" s="230" t="s">
        <v>11</v>
      </c>
      <c r="AC196" s="230" t="s">
        <v>11</v>
      </c>
      <c r="AD196" s="28"/>
      <c r="AE196" s="28"/>
      <c r="AF196" s="24">
        <f t="shared" si="9"/>
        <v>0</v>
      </c>
      <c r="AG196" s="24">
        <f t="shared" si="10"/>
        <v>0</v>
      </c>
      <c r="AH196" s="24">
        <f t="shared" si="11"/>
        <v>14</v>
      </c>
      <c r="AI196" s="41" t="str" cm="1">
        <f t="array" ref="AI196">_xlfn.IFS(
$AF196=15,"Not Started",
$AH196&lt;15,"In Progress",
$AH196=15,"Completed",
SUM(AF196:AH196)&gt;15,"Error"
)</f>
        <v>In Progress</v>
      </c>
    </row>
    <row r="197" spans="1:35" ht="13" x14ac:dyDescent="0.25">
      <c r="A197" s="248"/>
      <c r="B197" s="7" t="s">
        <v>1046</v>
      </c>
      <c r="C197" s="138" t="s">
        <v>5470</v>
      </c>
      <c r="D197" s="138" t="s">
        <v>9281</v>
      </c>
      <c r="E197" s="138" t="s">
        <v>43</v>
      </c>
      <c r="F197" s="138" t="s">
        <v>44</v>
      </c>
      <c r="G197" s="138" t="s">
        <v>5657</v>
      </c>
      <c r="H197" s="138" t="s">
        <v>5657</v>
      </c>
      <c r="I197" s="7">
        <v>21.5292675850717</v>
      </c>
      <c r="J197" s="140">
        <v>39.795251232376799</v>
      </c>
      <c r="K197" s="7" t="str">
        <f t="shared" ref="K197:K203" si="12">_xlfn.CONCAT(I197,",",J197)</f>
        <v>21.5292675850717,39.7952512323768</v>
      </c>
      <c r="L197" s="138" t="s">
        <v>5652</v>
      </c>
      <c r="M197" s="138">
        <v>10053191611</v>
      </c>
      <c r="N197" s="7"/>
      <c r="O197" s="7"/>
      <c r="P197" s="230" t="s">
        <v>11</v>
      </c>
      <c r="Q197" s="230" t="s">
        <v>11</v>
      </c>
      <c r="R197" s="230" t="s">
        <v>11</v>
      </c>
      <c r="S197" s="230" t="s">
        <v>11</v>
      </c>
      <c r="T197" s="230" t="s">
        <v>11</v>
      </c>
      <c r="U197" s="230" t="s">
        <v>11</v>
      </c>
      <c r="V197" s="230" t="s">
        <v>11</v>
      </c>
      <c r="W197" s="230" t="s">
        <v>11</v>
      </c>
      <c r="X197" s="230" t="s">
        <v>11</v>
      </c>
      <c r="Y197" s="230" t="s">
        <v>11</v>
      </c>
      <c r="Z197" s="230" t="s">
        <v>11</v>
      </c>
      <c r="AA197" s="230" t="s">
        <v>11</v>
      </c>
      <c r="AB197" s="230" t="s">
        <v>9</v>
      </c>
      <c r="AC197" s="230" t="s">
        <v>11</v>
      </c>
      <c r="AD197" s="28"/>
      <c r="AE197" s="28"/>
      <c r="AF197" s="24">
        <f t="shared" ref="AF197:AF203" si="13">COUNTIF(P197:AD197,$AF$2)</f>
        <v>1</v>
      </c>
      <c r="AG197" s="24">
        <f t="shared" ref="AG197:AG203" si="14">COUNTIF(P197:AD197,$AG$2)</f>
        <v>0</v>
      </c>
      <c r="AH197" s="24">
        <f t="shared" ref="AH197:AH203" si="15">COUNTIF(P197:AD197,$AH$2)</f>
        <v>13</v>
      </c>
      <c r="AI197" s="41" t="str" cm="1">
        <f t="array" ref="AI197">_xlfn.IFS(
$AF197=15,"Not Started",
$AH197&lt;15,"In Progress",
$AH197=15,"Completed",
SUM(AF197:AH197)&gt;15,"Error"
)</f>
        <v>In Progress</v>
      </c>
    </row>
    <row r="198" spans="1:35" ht="13" x14ac:dyDescent="0.25">
      <c r="A198" s="248"/>
      <c r="B198" s="14" t="s">
        <v>1047</v>
      </c>
      <c r="C198" s="138" t="s">
        <v>5471</v>
      </c>
      <c r="D198" s="138" t="s">
        <v>9282</v>
      </c>
      <c r="E198" s="138" t="s">
        <v>43</v>
      </c>
      <c r="F198" s="138" t="s">
        <v>44</v>
      </c>
      <c r="G198" s="138" t="s">
        <v>5657</v>
      </c>
      <c r="H198" s="138" t="s">
        <v>5657</v>
      </c>
      <c r="I198" s="7">
        <v>21.4885407379955</v>
      </c>
      <c r="J198" s="140">
        <v>39.960847826846603</v>
      </c>
      <c r="K198" s="7" t="str">
        <f t="shared" si="12"/>
        <v>21.4885407379955,39.9608478268466</v>
      </c>
      <c r="L198" s="227" t="s">
        <v>11266</v>
      </c>
      <c r="M198" s="138">
        <v>10053123934</v>
      </c>
      <c r="N198" s="7"/>
      <c r="O198" s="7"/>
      <c r="P198" s="230" t="s">
        <v>11</v>
      </c>
      <c r="Q198" s="230" t="s">
        <v>11</v>
      </c>
      <c r="R198" s="230" t="s">
        <v>11</v>
      </c>
      <c r="S198" s="230" t="s">
        <v>11</v>
      </c>
      <c r="T198" s="230" t="s">
        <v>11</v>
      </c>
      <c r="U198" s="230" t="s">
        <v>11</v>
      </c>
      <c r="V198" s="230" t="s">
        <v>11</v>
      </c>
      <c r="W198" s="230" t="s">
        <v>11</v>
      </c>
      <c r="X198" s="230" t="s">
        <v>9</v>
      </c>
      <c r="Y198" s="230" t="s">
        <v>11</v>
      </c>
      <c r="Z198" s="230" t="s">
        <v>11</v>
      </c>
      <c r="AA198" s="230" t="s">
        <v>11</v>
      </c>
      <c r="AB198" s="230" t="s">
        <v>11</v>
      </c>
      <c r="AC198" s="230" t="s">
        <v>9</v>
      </c>
      <c r="AD198" s="28"/>
      <c r="AE198" s="28"/>
      <c r="AF198" s="24">
        <f t="shared" si="13"/>
        <v>2</v>
      </c>
      <c r="AG198" s="24">
        <f t="shared" si="14"/>
        <v>0</v>
      </c>
      <c r="AH198" s="24">
        <f t="shared" si="15"/>
        <v>12</v>
      </c>
      <c r="AI198" s="41" t="str" cm="1">
        <f t="array" ref="AI198">_xlfn.IFS(
$AF198=15,"Not Started",
$AH198&lt;15,"In Progress",
$AH198=15,"Completed",
SUM(AF198:AH198)&gt;15,"Error"
)</f>
        <v>In Progress</v>
      </c>
    </row>
    <row r="199" spans="1:35" ht="13" x14ac:dyDescent="0.25">
      <c r="A199" s="248"/>
      <c r="B199" s="7" t="s">
        <v>1048</v>
      </c>
      <c r="C199" s="138" t="s">
        <v>5472</v>
      </c>
      <c r="D199" s="138" t="s">
        <v>9283</v>
      </c>
      <c r="E199" s="138" t="s">
        <v>47</v>
      </c>
      <c r="F199" s="138" t="s">
        <v>44</v>
      </c>
      <c r="G199" s="138" t="s">
        <v>5657</v>
      </c>
      <c r="H199" s="138" t="s">
        <v>5657</v>
      </c>
      <c r="I199" s="7">
        <v>21.467577796985498</v>
      </c>
      <c r="J199" s="140">
        <v>39.955494983333097</v>
      </c>
      <c r="K199" s="7" t="str">
        <f t="shared" si="12"/>
        <v>21.4675777969855,39.9554949833331</v>
      </c>
      <c r="L199" s="138" t="s">
        <v>10856</v>
      </c>
      <c r="M199" s="138">
        <v>10053403080</v>
      </c>
      <c r="N199" s="7"/>
      <c r="O199" s="7"/>
      <c r="P199" s="230" t="s">
        <v>11</v>
      </c>
      <c r="Q199" s="230" t="s">
        <v>11</v>
      </c>
      <c r="R199" s="230" t="s">
        <v>11</v>
      </c>
      <c r="S199" s="230" t="s">
        <v>11</v>
      </c>
      <c r="T199" s="230" t="s">
        <v>11</v>
      </c>
      <c r="U199" s="230" t="s">
        <v>11</v>
      </c>
      <c r="V199" s="230" t="s">
        <v>11</v>
      </c>
      <c r="W199" s="230" t="s">
        <v>11</v>
      </c>
      <c r="X199" s="230" t="s">
        <v>11</v>
      </c>
      <c r="Y199" s="230" t="s">
        <v>11</v>
      </c>
      <c r="Z199" s="230" t="s">
        <v>11</v>
      </c>
      <c r="AA199" s="5" t="s">
        <v>11</v>
      </c>
      <c r="AB199" s="230" t="s">
        <v>11</v>
      </c>
      <c r="AC199" s="230" t="s">
        <v>11</v>
      </c>
      <c r="AD199" s="28"/>
      <c r="AE199" s="28"/>
      <c r="AF199" s="24">
        <f t="shared" si="13"/>
        <v>0</v>
      </c>
      <c r="AG199" s="24">
        <f t="shared" si="14"/>
        <v>0</v>
      </c>
      <c r="AH199" s="24">
        <f t="shared" si="15"/>
        <v>14</v>
      </c>
      <c r="AI199" s="41" t="str" cm="1">
        <f t="array" ref="AI199">_xlfn.IFS(
$AF199=15,"Not Started",
$AH199&lt;15,"In Progress",
$AH199=15,"Completed",
SUM(AF199:AH199)&gt;15,"Error"
)</f>
        <v>In Progress</v>
      </c>
    </row>
    <row r="200" spans="1:35" ht="13" x14ac:dyDescent="0.25">
      <c r="A200" s="248"/>
      <c r="B200" s="14" t="s">
        <v>1049</v>
      </c>
      <c r="C200" s="138" t="s">
        <v>5473</v>
      </c>
      <c r="D200" s="138" t="s">
        <v>9284</v>
      </c>
      <c r="E200" s="138" t="s">
        <v>43</v>
      </c>
      <c r="F200" s="138" t="s">
        <v>48</v>
      </c>
      <c r="G200" s="138" t="s">
        <v>5657</v>
      </c>
      <c r="H200" s="138" t="s">
        <v>5657</v>
      </c>
      <c r="I200" s="7">
        <v>21.4491584589796</v>
      </c>
      <c r="J200" s="140">
        <v>39.8100708406226</v>
      </c>
      <c r="K200" s="7" t="str">
        <f t="shared" si="12"/>
        <v>21.4491584589796,39.8100708406226</v>
      </c>
      <c r="L200" s="138" t="s">
        <v>5653</v>
      </c>
      <c r="M200" s="138">
        <v>10053155268</v>
      </c>
      <c r="N200" s="7"/>
      <c r="O200" s="7"/>
      <c r="P200" s="230" t="s">
        <v>11</v>
      </c>
      <c r="Q200" s="230" t="s">
        <v>11</v>
      </c>
      <c r="R200" s="230" t="s">
        <v>11</v>
      </c>
      <c r="S200" s="230" t="s">
        <v>11</v>
      </c>
      <c r="T200" s="230" t="s">
        <v>11</v>
      </c>
      <c r="U200" s="230" t="s">
        <v>11</v>
      </c>
      <c r="V200" s="230" t="s">
        <v>11</v>
      </c>
      <c r="W200" s="230" t="s">
        <v>11</v>
      </c>
      <c r="X200" s="230" t="s">
        <v>11</v>
      </c>
      <c r="Y200" s="230" t="s">
        <v>11</v>
      </c>
      <c r="Z200" s="230" t="s">
        <v>11</v>
      </c>
      <c r="AA200" s="5" t="s">
        <v>11</v>
      </c>
      <c r="AB200" s="230" t="s">
        <v>9</v>
      </c>
      <c r="AC200" s="230" t="s">
        <v>11</v>
      </c>
      <c r="AD200" s="28"/>
      <c r="AE200" s="28"/>
      <c r="AF200" s="24">
        <f t="shared" si="13"/>
        <v>1</v>
      </c>
      <c r="AG200" s="24">
        <f t="shared" si="14"/>
        <v>0</v>
      </c>
      <c r="AH200" s="24">
        <f t="shared" si="15"/>
        <v>13</v>
      </c>
      <c r="AI200" s="41" t="str" cm="1">
        <f t="array" ref="AI200">_xlfn.IFS(
$AF200=15,"Not Started",
$AH200&lt;15,"In Progress",
$AH200=15,"Completed",
SUM(AF200:AH200)&gt;15,"Error"
)</f>
        <v>In Progress</v>
      </c>
    </row>
    <row r="201" spans="1:35" ht="13" x14ac:dyDescent="0.25">
      <c r="A201" s="248"/>
      <c r="B201" s="7" t="s">
        <v>1050</v>
      </c>
      <c r="C201" s="138" t="s">
        <v>5474</v>
      </c>
      <c r="D201" s="138" t="s">
        <v>9285</v>
      </c>
      <c r="E201" s="138" t="s">
        <v>47</v>
      </c>
      <c r="F201" s="138" t="s">
        <v>48</v>
      </c>
      <c r="G201" s="138" t="s">
        <v>5657</v>
      </c>
      <c r="H201" s="138" t="s">
        <v>5657</v>
      </c>
      <c r="I201" s="7">
        <v>21.556860400000001</v>
      </c>
      <c r="J201" s="140">
        <v>39.768660906264401</v>
      </c>
      <c r="K201" s="7" t="str">
        <f t="shared" si="12"/>
        <v>21.5568604,39.7686609062644</v>
      </c>
      <c r="L201" s="138" t="s">
        <v>5654</v>
      </c>
      <c r="M201" s="138">
        <v>10053657537</v>
      </c>
      <c r="N201" s="7"/>
      <c r="O201" s="7"/>
      <c r="P201" s="230" t="s">
        <v>11</v>
      </c>
      <c r="Q201" s="230" t="s">
        <v>11</v>
      </c>
      <c r="R201" s="230" t="s">
        <v>11</v>
      </c>
      <c r="S201" s="230" t="s">
        <v>11</v>
      </c>
      <c r="T201" s="230" t="s">
        <v>11</v>
      </c>
      <c r="U201" s="230" t="s">
        <v>11</v>
      </c>
      <c r="V201" s="230" t="s">
        <v>11</v>
      </c>
      <c r="W201" s="230" t="s">
        <v>11</v>
      </c>
      <c r="X201" s="230" t="s">
        <v>11</v>
      </c>
      <c r="Y201" s="230" t="s">
        <v>11</v>
      </c>
      <c r="Z201" s="230" t="s">
        <v>11</v>
      </c>
      <c r="AA201" s="5" t="s">
        <v>11</v>
      </c>
      <c r="AB201" s="230" t="s">
        <v>9</v>
      </c>
      <c r="AC201" s="230" t="s">
        <v>11</v>
      </c>
      <c r="AD201" s="28"/>
      <c r="AE201" s="28"/>
      <c r="AF201" s="24">
        <f t="shared" si="13"/>
        <v>1</v>
      </c>
      <c r="AG201" s="24">
        <f t="shared" si="14"/>
        <v>0</v>
      </c>
      <c r="AH201" s="24">
        <f t="shared" si="15"/>
        <v>13</v>
      </c>
      <c r="AI201" s="41" t="str" cm="1">
        <f t="array" ref="AI201">_xlfn.IFS(
$AF201=15,"Not Started",
$AH201&lt;15,"In Progress",
$AH201=15,"Completed",
SUM(AF201:AH201)&gt;15,"Error"
)</f>
        <v>In Progress</v>
      </c>
    </row>
    <row r="202" spans="1:35" ht="13" x14ac:dyDescent="0.25">
      <c r="A202" s="248"/>
      <c r="B202" s="14" t="s">
        <v>1051</v>
      </c>
      <c r="C202" s="138" t="s">
        <v>5475</v>
      </c>
      <c r="D202" s="138" t="s">
        <v>8543</v>
      </c>
      <c r="E202" s="138" t="s">
        <v>51</v>
      </c>
      <c r="F202" s="138" t="s">
        <v>48</v>
      </c>
      <c r="G202" s="138" t="s">
        <v>5657</v>
      </c>
      <c r="H202" s="138" t="s">
        <v>5657</v>
      </c>
      <c r="I202" s="7">
        <v>21.416957376129801</v>
      </c>
      <c r="J202" s="140">
        <v>39.856858885429098</v>
      </c>
      <c r="K202" s="7" t="str">
        <f t="shared" si="12"/>
        <v>21.4169573761298,39.8568588854291</v>
      </c>
      <c r="L202" s="138" t="s">
        <v>5655</v>
      </c>
      <c r="M202" s="138">
        <v>10053663187</v>
      </c>
      <c r="N202" s="7"/>
      <c r="O202" s="7"/>
      <c r="P202" s="230" t="s">
        <v>11</v>
      </c>
      <c r="Q202" s="230" t="s">
        <v>11</v>
      </c>
      <c r="R202" s="230" t="s">
        <v>11</v>
      </c>
      <c r="S202" s="230" t="s">
        <v>11</v>
      </c>
      <c r="T202" s="230" t="s">
        <v>11</v>
      </c>
      <c r="U202" s="230" t="s">
        <v>11</v>
      </c>
      <c r="V202" s="230" t="s">
        <v>11</v>
      </c>
      <c r="W202" s="230" t="s">
        <v>11</v>
      </c>
      <c r="X202" s="230" t="s">
        <v>11</v>
      </c>
      <c r="Y202" s="230" t="s">
        <v>11</v>
      </c>
      <c r="Z202" s="230" t="s">
        <v>11</v>
      </c>
      <c r="AA202" s="5" t="s">
        <v>11</v>
      </c>
      <c r="AB202" s="230" t="s">
        <v>11</v>
      </c>
      <c r="AC202" s="230" t="s">
        <v>11</v>
      </c>
      <c r="AD202" s="28"/>
      <c r="AE202" s="28"/>
      <c r="AF202" s="24">
        <f t="shared" si="13"/>
        <v>0</v>
      </c>
      <c r="AG202" s="24">
        <f t="shared" si="14"/>
        <v>0</v>
      </c>
      <c r="AH202" s="24">
        <f t="shared" si="15"/>
        <v>14</v>
      </c>
      <c r="AI202" s="41" t="str" cm="1">
        <f t="array" ref="AI202">_xlfn.IFS(
$AF202=15,"Not Started",
$AH202&lt;15,"In Progress",
$AH202=15,"Completed",
SUM(AF202:AH202)&gt;15,"Error"
)</f>
        <v>In Progress</v>
      </c>
    </row>
    <row r="203" spans="1:35" ht="13" x14ac:dyDescent="0.25">
      <c r="A203" s="249"/>
      <c r="B203" s="7" t="s">
        <v>1052</v>
      </c>
      <c r="C203" s="138" t="s">
        <v>5476</v>
      </c>
      <c r="D203" s="138" t="s">
        <v>9286</v>
      </c>
      <c r="E203" s="138" t="s">
        <v>51</v>
      </c>
      <c r="F203" s="138" t="s">
        <v>48</v>
      </c>
      <c r="G203" s="138" t="s">
        <v>5657</v>
      </c>
      <c r="H203" s="138" t="s">
        <v>5657</v>
      </c>
      <c r="I203" s="7">
        <v>21.568434730388802</v>
      </c>
      <c r="J203" s="140">
        <v>39.779751770682303</v>
      </c>
      <c r="K203" s="7" t="str">
        <f t="shared" si="12"/>
        <v>21.5684347303888,39.7797517706823</v>
      </c>
      <c r="L203" s="138" t="s">
        <v>5656</v>
      </c>
      <c r="M203" s="138">
        <v>10053537243</v>
      </c>
      <c r="N203" s="7"/>
      <c r="O203" s="7"/>
      <c r="P203" s="230" t="s">
        <v>11</v>
      </c>
      <c r="Q203" s="230" t="s">
        <v>11</v>
      </c>
      <c r="R203" s="230" t="s">
        <v>11</v>
      </c>
      <c r="S203" s="230" t="s">
        <v>11</v>
      </c>
      <c r="T203" s="230" t="s">
        <v>11</v>
      </c>
      <c r="U203" s="230" t="s">
        <v>11</v>
      </c>
      <c r="V203" s="230" t="s">
        <v>11</v>
      </c>
      <c r="W203" s="230" t="s">
        <v>11</v>
      </c>
      <c r="X203" s="230" t="s">
        <v>11</v>
      </c>
      <c r="Y203" s="230" t="s">
        <v>11</v>
      </c>
      <c r="Z203" s="230" t="s">
        <v>11</v>
      </c>
      <c r="AA203" s="5" t="s">
        <v>11</v>
      </c>
      <c r="AB203" s="230" t="s">
        <v>9</v>
      </c>
      <c r="AC203" s="230" t="s">
        <v>11</v>
      </c>
      <c r="AD203" s="28"/>
      <c r="AE203" s="28"/>
      <c r="AF203" s="24">
        <f t="shared" si="13"/>
        <v>1</v>
      </c>
      <c r="AG203" s="24">
        <f t="shared" si="14"/>
        <v>0</v>
      </c>
      <c r="AH203" s="24">
        <f t="shared" si="15"/>
        <v>13</v>
      </c>
      <c r="AI203" s="41" t="str" cm="1">
        <f t="array" ref="AI203">_xlfn.IFS(
$AF203=15,"Not Started",
$AH203&lt;15,"In Progress",
$AH203=15,"Completed",
SUM(AF203:AH203)&gt;15,"Error"
)</f>
        <v>In Progress</v>
      </c>
    </row>
    <row r="204" spans="1:35" ht="15.75" customHeight="1" x14ac:dyDescent="0.25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7"/>
      <c r="L204" s="67"/>
      <c r="M204" s="67"/>
      <c r="N204" s="250" t="s">
        <v>251</v>
      </c>
      <c r="O204" s="99" t="s">
        <v>11</v>
      </c>
      <c r="P204" s="72">
        <f>COUNTIF(P$3:P$203,"Completed")</f>
        <v>200</v>
      </c>
      <c r="Q204" s="72">
        <f t="shared" ref="Q204:AC204" si="16">COUNTIF(Q$3:Q$203,"Completed")</f>
        <v>200</v>
      </c>
      <c r="R204" s="72">
        <f t="shared" si="16"/>
        <v>200</v>
      </c>
      <c r="S204" s="72">
        <f t="shared" si="16"/>
        <v>200</v>
      </c>
      <c r="T204" s="72">
        <f t="shared" si="16"/>
        <v>200</v>
      </c>
      <c r="U204" s="72">
        <f t="shared" si="16"/>
        <v>200</v>
      </c>
      <c r="V204" s="72">
        <f t="shared" si="16"/>
        <v>199</v>
      </c>
      <c r="W204" s="72">
        <f t="shared" si="16"/>
        <v>198</v>
      </c>
      <c r="X204" s="72">
        <f t="shared" si="16"/>
        <v>190</v>
      </c>
      <c r="Y204" s="72">
        <f t="shared" si="16"/>
        <v>200</v>
      </c>
      <c r="Z204" s="72">
        <f t="shared" si="16"/>
        <v>200</v>
      </c>
      <c r="AA204" s="72">
        <f t="shared" si="16"/>
        <v>193</v>
      </c>
      <c r="AB204" s="72">
        <f t="shared" si="16"/>
        <v>170</v>
      </c>
      <c r="AC204" s="72">
        <f t="shared" si="16"/>
        <v>182</v>
      </c>
      <c r="AD204" s="72"/>
      <c r="AE204" s="72"/>
      <c r="AF204" s="97">
        <f t="shared" ref="AF204" si="17">COUNTIF(P204:AD204,$AG$2)</f>
        <v>0</v>
      </c>
      <c r="AG204" s="97">
        <f t="shared" ref="AG204" si="18">COUNTIF(P204:AD204,$AH$2)</f>
        <v>0</v>
      </c>
      <c r="AH204" s="97">
        <f t="shared" ref="AH204" si="19">COUNTIF(P204:AD204,$AI$2)</f>
        <v>0</v>
      </c>
      <c r="AI204" s="40" cm="1">
        <f t="array" ref="AI204">SUM(P204:AD204/15)</f>
        <v>182.13333333333335</v>
      </c>
    </row>
    <row r="205" spans="1:35" ht="15.75" customHeight="1" x14ac:dyDescent="0.25">
      <c r="K205" s="7"/>
      <c r="N205" s="250"/>
      <c r="O205" s="73" t="s">
        <v>10</v>
      </c>
      <c r="P205" s="73">
        <f>COUNTIF(P$3:P$203,"In Progress")</f>
        <v>0</v>
      </c>
      <c r="Q205" s="73">
        <f t="shared" ref="Q205:AC205" si="20">COUNTIF(Q$3:Q$203,"In Progress")</f>
        <v>0</v>
      </c>
      <c r="R205" s="73">
        <f t="shared" si="20"/>
        <v>0</v>
      </c>
      <c r="S205" s="73">
        <f t="shared" si="20"/>
        <v>0</v>
      </c>
      <c r="T205" s="73">
        <f t="shared" si="20"/>
        <v>0</v>
      </c>
      <c r="U205" s="73">
        <f t="shared" si="20"/>
        <v>0</v>
      </c>
      <c r="V205" s="73">
        <f t="shared" si="20"/>
        <v>0</v>
      </c>
      <c r="W205" s="73">
        <f t="shared" si="20"/>
        <v>0</v>
      </c>
      <c r="X205" s="73">
        <f t="shared" si="20"/>
        <v>0</v>
      </c>
      <c r="Y205" s="73">
        <f t="shared" si="20"/>
        <v>0</v>
      </c>
      <c r="Z205" s="73">
        <f t="shared" si="20"/>
        <v>0</v>
      </c>
      <c r="AA205" s="73">
        <f t="shared" si="20"/>
        <v>0</v>
      </c>
      <c r="AB205" s="73">
        <f t="shared" si="20"/>
        <v>0</v>
      </c>
      <c r="AC205" s="73">
        <f t="shared" si="20"/>
        <v>0</v>
      </c>
      <c r="AD205" s="73"/>
      <c r="AE205" s="73"/>
      <c r="AF205" s="98"/>
      <c r="AG205" s="98"/>
      <c r="AH205" s="98"/>
    </row>
    <row r="206" spans="1:35" ht="15.75" customHeight="1" x14ac:dyDescent="0.25">
      <c r="K206" s="7"/>
      <c r="N206" s="250"/>
      <c r="O206" s="74" t="s">
        <v>9</v>
      </c>
      <c r="P206" s="74">
        <f>COUNTIF(P$3:P$203,"Not Started")</f>
        <v>0</v>
      </c>
      <c r="Q206" s="74">
        <f t="shared" ref="Q206:AC206" si="21">COUNTIF(Q$3:Q$203,"Not Started")</f>
        <v>0</v>
      </c>
      <c r="R206" s="74">
        <f t="shared" si="21"/>
        <v>0</v>
      </c>
      <c r="S206" s="74">
        <f t="shared" si="21"/>
        <v>0</v>
      </c>
      <c r="T206" s="74">
        <f t="shared" si="21"/>
        <v>0</v>
      </c>
      <c r="U206" s="74">
        <f t="shared" si="21"/>
        <v>0</v>
      </c>
      <c r="V206" s="74">
        <f t="shared" si="21"/>
        <v>1</v>
      </c>
      <c r="W206" s="74">
        <f t="shared" si="21"/>
        <v>2</v>
      </c>
      <c r="X206" s="74">
        <f t="shared" si="21"/>
        <v>10</v>
      </c>
      <c r="Y206" s="74">
        <f t="shared" si="21"/>
        <v>0</v>
      </c>
      <c r="Z206" s="74">
        <f t="shared" si="21"/>
        <v>0</v>
      </c>
      <c r="AA206" s="74">
        <f t="shared" si="21"/>
        <v>7</v>
      </c>
      <c r="AB206" s="74">
        <f t="shared" si="21"/>
        <v>30</v>
      </c>
      <c r="AC206" s="74">
        <f t="shared" si="21"/>
        <v>18</v>
      </c>
      <c r="AD206" s="74"/>
      <c r="AE206" s="74"/>
      <c r="AF206" s="98"/>
      <c r="AG206" s="98"/>
      <c r="AH206" s="98"/>
    </row>
  </sheetData>
  <sheetProtection formatCells="0" formatColumns="0" formatRows="0" insertColumns="0" insertRows="0" insertHyperlinks="0" deleteColumns="0" deleteRows="0" sort="0" autoFilter="0" pivotTables="0"/>
  <protectedRanges>
    <protectedRange sqref="B4:B203 N5:O181 K5:K206 AD4:AE101 K4 AD103:AE203 N183:O203 N182:O182 N4:O4" name="Range1"/>
    <protectedRange sqref="E4:H203" name="Range1_1"/>
    <protectedRange sqref="C45 C4:D44 C46:D203" name="Range1_3"/>
    <protectedRange sqref="L165:M165 M163 L169:M172 L166 M167:M168 L180:M180 M179 L174:M178 M173 L182:M183 M181 L185:M188 M184 L191:M197 M189:M190 L199:M203 M198 L4:M162" name="Range1_2"/>
    <protectedRange sqref="P4:S203 T186 T184:AC184 T23:AC23 T101:V101 Y167:AB167 V186:AC186 T192:AC192 T79:AC79 Y115:AB115 Y198:AB198 T171:V173 Y172:AB173 T167:V168 T191:V191 T189:AC189 T130:AC130 T138:AC138 T166:AC166 T100:AC100 T175:AC175 Y191:Z191 T89:AC89 W168:AC168 T128:AC128 W173 T115:W115 T36:AC36 T178:AC178 T177:W177 Y177:AB177 T32:W32 W167 T198:W198 T48:AC48 T106:AC108 W171:AC171 T180:AC180 Y32:AB32 T195:X195 T122:W122 Y101:AC101 Y122:AB122" name="Range1_1_1"/>
    <protectedRange sqref="U186 T187:AC188 T190:AC190 T193:AC194 T129:AC129 X167 T24:AC31 AC177 T176:AC176 Y195:AC195 AC32 AC122 X115 AC115 X198 AC198 W172:X172 AC172:AC173 AC167 W101:X101 T37:AC47 T199:AC203 T49:AC78 T33:AC35 T102:AC105 T90:AC99 T116:AC121 T123:AC127 T181:AC183 W191:X191 AA191:AC191 T139:AC165 T179:AC179 X173 X177 T174:AC174 T185:AC185 T196:AC197 T4:AC22 X32 T109:AC114 T80:AC88 T131:AC137 T169:AC170 X122" name="Range1_4"/>
  </protectedRanges>
  <autoFilter ref="A3:AN206" xr:uid="{55BC6746-C32F-45CE-AB0A-C99D5BD8E08B}">
    <filterColumn colId="8" showButton="0"/>
  </autoFilter>
  <mergeCells count="15">
    <mergeCell ref="A4:A203"/>
    <mergeCell ref="N204:N206"/>
    <mergeCell ref="AD2:AD3"/>
    <mergeCell ref="AE2:AE3"/>
    <mergeCell ref="AF2:AF3"/>
    <mergeCell ref="AG2:AG3"/>
    <mergeCell ref="AH2:AH3"/>
    <mergeCell ref="AI2:AI3"/>
    <mergeCell ref="A2:A3"/>
    <mergeCell ref="B2:N2"/>
    <mergeCell ref="O2:O3"/>
    <mergeCell ref="P2:S2"/>
    <mergeCell ref="T2:AB2"/>
    <mergeCell ref="AC2:AC3"/>
    <mergeCell ref="I3:J3"/>
  </mergeCells>
  <conditionalFormatting sqref="B4:B203 AD4:AH101 AD103:AH203 AH102">
    <cfRule type="cellIs" dxfId="1692" priority="4606" operator="equal">
      <formula>"In Progress"</formula>
    </cfRule>
    <cfRule type="cellIs" dxfId="1691" priority="4607" operator="equal">
      <formula>"Completed"</formula>
    </cfRule>
  </conditionalFormatting>
  <conditionalFormatting sqref="AD4:AE101 AD103:AE203">
    <cfRule type="cellIs" dxfId="1690" priority="4602" operator="equal">
      <formula>"Not Started"</formula>
    </cfRule>
  </conditionalFormatting>
  <conditionalFormatting sqref="AI4:AI203">
    <cfRule type="cellIs" dxfId="1689" priority="4603" operator="equal">
      <formula>"In Progress"</formula>
    </cfRule>
    <cfRule type="cellIs" dxfId="1688" priority="4604" operator="equal">
      <formula>"Completed"</formula>
    </cfRule>
    <cfRule type="cellIs" dxfId="1687" priority="4605" operator="equal">
      <formula>"Not Started"</formula>
    </cfRule>
  </conditionalFormatting>
  <conditionalFormatting sqref="N5:O203">
    <cfRule type="cellIs" dxfId="1686" priority="4600" operator="equal">
      <formula>"In Progress"</formula>
    </cfRule>
    <cfRule type="cellIs" dxfId="1685" priority="4601" operator="equal">
      <formula>"Completed"</formula>
    </cfRule>
  </conditionalFormatting>
  <conditionalFormatting sqref="N4:O4">
    <cfRule type="cellIs" dxfId="1684" priority="4598" operator="equal">
      <formula>"In Progress"</formula>
    </cfRule>
    <cfRule type="cellIs" dxfId="1683" priority="4599" operator="equal">
      <formula>"Completed"</formula>
    </cfRule>
  </conditionalFormatting>
  <conditionalFormatting sqref="K4:K206">
    <cfRule type="cellIs" dxfId="1682" priority="4596" operator="equal">
      <formula>"In Progress"</formula>
    </cfRule>
    <cfRule type="cellIs" dxfId="1681" priority="4597" operator="equal">
      <formula>"Completed"</formula>
    </cfRule>
  </conditionalFormatting>
  <conditionalFormatting sqref="AF204:AH204">
    <cfRule type="cellIs" dxfId="1680" priority="4594" operator="equal">
      <formula>"In Progress"</formula>
    </cfRule>
    <cfRule type="cellIs" dxfId="1679" priority="4595" operator="equal">
      <formula>"Completed"</formula>
    </cfRule>
  </conditionalFormatting>
  <conditionalFormatting sqref="I32:J63 I65:J203">
    <cfRule type="cellIs" dxfId="1678" priority="4543" operator="equal">
      <formula>"In Progress"</formula>
    </cfRule>
    <cfRule type="cellIs" dxfId="1677" priority="4544" operator="equal">
      <formula>"Completed"</formula>
    </cfRule>
  </conditionalFormatting>
  <conditionalFormatting sqref="I4:J31">
    <cfRule type="cellIs" dxfId="1676" priority="4541" operator="equal">
      <formula>"In Progress"</formula>
    </cfRule>
    <cfRule type="cellIs" dxfId="1675" priority="4542" operator="equal">
      <formula>"Completed"</formula>
    </cfRule>
  </conditionalFormatting>
  <conditionalFormatting sqref="AE102">
    <cfRule type="cellIs" dxfId="1674" priority="4329" operator="equal">
      <formula>"In Progress"</formula>
    </cfRule>
    <cfRule type="cellIs" dxfId="1673" priority="4330" operator="equal">
      <formula>"Completed"</formula>
    </cfRule>
  </conditionalFormatting>
  <conditionalFormatting sqref="AE102">
    <cfRule type="cellIs" dxfId="1672" priority="4328" operator="equal">
      <formula>"Not Started"</formula>
    </cfRule>
  </conditionalFormatting>
  <conditionalFormatting sqref="AD102">
    <cfRule type="cellIs" dxfId="1671" priority="4326" operator="equal">
      <formula>"In Progress"</formula>
    </cfRule>
    <cfRule type="cellIs" dxfId="1670" priority="4327" operator="equal">
      <formula>"Completed"</formula>
    </cfRule>
  </conditionalFormatting>
  <conditionalFormatting sqref="AD102">
    <cfRule type="cellIs" dxfId="1669" priority="4325" operator="equal">
      <formula>"Not Started"</formula>
    </cfRule>
  </conditionalFormatting>
  <conditionalFormatting sqref="AG102">
    <cfRule type="cellIs" dxfId="1668" priority="4320" operator="equal">
      <formula>"In Progress"</formula>
    </cfRule>
    <cfRule type="cellIs" dxfId="1667" priority="4321" operator="equal">
      <formula>"Completed"</formula>
    </cfRule>
  </conditionalFormatting>
  <conditionalFormatting sqref="AF102">
    <cfRule type="cellIs" dxfId="1666" priority="4318" operator="equal">
      <formula>"In Progress"</formula>
    </cfRule>
    <cfRule type="cellIs" dxfId="1665" priority="4319" operator="equal">
      <formula>"Completed"</formula>
    </cfRule>
  </conditionalFormatting>
  <conditionalFormatting sqref="E5:H203">
    <cfRule type="cellIs" dxfId="1664" priority="1066" operator="equal">
      <formula>"In Progress"</formula>
    </cfRule>
    <cfRule type="cellIs" dxfId="1663" priority="1067" operator="equal">
      <formula>"Completed"</formula>
    </cfRule>
  </conditionalFormatting>
  <conditionalFormatting sqref="E4:H4">
    <cfRule type="cellIs" dxfId="1662" priority="1064" operator="equal">
      <formula>"In Progress"</formula>
    </cfRule>
    <cfRule type="cellIs" dxfId="1661" priority="1065" operator="equal">
      <formula>"Completed"</formula>
    </cfRule>
  </conditionalFormatting>
  <conditionalFormatting sqref="C5:D44 C46:D78 C165:D203 C107:D163 C102:D105 C80:D100">
    <cfRule type="cellIs" dxfId="1660" priority="1062" operator="equal">
      <formula>"In Progress"</formula>
    </cfRule>
    <cfRule type="cellIs" dxfId="1659" priority="1063" operator="equal">
      <formula>"Completed"</formula>
    </cfRule>
  </conditionalFormatting>
  <conditionalFormatting sqref="C4:D4">
    <cfRule type="cellIs" dxfId="1658" priority="1060" operator="equal">
      <formula>"In Progress"</formula>
    </cfRule>
    <cfRule type="cellIs" dxfId="1657" priority="1061" operator="equal">
      <formula>"Completed"</formula>
    </cfRule>
  </conditionalFormatting>
  <conditionalFormatting sqref="C45">
    <cfRule type="duplicateValues" dxfId="1656" priority="1057"/>
    <cfRule type="duplicateValues" dxfId="1655" priority="1059"/>
  </conditionalFormatting>
  <conditionalFormatting sqref="C45">
    <cfRule type="duplicateValues" dxfId="1654" priority="1058"/>
  </conditionalFormatting>
  <conditionalFormatting sqref="C45">
    <cfRule type="duplicateValues" dxfId="1653" priority="1056"/>
  </conditionalFormatting>
  <conditionalFormatting sqref="C45">
    <cfRule type="duplicateValues" dxfId="1652" priority="1055"/>
  </conditionalFormatting>
  <conditionalFormatting sqref="C164">
    <cfRule type="duplicateValues" dxfId="1651" priority="1054"/>
  </conditionalFormatting>
  <conditionalFormatting sqref="L165:M165 M163 L169:M172 L166 M167:M168 L180:M180 M179 L174:M178 M173 L182:M183 M181 L185:M188 M184 L191:M197 M189:M190 L199:M203 M198 L5:M162">
    <cfRule type="cellIs" dxfId="1650" priority="1052" operator="equal">
      <formula>"In Progress"</formula>
    </cfRule>
    <cfRule type="cellIs" dxfId="1649" priority="1053" operator="equal">
      <formula>"Completed"</formula>
    </cfRule>
  </conditionalFormatting>
  <conditionalFormatting sqref="L4:M4">
    <cfRule type="cellIs" dxfId="1648" priority="1050" operator="equal">
      <formula>"In Progress"</formula>
    </cfRule>
    <cfRule type="cellIs" dxfId="1647" priority="1051" operator="equal">
      <formula>"Completed"</formula>
    </cfRule>
  </conditionalFormatting>
  <conditionalFormatting sqref="L164">
    <cfRule type="duplicateValues" dxfId="1646" priority="1047"/>
  </conditionalFormatting>
  <conditionalFormatting sqref="L164">
    <cfRule type="duplicateValues" dxfId="1645" priority="1046"/>
  </conditionalFormatting>
  <conditionalFormatting sqref="M164 M166">
    <cfRule type="duplicateValues" dxfId="1644" priority="1045"/>
  </conditionalFormatting>
  <conditionalFormatting sqref="L164">
    <cfRule type="duplicateValues" dxfId="1643" priority="1048"/>
  </conditionalFormatting>
  <conditionalFormatting sqref="L164">
    <cfRule type="duplicateValues" dxfId="1642" priority="1049"/>
  </conditionalFormatting>
  <conditionalFormatting sqref="L163">
    <cfRule type="duplicateValues" dxfId="1641" priority="1042"/>
  </conditionalFormatting>
  <conditionalFormatting sqref="L163">
    <cfRule type="duplicateValues" dxfId="1640" priority="1041"/>
  </conditionalFormatting>
  <conditionalFormatting sqref="L163">
    <cfRule type="duplicateValues" dxfId="1639" priority="1043"/>
  </conditionalFormatting>
  <conditionalFormatting sqref="L163">
    <cfRule type="duplicateValues" dxfId="1638" priority="1044"/>
  </conditionalFormatting>
  <conditionalFormatting sqref="L163">
    <cfRule type="duplicateValues" dxfId="1637" priority="1040"/>
  </conditionalFormatting>
  <conditionalFormatting sqref="L167">
    <cfRule type="duplicateValues" dxfId="1636" priority="1037"/>
  </conditionalFormatting>
  <conditionalFormatting sqref="L167">
    <cfRule type="duplicateValues" dxfId="1635" priority="1036"/>
  </conditionalFormatting>
  <conditionalFormatting sqref="L167">
    <cfRule type="duplicateValues" dxfId="1634" priority="1038"/>
  </conditionalFormatting>
  <conditionalFormatting sqref="L167">
    <cfRule type="duplicateValues" dxfId="1633" priority="1039"/>
  </conditionalFormatting>
  <conditionalFormatting sqref="L167">
    <cfRule type="duplicateValues" dxfId="1632" priority="1035"/>
  </conditionalFormatting>
  <conditionalFormatting sqref="L168">
    <cfRule type="duplicateValues" dxfId="1631" priority="1032"/>
  </conditionalFormatting>
  <conditionalFormatting sqref="L168">
    <cfRule type="duplicateValues" dxfId="1630" priority="1031"/>
  </conditionalFormatting>
  <conditionalFormatting sqref="L168">
    <cfRule type="duplicateValues" dxfId="1629" priority="1033"/>
  </conditionalFormatting>
  <conditionalFormatting sqref="L168">
    <cfRule type="duplicateValues" dxfId="1628" priority="1034"/>
  </conditionalFormatting>
  <conditionalFormatting sqref="L168">
    <cfRule type="duplicateValues" dxfId="1627" priority="1030"/>
  </conditionalFormatting>
  <conditionalFormatting sqref="L179">
    <cfRule type="duplicateValues" dxfId="1626" priority="1027"/>
  </conditionalFormatting>
  <conditionalFormatting sqref="L179">
    <cfRule type="duplicateValues" dxfId="1625" priority="1026"/>
  </conditionalFormatting>
  <conditionalFormatting sqref="L179">
    <cfRule type="duplicateValues" dxfId="1624" priority="1028"/>
  </conditionalFormatting>
  <conditionalFormatting sqref="L179">
    <cfRule type="duplicateValues" dxfId="1623" priority="1029"/>
  </conditionalFormatting>
  <conditionalFormatting sqref="L179">
    <cfRule type="duplicateValues" dxfId="1622" priority="1025"/>
  </conditionalFormatting>
  <conditionalFormatting sqref="L173">
    <cfRule type="duplicateValues" dxfId="1621" priority="1022"/>
  </conditionalFormatting>
  <conditionalFormatting sqref="L173">
    <cfRule type="duplicateValues" dxfId="1620" priority="1021"/>
  </conditionalFormatting>
  <conditionalFormatting sqref="L173">
    <cfRule type="duplicateValues" dxfId="1619" priority="1023"/>
  </conditionalFormatting>
  <conditionalFormatting sqref="L173">
    <cfRule type="duplicateValues" dxfId="1618" priority="1024"/>
  </conditionalFormatting>
  <conditionalFormatting sqref="L173">
    <cfRule type="duplicateValues" dxfId="1617" priority="1020"/>
  </conditionalFormatting>
  <conditionalFormatting sqref="L181">
    <cfRule type="duplicateValues" dxfId="1616" priority="1017"/>
  </conditionalFormatting>
  <conditionalFormatting sqref="L181">
    <cfRule type="duplicateValues" dxfId="1615" priority="1016"/>
  </conditionalFormatting>
  <conditionalFormatting sqref="L181">
    <cfRule type="duplicateValues" dxfId="1614" priority="1018"/>
  </conditionalFormatting>
  <conditionalFormatting sqref="L181">
    <cfRule type="duplicateValues" dxfId="1613" priority="1019"/>
  </conditionalFormatting>
  <conditionalFormatting sqref="L181">
    <cfRule type="duplicateValues" dxfId="1612" priority="1015"/>
  </conditionalFormatting>
  <conditionalFormatting sqref="L184">
    <cfRule type="duplicateValues" dxfId="1611" priority="1012"/>
  </conditionalFormatting>
  <conditionalFormatting sqref="L184">
    <cfRule type="duplicateValues" dxfId="1610" priority="1011"/>
  </conditionalFormatting>
  <conditionalFormatting sqref="L184">
    <cfRule type="duplicateValues" dxfId="1609" priority="1013"/>
  </conditionalFormatting>
  <conditionalFormatting sqref="L184">
    <cfRule type="duplicateValues" dxfId="1608" priority="1014"/>
  </conditionalFormatting>
  <conditionalFormatting sqref="L184">
    <cfRule type="duplicateValues" dxfId="1607" priority="1010"/>
  </conditionalFormatting>
  <conditionalFormatting sqref="L189">
    <cfRule type="duplicateValues" dxfId="1606" priority="1007"/>
  </conditionalFormatting>
  <conditionalFormatting sqref="L189">
    <cfRule type="duplicateValues" dxfId="1605" priority="1006"/>
  </conditionalFormatting>
  <conditionalFormatting sqref="L189">
    <cfRule type="duplicateValues" dxfId="1604" priority="1008"/>
  </conditionalFormatting>
  <conditionalFormatting sqref="L189">
    <cfRule type="duplicateValues" dxfId="1603" priority="1009"/>
  </conditionalFormatting>
  <conditionalFormatting sqref="L189">
    <cfRule type="duplicateValues" dxfId="1602" priority="1005"/>
  </conditionalFormatting>
  <conditionalFormatting sqref="L190">
    <cfRule type="duplicateValues" dxfId="1601" priority="1002"/>
  </conditionalFormatting>
  <conditionalFormatting sqref="L190">
    <cfRule type="duplicateValues" dxfId="1600" priority="1001"/>
  </conditionalFormatting>
  <conditionalFormatting sqref="L190">
    <cfRule type="duplicateValues" dxfId="1599" priority="1003"/>
  </conditionalFormatting>
  <conditionalFormatting sqref="L190">
    <cfRule type="duplicateValues" dxfId="1598" priority="1004"/>
  </conditionalFormatting>
  <conditionalFormatting sqref="L190">
    <cfRule type="duplicateValues" dxfId="1597" priority="1000"/>
  </conditionalFormatting>
  <conditionalFormatting sqref="L198">
    <cfRule type="duplicateValues" dxfId="1596" priority="997"/>
  </conditionalFormatting>
  <conditionalFormatting sqref="L198">
    <cfRule type="duplicateValues" dxfId="1595" priority="996"/>
  </conditionalFormatting>
  <conditionalFormatting sqref="L198">
    <cfRule type="duplicateValues" dxfId="1594" priority="998"/>
  </conditionalFormatting>
  <conditionalFormatting sqref="L198">
    <cfRule type="duplicateValues" dxfId="1593" priority="999"/>
  </conditionalFormatting>
  <conditionalFormatting sqref="L198">
    <cfRule type="duplicateValues" dxfId="1592" priority="995"/>
  </conditionalFormatting>
  <conditionalFormatting sqref="P4:S203">
    <cfRule type="cellIs" dxfId="1591" priority="993" operator="equal">
      <formula>"In Progress"</formula>
    </cfRule>
    <cfRule type="cellIs" dxfId="1590" priority="994" operator="equal">
      <formula>"Completed"</formula>
    </cfRule>
  </conditionalFormatting>
  <conditionalFormatting sqref="P4:S203">
    <cfRule type="cellIs" dxfId="1589" priority="992" operator="equal">
      <formula>"Not Started"</formula>
    </cfRule>
  </conditionalFormatting>
  <conditionalFormatting sqref="U186 T187:AC188 T190:AC190 T193:AC194 T129:AC129 X167 T24:AC31 AC177 T176:AC176 Y195:AC195 AC32 AC122 X115 AC115 X198 AC198 W172:X172 AC172:AC173 AC167 W101:X101 T37:AC47 T199:AC203 T49:AC78 T33:AC35 T102:AC105 T90:AC99 T116:AC121 T123:AC127 T181:AC183 AA191:AC191 T139:AC165 T179:AC179 X173 T174:AC174 T185:AC185 T196:AC197 T4:AC22 T109:AC114 T80:AC88 T131:AC137 T169:AC170">
    <cfRule type="cellIs" dxfId="1588" priority="990" operator="equal">
      <formula>"In Progress"</formula>
    </cfRule>
    <cfRule type="cellIs" dxfId="1587" priority="991" operator="equal">
      <formula>"Completed"</formula>
    </cfRule>
  </conditionalFormatting>
  <conditionalFormatting sqref="U186 T24:AB31 T187:AB188 T190:AB190 T102:AB105 T193:AB194 T129:AB129 T131:AB137 X167 T37:AB47 T176:AB176 Y195:AB195 T123:AB127 X115 X198 W172:X172 T33:AB35 W101:X101 T49:AB78 T199:AB203 T90:AB99 T116:AB121 T181:AB183 AA191:AB191 T139:AB165 T179:AB179 X173 T174:AB174 T185:AB185 T196:AB197 T4:AB22 T109:AB114 T80:AB88 T169:AB170">
    <cfRule type="cellIs" dxfId="1586" priority="989" operator="equal">
      <formula>"Not Started"</formula>
    </cfRule>
  </conditionalFormatting>
  <conditionalFormatting sqref="AC32">
    <cfRule type="cellIs" dxfId="1585" priority="988" operator="equal">
      <formula>"Not Started"</formula>
    </cfRule>
  </conditionalFormatting>
  <conditionalFormatting sqref="AC34">
    <cfRule type="cellIs" dxfId="1584" priority="987" operator="equal">
      <formula>"Not Started"</formula>
    </cfRule>
  </conditionalFormatting>
  <conditionalFormatting sqref="AC44">
    <cfRule type="cellIs" dxfId="1583" priority="986" operator="equal">
      <formula>"Not Started"</formula>
    </cfRule>
  </conditionalFormatting>
  <conditionalFormatting sqref="AC80">
    <cfRule type="cellIs" dxfId="1582" priority="985" operator="equal">
      <formula>"Not Started"</formula>
    </cfRule>
  </conditionalFormatting>
  <conditionalFormatting sqref="AC115">
    <cfRule type="cellIs" dxfId="1581" priority="984" operator="equal">
      <formula>"Not Started"</formula>
    </cfRule>
  </conditionalFormatting>
  <conditionalFormatting sqref="AC122">
    <cfRule type="cellIs" dxfId="1580" priority="983" operator="equal">
      <formula>"Not Started"</formula>
    </cfRule>
  </conditionalFormatting>
  <conditionalFormatting sqref="AC127">
    <cfRule type="cellIs" dxfId="1579" priority="982" operator="equal">
      <formula>"Not Started"</formula>
    </cfRule>
  </conditionalFormatting>
  <conditionalFormatting sqref="AC167">
    <cfRule type="cellIs" dxfId="1578" priority="981" operator="equal">
      <formula>"Not Started"</formula>
    </cfRule>
  </conditionalFormatting>
  <conditionalFormatting sqref="AC173">
    <cfRule type="cellIs" dxfId="1577" priority="980" operator="equal">
      <formula>"Not Started"</formula>
    </cfRule>
  </conditionalFormatting>
  <conditionalFormatting sqref="AC195">
    <cfRule type="cellIs" dxfId="1576" priority="979" operator="equal">
      <formula>"Not Started"</formula>
    </cfRule>
  </conditionalFormatting>
  <conditionalFormatting sqref="AC198">
    <cfRule type="cellIs" dxfId="1575" priority="978" operator="equal">
      <formula>"Not Started"</formula>
    </cfRule>
  </conditionalFormatting>
  <conditionalFormatting sqref="AC191">
    <cfRule type="cellIs" dxfId="1574" priority="977" operator="equal">
      <formula>"Not Started"</formula>
    </cfRule>
  </conditionalFormatting>
  <conditionalFormatting sqref="AC188">
    <cfRule type="cellIs" dxfId="1573" priority="976" operator="equal">
      <formula>"Not Started"</formula>
    </cfRule>
  </conditionalFormatting>
  <conditionalFormatting sqref="AC182">
    <cfRule type="cellIs" dxfId="1572" priority="975" operator="equal">
      <formula>"Not Started"</formula>
    </cfRule>
  </conditionalFormatting>
  <conditionalFormatting sqref="AC177">
    <cfRule type="cellIs" dxfId="1571" priority="974" operator="equal">
      <formula>"Not Started"</formula>
    </cfRule>
  </conditionalFormatting>
  <conditionalFormatting sqref="AC170">
    <cfRule type="cellIs" dxfId="1570" priority="973" operator="equal">
      <formula>"Not Started"</formula>
    </cfRule>
  </conditionalFormatting>
  <conditionalFormatting sqref="AC172">
    <cfRule type="cellIs" dxfId="1569" priority="972" operator="equal">
      <formula>"Not Started"</formula>
    </cfRule>
  </conditionalFormatting>
  <conditionalFormatting sqref="AC161">
    <cfRule type="cellIs" dxfId="1568" priority="971" operator="equal">
      <formula>"Not Started"</formula>
    </cfRule>
  </conditionalFormatting>
  <conditionalFormatting sqref="AC162">
    <cfRule type="cellIs" dxfId="1567" priority="970" operator="equal">
      <formula>"Not Started"</formula>
    </cfRule>
  </conditionalFormatting>
  <conditionalFormatting sqref="AC163">
    <cfRule type="cellIs" dxfId="1566" priority="969" operator="equal">
      <formula>"Not Started"</formula>
    </cfRule>
  </conditionalFormatting>
  <conditionalFormatting sqref="AC165">
    <cfRule type="cellIs" dxfId="1565" priority="968" operator="equal">
      <formula>"Not Started"</formula>
    </cfRule>
  </conditionalFormatting>
  <conditionalFormatting sqref="AC45">
    <cfRule type="cellIs" dxfId="1564" priority="967" operator="equal">
      <formula>"Not Started"</formula>
    </cfRule>
  </conditionalFormatting>
  <conditionalFormatting sqref="AB162">
    <cfRule type="cellIs" dxfId="1563" priority="966" operator="equal">
      <formula>"Not Started"</formula>
    </cfRule>
  </conditionalFormatting>
  <conditionalFormatting sqref="AB163">
    <cfRule type="cellIs" dxfId="1562" priority="965" operator="equal">
      <formula>"Not Started"</formula>
    </cfRule>
  </conditionalFormatting>
  <conditionalFormatting sqref="AB170">
    <cfRule type="cellIs" dxfId="1561" priority="964" operator="equal">
      <formula>"Not Started"</formula>
    </cfRule>
  </conditionalFormatting>
  <conditionalFormatting sqref="T107">
    <cfRule type="cellIs" dxfId="1560" priority="962" operator="equal">
      <formula>"In Progress"</formula>
    </cfRule>
    <cfRule type="cellIs" dxfId="1559" priority="963" operator="equal">
      <formula>"Completed"</formula>
    </cfRule>
  </conditionalFormatting>
  <conditionalFormatting sqref="T107">
    <cfRule type="cellIs" dxfId="1558" priority="961" operator="equal">
      <formula>"Not Started"</formula>
    </cfRule>
  </conditionalFormatting>
  <conditionalFormatting sqref="U107">
    <cfRule type="cellIs" dxfId="1557" priority="959" operator="equal">
      <formula>"In Progress"</formula>
    </cfRule>
    <cfRule type="cellIs" dxfId="1556" priority="960" operator="equal">
      <formula>"Completed"</formula>
    </cfRule>
  </conditionalFormatting>
  <conditionalFormatting sqref="U107">
    <cfRule type="cellIs" dxfId="1555" priority="958" operator="equal">
      <formula>"Not Started"</formula>
    </cfRule>
  </conditionalFormatting>
  <conditionalFormatting sqref="V107">
    <cfRule type="cellIs" dxfId="1554" priority="956" operator="equal">
      <formula>"In Progress"</formula>
    </cfRule>
    <cfRule type="cellIs" dxfId="1553" priority="957" operator="equal">
      <formula>"Completed"</formula>
    </cfRule>
  </conditionalFormatting>
  <conditionalFormatting sqref="V107">
    <cfRule type="cellIs" dxfId="1552" priority="955" operator="equal">
      <formula>"Not Started"</formula>
    </cfRule>
  </conditionalFormatting>
  <conditionalFormatting sqref="W107">
    <cfRule type="cellIs" dxfId="1551" priority="953" operator="equal">
      <formula>"In Progress"</formula>
    </cfRule>
    <cfRule type="cellIs" dxfId="1550" priority="954" operator="equal">
      <formula>"Completed"</formula>
    </cfRule>
  </conditionalFormatting>
  <conditionalFormatting sqref="W107">
    <cfRule type="cellIs" dxfId="1549" priority="952" operator="equal">
      <formula>"Not Started"</formula>
    </cfRule>
  </conditionalFormatting>
  <conditionalFormatting sqref="X107">
    <cfRule type="cellIs" dxfId="1548" priority="950" operator="equal">
      <formula>"In Progress"</formula>
    </cfRule>
    <cfRule type="cellIs" dxfId="1547" priority="951" operator="equal">
      <formula>"Completed"</formula>
    </cfRule>
  </conditionalFormatting>
  <conditionalFormatting sqref="X107">
    <cfRule type="cellIs" dxfId="1546" priority="949" operator="equal">
      <formula>"Not Started"</formula>
    </cfRule>
  </conditionalFormatting>
  <conditionalFormatting sqref="Y107">
    <cfRule type="cellIs" dxfId="1545" priority="947" operator="equal">
      <formula>"In Progress"</formula>
    </cfRule>
    <cfRule type="cellIs" dxfId="1544" priority="948" operator="equal">
      <formula>"Completed"</formula>
    </cfRule>
  </conditionalFormatting>
  <conditionalFormatting sqref="Y107">
    <cfRule type="cellIs" dxfId="1543" priority="946" operator="equal">
      <formula>"Not Started"</formula>
    </cfRule>
  </conditionalFormatting>
  <conditionalFormatting sqref="Z107">
    <cfRule type="cellIs" dxfId="1542" priority="944" operator="equal">
      <formula>"In Progress"</formula>
    </cfRule>
    <cfRule type="cellIs" dxfId="1541" priority="945" operator="equal">
      <formula>"Completed"</formula>
    </cfRule>
  </conditionalFormatting>
  <conditionalFormatting sqref="Z107">
    <cfRule type="cellIs" dxfId="1540" priority="943" operator="equal">
      <formula>"Not Started"</formula>
    </cfRule>
  </conditionalFormatting>
  <conditionalFormatting sqref="AA107">
    <cfRule type="cellIs" dxfId="1539" priority="941" operator="equal">
      <formula>"In Progress"</formula>
    </cfRule>
    <cfRule type="cellIs" dxfId="1538" priority="942" operator="equal">
      <formula>"Completed"</formula>
    </cfRule>
  </conditionalFormatting>
  <conditionalFormatting sqref="AA107">
    <cfRule type="cellIs" dxfId="1537" priority="940" operator="equal">
      <formula>"Not Started"</formula>
    </cfRule>
  </conditionalFormatting>
  <conditionalFormatting sqref="AB107">
    <cfRule type="cellIs" dxfId="1536" priority="938" operator="equal">
      <formula>"In Progress"</formula>
    </cfRule>
    <cfRule type="cellIs" dxfId="1535" priority="939" operator="equal">
      <formula>"Completed"</formula>
    </cfRule>
  </conditionalFormatting>
  <conditionalFormatting sqref="AB107">
    <cfRule type="cellIs" dxfId="1534" priority="937" operator="equal">
      <formula>"Not Started"</formula>
    </cfRule>
  </conditionalFormatting>
  <conditionalFormatting sqref="AC107">
    <cfRule type="cellIs" dxfId="1533" priority="935" operator="equal">
      <formula>"In Progress"</formula>
    </cfRule>
    <cfRule type="cellIs" dxfId="1532" priority="936" operator="equal">
      <formula>"Completed"</formula>
    </cfRule>
  </conditionalFormatting>
  <conditionalFormatting sqref="AC107">
    <cfRule type="cellIs" dxfId="1531" priority="934" operator="equal">
      <formula>"Not Started"</formula>
    </cfRule>
  </conditionalFormatting>
  <conditionalFormatting sqref="AC127">
    <cfRule type="cellIs" dxfId="1530" priority="933" operator="equal">
      <formula>"Not Started"</formula>
    </cfRule>
  </conditionalFormatting>
  <conditionalFormatting sqref="T89">
    <cfRule type="cellIs" dxfId="1529" priority="931" operator="equal">
      <formula>"In Progress"</formula>
    </cfRule>
    <cfRule type="cellIs" dxfId="1528" priority="932" operator="equal">
      <formula>"Completed"</formula>
    </cfRule>
  </conditionalFormatting>
  <conditionalFormatting sqref="T89">
    <cfRule type="cellIs" dxfId="1527" priority="930" operator="equal">
      <formula>"Not Started"</formula>
    </cfRule>
  </conditionalFormatting>
  <conditionalFormatting sqref="U89">
    <cfRule type="cellIs" dxfId="1526" priority="928" operator="equal">
      <formula>"In Progress"</formula>
    </cfRule>
    <cfRule type="cellIs" dxfId="1525" priority="929" operator="equal">
      <formula>"Completed"</formula>
    </cfRule>
  </conditionalFormatting>
  <conditionalFormatting sqref="U89">
    <cfRule type="cellIs" dxfId="1524" priority="927" operator="equal">
      <formula>"Not Started"</formula>
    </cfRule>
  </conditionalFormatting>
  <conditionalFormatting sqref="V89">
    <cfRule type="cellIs" dxfId="1523" priority="925" operator="equal">
      <formula>"In Progress"</formula>
    </cfRule>
    <cfRule type="cellIs" dxfId="1522" priority="926" operator="equal">
      <formula>"Completed"</formula>
    </cfRule>
  </conditionalFormatting>
  <conditionalFormatting sqref="V89">
    <cfRule type="cellIs" dxfId="1521" priority="924" operator="equal">
      <formula>"Not Started"</formula>
    </cfRule>
  </conditionalFormatting>
  <conditionalFormatting sqref="W89">
    <cfRule type="cellIs" dxfId="1520" priority="922" operator="equal">
      <formula>"In Progress"</formula>
    </cfRule>
    <cfRule type="cellIs" dxfId="1519" priority="923" operator="equal">
      <formula>"Completed"</formula>
    </cfRule>
  </conditionalFormatting>
  <conditionalFormatting sqref="W89">
    <cfRule type="cellIs" dxfId="1518" priority="921" operator="equal">
      <formula>"Not Started"</formula>
    </cfRule>
  </conditionalFormatting>
  <conditionalFormatting sqref="X89">
    <cfRule type="cellIs" dxfId="1517" priority="919" operator="equal">
      <formula>"In Progress"</formula>
    </cfRule>
    <cfRule type="cellIs" dxfId="1516" priority="920" operator="equal">
      <formula>"Completed"</formula>
    </cfRule>
  </conditionalFormatting>
  <conditionalFormatting sqref="X89">
    <cfRule type="cellIs" dxfId="1515" priority="918" operator="equal">
      <formula>"Not Started"</formula>
    </cfRule>
  </conditionalFormatting>
  <conditionalFormatting sqref="Y89">
    <cfRule type="cellIs" dxfId="1514" priority="916" operator="equal">
      <formula>"In Progress"</formula>
    </cfRule>
    <cfRule type="cellIs" dxfId="1513" priority="917" operator="equal">
      <formula>"Completed"</formula>
    </cfRule>
  </conditionalFormatting>
  <conditionalFormatting sqref="Y89">
    <cfRule type="cellIs" dxfId="1512" priority="915" operator="equal">
      <formula>"Not Started"</formula>
    </cfRule>
  </conditionalFormatting>
  <conditionalFormatting sqref="Z89">
    <cfRule type="cellIs" dxfId="1511" priority="913" operator="equal">
      <formula>"In Progress"</formula>
    </cfRule>
    <cfRule type="cellIs" dxfId="1510" priority="914" operator="equal">
      <formula>"Completed"</formula>
    </cfRule>
  </conditionalFormatting>
  <conditionalFormatting sqref="Z89">
    <cfRule type="cellIs" dxfId="1509" priority="912" operator="equal">
      <formula>"Not Started"</formula>
    </cfRule>
  </conditionalFormatting>
  <conditionalFormatting sqref="AA89">
    <cfRule type="cellIs" dxfId="1508" priority="910" operator="equal">
      <formula>"In Progress"</formula>
    </cfRule>
    <cfRule type="cellIs" dxfId="1507" priority="911" operator="equal">
      <formula>"Completed"</formula>
    </cfRule>
  </conditionalFormatting>
  <conditionalFormatting sqref="AA89">
    <cfRule type="cellIs" dxfId="1506" priority="909" operator="equal">
      <formula>"Not Started"</formula>
    </cfRule>
  </conditionalFormatting>
  <conditionalFormatting sqref="T186">
    <cfRule type="cellIs" dxfId="1505" priority="907" operator="equal">
      <formula>"In Progress"</formula>
    </cfRule>
    <cfRule type="cellIs" dxfId="1504" priority="908" operator="equal">
      <formula>"Completed"</formula>
    </cfRule>
  </conditionalFormatting>
  <conditionalFormatting sqref="T186">
    <cfRule type="cellIs" dxfId="1503" priority="906" operator="equal">
      <formula>"Not Started"</formula>
    </cfRule>
  </conditionalFormatting>
  <conditionalFormatting sqref="V186">
    <cfRule type="cellIs" dxfId="1502" priority="904" operator="equal">
      <formula>"In Progress"</formula>
    </cfRule>
    <cfRule type="cellIs" dxfId="1501" priority="905" operator="equal">
      <formula>"Completed"</formula>
    </cfRule>
  </conditionalFormatting>
  <conditionalFormatting sqref="V186">
    <cfRule type="cellIs" dxfId="1500" priority="903" operator="equal">
      <formula>"Not Started"</formula>
    </cfRule>
  </conditionalFormatting>
  <conditionalFormatting sqref="W186">
    <cfRule type="cellIs" dxfId="1499" priority="901" operator="equal">
      <formula>"In Progress"</formula>
    </cfRule>
    <cfRule type="cellIs" dxfId="1498" priority="902" operator="equal">
      <formula>"Completed"</formula>
    </cfRule>
  </conditionalFormatting>
  <conditionalFormatting sqref="W186">
    <cfRule type="cellIs" dxfId="1497" priority="900" operator="equal">
      <formula>"Not Started"</formula>
    </cfRule>
  </conditionalFormatting>
  <conditionalFormatting sqref="X186">
    <cfRule type="cellIs" dxfId="1496" priority="898" operator="equal">
      <formula>"In Progress"</formula>
    </cfRule>
    <cfRule type="cellIs" dxfId="1495" priority="899" operator="equal">
      <formula>"Completed"</formula>
    </cfRule>
  </conditionalFormatting>
  <conditionalFormatting sqref="X186">
    <cfRule type="cellIs" dxfId="1494" priority="897" operator="equal">
      <formula>"Not Started"</formula>
    </cfRule>
  </conditionalFormatting>
  <conditionalFormatting sqref="Y186">
    <cfRule type="cellIs" dxfId="1493" priority="895" operator="equal">
      <formula>"In Progress"</formula>
    </cfRule>
    <cfRule type="cellIs" dxfId="1492" priority="896" operator="equal">
      <formula>"Completed"</formula>
    </cfRule>
  </conditionalFormatting>
  <conditionalFormatting sqref="Y186">
    <cfRule type="cellIs" dxfId="1491" priority="894" operator="equal">
      <formula>"Not Started"</formula>
    </cfRule>
  </conditionalFormatting>
  <conditionalFormatting sqref="Z186">
    <cfRule type="cellIs" dxfId="1490" priority="892" operator="equal">
      <formula>"In Progress"</formula>
    </cfRule>
    <cfRule type="cellIs" dxfId="1489" priority="893" operator="equal">
      <formula>"Completed"</formula>
    </cfRule>
  </conditionalFormatting>
  <conditionalFormatting sqref="Z186">
    <cfRule type="cellIs" dxfId="1488" priority="891" operator="equal">
      <formula>"Not Started"</formula>
    </cfRule>
  </conditionalFormatting>
  <conditionalFormatting sqref="AA186">
    <cfRule type="cellIs" dxfId="1487" priority="889" operator="equal">
      <formula>"In Progress"</formula>
    </cfRule>
    <cfRule type="cellIs" dxfId="1486" priority="890" operator="equal">
      <formula>"Completed"</formula>
    </cfRule>
  </conditionalFormatting>
  <conditionalFormatting sqref="AA186">
    <cfRule type="cellIs" dxfId="1485" priority="888" operator="equal">
      <formula>"Not Started"</formula>
    </cfRule>
  </conditionalFormatting>
  <conditionalFormatting sqref="T184">
    <cfRule type="cellIs" dxfId="1484" priority="886" operator="equal">
      <formula>"In Progress"</formula>
    </cfRule>
    <cfRule type="cellIs" dxfId="1483" priority="887" operator="equal">
      <formula>"Completed"</formula>
    </cfRule>
  </conditionalFormatting>
  <conditionalFormatting sqref="T184">
    <cfRule type="cellIs" dxfId="1482" priority="885" operator="equal">
      <formula>"Not Started"</formula>
    </cfRule>
  </conditionalFormatting>
  <conditionalFormatting sqref="U184">
    <cfRule type="cellIs" dxfId="1481" priority="883" operator="equal">
      <formula>"In Progress"</formula>
    </cfRule>
    <cfRule type="cellIs" dxfId="1480" priority="884" operator="equal">
      <formula>"Completed"</formula>
    </cfRule>
  </conditionalFormatting>
  <conditionalFormatting sqref="U184">
    <cfRule type="cellIs" dxfId="1479" priority="882" operator="equal">
      <formula>"Not Started"</formula>
    </cfRule>
  </conditionalFormatting>
  <conditionalFormatting sqref="V184">
    <cfRule type="cellIs" dxfId="1478" priority="880" operator="equal">
      <formula>"In Progress"</formula>
    </cfRule>
    <cfRule type="cellIs" dxfId="1477" priority="881" operator="equal">
      <formula>"Completed"</formula>
    </cfRule>
  </conditionalFormatting>
  <conditionalFormatting sqref="V184">
    <cfRule type="cellIs" dxfId="1476" priority="879" operator="equal">
      <formula>"Not Started"</formula>
    </cfRule>
  </conditionalFormatting>
  <conditionalFormatting sqref="W184">
    <cfRule type="cellIs" dxfId="1475" priority="877" operator="equal">
      <formula>"In Progress"</formula>
    </cfRule>
    <cfRule type="cellIs" dxfId="1474" priority="878" operator="equal">
      <formula>"Completed"</formula>
    </cfRule>
  </conditionalFormatting>
  <conditionalFormatting sqref="W184">
    <cfRule type="cellIs" dxfId="1473" priority="876" operator="equal">
      <formula>"Not Started"</formula>
    </cfRule>
  </conditionalFormatting>
  <conditionalFormatting sqref="X184">
    <cfRule type="cellIs" dxfId="1472" priority="874" operator="equal">
      <formula>"In Progress"</formula>
    </cfRule>
    <cfRule type="cellIs" dxfId="1471" priority="875" operator="equal">
      <formula>"Completed"</formula>
    </cfRule>
  </conditionalFormatting>
  <conditionalFormatting sqref="X184">
    <cfRule type="cellIs" dxfId="1470" priority="873" operator="equal">
      <formula>"Not Started"</formula>
    </cfRule>
  </conditionalFormatting>
  <conditionalFormatting sqref="Y184">
    <cfRule type="cellIs" dxfId="1469" priority="871" operator="equal">
      <formula>"In Progress"</formula>
    </cfRule>
    <cfRule type="cellIs" dxfId="1468" priority="872" operator="equal">
      <formula>"Completed"</formula>
    </cfRule>
  </conditionalFormatting>
  <conditionalFormatting sqref="Y184">
    <cfRule type="cellIs" dxfId="1467" priority="870" operator="equal">
      <formula>"Not Started"</formula>
    </cfRule>
  </conditionalFormatting>
  <conditionalFormatting sqref="Z184">
    <cfRule type="cellIs" dxfId="1466" priority="868" operator="equal">
      <formula>"In Progress"</formula>
    </cfRule>
    <cfRule type="cellIs" dxfId="1465" priority="869" operator="equal">
      <formula>"Completed"</formula>
    </cfRule>
  </conditionalFormatting>
  <conditionalFormatting sqref="Z184">
    <cfRule type="cellIs" dxfId="1464" priority="867" operator="equal">
      <formula>"Not Started"</formula>
    </cfRule>
  </conditionalFormatting>
  <conditionalFormatting sqref="AA184">
    <cfRule type="cellIs" dxfId="1463" priority="865" operator="equal">
      <formula>"In Progress"</formula>
    </cfRule>
    <cfRule type="cellIs" dxfId="1462" priority="866" operator="equal">
      <formula>"Completed"</formula>
    </cfRule>
  </conditionalFormatting>
  <conditionalFormatting sqref="AA184">
    <cfRule type="cellIs" dxfId="1461" priority="864" operator="equal">
      <formula>"Not Started"</formula>
    </cfRule>
  </conditionalFormatting>
  <conditionalFormatting sqref="AB184">
    <cfRule type="cellIs" dxfId="1460" priority="862" operator="equal">
      <formula>"In Progress"</formula>
    </cfRule>
    <cfRule type="cellIs" dxfId="1459" priority="863" operator="equal">
      <formula>"Completed"</formula>
    </cfRule>
  </conditionalFormatting>
  <conditionalFormatting sqref="AB184">
    <cfRule type="cellIs" dxfId="1458" priority="861" operator="equal">
      <formula>"Not Started"</formula>
    </cfRule>
  </conditionalFormatting>
  <conditionalFormatting sqref="AC183">
    <cfRule type="cellIs" dxfId="1457" priority="860" operator="equal">
      <formula>"Not Started"</formula>
    </cfRule>
  </conditionalFormatting>
  <conditionalFormatting sqref="AB186">
    <cfRule type="cellIs" dxfId="1456" priority="858" operator="equal">
      <formula>"In Progress"</formula>
    </cfRule>
    <cfRule type="cellIs" dxfId="1455" priority="859" operator="equal">
      <formula>"Completed"</formula>
    </cfRule>
  </conditionalFormatting>
  <conditionalFormatting sqref="AB186">
    <cfRule type="cellIs" dxfId="1454" priority="857" operator="equal">
      <formula>"Not Started"</formula>
    </cfRule>
  </conditionalFormatting>
  <conditionalFormatting sqref="T166">
    <cfRule type="cellIs" dxfId="1453" priority="855" operator="equal">
      <formula>"In Progress"</formula>
    </cfRule>
    <cfRule type="cellIs" dxfId="1452" priority="856" operator="equal">
      <formula>"Completed"</formula>
    </cfRule>
  </conditionalFormatting>
  <conditionalFormatting sqref="T166">
    <cfRule type="cellIs" dxfId="1451" priority="854" operator="equal">
      <formula>"Not Started"</formula>
    </cfRule>
  </conditionalFormatting>
  <conditionalFormatting sqref="U166">
    <cfRule type="cellIs" dxfId="1450" priority="852" operator="equal">
      <formula>"In Progress"</formula>
    </cfRule>
    <cfRule type="cellIs" dxfId="1449" priority="853" operator="equal">
      <formula>"Completed"</formula>
    </cfRule>
  </conditionalFormatting>
  <conditionalFormatting sqref="U166">
    <cfRule type="cellIs" dxfId="1448" priority="851" operator="equal">
      <formula>"Not Started"</formula>
    </cfRule>
  </conditionalFormatting>
  <conditionalFormatting sqref="V166">
    <cfRule type="cellIs" dxfId="1447" priority="849" operator="equal">
      <formula>"In Progress"</formula>
    </cfRule>
    <cfRule type="cellIs" dxfId="1446" priority="850" operator="equal">
      <formula>"Completed"</formula>
    </cfRule>
  </conditionalFormatting>
  <conditionalFormatting sqref="V166">
    <cfRule type="cellIs" dxfId="1445" priority="848" operator="equal">
      <formula>"Not Started"</formula>
    </cfRule>
  </conditionalFormatting>
  <conditionalFormatting sqref="W166">
    <cfRule type="cellIs" dxfId="1444" priority="846" operator="equal">
      <formula>"In Progress"</formula>
    </cfRule>
    <cfRule type="cellIs" dxfId="1443" priority="847" operator="equal">
      <formula>"Completed"</formula>
    </cfRule>
  </conditionalFormatting>
  <conditionalFormatting sqref="W166">
    <cfRule type="cellIs" dxfId="1442" priority="845" operator="equal">
      <formula>"Not Started"</formula>
    </cfRule>
  </conditionalFormatting>
  <conditionalFormatting sqref="X166">
    <cfRule type="cellIs" dxfId="1441" priority="843" operator="equal">
      <formula>"In Progress"</formula>
    </cfRule>
    <cfRule type="cellIs" dxfId="1440" priority="844" operator="equal">
      <formula>"Completed"</formula>
    </cfRule>
  </conditionalFormatting>
  <conditionalFormatting sqref="X166">
    <cfRule type="cellIs" dxfId="1439" priority="842" operator="equal">
      <formula>"Not Started"</formula>
    </cfRule>
  </conditionalFormatting>
  <conditionalFormatting sqref="Y166">
    <cfRule type="cellIs" dxfId="1438" priority="840" operator="equal">
      <formula>"In Progress"</formula>
    </cfRule>
    <cfRule type="cellIs" dxfId="1437" priority="841" operator="equal">
      <formula>"Completed"</formula>
    </cfRule>
  </conditionalFormatting>
  <conditionalFormatting sqref="Y166">
    <cfRule type="cellIs" dxfId="1436" priority="839" operator="equal">
      <formula>"Not Started"</formula>
    </cfRule>
  </conditionalFormatting>
  <conditionalFormatting sqref="T100">
    <cfRule type="cellIs" dxfId="1435" priority="837" operator="equal">
      <formula>"In Progress"</formula>
    </cfRule>
    <cfRule type="cellIs" dxfId="1434" priority="838" operator="equal">
      <formula>"Completed"</formula>
    </cfRule>
  </conditionalFormatting>
  <conditionalFormatting sqref="T100">
    <cfRule type="cellIs" dxfId="1433" priority="836" operator="equal">
      <formula>"Not Started"</formula>
    </cfRule>
  </conditionalFormatting>
  <conditionalFormatting sqref="U100">
    <cfRule type="cellIs" dxfId="1432" priority="834" operator="equal">
      <formula>"In Progress"</formula>
    </cfRule>
    <cfRule type="cellIs" dxfId="1431" priority="835" operator="equal">
      <formula>"Completed"</formula>
    </cfRule>
  </conditionalFormatting>
  <conditionalFormatting sqref="U100">
    <cfRule type="cellIs" dxfId="1430" priority="833" operator="equal">
      <formula>"Not Started"</formula>
    </cfRule>
  </conditionalFormatting>
  <conditionalFormatting sqref="V100">
    <cfRule type="cellIs" dxfId="1429" priority="831" operator="equal">
      <formula>"In Progress"</formula>
    </cfRule>
    <cfRule type="cellIs" dxfId="1428" priority="832" operator="equal">
      <formula>"Completed"</formula>
    </cfRule>
  </conditionalFormatting>
  <conditionalFormatting sqref="V100">
    <cfRule type="cellIs" dxfId="1427" priority="830" operator="equal">
      <formula>"Not Started"</formula>
    </cfRule>
  </conditionalFormatting>
  <conditionalFormatting sqref="W100">
    <cfRule type="cellIs" dxfId="1426" priority="828" operator="equal">
      <formula>"In Progress"</formula>
    </cfRule>
    <cfRule type="cellIs" dxfId="1425" priority="829" operator="equal">
      <formula>"Completed"</formula>
    </cfRule>
  </conditionalFormatting>
  <conditionalFormatting sqref="W100">
    <cfRule type="cellIs" dxfId="1424" priority="827" operator="equal">
      <formula>"Not Started"</formula>
    </cfRule>
  </conditionalFormatting>
  <conditionalFormatting sqref="X100">
    <cfRule type="cellIs" dxfId="1423" priority="825" operator="equal">
      <formula>"In Progress"</formula>
    </cfRule>
    <cfRule type="cellIs" dxfId="1422" priority="826" operator="equal">
      <formula>"Completed"</formula>
    </cfRule>
  </conditionalFormatting>
  <conditionalFormatting sqref="X100">
    <cfRule type="cellIs" dxfId="1421" priority="824" operator="equal">
      <formula>"Not Started"</formula>
    </cfRule>
  </conditionalFormatting>
  <conditionalFormatting sqref="Y100">
    <cfRule type="cellIs" dxfId="1420" priority="822" operator="equal">
      <formula>"In Progress"</formula>
    </cfRule>
    <cfRule type="cellIs" dxfId="1419" priority="823" operator="equal">
      <formula>"Completed"</formula>
    </cfRule>
  </conditionalFormatting>
  <conditionalFormatting sqref="Y100">
    <cfRule type="cellIs" dxfId="1418" priority="821" operator="equal">
      <formula>"Not Started"</formula>
    </cfRule>
  </conditionalFormatting>
  <conditionalFormatting sqref="Z100">
    <cfRule type="cellIs" dxfId="1417" priority="819" operator="equal">
      <formula>"In Progress"</formula>
    </cfRule>
    <cfRule type="cellIs" dxfId="1416" priority="820" operator="equal">
      <formula>"Completed"</formula>
    </cfRule>
  </conditionalFormatting>
  <conditionalFormatting sqref="Z100">
    <cfRule type="cellIs" dxfId="1415" priority="818" operator="equal">
      <formula>"Not Started"</formula>
    </cfRule>
  </conditionalFormatting>
  <conditionalFormatting sqref="AA100">
    <cfRule type="cellIs" dxfId="1414" priority="816" operator="equal">
      <formula>"In Progress"</formula>
    </cfRule>
    <cfRule type="cellIs" dxfId="1413" priority="817" operator="equal">
      <formula>"Completed"</formula>
    </cfRule>
  </conditionalFormatting>
  <conditionalFormatting sqref="AA100">
    <cfRule type="cellIs" dxfId="1412" priority="815" operator="equal">
      <formula>"Not Started"</formula>
    </cfRule>
  </conditionalFormatting>
  <conditionalFormatting sqref="AB100">
    <cfRule type="cellIs" dxfId="1411" priority="813" operator="equal">
      <formula>"In Progress"</formula>
    </cfRule>
    <cfRule type="cellIs" dxfId="1410" priority="814" operator="equal">
      <formula>"Completed"</formula>
    </cfRule>
  </conditionalFormatting>
  <conditionalFormatting sqref="AB100">
    <cfRule type="cellIs" dxfId="1409" priority="812" operator="equal">
      <formula>"Not Started"</formula>
    </cfRule>
  </conditionalFormatting>
  <conditionalFormatting sqref="AC162">
    <cfRule type="cellIs" dxfId="1408" priority="811" operator="equal">
      <formula>"Not Started"</formula>
    </cfRule>
  </conditionalFormatting>
  <conditionalFormatting sqref="AC113">
    <cfRule type="cellIs" dxfId="1407" priority="810" operator="equal">
      <formula>"Not Started"</formula>
    </cfRule>
  </conditionalFormatting>
  <conditionalFormatting sqref="AC70">
    <cfRule type="cellIs" dxfId="1406" priority="809" operator="equal">
      <formula>"Not Started"</formula>
    </cfRule>
  </conditionalFormatting>
  <conditionalFormatting sqref="AB89">
    <cfRule type="cellIs" dxfId="1405" priority="807" operator="equal">
      <formula>"In Progress"</formula>
    </cfRule>
    <cfRule type="cellIs" dxfId="1404" priority="808" operator="equal">
      <formula>"Completed"</formula>
    </cfRule>
  </conditionalFormatting>
  <conditionalFormatting sqref="AB89">
    <cfRule type="cellIs" dxfId="1403" priority="806" operator="equal">
      <formula>"Not Started"</formula>
    </cfRule>
  </conditionalFormatting>
  <conditionalFormatting sqref="Z166">
    <cfRule type="cellIs" dxfId="1402" priority="804" operator="equal">
      <formula>"In Progress"</formula>
    </cfRule>
    <cfRule type="cellIs" dxfId="1401" priority="805" operator="equal">
      <formula>"Completed"</formula>
    </cfRule>
  </conditionalFormatting>
  <conditionalFormatting sqref="Z166">
    <cfRule type="cellIs" dxfId="1400" priority="803" operator="equal">
      <formula>"Not Started"</formula>
    </cfRule>
  </conditionalFormatting>
  <conditionalFormatting sqref="AA166">
    <cfRule type="cellIs" dxfId="1399" priority="801" operator="equal">
      <formula>"In Progress"</formula>
    </cfRule>
    <cfRule type="cellIs" dxfId="1398" priority="802" operator="equal">
      <formula>"Completed"</formula>
    </cfRule>
  </conditionalFormatting>
  <conditionalFormatting sqref="AA166">
    <cfRule type="cellIs" dxfId="1397" priority="800" operator="equal">
      <formula>"Not Started"</formula>
    </cfRule>
  </conditionalFormatting>
  <conditionalFormatting sqref="AB166">
    <cfRule type="cellIs" dxfId="1396" priority="798" operator="equal">
      <formula>"In Progress"</formula>
    </cfRule>
    <cfRule type="cellIs" dxfId="1395" priority="799" operator="equal">
      <formula>"Completed"</formula>
    </cfRule>
  </conditionalFormatting>
  <conditionalFormatting sqref="AB166">
    <cfRule type="cellIs" dxfId="1394" priority="797" operator="equal">
      <formula>"Not Started"</formula>
    </cfRule>
  </conditionalFormatting>
  <conditionalFormatting sqref="Z165">
    <cfRule type="cellIs" dxfId="1393" priority="796" operator="equal">
      <formula>"Not Started"</formula>
    </cfRule>
  </conditionalFormatting>
  <conditionalFormatting sqref="Y165">
    <cfRule type="cellIs" dxfId="1392" priority="795" operator="equal">
      <formula>"Not Started"</formula>
    </cfRule>
  </conditionalFormatting>
  <conditionalFormatting sqref="X165">
    <cfRule type="cellIs" dxfId="1391" priority="794" operator="equal">
      <formula>"Not Started"</formula>
    </cfRule>
  </conditionalFormatting>
  <conditionalFormatting sqref="W165">
    <cfRule type="cellIs" dxfId="1390" priority="793" operator="equal">
      <formula>"Not Started"</formula>
    </cfRule>
  </conditionalFormatting>
  <conditionalFormatting sqref="V165">
    <cfRule type="cellIs" dxfId="1389" priority="792" operator="equal">
      <formula>"Not Started"</formula>
    </cfRule>
  </conditionalFormatting>
  <conditionalFormatting sqref="U165">
    <cfRule type="cellIs" dxfId="1388" priority="791" operator="equal">
      <formula>"Not Started"</formula>
    </cfRule>
  </conditionalFormatting>
  <conditionalFormatting sqref="T165">
    <cfRule type="cellIs" dxfId="1387" priority="790" operator="equal">
      <formula>"Not Started"</formula>
    </cfRule>
  </conditionalFormatting>
  <conditionalFormatting sqref="AC184">
    <cfRule type="cellIs" dxfId="1386" priority="788" operator="equal">
      <formula>"In Progress"</formula>
    </cfRule>
    <cfRule type="cellIs" dxfId="1385" priority="789" operator="equal">
      <formula>"Completed"</formula>
    </cfRule>
  </conditionalFormatting>
  <conditionalFormatting sqref="AC184">
    <cfRule type="cellIs" dxfId="1384" priority="787" operator="equal">
      <formula>"Not Started"</formula>
    </cfRule>
  </conditionalFormatting>
  <conditionalFormatting sqref="T79">
    <cfRule type="cellIs" dxfId="1383" priority="785" operator="equal">
      <formula>"In Progress"</formula>
    </cfRule>
    <cfRule type="cellIs" dxfId="1382" priority="786" operator="equal">
      <formula>"Completed"</formula>
    </cfRule>
  </conditionalFormatting>
  <conditionalFormatting sqref="T79">
    <cfRule type="cellIs" dxfId="1381" priority="784" operator="equal">
      <formula>"Not Started"</formula>
    </cfRule>
  </conditionalFormatting>
  <conditionalFormatting sqref="U79">
    <cfRule type="cellIs" dxfId="1380" priority="782" operator="equal">
      <formula>"In Progress"</formula>
    </cfRule>
    <cfRule type="cellIs" dxfId="1379" priority="783" operator="equal">
      <formula>"Completed"</formula>
    </cfRule>
  </conditionalFormatting>
  <conditionalFormatting sqref="U79">
    <cfRule type="cellIs" dxfId="1378" priority="781" operator="equal">
      <formula>"Not Started"</formula>
    </cfRule>
  </conditionalFormatting>
  <conditionalFormatting sqref="V79">
    <cfRule type="cellIs" dxfId="1377" priority="779" operator="equal">
      <formula>"In Progress"</formula>
    </cfRule>
    <cfRule type="cellIs" dxfId="1376" priority="780" operator="equal">
      <formula>"Completed"</formula>
    </cfRule>
  </conditionalFormatting>
  <conditionalFormatting sqref="V79">
    <cfRule type="cellIs" dxfId="1375" priority="778" operator="equal">
      <formula>"Not Started"</formula>
    </cfRule>
  </conditionalFormatting>
  <conditionalFormatting sqref="W79">
    <cfRule type="cellIs" dxfId="1374" priority="776" operator="equal">
      <formula>"In Progress"</formula>
    </cfRule>
    <cfRule type="cellIs" dxfId="1373" priority="777" operator="equal">
      <formula>"Completed"</formula>
    </cfRule>
  </conditionalFormatting>
  <conditionalFormatting sqref="W79">
    <cfRule type="cellIs" dxfId="1372" priority="775" operator="equal">
      <formula>"Not Started"</formula>
    </cfRule>
  </conditionalFormatting>
  <conditionalFormatting sqref="X79">
    <cfRule type="cellIs" dxfId="1371" priority="773" operator="equal">
      <formula>"In Progress"</formula>
    </cfRule>
    <cfRule type="cellIs" dxfId="1370" priority="774" operator="equal">
      <formula>"Completed"</formula>
    </cfRule>
  </conditionalFormatting>
  <conditionalFormatting sqref="X79">
    <cfRule type="cellIs" dxfId="1369" priority="772" operator="equal">
      <formula>"Not Started"</formula>
    </cfRule>
  </conditionalFormatting>
  <conditionalFormatting sqref="Y79">
    <cfRule type="cellIs" dxfId="1368" priority="770" operator="equal">
      <formula>"In Progress"</formula>
    </cfRule>
    <cfRule type="cellIs" dxfId="1367" priority="771" operator="equal">
      <formula>"Completed"</formula>
    </cfRule>
  </conditionalFormatting>
  <conditionalFormatting sqref="Y79">
    <cfRule type="cellIs" dxfId="1366" priority="769" operator="equal">
      <formula>"Not Started"</formula>
    </cfRule>
  </conditionalFormatting>
  <conditionalFormatting sqref="Z79">
    <cfRule type="cellIs" dxfId="1365" priority="767" operator="equal">
      <formula>"In Progress"</formula>
    </cfRule>
    <cfRule type="cellIs" dxfId="1364" priority="768" operator="equal">
      <formula>"Completed"</formula>
    </cfRule>
  </conditionalFormatting>
  <conditionalFormatting sqref="Z79">
    <cfRule type="cellIs" dxfId="1363" priority="766" operator="equal">
      <formula>"Not Started"</formula>
    </cfRule>
  </conditionalFormatting>
  <conditionalFormatting sqref="AA79">
    <cfRule type="cellIs" dxfId="1362" priority="764" operator="equal">
      <formula>"In Progress"</formula>
    </cfRule>
    <cfRule type="cellIs" dxfId="1361" priority="765" operator="equal">
      <formula>"Completed"</formula>
    </cfRule>
  </conditionalFormatting>
  <conditionalFormatting sqref="AA79">
    <cfRule type="cellIs" dxfId="1360" priority="763" operator="equal">
      <formula>"Not Started"</formula>
    </cfRule>
  </conditionalFormatting>
  <conditionalFormatting sqref="AB79">
    <cfRule type="cellIs" dxfId="1359" priority="761" operator="equal">
      <formula>"In Progress"</formula>
    </cfRule>
    <cfRule type="cellIs" dxfId="1358" priority="762" operator="equal">
      <formula>"Completed"</formula>
    </cfRule>
  </conditionalFormatting>
  <conditionalFormatting sqref="AB79">
    <cfRule type="cellIs" dxfId="1357" priority="760" operator="equal">
      <formula>"Not Started"</formula>
    </cfRule>
  </conditionalFormatting>
  <conditionalFormatting sqref="T106">
    <cfRule type="cellIs" dxfId="1356" priority="758" operator="equal">
      <formula>"In Progress"</formula>
    </cfRule>
    <cfRule type="cellIs" dxfId="1355" priority="759" operator="equal">
      <formula>"Completed"</formula>
    </cfRule>
  </conditionalFormatting>
  <conditionalFormatting sqref="T106">
    <cfRule type="cellIs" dxfId="1354" priority="757" operator="equal">
      <formula>"Not Started"</formula>
    </cfRule>
  </conditionalFormatting>
  <conditionalFormatting sqref="U106">
    <cfRule type="cellIs" dxfId="1353" priority="755" operator="equal">
      <formula>"In Progress"</formula>
    </cfRule>
    <cfRule type="cellIs" dxfId="1352" priority="756" operator="equal">
      <formula>"Completed"</formula>
    </cfRule>
  </conditionalFormatting>
  <conditionalFormatting sqref="U106">
    <cfRule type="cellIs" dxfId="1351" priority="754" operator="equal">
      <formula>"Not Started"</formula>
    </cfRule>
  </conditionalFormatting>
  <conditionalFormatting sqref="V106">
    <cfRule type="cellIs" dxfId="1350" priority="752" operator="equal">
      <formula>"In Progress"</formula>
    </cfRule>
    <cfRule type="cellIs" dxfId="1349" priority="753" operator="equal">
      <formula>"Completed"</formula>
    </cfRule>
  </conditionalFormatting>
  <conditionalFormatting sqref="V106">
    <cfRule type="cellIs" dxfId="1348" priority="751" operator="equal">
      <formula>"Not Started"</formula>
    </cfRule>
  </conditionalFormatting>
  <conditionalFormatting sqref="W106">
    <cfRule type="cellIs" dxfId="1347" priority="749" operator="equal">
      <formula>"In Progress"</formula>
    </cfRule>
    <cfRule type="cellIs" dxfId="1346" priority="750" operator="equal">
      <formula>"Completed"</formula>
    </cfRule>
  </conditionalFormatting>
  <conditionalFormatting sqref="W106">
    <cfRule type="cellIs" dxfId="1345" priority="748" operator="equal">
      <formula>"Not Started"</formula>
    </cfRule>
  </conditionalFormatting>
  <conditionalFormatting sqref="X106">
    <cfRule type="cellIs" dxfId="1344" priority="746" operator="equal">
      <formula>"In Progress"</formula>
    </cfRule>
    <cfRule type="cellIs" dxfId="1343" priority="747" operator="equal">
      <formula>"Completed"</formula>
    </cfRule>
  </conditionalFormatting>
  <conditionalFormatting sqref="X106">
    <cfRule type="cellIs" dxfId="1342" priority="745" operator="equal">
      <formula>"Not Started"</formula>
    </cfRule>
  </conditionalFormatting>
  <conditionalFormatting sqref="Y106">
    <cfRule type="cellIs" dxfId="1341" priority="743" operator="equal">
      <formula>"In Progress"</formula>
    </cfRule>
    <cfRule type="cellIs" dxfId="1340" priority="744" operator="equal">
      <formula>"Completed"</formula>
    </cfRule>
  </conditionalFormatting>
  <conditionalFormatting sqref="Y106">
    <cfRule type="cellIs" dxfId="1339" priority="742" operator="equal">
      <formula>"Not Started"</formula>
    </cfRule>
  </conditionalFormatting>
  <conditionalFormatting sqref="Z106">
    <cfRule type="cellIs" dxfId="1338" priority="740" operator="equal">
      <formula>"In Progress"</formula>
    </cfRule>
    <cfRule type="cellIs" dxfId="1337" priority="741" operator="equal">
      <formula>"Completed"</formula>
    </cfRule>
  </conditionalFormatting>
  <conditionalFormatting sqref="Z106">
    <cfRule type="cellIs" dxfId="1336" priority="739" operator="equal">
      <formula>"Not Started"</formula>
    </cfRule>
  </conditionalFormatting>
  <conditionalFormatting sqref="AA106">
    <cfRule type="cellIs" dxfId="1335" priority="737" operator="equal">
      <formula>"In Progress"</formula>
    </cfRule>
    <cfRule type="cellIs" dxfId="1334" priority="738" operator="equal">
      <formula>"Completed"</formula>
    </cfRule>
  </conditionalFormatting>
  <conditionalFormatting sqref="AA106">
    <cfRule type="cellIs" dxfId="1333" priority="736" operator="equal">
      <formula>"Not Started"</formula>
    </cfRule>
  </conditionalFormatting>
  <conditionalFormatting sqref="AB106">
    <cfRule type="cellIs" dxfId="1332" priority="734" operator="equal">
      <formula>"In Progress"</formula>
    </cfRule>
    <cfRule type="cellIs" dxfId="1331" priority="735" operator="equal">
      <formula>"Completed"</formula>
    </cfRule>
  </conditionalFormatting>
  <conditionalFormatting sqref="AB106">
    <cfRule type="cellIs" dxfId="1330" priority="733" operator="equal">
      <formula>"Not Started"</formula>
    </cfRule>
  </conditionalFormatting>
  <conditionalFormatting sqref="T36">
    <cfRule type="cellIs" dxfId="1329" priority="731" operator="equal">
      <formula>"In Progress"</formula>
    </cfRule>
    <cfRule type="cellIs" dxfId="1328" priority="732" operator="equal">
      <formula>"Completed"</formula>
    </cfRule>
  </conditionalFormatting>
  <conditionalFormatting sqref="T36">
    <cfRule type="cellIs" dxfId="1327" priority="730" operator="equal">
      <formula>"Not Started"</formula>
    </cfRule>
  </conditionalFormatting>
  <conditionalFormatting sqref="U36">
    <cfRule type="cellIs" dxfId="1326" priority="728" operator="equal">
      <formula>"In Progress"</formula>
    </cfRule>
    <cfRule type="cellIs" dxfId="1325" priority="729" operator="equal">
      <formula>"Completed"</formula>
    </cfRule>
  </conditionalFormatting>
  <conditionalFormatting sqref="U36">
    <cfRule type="cellIs" dxfId="1324" priority="727" operator="equal">
      <formula>"Not Started"</formula>
    </cfRule>
  </conditionalFormatting>
  <conditionalFormatting sqref="V36">
    <cfRule type="cellIs" dxfId="1323" priority="725" operator="equal">
      <formula>"In Progress"</formula>
    </cfRule>
    <cfRule type="cellIs" dxfId="1322" priority="726" operator="equal">
      <formula>"Completed"</formula>
    </cfRule>
  </conditionalFormatting>
  <conditionalFormatting sqref="V36">
    <cfRule type="cellIs" dxfId="1321" priority="724" operator="equal">
      <formula>"Not Started"</formula>
    </cfRule>
  </conditionalFormatting>
  <conditionalFormatting sqref="X36">
    <cfRule type="cellIs" dxfId="1320" priority="722" operator="equal">
      <formula>"In Progress"</formula>
    </cfRule>
    <cfRule type="cellIs" dxfId="1319" priority="723" operator="equal">
      <formula>"Completed"</formula>
    </cfRule>
  </conditionalFormatting>
  <conditionalFormatting sqref="X36">
    <cfRule type="cellIs" dxfId="1318" priority="721" operator="equal">
      <formula>"Not Started"</formula>
    </cfRule>
  </conditionalFormatting>
  <conditionalFormatting sqref="Y36">
    <cfRule type="cellIs" dxfId="1317" priority="719" operator="equal">
      <formula>"In Progress"</formula>
    </cfRule>
    <cfRule type="cellIs" dxfId="1316" priority="720" operator="equal">
      <formula>"Completed"</formula>
    </cfRule>
  </conditionalFormatting>
  <conditionalFormatting sqref="Y36">
    <cfRule type="cellIs" dxfId="1315" priority="718" operator="equal">
      <formula>"Not Started"</formula>
    </cfRule>
  </conditionalFormatting>
  <conditionalFormatting sqref="Z36">
    <cfRule type="cellIs" dxfId="1314" priority="716" operator="equal">
      <formula>"In Progress"</formula>
    </cfRule>
    <cfRule type="cellIs" dxfId="1313" priority="717" operator="equal">
      <formula>"Completed"</formula>
    </cfRule>
  </conditionalFormatting>
  <conditionalFormatting sqref="Z36">
    <cfRule type="cellIs" dxfId="1312" priority="715" operator="equal">
      <formula>"Not Started"</formula>
    </cfRule>
  </conditionalFormatting>
  <conditionalFormatting sqref="AA36">
    <cfRule type="cellIs" dxfId="1311" priority="713" operator="equal">
      <formula>"In Progress"</formula>
    </cfRule>
    <cfRule type="cellIs" dxfId="1310" priority="714" operator="equal">
      <formula>"Completed"</formula>
    </cfRule>
  </conditionalFormatting>
  <conditionalFormatting sqref="AA36">
    <cfRule type="cellIs" dxfId="1309" priority="712" operator="equal">
      <formula>"Not Started"</formula>
    </cfRule>
  </conditionalFormatting>
  <conditionalFormatting sqref="AB36">
    <cfRule type="cellIs" dxfId="1308" priority="710" operator="equal">
      <formula>"In Progress"</formula>
    </cfRule>
    <cfRule type="cellIs" dxfId="1307" priority="711" operator="equal">
      <formula>"Completed"</formula>
    </cfRule>
  </conditionalFormatting>
  <conditionalFormatting sqref="AB36">
    <cfRule type="cellIs" dxfId="1306" priority="709" operator="equal">
      <formula>"Not Started"</formula>
    </cfRule>
  </conditionalFormatting>
  <conditionalFormatting sqref="T189">
    <cfRule type="cellIs" dxfId="1305" priority="707" operator="equal">
      <formula>"In Progress"</formula>
    </cfRule>
    <cfRule type="cellIs" dxfId="1304" priority="708" operator="equal">
      <formula>"Completed"</formula>
    </cfRule>
  </conditionalFormatting>
  <conditionalFormatting sqref="T189">
    <cfRule type="cellIs" dxfId="1303" priority="706" operator="equal">
      <formula>"Not Started"</formula>
    </cfRule>
  </conditionalFormatting>
  <conditionalFormatting sqref="U189">
    <cfRule type="cellIs" dxfId="1302" priority="704" operator="equal">
      <formula>"In Progress"</formula>
    </cfRule>
    <cfRule type="cellIs" dxfId="1301" priority="705" operator="equal">
      <formula>"Completed"</formula>
    </cfRule>
  </conditionalFormatting>
  <conditionalFormatting sqref="U189">
    <cfRule type="cellIs" dxfId="1300" priority="703" operator="equal">
      <formula>"Not Started"</formula>
    </cfRule>
  </conditionalFormatting>
  <conditionalFormatting sqref="V189">
    <cfRule type="cellIs" dxfId="1299" priority="701" operator="equal">
      <formula>"In Progress"</formula>
    </cfRule>
    <cfRule type="cellIs" dxfId="1298" priority="702" operator="equal">
      <formula>"Completed"</formula>
    </cfRule>
  </conditionalFormatting>
  <conditionalFormatting sqref="V189">
    <cfRule type="cellIs" dxfId="1297" priority="700" operator="equal">
      <formula>"Not Started"</formula>
    </cfRule>
  </conditionalFormatting>
  <conditionalFormatting sqref="W189">
    <cfRule type="cellIs" dxfId="1296" priority="698" operator="equal">
      <formula>"In Progress"</formula>
    </cfRule>
    <cfRule type="cellIs" dxfId="1295" priority="699" operator="equal">
      <formula>"Completed"</formula>
    </cfRule>
  </conditionalFormatting>
  <conditionalFormatting sqref="W189">
    <cfRule type="cellIs" dxfId="1294" priority="697" operator="equal">
      <formula>"Not Started"</formula>
    </cfRule>
  </conditionalFormatting>
  <conditionalFormatting sqref="X189">
    <cfRule type="cellIs" dxfId="1293" priority="695" operator="equal">
      <formula>"In Progress"</formula>
    </cfRule>
    <cfRule type="cellIs" dxfId="1292" priority="696" operator="equal">
      <formula>"Completed"</formula>
    </cfRule>
  </conditionalFormatting>
  <conditionalFormatting sqref="X189">
    <cfRule type="cellIs" dxfId="1291" priority="694" operator="equal">
      <formula>"Not Started"</formula>
    </cfRule>
  </conditionalFormatting>
  <conditionalFormatting sqref="Y189">
    <cfRule type="cellIs" dxfId="1290" priority="692" operator="equal">
      <formula>"In Progress"</formula>
    </cfRule>
    <cfRule type="cellIs" dxfId="1289" priority="693" operator="equal">
      <formula>"Completed"</formula>
    </cfRule>
  </conditionalFormatting>
  <conditionalFormatting sqref="Y189">
    <cfRule type="cellIs" dxfId="1288" priority="691" operator="equal">
      <formula>"Not Started"</formula>
    </cfRule>
  </conditionalFormatting>
  <conditionalFormatting sqref="Z189">
    <cfRule type="cellIs" dxfId="1287" priority="689" operator="equal">
      <formula>"In Progress"</formula>
    </cfRule>
    <cfRule type="cellIs" dxfId="1286" priority="690" operator="equal">
      <formula>"Completed"</formula>
    </cfRule>
  </conditionalFormatting>
  <conditionalFormatting sqref="Z189">
    <cfRule type="cellIs" dxfId="1285" priority="688" operator="equal">
      <formula>"Not Started"</formula>
    </cfRule>
  </conditionalFormatting>
  <conditionalFormatting sqref="AA189">
    <cfRule type="cellIs" dxfId="1284" priority="686" operator="equal">
      <formula>"In Progress"</formula>
    </cfRule>
    <cfRule type="cellIs" dxfId="1283" priority="687" operator="equal">
      <formula>"Completed"</formula>
    </cfRule>
  </conditionalFormatting>
  <conditionalFormatting sqref="AA189">
    <cfRule type="cellIs" dxfId="1282" priority="685" operator="equal">
      <formula>"Not Started"</formula>
    </cfRule>
  </conditionalFormatting>
  <conditionalFormatting sqref="AB189">
    <cfRule type="cellIs" dxfId="1281" priority="683" operator="equal">
      <formula>"In Progress"</formula>
    </cfRule>
    <cfRule type="cellIs" dxfId="1280" priority="684" operator="equal">
      <formula>"Completed"</formula>
    </cfRule>
  </conditionalFormatting>
  <conditionalFormatting sqref="AB189">
    <cfRule type="cellIs" dxfId="1279" priority="682" operator="equal">
      <formula>"Not Started"</formula>
    </cfRule>
  </conditionalFormatting>
  <conditionalFormatting sqref="T23">
    <cfRule type="cellIs" dxfId="1278" priority="680" operator="equal">
      <formula>"In Progress"</formula>
    </cfRule>
    <cfRule type="cellIs" dxfId="1277" priority="681" operator="equal">
      <formula>"Completed"</formula>
    </cfRule>
  </conditionalFormatting>
  <conditionalFormatting sqref="T23">
    <cfRule type="cellIs" dxfId="1276" priority="679" operator="equal">
      <formula>"Not Started"</formula>
    </cfRule>
  </conditionalFormatting>
  <conditionalFormatting sqref="U23">
    <cfRule type="cellIs" dxfId="1275" priority="677" operator="equal">
      <formula>"In Progress"</formula>
    </cfRule>
    <cfRule type="cellIs" dxfId="1274" priority="678" operator="equal">
      <formula>"Completed"</formula>
    </cfRule>
  </conditionalFormatting>
  <conditionalFormatting sqref="U23">
    <cfRule type="cellIs" dxfId="1273" priority="676" operator="equal">
      <formula>"Not Started"</formula>
    </cfRule>
  </conditionalFormatting>
  <conditionalFormatting sqref="V23">
    <cfRule type="cellIs" dxfId="1272" priority="674" operator="equal">
      <formula>"In Progress"</formula>
    </cfRule>
    <cfRule type="cellIs" dxfId="1271" priority="675" operator="equal">
      <formula>"Completed"</formula>
    </cfRule>
  </conditionalFormatting>
  <conditionalFormatting sqref="V23">
    <cfRule type="cellIs" dxfId="1270" priority="673" operator="equal">
      <formula>"Not Started"</formula>
    </cfRule>
  </conditionalFormatting>
  <conditionalFormatting sqref="W23">
    <cfRule type="cellIs" dxfId="1269" priority="671" operator="equal">
      <formula>"In Progress"</formula>
    </cfRule>
    <cfRule type="cellIs" dxfId="1268" priority="672" operator="equal">
      <formula>"Completed"</formula>
    </cfRule>
  </conditionalFormatting>
  <conditionalFormatting sqref="W23">
    <cfRule type="cellIs" dxfId="1267" priority="670" operator="equal">
      <formula>"Not Started"</formula>
    </cfRule>
  </conditionalFormatting>
  <conditionalFormatting sqref="X23">
    <cfRule type="cellIs" dxfId="1266" priority="668" operator="equal">
      <formula>"In Progress"</formula>
    </cfRule>
    <cfRule type="cellIs" dxfId="1265" priority="669" operator="equal">
      <formula>"Completed"</formula>
    </cfRule>
  </conditionalFormatting>
  <conditionalFormatting sqref="X23">
    <cfRule type="cellIs" dxfId="1264" priority="667" operator="equal">
      <formula>"Not Started"</formula>
    </cfRule>
  </conditionalFormatting>
  <conditionalFormatting sqref="Y23">
    <cfRule type="cellIs" dxfId="1263" priority="665" operator="equal">
      <formula>"In Progress"</formula>
    </cfRule>
    <cfRule type="cellIs" dxfId="1262" priority="666" operator="equal">
      <formula>"Completed"</formula>
    </cfRule>
  </conditionalFormatting>
  <conditionalFormatting sqref="Y23">
    <cfRule type="cellIs" dxfId="1261" priority="664" operator="equal">
      <formula>"Not Started"</formula>
    </cfRule>
  </conditionalFormatting>
  <conditionalFormatting sqref="Z23">
    <cfRule type="cellIs" dxfId="1260" priority="662" operator="equal">
      <formula>"In Progress"</formula>
    </cfRule>
    <cfRule type="cellIs" dxfId="1259" priority="663" operator="equal">
      <formula>"Completed"</formula>
    </cfRule>
  </conditionalFormatting>
  <conditionalFormatting sqref="Z23">
    <cfRule type="cellIs" dxfId="1258" priority="661" operator="equal">
      <formula>"Not Started"</formula>
    </cfRule>
  </conditionalFormatting>
  <conditionalFormatting sqref="AA23">
    <cfRule type="cellIs" dxfId="1257" priority="659" operator="equal">
      <formula>"In Progress"</formula>
    </cfRule>
    <cfRule type="cellIs" dxfId="1256" priority="660" operator="equal">
      <formula>"Completed"</formula>
    </cfRule>
  </conditionalFormatting>
  <conditionalFormatting sqref="AA23">
    <cfRule type="cellIs" dxfId="1255" priority="658" operator="equal">
      <formula>"Not Started"</formula>
    </cfRule>
  </conditionalFormatting>
  <conditionalFormatting sqref="AB23">
    <cfRule type="cellIs" dxfId="1254" priority="656" operator="equal">
      <formula>"In Progress"</formula>
    </cfRule>
    <cfRule type="cellIs" dxfId="1253" priority="657" operator="equal">
      <formula>"Completed"</formula>
    </cfRule>
  </conditionalFormatting>
  <conditionalFormatting sqref="AB23">
    <cfRule type="cellIs" dxfId="1252" priority="655" operator="equal">
      <formula>"Not Started"</formula>
    </cfRule>
  </conditionalFormatting>
  <conditionalFormatting sqref="AC23">
    <cfRule type="cellIs" dxfId="1251" priority="653" operator="equal">
      <formula>"In Progress"</formula>
    </cfRule>
    <cfRule type="cellIs" dxfId="1250" priority="654" operator="equal">
      <formula>"Completed"</formula>
    </cfRule>
  </conditionalFormatting>
  <conditionalFormatting sqref="AC23">
    <cfRule type="cellIs" dxfId="1249" priority="652" operator="equal">
      <formula>"Not Started"</formula>
    </cfRule>
  </conditionalFormatting>
  <conditionalFormatting sqref="AC24">
    <cfRule type="cellIs" dxfId="1248" priority="651" operator="equal">
      <formula>"Not Started"</formula>
    </cfRule>
  </conditionalFormatting>
  <conditionalFormatting sqref="AC188">
    <cfRule type="cellIs" dxfId="1247" priority="650" operator="equal">
      <formula>"Not Started"</formula>
    </cfRule>
  </conditionalFormatting>
  <conditionalFormatting sqref="AC46">
    <cfRule type="cellIs" dxfId="1246" priority="649" operator="equal">
      <formula>"Not Started"</formula>
    </cfRule>
  </conditionalFormatting>
  <conditionalFormatting sqref="AC102">
    <cfRule type="cellIs" dxfId="1245" priority="648" operator="equal">
      <formula>"Not Started"</formula>
    </cfRule>
  </conditionalFormatting>
  <conditionalFormatting sqref="T172">
    <cfRule type="cellIs" dxfId="1244" priority="646" operator="equal">
      <formula>"In Progress"</formula>
    </cfRule>
    <cfRule type="cellIs" dxfId="1243" priority="647" operator="equal">
      <formula>"Completed"</formula>
    </cfRule>
  </conditionalFormatting>
  <conditionalFormatting sqref="T172">
    <cfRule type="cellIs" dxfId="1242" priority="645" operator="equal">
      <formula>"Not Started"</formula>
    </cfRule>
  </conditionalFormatting>
  <conditionalFormatting sqref="U172">
    <cfRule type="cellIs" dxfId="1241" priority="643" operator="equal">
      <formula>"In Progress"</formula>
    </cfRule>
    <cfRule type="cellIs" dxfId="1240" priority="644" operator="equal">
      <formula>"Completed"</formula>
    </cfRule>
  </conditionalFormatting>
  <conditionalFormatting sqref="U172">
    <cfRule type="cellIs" dxfId="1239" priority="642" operator="equal">
      <formula>"Not Started"</formula>
    </cfRule>
  </conditionalFormatting>
  <conditionalFormatting sqref="V172">
    <cfRule type="cellIs" dxfId="1238" priority="640" operator="equal">
      <formula>"In Progress"</formula>
    </cfRule>
    <cfRule type="cellIs" dxfId="1237" priority="641" operator="equal">
      <formula>"Completed"</formula>
    </cfRule>
  </conditionalFormatting>
  <conditionalFormatting sqref="V172">
    <cfRule type="cellIs" dxfId="1236" priority="639" operator="equal">
      <formula>"Not Started"</formula>
    </cfRule>
  </conditionalFormatting>
  <conditionalFormatting sqref="Y172">
    <cfRule type="cellIs" dxfId="1235" priority="637" operator="equal">
      <formula>"In Progress"</formula>
    </cfRule>
    <cfRule type="cellIs" dxfId="1234" priority="638" operator="equal">
      <formula>"Completed"</formula>
    </cfRule>
  </conditionalFormatting>
  <conditionalFormatting sqref="Y172">
    <cfRule type="cellIs" dxfId="1233" priority="636" operator="equal">
      <formula>"Not Started"</formula>
    </cfRule>
  </conditionalFormatting>
  <conditionalFormatting sqref="Z172">
    <cfRule type="cellIs" dxfId="1232" priority="634" operator="equal">
      <formula>"In Progress"</formula>
    </cfRule>
    <cfRule type="cellIs" dxfId="1231" priority="635" operator="equal">
      <formula>"Completed"</formula>
    </cfRule>
  </conditionalFormatting>
  <conditionalFormatting sqref="Z172">
    <cfRule type="cellIs" dxfId="1230" priority="633" operator="equal">
      <formula>"Not Started"</formula>
    </cfRule>
  </conditionalFormatting>
  <conditionalFormatting sqref="AA172">
    <cfRule type="cellIs" dxfId="1229" priority="631" operator="equal">
      <formula>"In Progress"</formula>
    </cfRule>
    <cfRule type="cellIs" dxfId="1228" priority="632" operator="equal">
      <formula>"Completed"</formula>
    </cfRule>
  </conditionalFormatting>
  <conditionalFormatting sqref="AA172">
    <cfRule type="cellIs" dxfId="1227" priority="630" operator="equal">
      <formula>"Not Started"</formula>
    </cfRule>
  </conditionalFormatting>
  <conditionalFormatting sqref="AB172">
    <cfRule type="cellIs" dxfId="1226" priority="628" operator="equal">
      <formula>"In Progress"</formula>
    </cfRule>
    <cfRule type="cellIs" dxfId="1225" priority="629" operator="equal">
      <formula>"Completed"</formula>
    </cfRule>
  </conditionalFormatting>
  <conditionalFormatting sqref="AB172">
    <cfRule type="cellIs" dxfId="1224" priority="627" operator="equal">
      <formula>"Not Started"</formula>
    </cfRule>
  </conditionalFormatting>
  <conditionalFormatting sqref="T101">
    <cfRule type="cellIs" dxfId="1223" priority="625" operator="equal">
      <formula>"In Progress"</formula>
    </cfRule>
    <cfRule type="cellIs" dxfId="1222" priority="626" operator="equal">
      <formula>"Completed"</formula>
    </cfRule>
  </conditionalFormatting>
  <conditionalFormatting sqref="T101">
    <cfRule type="cellIs" dxfId="1221" priority="624" operator="equal">
      <formula>"Not Started"</formula>
    </cfRule>
  </conditionalFormatting>
  <conditionalFormatting sqref="U101">
    <cfRule type="cellIs" dxfId="1220" priority="622" operator="equal">
      <formula>"In Progress"</formula>
    </cfRule>
    <cfRule type="cellIs" dxfId="1219" priority="623" operator="equal">
      <formula>"Completed"</formula>
    </cfRule>
  </conditionalFormatting>
  <conditionalFormatting sqref="U101">
    <cfRule type="cellIs" dxfId="1218" priority="621" operator="equal">
      <formula>"Not Started"</formula>
    </cfRule>
  </conditionalFormatting>
  <conditionalFormatting sqref="V101">
    <cfRule type="cellIs" dxfId="1217" priority="619" operator="equal">
      <formula>"In Progress"</formula>
    </cfRule>
    <cfRule type="cellIs" dxfId="1216" priority="620" operator="equal">
      <formula>"Completed"</formula>
    </cfRule>
  </conditionalFormatting>
  <conditionalFormatting sqref="V101">
    <cfRule type="cellIs" dxfId="1215" priority="618" operator="equal">
      <formula>"Not Started"</formula>
    </cfRule>
  </conditionalFormatting>
  <conditionalFormatting sqref="AB101">
    <cfRule type="cellIs" dxfId="1214" priority="616" operator="equal">
      <formula>"In Progress"</formula>
    </cfRule>
    <cfRule type="cellIs" dxfId="1213" priority="617" operator="equal">
      <formula>"Completed"</formula>
    </cfRule>
  </conditionalFormatting>
  <conditionalFormatting sqref="AB101">
    <cfRule type="cellIs" dxfId="1212" priority="615" operator="equal">
      <formula>"Not Started"</formula>
    </cfRule>
  </conditionalFormatting>
  <conditionalFormatting sqref="AA101">
    <cfRule type="cellIs" dxfId="1211" priority="613" operator="equal">
      <formula>"In Progress"</formula>
    </cfRule>
    <cfRule type="cellIs" dxfId="1210" priority="614" operator="equal">
      <formula>"Completed"</formula>
    </cfRule>
  </conditionalFormatting>
  <conditionalFormatting sqref="AA101">
    <cfRule type="cellIs" dxfId="1209" priority="612" operator="equal">
      <formula>"Not Started"</formula>
    </cfRule>
  </conditionalFormatting>
  <conditionalFormatting sqref="Z101">
    <cfRule type="cellIs" dxfId="1208" priority="610" operator="equal">
      <formula>"In Progress"</formula>
    </cfRule>
    <cfRule type="cellIs" dxfId="1207" priority="611" operator="equal">
      <formula>"Completed"</formula>
    </cfRule>
  </conditionalFormatting>
  <conditionalFormatting sqref="Z101">
    <cfRule type="cellIs" dxfId="1206" priority="609" operator="equal">
      <formula>"Not Started"</formula>
    </cfRule>
  </conditionalFormatting>
  <conditionalFormatting sqref="Y101">
    <cfRule type="cellIs" dxfId="1205" priority="607" operator="equal">
      <formula>"In Progress"</formula>
    </cfRule>
    <cfRule type="cellIs" dxfId="1204" priority="608" operator="equal">
      <formula>"Completed"</formula>
    </cfRule>
  </conditionalFormatting>
  <conditionalFormatting sqref="Y101">
    <cfRule type="cellIs" dxfId="1203" priority="606" operator="equal">
      <formula>"Not Started"</formula>
    </cfRule>
  </conditionalFormatting>
  <conditionalFormatting sqref="T171">
    <cfRule type="cellIs" dxfId="1202" priority="604" operator="equal">
      <formula>"In Progress"</formula>
    </cfRule>
    <cfRule type="cellIs" dxfId="1201" priority="605" operator="equal">
      <formula>"Completed"</formula>
    </cfRule>
  </conditionalFormatting>
  <conditionalFormatting sqref="T171">
    <cfRule type="cellIs" dxfId="1200" priority="603" operator="equal">
      <formula>"Not Started"</formula>
    </cfRule>
  </conditionalFormatting>
  <conditionalFormatting sqref="U171">
    <cfRule type="cellIs" dxfId="1199" priority="601" operator="equal">
      <formula>"In Progress"</formula>
    </cfRule>
    <cfRule type="cellIs" dxfId="1198" priority="602" operator="equal">
      <formula>"Completed"</formula>
    </cfRule>
  </conditionalFormatting>
  <conditionalFormatting sqref="U171">
    <cfRule type="cellIs" dxfId="1197" priority="600" operator="equal">
      <formula>"Not Started"</formula>
    </cfRule>
  </conditionalFormatting>
  <conditionalFormatting sqref="V171">
    <cfRule type="cellIs" dxfId="1196" priority="598" operator="equal">
      <formula>"In Progress"</formula>
    </cfRule>
    <cfRule type="cellIs" dxfId="1195" priority="599" operator="equal">
      <formula>"Completed"</formula>
    </cfRule>
  </conditionalFormatting>
  <conditionalFormatting sqref="V171">
    <cfRule type="cellIs" dxfId="1194" priority="597" operator="equal">
      <formula>"Not Started"</formula>
    </cfRule>
  </conditionalFormatting>
  <conditionalFormatting sqref="X171">
    <cfRule type="cellIs" dxfId="1193" priority="595" operator="equal">
      <formula>"In Progress"</formula>
    </cfRule>
    <cfRule type="cellIs" dxfId="1192" priority="596" operator="equal">
      <formula>"Completed"</formula>
    </cfRule>
  </conditionalFormatting>
  <conditionalFormatting sqref="X171">
    <cfRule type="cellIs" dxfId="1191" priority="594" operator="equal">
      <formula>"Not Started"</formula>
    </cfRule>
  </conditionalFormatting>
  <conditionalFormatting sqref="Y171">
    <cfRule type="cellIs" dxfId="1190" priority="592" operator="equal">
      <formula>"In Progress"</formula>
    </cfRule>
    <cfRule type="cellIs" dxfId="1189" priority="593" operator="equal">
      <formula>"Completed"</formula>
    </cfRule>
  </conditionalFormatting>
  <conditionalFormatting sqref="Y171">
    <cfRule type="cellIs" dxfId="1188" priority="591" operator="equal">
      <formula>"Not Started"</formula>
    </cfRule>
  </conditionalFormatting>
  <conditionalFormatting sqref="Z171">
    <cfRule type="cellIs" dxfId="1187" priority="589" operator="equal">
      <formula>"In Progress"</formula>
    </cfRule>
    <cfRule type="cellIs" dxfId="1186" priority="590" operator="equal">
      <formula>"Completed"</formula>
    </cfRule>
  </conditionalFormatting>
  <conditionalFormatting sqref="Z171">
    <cfRule type="cellIs" dxfId="1185" priority="588" operator="equal">
      <formula>"Not Started"</formula>
    </cfRule>
  </conditionalFormatting>
  <conditionalFormatting sqref="AA171">
    <cfRule type="cellIs" dxfId="1184" priority="586" operator="equal">
      <formula>"In Progress"</formula>
    </cfRule>
    <cfRule type="cellIs" dxfId="1183" priority="587" operator="equal">
      <formula>"Completed"</formula>
    </cfRule>
  </conditionalFormatting>
  <conditionalFormatting sqref="AA171">
    <cfRule type="cellIs" dxfId="1182" priority="585" operator="equal">
      <formula>"Not Started"</formula>
    </cfRule>
  </conditionalFormatting>
  <conditionalFormatting sqref="AB171">
    <cfRule type="cellIs" dxfId="1181" priority="583" operator="equal">
      <formula>"In Progress"</formula>
    </cfRule>
    <cfRule type="cellIs" dxfId="1180" priority="584" operator="equal">
      <formula>"Completed"</formula>
    </cfRule>
  </conditionalFormatting>
  <conditionalFormatting sqref="AB171">
    <cfRule type="cellIs" dxfId="1179" priority="582" operator="equal">
      <formula>"Not Started"</formula>
    </cfRule>
  </conditionalFormatting>
  <conditionalFormatting sqref="T192">
    <cfRule type="cellIs" dxfId="1178" priority="580" operator="equal">
      <formula>"In Progress"</formula>
    </cfRule>
    <cfRule type="cellIs" dxfId="1177" priority="581" operator="equal">
      <formula>"Completed"</formula>
    </cfRule>
  </conditionalFormatting>
  <conditionalFormatting sqref="T192">
    <cfRule type="cellIs" dxfId="1176" priority="579" operator="equal">
      <formula>"Not Started"</formula>
    </cfRule>
  </conditionalFormatting>
  <conditionalFormatting sqref="U192">
    <cfRule type="cellIs" dxfId="1175" priority="577" operator="equal">
      <formula>"In Progress"</formula>
    </cfRule>
    <cfRule type="cellIs" dxfId="1174" priority="578" operator="equal">
      <formula>"Completed"</formula>
    </cfRule>
  </conditionalFormatting>
  <conditionalFormatting sqref="U192">
    <cfRule type="cellIs" dxfId="1173" priority="576" operator="equal">
      <formula>"Not Started"</formula>
    </cfRule>
  </conditionalFormatting>
  <conditionalFormatting sqref="V192">
    <cfRule type="cellIs" dxfId="1172" priority="574" operator="equal">
      <formula>"In Progress"</formula>
    </cfRule>
    <cfRule type="cellIs" dxfId="1171" priority="575" operator="equal">
      <formula>"Completed"</formula>
    </cfRule>
  </conditionalFormatting>
  <conditionalFormatting sqref="V192">
    <cfRule type="cellIs" dxfId="1170" priority="573" operator="equal">
      <formula>"Not Started"</formula>
    </cfRule>
  </conditionalFormatting>
  <conditionalFormatting sqref="W192">
    <cfRule type="cellIs" dxfId="1169" priority="571" operator="equal">
      <formula>"In Progress"</formula>
    </cfRule>
    <cfRule type="cellIs" dxfId="1168" priority="572" operator="equal">
      <formula>"Completed"</formula>
    </cfRule>
  </conditionalFormatting>
  <conditionalFormatting sqref="W192">
    <cfRule type="cellIs" dxfId="1167" priority="570" operator="equal">
      <formula>"Not Started"</formula>
    </cfRule>
  </conditionalFormatting>
  <conditionalFormatting sqref="X192">
    <cfRule type="cellIs" dxfId="1166" priority="568" operator="equal">
      <formula>"In Progress"</formula>
    </cfRule>
    <cfRule type="cellIs" dxfId="1165" priority="569" operator="equal">
      <formula>"Completed"</formula>
    </cfRule>
  </conditionalFormatting>
  <conditionalFormatting sqref="X192">
    <cfRule type="cellIs" dxfId="1164" priority="567" operator="equal">
      <formula>"Not Started"</formula>
    </cfRule>
  </conditionalFormatting>
  <conditionalFormatting sqref="Y192">
    <cfRule type="cellIs" dxfId="1163" priority="565" operator="equal">
      <formula>"In Progress"</formula>
    </cfRule>
    <cfRule type="cellIs" dxfId="1162" priority="566" operator="equal">
      <formula>"Completed"</formula>
    </cfRule>
  </conditionalFormatting>
  <conditionalFormatting sqref="Y192">
    <cfRule type="cellIs" dxfId="1161" priority="564" operator="equal">
      <formula>"Not Started"</formula>
    </cfRule>
  </conditionalFormatting>
  <conditionalFormatting sqref="Z192">
    <cfRule type="cellIs" dxfId="1160" priority="562" operator="equal">
      <formula>"In Progress"</formula>
    </cfRule>
    <cfRule type="cellIs" dxfId="1159" priority="563" operator="equal">
      <formula>"Completed"</formula>
    </cfRule>
  </conditionalFormatting>
  <conditionalFormatting sqref="Z192">
    <cfRule type="cellIs" dxfId="1158" priority="561" operator="equal">
      <formula>"Not Started"</formula>
    </cfRule>
  </conditionalFormatting>
  <conditionalFormatting sqref="AA192">
    <cfRule type="cellIs" dxfId="1157" priority="559" operator="equal">
      <formula>"In Progress"</formula>
    </cfRule>
    <cfRule type="cellIs" dxfId="1156" priority="560" operator="equal">
      <formula>"Completed"</formula>
    </cfRule>
  </conditionalFormatting>
  <conditionalFormatting sqref="AA192">
    <cfRule type="cellIs" dxfId="1155" priority="558" operator="equal">
      <formula>"Not Started"</formula>
    </cfRule>
  </conditionalFormatting>
  <conditionalFormatting sqref="AB192">
    <cfRule type="cellIs" dxfId="1154" priority="556" operator="equal">
      <formula>"In Progress"</formula>
    </cfRule>
    <cfRule type="cellIs" dxfId="1153" priority="557" operator="equal">
      <formula>"Completed"</formula>
    </cfRule>
  </conditionalFormatting>
  <conditionalFormatting sqref="AB192">
    <cfRule type="cellIs" dxfId="1152" priority="555" operator="equal">
      <formula>"Not Started"</formula>
    </cfRule>
  </conditionalFormatting>
  <conditionalFormatting sqref="T128">
    <cfRule type="cellIs" dxfId="1151" priority="553" operator="equal">
      <formula>"In Progress"</formula>
    </cfRule>
    <cfRule type="cellIs" dxfId="1150" priority="554" operator="equal">
      <formula>"Completed"</formula>
    </cfRule>
  </conditionalFormatting>
  <conditionalFormatting sqref="T128">
    <cfRule type="cellIs" dxfId="1149" priority="552" operator="equal">
      <formula>"Not Started"</formula>
    </cfRule>
  </conditionalFormatting>
  <conditionalFormatting sqref="U128">
    <cfRule type="cellIs" dxfId="1148" priority="550" operator="equal">
      <formula>"In Progress"</formula>
    </cfRule>
    <cfRule type="cellIs" dxfId="1147" priority="551" operator="equal">
      <formula>"Completed"</formula>
    </cfRule>
  </conditionalFormatting>
  <conditionalFormatting sqref="U128">
    <cfRule type="cellIs" dxfId="1146" priority="549" operator="equal">
      <formula>"Not Started"</formula>
    </cfRule>
  </conditionalFormatting>
  <conditionalFormatting sqref="V128">
    <cfRule type="cellIs" dxfId="1145" priority="547" operator="equal">
      <formula>"In Progress"</formula>
    </cfRule>
    <cfRule type="cellIs" dxfId="1144" priority="548" operator="equal">
      <formula>"Completed"</formula>
    </cfRule>
  </conditionalFormatting>
  <conditionalFormatting sqref="V128">
    <cfRule type="cellIs" dxfId="1143" priority="546" operator="equal">
      <formula>"Not Started"</formula>
    </cfRule>
  </conditionalFormatting>
  <conditionalFormatting sqref="X128">
    <cfRule type="cellIs" dxfId="1142" priority="544" operator="equal">
      <formula>"In Progress"</formula>
    </cfRule>
    <cfRule type="cellIs" dxfId="1141" priority="545" operator="equal">
      <formula>"Completed"</formula>
    </cfRule>
  </conditionalFormatting>
  <conditionalFormatting sqref="X128">
    <cfRule type="cellIs" dxfId="1140" priority="543" operator="equal">
      <formula>"Not Started"</formula>
    </cfRule>
  </conditionalFormatting>
  <conditionalFormatting sqref="Y128">
    <cfRule type="cellIs" dxfId="1139" priority="541" operator="equal">
      <formula>"In Progress"</formula>
    </cfRule>
    <cfRule type="cellIs" dxfId="1138" priority="542" operator="equal">
      <formula>"Completed"</formula>
    </cfRule>
  </conditionalFormatting>
  <conditionalFormatting sqref="Y128">
    <cfRule type="cellIs" dxfId="1137" priority="540" operator="equal">
      <formula>"Not Started"</formula>
    </cfRule>
  </conditionalFormatting>
  <conditionalFormatting sqref="Z128">
    <cfRule type="cellIs" dxfId="1136" priority="538" operator="equal">
      <formula>"In Progress"</formula>
    </cfRule>
    <cfRule type="cellIs" dxfId="1135" priority="539" operator="equal">
      <formula>"Completed"</formula>
    </cfRule>
  </conditionalFormatting>
  <conditionalFormatting sqref="Z128">
    <cfRule type="cellIs" dxfId="1134" priority="537" operator="equal">
      <formula>"Not Started"</formula>
    </cfRule>
  </conditionalFormatting>
  <conditionalFormatting sqref="AA128">
    <cfRule type="cellIs" dxfId="1133" priority="535" operator="equal">
      <formula>"In Progress"</formula>
    </cfRule>
    <cfRule type="cellIs" dxfId="1132" priority="536" operator="equal">
      <formula>"Completed"</formula>
    </cfRule>
  </conditionalFormatting>
  <conditionalFormatting sqref="AA128">
    <cfRule type="cellIs" dxfId="1131" priority="534" operator="equal">
      <formula>"Not Started"</formula>
    </cfRule>
  </conditionalFormatting>
  <conditionalFormatting sqref="AB128">
    <cfRule type="cellIs" dxfId="1130" priority="532" operator="equal">
      <formula>"In Progress"</formula>
    </cfRule>
    <cfRule type="cellIs" dxfId="1129" priority="533" operator="equal">
      <formula>"Completed"</formula>
    </cfRule>
  </conditionalFormatting>
  <conditionalFormatting sqref="AB128">
    <cfRule type="cellIs" dxfId="1128" priority="531" operator="equal">
      <formula>"Not Started"</formula>
    </cfRule>
  </conditionalFormatting>
  <conditionalFormatting sqref="T130">
    <cfRule type="cellIs" dxfId="1127" priority="529" operator="equal">
      <formula>"In Progress"</formula>
    </cfRule>
    <cfRule type="cellIs" dxfId="1126" priority="530" operator="equal">
      <formula>"Completed"</formula>
    </cfRule>
  </conditionalFormatting>
  <conditionalFormatting sqref="T130">
    <cfRule type="cellIs" dxfId="1125" priority="528" operator="equal">
      <formula>"Not Started"</formula>
    </cfRule>
  </conditionalFormatting>
  <conditionalFormatting sqref="U130">
    <cfRule type="cellIs" dxfId="1124" priority="526" operator="equal">
      <formula>"In Progress"</formula>
    </cfRule>
    <cfRule type="cellIs" dxfId="1123" priority="527" operator="equal">
      <formula>"Completed"</formula>
    </cfRule>
  </conditionalFormatting>
  <conditionalFormatting sqref="U130">
    <cfRule type="cellIs" dxfId="1122" priority="525" operator="equal">
      <formula>"Not Started"</formula>
    </cfRule>
  </conditionalFormatting>
  <conditionalFormatting sqref="V130">
    <cfRule type="cellIs" dxfId="1121" priority="523" operator="equal">
      <formula>"In Progress"</formula>
    </cfRule>
    <cfRule type="cellIs" dxfId="1120" priority="524" operator="equal">
      <formula>"Completed"</formula>
    </cfRule>
  </conditionalFormatting>
  <conditionalFormatting sqref="V130">
    <cfRule type="cellIs" dxfId="1119" priority="522" operator="equal">
      <formula>"Not Started"</formula>
    </cfRule>
  </conditionalFormatting>
  <conditionalFormatting sqref="W130">
    <cfRule type="cellIs" dxfId="1118" priority="520" operator="equal">
      <formula>"In Progress"</formula>
    </cfRule>
    <cfRule type="cellIs" dxfId="1117" priority="521" operator="equal">
      <formula>"Completed"</formula>
    </cfRule>
  </conditionalFormatting>
  <conditionalFormatting sqref="W130">
    <cfRule type="cellIs" dxfId="1116" priority="519" operator="equal">
      <formula>"Not Started"</formula>
    </cfRule>
  </conditionalFormatting>
  <conditionalFormatting sqref="X130">
    <cfRule type="cellIs" dxfId="1115" priority="517" operator="equal">
      <formula>"In Progress"</formula>
    </cfRule>
    <cfRule type="cellIs" dxfId="1114" priority="518" operator="equal">
      <formula>"Completed"</formula>
    </cfRule>
  </conditionalFormatting>
  <conditionalFormatting sqref="X130">
    <cfRule type="cellIs" dxfId="1113" priority="516" operator="equal">
      <formula>"Not Started"</formula>
    </cfRule>
  </conditionalFormatting>
  <conditionalFormatting sqref="Y130">
    <cfRule type="cellIs" dxfId="1112" priority="514" operator="equal">
      <formula>"In Progress"</formula>
    </cfRule>
    <cfRule type="cellIs" dxfId="1111" priority="515" operator="equal">
      <formula>"Completed"</formula>
    </cfRule>
  </conditionalFormatting>
  <conditionalFormatting sqref="Y130">
    <cfRule type="cellIs" dxfId="1110" priority="513" operator="equal">
      <formula>"Not Started"</formula>
    </cfRule>
  </conditionalFormatting>
  <conditionalFormatting sqref="Z130">
    <cfRule type="cellIs" dxfId="1109" priority="511" operator="equal">
      <formula>"In Progress"</formula>
    </cfRule>
    <cfRule type="cellIs" dxfId="1108" priority="512" operator="equal">
      <formula>"Completed"</formula>
    </cfRule>
  </conditionalFormatting>
  <conditionalFormatting sqref="Z130">
    <cfRule type="cellIs" dxfId="1107" priority="510" operator="equal">
      <formula>"Not Started"</formula>
    </cfRule>
  </conditionalFormatting>
  <conditionalFormatting sqref="AA130">
    <cfRule type="cellIs" dxfId="1106" priority="508" operator="equal">
      <formula>"In Progress"</formula>
    </cfRule>
    <cfRule type="cellIs" dxfId="1105" priority="509" operator="equal">
      <formula>"Completed"</formula>
    </cfRule>
  </conditionalFormatting>
  <conditionalFormatting sqref="AA130">
    <cfRule type="cellIs" dxfId="1104" priority="507" operator="equal">
      <formula>"Not Started"</formula>
    </cfRule>
  </conditionalFormatting>
  <conditionalFormatting sqref="AB130">
    <cfRule type="cellIs" dxfId="1103" priority="505" operator="equal">
      <formula>"In Progress"</formula>
    </cfRule>
    <cfRule type="cellIs" dxfId="1102" priority="506" operator="equal">
      <formula>"Completed"</formula>
    </cfRule>
  </conditionalFormatting>
  <conditionalFormatting sqref="AB130">
    <cfRule type="cellIs" dxfId="1101" priority="504" operator="equal">
      <formula>"Not Started"</formula>
    </cfRule>
  </conditionalFormatting>
  <conditionalFormatting sqref="T167">
    <cfRule type="cellIs" dxfId="1100" priority="502" operator="equal">
      <formula>"In Progress"</formula>
    </cfRule>
    <cfRule type="cellIs" dxfId="1099" priority="503" operator="equal">
      <formula>"Completed"</formula>
    </cfRule>
  </conditionalFormatting>
  <conditionalFormatting sqref="T167">
    <cfRule type="cellIs" dxfId="1098" priority="501" operator="equal">
      <formula>"Not Started"</formula>
    </cfRule>
  </conditionalFormatting>
  <conditionalFormatting sqref="U167">
    <cfRule type="cellIs" dxfId="1097" priority="499" operator="equal">
      <formula>"In Progress"</formula>
    </cfRule>
    <cfRule type="cellIs" dxfId="1096" priority="500" operator="equal">
      <formula>"Completed"</formula>
    </cfRule>
  </conditionalFormatting>
  <conditionalFormatting sqref="U167">
    <cfRule type="cellIs" dxfId="1095" priority="498" operator="equal">
      <formula>"Not Started"</formula>
    </cfRule>
  </conditionalFormatting>
  <conditionalFormatting sqref="V167">
    <cfRule type="cellIs" dxfId="1094" priority="496" operator="equal">
      <formula>"In Progress"</formula>
    </cfRule>
    <cfRule type="cellIs" dxfId="1093" priority="497" operator="equal">
      <formula>"Completed"</formula>
    </cfRule>
  </conditionalFormatting>
  <conditionalFormatting sqref="V167">
    <cfRule type="cellIs" dxfId="1092" priority="495" operator="equal">
      <formula>"Not Started"</formula>
    </cfRule>
  </conditionalFormatting>
  <conditionalFormatting sqref="Y167">
    <cfRule type="cellIs" dxfId="1091" priority="493" operator="equal">
      <formula>"In Progress"</formula>
    </cfRule>
    <cfRule type="cellIs" dxfId="1090" priority="494" operator="equal">
      <formula>"Completed"</formula>
    </cfRule>
  </conditionalFormatting>
  <conditionalFormatting sqref="Y167">
    <cfRule type="cellIs" dxfId="1089" priority="492" operator="equal">
      <formula>"Not Started"</formula>
    </cfRule>
  </conditionalFormatting>
  <conditionalFormatting sqref="Z167">
    <cfRule type="cellIs" dxfId="1088" priority="490" operator="equal">
      <formula>"In Progress"</formula>
    </cfRule>
    <cfRule type="cellIs" dxfId="1087" priority="491" operator="equal">
      <formula>"Completed"</formula>
    </cfRule>
  </conditionalFormatting>
  <conditionalFormatting sqref="Z167">
    <cfRule type="cellIs" dxfId="1086" priority="489" operator="equal">
      <formula>"Not Started"</formula>
    </cfRule>
  </conditionalFormatting>
  <conditionalFormatting sqref="AA167">
    <cfRule type="cellIs" dxfId="1085" priority="487" operator="equal">
      <formula>"In Progress"</formula>
    </cfRule>
    <cfRule type="cellIs" dxfId="1084" priority="488" operator="equal">
      <formula>"Completed"</formula>
    </cfRule>
  </conditionalFormatting>
  <conditionalFormatting sqref="AA167">
    <cfRule type="cellIs" dxfId="1083" priority="486" operator="equal">
      <formula>"Not Started"</formula>
    </cfRule>
  </conditionalFormatting>
  <conditionalFormatting sqref="AB167">
    <cfRule type="cellIs" dxfId="1082" priority="484" operator="equal">
      <formula>"In Progress"</formula>
    </cfRule>
    <cfRule type="cellIs" dxfId="1081" priority="485" operator="equal">
      <formula>"Completed"</formula>
    </cfRule>
  </conditionalFormatting>
  <conditionalFormatting sqref="AB167">
    <cfRule type="cellIs" dxfId="1080" priority="483" operator="equal">
      <formula>"Not Started"</formula>
    </cfRule>
  </conditionalFormatting>
  <conditionalFormatting sqref="T178">
    <cfRule type="cellIs" dxfId="1079" priority="481" operator="equal">
      <formula>"In Progress"</formula>
    </cfRule>
    <cfRule type="cellIs" dxfId="1078" priority="482" operator="equal">
      <formula>"Completed"</formula>
    </cfRule>
  </conditionalFormatting>
  <conditionalFormatting sqref="T178">
    <cfRule type="cellIs" dxfId="1077" priority="480" operator="equal">
      <formula>"Not Started"</formula>
    </cfRule>
  </conditionalFormatting>
  <conditionalFormatting sqref="U178">
    <cfRule type="cellIs" dxfId="1076" priority="478" operator="equal">
      <formula>"In Progress"</formula>
    </cfRule>
    <cfRule type="cellIs" dxfId="1075" priority="479" operator="equal">
      <formula>"Completed"</formula>
    </cfRule>
  </conditionalFormatting>
  <conditionalFormatting sqref="U178">
    <cfRule type="cellIs" dxfId="1074" priority="477" operator="equal">
      <formula>"Not Started"</formula>
    </cfRule>
  </conditionalFormatting>
  <conditionalFormatting sqref="V178">
    <cfRule type="cellIs" dxfId="1073" priority="475" operator="equal">
      <formula>"In Progress"</formula>
    </cfRule>
    <cfRule type="cellIs" dxfId="1072" priority="476" operator="equal">
      <formula>"Completed"</formula>
    </cfRule>
  </conditionalFormatting>
  <conditionalFormatting sqref="V178">
    <cfRule type="cellIs" dxfId="1071" priority="474" operator="equal">
      <formula>"Not Started"</formula>
    </cfRule>
  </conditionalFormatting>
  <conditionalFormatting sqref="X178">
    <cfRule type="cellIs" dxfId="1070" priority="472" operator="equal">
      <formula>"In Progress"</formula>
    </cfRule>
    <cfRule type="cellIs" dxfId="1069" priority="473" operator="equal">
      <formula>"Completed"</formula>
    </cfRule>
  </conditionalFormatting>
  <conditionalFormatting sqref="X178">
    <cfRule type="cellIs" dxfId="1068" priority="471" operator="equal">
      <formula>"Not Started"</formula>
    </cfRule>
  </conditionalFormatting>
  <conditionalFormatting sqref="Y178">
    <cfRule type="cellIs" dxfId="1067" priority="469" operator="equal">
      <formula>"In Progress"</formula>
    </cfRule>
    <cfRule type="cellIs" dxfId="1066" priority="470" operator="equal">
      <formula>"Completed"</formula>
    </cfRule>
  </conditionalFormatting>
  <conditionalFormatting sqref="Y178">
    <cfRule type="cellIs" dxfId="1065" priority="468" operator="equal">
      <formula>"Not Started"</formula>
    </cfRule>
  </conditionalFormatting>
  <conditionalFormatting sqref="Z178">
    <cfRule type="cellIs" dxfId="1064" priority="466" operator="equal">
      <formula>"In Progress"</formula>
    </cfRule>
    <cfRule type="cellIs" dxfId="1063" priority="467" operator="equal">
      <formula>"Completed"</formula>
    </cfRule>
  </conditionalFormatting>
  <conditionalFormatting sqref="Z178">
    <cfRule type="cellIs" dxfId="1062" priority="465" operator="equal">
      <formula>"Not Started"</formula>
    </cfRule>
  </conditionalFormatting>
  <conditionalFormatting sqref="AA178">
    <cfRule type="cellIs" dxfId="1061" priority="463" operator="equal">
      <formula>"In Progress"</formula>
    </cfRule>
    <cfRule type="cellIs" dxfId="1060" priority="464" operator="equal">
      <formula>"Completed"</formula>
    </cfRule>
  </conditionalFormatting>
  <conditionalFormatting sqref="AA178">
    <cfRule type="cellIs" dxfId="1059" priority="462" operator="equal">
      <formula>"Not Started"</formula>
    </cfRule>
  </conditionalFormatting>
  <conditionalFormatting sqref="AB178">
    <cfRule type="cellIs" dxfId="1058" priority="460" operator="equal">
      <formula>"In Progress"</formula>
    </cfRule>
    <cfRule type="cellIs" dxfId="1057" priority="461" operator="equal">
      <formula>"Completed"</formula>
    </cfRule>
  </conditionalFormatting>
  <conditionalFormatting sqref="AB178">
    <cfRule type="cellIs" dxfId="1056" priority="459" operator="equal">
      <formula>"Not Started"</formula>
    </cfRule>
  </conditionalFormatting>
  <conditionalFormatting sqref="T138">
    <cfRule type="cellIs" dxfId="1055" priority="457" operator="equal">
      <formula>"In Progress"</formula>
    </cfRule>
    <cfRule type="cellIs" dxfId="1054" priority="458" operator="equal">
      <formula>"Completed"</formula>
    </cfRule>
  </conditionalFormatting>
  <conditionalFormatting sqref="T138">
    <cfRule type="cellIs" dxfId="1053" priority="456" operator="equal">
      <formula>"Not Started"</formula>
    </cfRule>
  </conditionalFormatting>
  <conditionalFormatting sqref="U138">
    <cfRule type="cellIs" dxfId="1052" priority="454" operator="equal">
      <formula>"In Progress"</formula>
    </cfRule>
    <cfRule type="cellIs" dxfId="1051" priority="455" operator="equal">
      <formula>"Completed"</formula>
    </cfRule>
  </conditionalFormatting>
  <conditionalFormatting sqref="U138">
    <cfRule type="cellIs" dxfId="1050" priority="453" operator="equal">
      <formula>"Not Started"</formula>
    </cfRule>
  </conditionalFormatting>
  <conditionalFormatting sqref="V138">
    <cfRule type="cellIs" dxfId="1049" priority="451" operator="equal">
      <formula>"In Progress"</formula>
    </cfRule>
    <cfRule type="cellIs" dxfId="1048" priority="452" operator="equal">
      <formula>"Completed"</formula>
    </cfRule>
  </conditionalFormatting>
  <conditionalFormatting sqref="V138">
    <cfRule type="cellIs" dxfId="1047" priority="450" operator="equal">
      <formula>"Not Started"</formula>
    </cfRule>
  </conditionalFormatting>
  <conditionalFormatting sqref="W138">
    <cfRule type="cellIs" dxfId="1046" priority="448" operator="equal">
      <formula>"In Progress"</formula>
    </cfRule>
    <cfRule type="cellIs" dxfId="1045" priority="449" operator="equal">
      <formula>"Completed"</formula>
    </cfRule>
  </conditionalFormatting>
  <conditionalFormatting sqref="W138">
    <cfRule type="cellIs" dxfId="1044" priority="447" operator="equal">
      <formula>"Not Started"</formula>
    </cfRule>
  </conditionalFormatting>
  <conditionalFormatting sqref="X138">
    <cfRule type="cellIs" dxfId="1043" priority="445" operator="equal">
      <formula>"In Progress"</formula>
    </cfRule>
    <cfRule type="cellIs" dxfId="1042" priority="446" operator="equal">
      <formula>"Completed"</formula>
    </cfRule>
  </conditionalFormatting>
  <conditionalFormatting sqref="X138">
    <cfRule type="cellIs" dxfId="1041" priority="444" operator="equal">
      <formula>"Not Started"</formula>
    </cfRule>
  </conditionalFormatting>
  <conditionalFormatting sqref="Y138">
    <cfRule type="cellIs" dxfId="1040" priority="442" operator="equal">
      <formula>"In Progress"</formula>
    </cfRule>
    <cfRule type="cellIs" dxfId="1039" priority="443" operator="equal">
      <formula>"Completed"</formula>
    </cfRule>
  </conditionalFormatting>
  <conditionalFormatting sqref="Y138">
    <cfRule type="cellIs" dxfId="1038" priority="441" operator="equal">
      <formula>"Not Started"</formula>
    </cfRule>
  </conditionalFormatting>
  <conditionalFormatting sqref="Z138">
    <cfRule type="cellIs" dxfId="1037" priority="439" operator="equal">
      <formula>"In Progress"</formula>
    </cfRule>
    <cfRule type="cellIs" dxfId="1036" priority="440" operator="equal">
      <formula>"Completed"</formula>
    </cfRule>
  </conditionalFormatting>
  <conditionalFormatting sqref="Z138">
    <cfRule type="cellIs" dxfId="1035" priority="438" operator="equal">
      <formula>"Not Started"</formula>
    </cfRule>
  </conditionalFormatting>
  <conditionalFormatting sqref="AA138">
    <cfRule type="cellIs" dxfId="1034" priority="436" operator="equal">
      <formula>"In Progress"</formula>
    </cfRule>
    <cfRule type="cellIs" dxfId="1033" priority="437" operator="equal">
      <formula>"Completed"</formula>
    </cfRule>
  </conditionalFormatting>
  <conditionalFormatting sqref="AA138">
    <cfRule type="cellIs" dxfId="1032" priority="435" operator="equal">
      <formula>"Not Started"</formula>
    </cfRule>
  </conditionalFormatting>
  <conditionalFormatting sqref="AB138">
    <cfRule type="cellIs" dxfId="1031" priority="433" operator="equal">
      <formula>"In Progress"</formula>
    </cfRule>
    <cfRule type="cellIs" dxfId="1030" priority="434" operator="equal">
      <formula>"Completed"</formula>
    </cfRule>
  </conditionalFormatting>
  <conditionalFormatting sqref="AB138">
    <cfRule type="cellIs" dxfId="1029" priority="432" operator="equal">
      <formula>"Not Started"</formula>
    </cfRule>
  </conditionalFormatting>
  <conditionalFormatting sqref="W147">
    <cfRule type="cellIs" dxfId="1028" priority="431" operator="equal">
      <formula>"Not Started"</formula>
    </cfRule>
  </conditionalFormatting>
  <conditionalFormatting sqref="AC149">
    <cfRule type="cellIs" dxfId="1027" priority="430" operator="equal">
      <formula>"Not Started"</formula>
    </cfRule>
  </conditionalFormatting>
  <conditionalFormatting sqref="AC140">
    <cfRule type="cellIs" dxfId="1026" priority="429" operator="equal">
      <formula>"Not Started"</formula>
    </cfRule>
  </conditionalFormatting>
  <conditionalFormatting sqref="AC152">
    <cfRule type="cellIs" dxfId="1025" priority="428" operator="equal">
      <formula>"Not Started"</formula>
    </cfRule>
  </conditionalFormatting>
  <conditionalFormatting sqref="AC62">
    <cfRule type="cellIs" dxfId="1024" priority="427" operator="equal">
      <formula>"Not Started"</formula>
    </cfRule>
  </conditionalFormatting>
  <conditionalFormatting sqref="AC25">
    <cfRule type="cellIs" dxfId="1023" priority="426" operator="equal">
      <formula>"Not Started"</formula>
    </cfRule>
  </conditionalFormatting>
  <conditionalFormatting sqref="AC42">
    <cfRule type="cellIs" dxfId="1022" priority="425" operator="equal">
      <formula>"Not Started"</formula>
    </cfRule>
  </conditionalFormatting>
  <conditionalFormatting sqref="AC118">
    <cfRule type="cellIs" dxfId="1021" priority="424" operator="equal">
      <formula>"Not Started"</formula>
    </cfRule>
  </conditionalFormatting>
  <conditionalFormatting sqref="T108">
    <cfRule type="cellIs" dxfId="1020" priority="422" operator="equal">
      <formula>"In Progress"</formula>
    </cfRule>
    <cfRule type="cellIs" dxfId="1019" priority="423" operator="equal">
      <formula>"Completed"</formula>
    </cfRule>
  </conditionalFormatting>
  <conditionalFormatting sqref="T108">
    <cfRule type="cellIs" dxfId="1018" priority="421" operator="equal">
      <formula>"Not Started"</formula>
    </cfRule>
  </conditionalFormatting>
  <conditionalFormatting sqref="U108">
    <cfRule type="cellIs" dxfId="1017" priority="419" operator="equal">
      <formula>"In Progress"</formula>
    </cfRule>
    <cfRule type="cellIs" dxfId="1016" priority="420" operator="equal">
      <formula>"Completed"</formula>
    </cfRule>
  </conditionalFormatting>
  <conditionalFormatting sqref="U108">
    <cfRule type="cellIs" dxfId="1015" priority="418" operator="equal">
      <formula>"Not Started"</formula>
    </cfRule>
  </conditionalFormatting>
  <conditionalFormatting sqref="V108">
    <cfRule type="cellIs" dxfId="1014" priority="416" operator="equal">
      <formula>"In Progress"</formula>
    </cfRule>
    <cfRule type="cellIs" dxfId="1013" priority="417" operator="equal">
      <formula>"Completed"</formula>
    </cfRule>
  </conditionalFormatting>
  <conditionalFormatting sqref="V108">
    <cfRule type="cellIs" dxfId="1012" priority="415" operator="equal">
      <formula>"Not Started"</formula>
    </cfRule>
  </conditionalFormatting>
  <conditionalFormatting sqref="X108">
    <cfRule type="cellIs" dxfId="1011" priority="413" operator="equal">
      <formula>"In Progress"</formula>
    </cfRule>
    <cfRule type="cellIs" dxfId="1010" priority="414" operator="equal">
      <formula>"Completed"</formula>
    </cfRule>
  </conditionalFormatting>
  <conditionalFormatting sqref="X108">
    <cfRule type="cellIs" dxfId="1009" priority="412" operator="equal">
      <formula>"Not Started"</formula>
    </cfRule>
  </conditionalFormatting>
  <conditionalFormatting sqref="Y108">
    <cfRule type="cellIs" dxfId="1008" priority="410" operator="equal">
      <formula>"In Progress"</formula>
    </cfRule>
    <cfRule type="cellIs" dxfId="1007" priority="411" operator="equal">
      <formula>"Completed"</formula>
    </cfRule>
  </conditionalFormatting>
  <conditionalFormatting sqref="Y108">
    <cfRule type="cellIs" dxfId="1006" priority="409" operator="equal">
      <formula>"Not Started"</formula>
    </cfRule>
  </conditionalFormatting>
  <conditionalFormatting sqref="Z108">
    <cfRule type="cellIs" dxfId="1005" priority="407" operator="equal">
      <formula>"In Progress"</formula>
    </cfRule>
    <cfRule type="cellIs" dxfId="1004" priority="408" operator="equal">
      <formula>"Completed"</formula>
    </cfRule>
  </conditionalFormatting>
  <conditionalFormatting sqref="Z108">
    <cfRule type="cellIs" dxfId="1003" priority="406" operator="equal">
      <formula>"Not Started"</formula>
    </cfRule>
  </conditionalFormatting>
  <conditionalFormatting sqref="AA108">
    <cfRule type="cellIs" dxfId="1002" priority="404" operator="equal">
      <formula>"In Progress"</formula>
    </cfRule>
    <cfRule type="cellIs" dxfId="1001" priority="405" operator="equal">
      <formula>"Completed"</formula>
    </cfRule>
  </conditionalFormatting>
  <conditionalFormatting sqref="AA108">
    <cfRule type="cellIs" dxfId="1000" priority="403" operator="equal">
      <formula>"Not Started"</formula>
    </cfRule>
  </conditionalFormatting>
  <conditionalFormatting sqref="AB108">
    <cfRule type="cellIs" dxfId="999" priority="401" operator="equal">
      <formula>"In Progress"</formula>
    </cfRule>
    <cfRule type="cellIs" dxfId="998" priority="402" operator="equal">
      <formula>"Completed"</formula>
    </cfRule>
  </conditionalFormatting>
  <conditionalFormatting sqref="AB108">
    <cfRule type="cellIs" dxfId="997" priority="400" operator="equal">
      <formula>"Not Started"</formula>
    </cfRule>
  </conditionalFormatting>
  <conditionalFormatting sqref="T177">
    <cfRule type="cellIs" dxfId="996" priority="398" operator="equal">
      <formula>"In Progress"</formula>
    </cfRule>
    <cfRule type="cellIs" dxfId="995" priority="399" operator="equal">
      <formula>"Completed"</formula>
    </cfRule>
  </conditionalFormatting>
  <conditionalFormatting sqref="T177">
    <cfRule type="cellIs" dxfId="994" priority="397" operator="equal">
      <formula>"Not Started"</formula>
    </cfRule>
  </conditionalFormatting>
  <conditionalFormatting sqref="U177">
    <cfRule type="cellIs" dxfId="993" priority="395" operator="equal">
      <formula>"In Progress"</formula>
    </cfRule>
    <cfRule type="cellIs" dxfId="992" priority="396" operator="equal">
      <formula>"Completed"</formula>
    </cfRule>
  </conditionalFormatting>
  <conditionalFormatting sqref="U177">
    <cfRule type="cellIs" dxfId="991" priority="394" operator="equal">
      <formula>"Not Started"</formula>
    </cfRule>
  </conditionalFormatting>
  <conditionalFormatting sqref="V177">
    <cfRule type="cellIs" dxfId="990" priority="392" operator="equal">
      <formula>"In Progress"</formula>
    </cfRule>
    <cfRule type="cellIs" dxfId="989" priority="393" operator="equal">
      <formula>"Completed"</formula>
    </cfRule>
  </conditionalFormatting>
  <conditionalFormatting sqref="V177">
    <cfRule type="cellIs" dxfId="988" priority="391" operator="equal">
      <formula>"Not Started"</formula>
    </cfRule>
  </conditionalFormatting>
  <conditionalFormatting sqref="Y177">
    <cfRule type="cellIs" dxfId="987" priority="389" operator="equal">
      <formula>"In Progress"</formula>
    </cfRule>
    <cfRule type="cellIs" dxfId="986" priority="390" operator="equal">
      <formula>"Completed"</formula>
    </cfRule>
  </conditionalFormatting>
  <conditionalFormatting sqref="Y177">
    <cfRule type="cellIs" dxfId="985" priority="388" operator="equal">
      <formula>"Not Started"</formula>
    </cfRule>
  </conditionalFormatting>
  <conditionalFormatting sqref="Z177">
    <cfRule type="cellIs" dxfId="984" priority="386" operator="equal">
      <formula>"In Progress"</formula>
    </cfRule>
    <cfRule type="cellIs" dxfId="983" priority="387" operator="equal">
      <formula>"Completed"</formula>
    </cfRule>
  </conditionalFormatting>
  <conditionalFormatting sqref="Z177">
    <cfRule type="cellIs" dxfId="982" priority="385" operator="equal">
      <formula>"Not Started"</formula>
    </cfRule>
  </conditionalFormatting>
  <conditionalFormatting sqref="AA177">
    <cfRule type="cellIs" dxfId="981" priority="383" operator="equal">
      <formula>"In Progress"</formula>
    </cfRule>
    <cfRule type="cellIs" dxfId="980" priority="384" operator="equal">
      <formula>"Completed"</formula>
    </cfRule>
  </conditionalFormatting>
  <conditionalFormatting sqref="AA177">
    <cfRule type="cellIs" dxfId="979" priority="382" operator="equal">
      <formula>"Not Started"</formula>
    </cfRule>
  </conditionalFormatting>
  <conditionalFormatting sqref="AB177">
    <cfRule type="cellIs" dxfId="978" priority="380" operator="equal">
      <formula>"In Progress"</formula>
    </cfRule>
    <cfRule type="cellIs" dxfId="977" priority="381" operator="equal">
      <formula>"Completed"</formula>
    </cfRule>
  </conditionalFormatting>
  <conditionalFormatting sqref="AB177">
    <cfRule type="cellIs" dxfId="976" priority="379" operator="equal">
      <formula>"Not Started"</formula>
    </cfRule>
  </conditionalFormatting>
  <conditionalFormatting sqref="T175">
    <cfRule type="cellIs" dxfId="975" priority="377" operator="equal">
      <formula>"In Progress"</formula>
    </cfRule>
    <cfRule type="cellIs" dxfId="974" priority="378" operator="equal">
      <formula>"Completed"</formula>
    </cfRule>
  </conditionalFormatting>
  <conditionalFormatting sqref="T175">
    <cfRule type="cellIs" dxfId="973" priority="376" operator="equal">
      <formula>"Not Started"</formula>
    </cfRule>
  </conditionalFormatting>
  <conditionalFormatting sqref="U175">
    <cfRule type="cellIs" dxfId="972" priority="374" operator="equal">
      <formula>"In Progress"</formula>
    </cfRule>
    <cfRule type="cellIs" dxfId="971" priority="375" operator="equal">
      <formula>"Completed"</formula>
    </cfRule>
  </conditionalFormatting>
  <conditionalFormatting sqref="U175">
    <cfRule type="cellIs" dxfId="970" priority="373" operator="equal">
      <formula>"Not Started"</formula>
    </cfRule>
  </conditionalFormatting>
  <conditionalFormatting sqref="V175">
    <cfRule type="cellIs" dxfId="969" priority="371" operator="equal">
      <formula>"In Progress"</formula>
    </cfRule>
    <cfRule type="cellIs" dxfId="968" priority="372" operator="equal">
      <formula>"Completed"</formula>
    </cfRule>
  </conditionalFormatting>
  <conditionalFormatting sqref="V175">
    <cfRule type="cellIs" dxfId="967" priority="370" operator="equal">
      <formula>"Not Started"</formula>
    </cfRule>
  </conditionalFormatting>
  <conditionalFormatting sqref="W175">
    <cfRule type="cellIs" dxfId="966" priority="368" operator="equal">
      <formula>"In Progress"</formula>
    </cfRule>
    <cfRule type="cellIs" dxfId="965" priority="369" operator="equal">
      <formula>"Completed"</formula>
    </cfRule>
  </conditionalFormatting>
  <conditionalFormatting sqref="W175">
    <cfRule type="cellIs" dxfId="964" priority="367" operator="equal">
      <formula>"Not Started"</formula>
    </cfRule>
  </conditionalFormatting>
  <conditionalFormatting sqref="X175">
    <cfRule type="cellIs" dxfId="963" priority="365" operator="equal">
      <formula>"In Progress"</formula>
    </cfRule>
    <cfRule type="cellIs" dxfId="962" priority="366" operator="equal">
      <formula>"Completed"</formula>
    </cfRule>
  </conditionalFormatting>
  <conditionalFormatting sqref="X175">
    <cfRule type="cellIs" dxfId="961" priority="364" operator="equal">
      <formula>"Not Started"</formula>
    </cfRule>
  </conditionalFormatting>
  <conditionalFormatting sqref="Y175">
    <cfRule type="cellIs" dxfId="960" priority="362" operator="equal">
      <formula>"In Progress"</formula>
    </cfRule>
    <cfRule type="cellIs" dxfId="959" priority="363" operator="equal">
      <formula>"Completed"</formula>
    </cfRule>
  </conditionalFormatting>
  <conditionalFormatting sqref="Y175">
    <cfRule type="cellIs" dxfId="958" priority="361" operator="equal">
      <formula>"Not Started"</formula>
    </cfRule>
  </conditionalFormatting>
  <conditionalFormatting sqref="Z175">
    <cfRule type="cellIs" dxfId="957" priority="359" operator="equal">
      <formula>"In Progress"</formula>
    </cfRule>
    <cfRule type="cellIs" dxfId="956" priority="360" operator="equal">
      <formula>"Completed"</formula>
    </cfRule>
  </conditionalFormatting>
  <conditionalFormatting sqref="Z175">
    <cfRule type="cellIs" dxfId="955" priority="358" operator="equal">
      <formula>"Not Started"</formula>
    </cfRule>
  </conditionalFormatting>
  <conditionalFormatting sqref="AA175">
    <cfRule type="cellIs" dxfId="954" priority="356" operator="equal">
      <formula>"In Progress"</formula>
    </cfRule>
    <cfRule type="cellIs" dxfId="953" priority="357" operator="equal">
      <formula>"Completed"</formula>
    </cfRule>
  </conditionalFormatting>
  <conditionalFormatting sqref="AA175">
    <cfRule type="cellIs" dxfId="952" priority="355" operator="equal">
      <formula>"Not Started"</formula>
    </cfRule>
  </conditionalFormatting>
  <conditionalFormatting sqref="AB175">
    <cfRule type="cellIs" dxfId="951" priority="353" operator="equal">
      <formula>"In Progress"</formula>
    </cfRule>
    <cfRule type="cellIs" dxfId="950" priority="354" operator="equal">
      <formula>"Completed"</formula>
    </cfRule>
  </conditionalFormatting>
  <conditionalFormatting sqref="AB175">
    <cfRule type="cellIs" dxfId="949" priority="352" operator="equal">
      <formula>"Not Started"</formula>
    </cfRule>
  </conditionalFormatting>
  <conditionalFormatting sqref="T48">
    <cfRule type="cellIs" dxfId="948" priority="350" operator="equal">
      <formula>"In Progress"</formula>
    </cfRule>
    <cfRule type="cellIs" dxfId="947" priority="351" operator="equal">
      <formula>"Completed"</formula>
    </cfRule>
  </conditionalFormatting>
  <conditionalFormatting sqref="T48">
    <cfRule type="cellIs" dxfId="946" priority="349" operator="equal">
      <formula>"Not Started"</formula>
    </cfRule>
  </conditionalFormatting>
  <conditionalFormatting sqref="U48">
    <cfRule type="cellIs" dxfId="945" priority="347" operator="equal">
      <formula>"In Progress"</formula>
    </cfRule>
    <cfRule type="cellIs" dxfId="944" priority="348" operator="equal">
      <formula>"Completed"</formula>
    </cfRule>
  </conditionalFormatting>
  <conditionalFormatting sqref="U48">
    <cfRule type="cellIs" dxfId="943" priority="346" operator="equal">
      <formula>"Not Started"</formula>
    </cfRule>
  </conditionalFormatting>
  <conditionalFormatting sqref="V48">
    <cfRule type="cellIs" dxfId="942" priority="344" operator="equal">
      <formula>"In Progress"</formula>
    </cfRule>
    <cfRule type="cellIs" dxfId="941" priority="345" operator="equal">
      <formula>"Completed"</formula>
    </cfRule>
  </conditionalFormatting>
  <conditionalFormatting sqref="V48">
    <cfRule type="cellIs" dxfId="940" priority="343" operator="equal">
      <formula>"Not Started"</formula>
    </cfRule>
  </conditionalFormatting>
  <conditionalFormatting sqref="X48">
    <cfRule type="cellIs" dxfId="939" priority="341" operator="equal">
      <formula>"In Progress"</formula>
    </cfRule>
    <cfRule type="cellIs" dxfId="938" priority="342" operator="equal">
      <formula>"Completed"</formula>
    </cfRule>
  </conditionalFormatting>
  <conditionalFormatting sqref="X48">
    <cfRule type="cellIs" dxfId="937" priority="340" operator="equal">
      <formula>"Not Started"</formula>
    </cfRule>
  </conditionalFormatting>
  <conditionalFormatting sqref="Y48">
    <cfRule type="cellIs" dxfId="936" priority="338" operator="equal">
      <formula>"In Progress"</formula>
    </cfRule>
    <cfRule type="cellIs" dxfId="935" priority="339" operator="equal">
      <formula>"Completed"</formula>
    </cfRule>
  </conditionalFormatting>
  <conditionalFormatting sqref="Y48">
    <cfRule type="cellIs" dxfId="934" priority="337" operator="equal">
      <formula>"Not Started"</formula>
    </cfRule>
  </conditionalFormatting>
  <conditionalFormatting sqref="Z48">
    <cfRule type="cellIs" dxfId="933" priority="335" operator="equal">
      <formula>"In Progress"</formula>
    </cfRule>
    <cfRule type="cellIs" dxfId="932" priority="336" operator="equal">
      <formula>"Completed"</formula>
    </cfRule>
  </conditionalFormatting>
  <conditionalFormatting sqref="Z48">
    <cfRule type="cellIs" dxfId="931" priority="334" operator="equal">
      <formula>"Not Started"</formula>
    </cfRule>
  </conditionalFormatting>
  <conditionalFormatting sqref="AA48">
    <cfRule type="cellIs" dxfId="930" priority="332" operator="equal">
      <formula>"In Progress"</formula>
    </cfRule>
    <cfRule type="cellIs" dxfId="929" priority="333" operator="equal">
      <formula>"Completed"</formula>
    </cfRule>
  </conditionalFormatting>
  <conditionalFormatting sqref="AA48">
    <cfRule type="cellIs" dxfId="928" priority="331" operator="equal">
      <formula>"Not Started"</formula>
    </cfRule>
  </conditionalFormatting>
  <conditionalFormatting sqref="AB48">
    <cfRule type="cellIs" dxfId="927" priority="329" operator="equal">
      <formula>"In Progress"</formula>
    </cfRule>
    <cfRule type="cellIs" dxfId="926" priority="330" operator="equal">
      <formula>"Completed"</formula>
    </cfRule>
  </conditionalFormatting>
  <conditionalFormatting sqref="AB48">
    <cfRule type="cellIs" dxfId="925" priority="328" operator="equal">
      <formula>"Not Started"</formula>
    </cfRule>
  </conditionalFormatting>
  <conditionalFormatting sqref="AC186">
    <cfRule type="cellIs" dxfId="924" priority="326" operator="equal">
      <formula>"In Progress"</formula>
    </cfRule>
    <cfRule type="cellIs" dxfId="923" priority="327" operator="equal">
      <formula>"Completed"</formula>
    </cfRule>
  </conditionalFormatting>
  <conditionalFormatting sqref="AC186">
    <cfRule type="cellIs" dxfId="922" priority="325" operator="equal">
      <formula>"Not Started"</formula>
    </cfRule>
  </conditionalFormatting>
  <conditionalFormatting sqref="AC192">
    <cfRule type="cellIs" dxfId="921" priority="323" operator="equal">
      <formula>"In Progress"</formula>
    </cfRule>
    <cfRule type="cellIs" dxfId="920" priority="324" operator="equal">
      <formula>"Completed"</formula>
    </cfRule>
  </conditionalFormatting>
  <conditionalFormatting sqref="AC192">
    <cfRule type="cellIs" dxfId="919" priority="322" operator="equal">
      <formula>"Not Started"</formula>
    </cfRule>
  </conditionalFormatting>
  <conditionalFormatting sqref="AC106">
    <cfRule type="cellIs" dxfId="918" priority="320" operator="equal">
      <formula>"In Progress"</formula>
    </cfRule>
    <cfRule type="cellIs" dxfId="917" priority="321" operator="equal">
      <formula>"Completed"</formula>
    </cfRule>
  </conditionalFormatting>
  <conditionalFormatting sqref="AC106">
    <cfRule type="cellIs" dxfId="916" priority="319" operator="equal">
      <formula>"Not Started"</formula>
    </cfRule>
  </conditionalFormatting>
  <conditionalFormatting sqref="AC79">
    <cfRule type="cellIs" dxfId="915" priority="317" operator="equal">
      <formula>"In Progress"</formula>
    </cfRule>
    <cfRule type="cellIs" dxfId="914" priority="318" operator="equal">
      <formula>"Completed"</formula>
    </cfRule>
  </conditionalFormatting>
  <conditionalFormatting sqref="AC79">
    <cfRule type="cellIs" dxfId="913" priority="316" operator="equal">
      <formula>"Not Started"</formula>
    </cfRule>
  </conditionalFormatting>
  <conditionalFormatting sqref="AC75">
    <cfRule type="cellIs" dxfId="912" priority="315" operator="equal">
      <formula>"Not Started"</formula>
    </cfRule>
  </conditionalFormatting>
  <conditionalFormatting sqref="AC96">
    <cfRule type="cellIs" dxfId="911" priority="314" operator="equal">
      <formula>"Not Started"</formula>
    </cfRule>
  </conditionalFormatting>
  <conditionalFormatting sqref="T180">
    <cfRule type="cellIs" dxfId="910" priority="312" operator="equal">
      <formula>"In Progress"</formula>
    </cfRule>
    <cfRule type="cellIs" dxfId="909" priority="313" operator="equal">
      <formula>"Completed"</formula>
    </cfRule>
  </conditionalFormatting>
  <conditionalFormatting sqref="T180">
    <cfRule type="cellIs" dxfId="908" priority="311" operator="equal">
      <formula>"Not Started"</formula>
    </cfRule>
  </conditionalFormatting>
  <conditionalFormatting sqref="U180">
    <cfRule type="cellIs" dxfId="907" priority="309" operator="equal">
      <formula>"In Progress"</formula>
    </cfRule>
    <cfRule type="cellIs" dxfId="906" priority="310" operator="equal">
      <formula>"Completed"</formula>
    </cfRule>
  </conditionalFormatting>
  <conditionalFormatting sqref="U180">
    <cfRule type="cellIs" dxfId="905" priority="308" operator="equal">
      <formula>"Not Started"</formula>
    </cfRule>
  </conditionalFormatting>
  <conditionalFormatting sqref="V180">
    <cfRule type="cellIs" dxfId="904" priority="306" operator="equal">
      <formula>"In Progress"</formula>
    </cfRule>
    <cfRule type="cellIs" dxfId="903" priority="307" operator="equal">
      <formula>"Completed"</formula>
    </cfRule>
  </conditionalFormatting>
  <conditionalFormatting sqref="V180">
    <cfRule type="cellIs" dxfId="902" priority="305" operator="equal">
      <formula>"Not Started"</formula>
    </cfRule>
  </conditionalFormatting>
  <conditionalFormatting sqref="X180">
    <cfRule type="cellIs" dxfId="901" priority="303" operator="equal">
      <formula>"In Progress"</formula>
    </cfRule>
    <cfRule type="cellIs" dxfId="900" priority="304" operator="equal">
      <formula>"Completed"</formula>
    </cfRule>
  </conditionalFormatting>
  <conditionalFormatting sqref="X180">
    <cfRule type="cellIs" dxfId="899" priority="302" operator="equal">
      <formula>"Not Started"</formula>
    </cfRule>
  </conditionalFormatting>
  <conditionalFormatting sqref="Y180">
    <cfRule type="cellIs" dxfId="898" priority="300" operator="equal">
      <formula>"In Progress"</formula>
    </cfRule>
    <cfRule type="cellIs" dxfId="897" priority="301" operator="equal">
      <formula>"Completed"</formula>
    </cfRule>
  </conditionalFormatting>
  <conditionalFormatting sqref="Y180">
    <cfRule type="cellIs" dxfId="896" priority="299" operator="equal">
      <formula>"Not Started"</formula>
    </cfRule>
  </conditionalFormatting>
  <conditionalFormatting sqref="Z180">
    <cfRule type="cellIs" dxfId="895" priority="297" operator="equal">
      <formula>"In Progress"</formula>
    </cfRule>
    <cfRule type="cellIs" dxfId="894" priority="298" operator="equal">
      <formula>"Completed"</formula>
    </cfRule>
  </conditionalFormatting>
  <conditionalFormatting sqref="Z180">
    <cfRule type="cellIs" dxfId="893" priority="296" operator="equal">
      <formula>"Not Started"</formula>
    </cfRule>
  </conditionalFormatting>
  <conditionalFormatting sqref="AA180">
    <cfRule type="cellIs" dxfId="892" priority="294" operator="equal">
      <formula>"In Progress"</formula>
    </cfRule>
    <cfRule type="cellIs" dxfId="891" priority="295" operator="equal">
      <formula>"Completed"</formula>
    </cfRule>
  </conditionalFormatting>
  <conditionalFormatting sqref="AA180">
    <cfRule type="cellIs" dxfId="890" priority="293" operator="equal">
      <formula>"Not Started"</formula>
    </cfRule>
  </conditionalFormatting>
  <conditionalFormatting sqref="AB180">
    <cfRule type="cellIs" dxfId="889" priority="291" operator="equal">
      <formula>"In Progress"</formula>
    </cfRule>
    <cfRule type="cellIs" dxfId="888" priority="292" operator="equal">
      <formula>"Completed"</formula>
    </cfRule>
  </conditionalFormatting>
  <conditionalFormatting sqref="AB180">
    <cfRule type="cellIs" dxfId="887" priority="290" operator="equal">
      <formula>"Not Started"</formula>
    </cfRule>
  </conditionalFormatting>
  <conditionalFormatting sqref="T195">
    <cfRule type="cellIs" dxfId="886" priority="288" operator="equal">
      <formula>"In Progress"</formula>
    </cfRule>
    <cfRule type="cellIs" dxfId="885" priority="289" operator="equal">
      <formula>"Completed"</formula>
    </cfRule>
  </conditionalFormatting>
  <conditionalFormatting sqref="T195">
    <cfRule type="cellIs" dxfId="884" priority="287" operator="equal">
      <formula>"Not Started"</formula>
    </cfRule>
  </conditionalFormatting>
  <conditionalFormatting sqref="U195">
    <cfRule type="cellIs" dxfId="883" priority="285" operator="equal">
      <formula>"In Progress"</formula>
    </cfRule>
    <cfRule type="cellIs" dxfId="882" priority="286" operator="equal">
      <formula>"Completed"</formula>
    </cfRule>
  </conditionalFormatting>
  <conditionalFormatting sqref="U195">
    <cfRule type="cellIs" dxfId="881" priority="284" operator="equal">
      <formula>"Not Started"</formula>
    </cfRule>
  </conditionalFormatting>
  <conditionalFormatting sqref="V195">
    <cfRule type="cellIs" dxfId="880" priority="282" operator="equal">
      <formula>"In Progress"</formula>
    </cfRule>
    <cfRule type="cellIs" dxfId="879" priority="283" operator="equal">
      <formula>"Completed"</formula>
    </cfRule>
  </conditionalFormatting>
  <conditionalFormatting sqref="V195">
    <cfRule type="cellIs" dxfId="878" priority="281" operator="equal">
      <formula>"Not Started"</formula>
    </cfRule>
  </conditionalFormatting>
  <conditionalFormatting sqref="T32">
    <cfRule type="cellIs" dxfId="877" priority="279" operator="equal">
      <formula>"In Progress"</formula>
    </cfRule>
    <cfRule type="cellIs" dxfId="876" priority="280" operator="equal">
      <formula>"Completed"</formula>
    </cfRule>
  </conditionalFormatting>
  <conditionalFormatting sqref="T32">
    <cfRule type="cellIs" dxfId="875" priority="278" operator="equal">
      <formula>"Not Started"</formula>
    </cfRule>
  </conditionalFormatting>
  <conditionalFormatting sqref="U32">
    <cfRule type="cellIs" dxfId="874" priority="276" operator="equal">
      <formula>"In Progress"</formula>
    </cfRule>
    <cfRule type="cellIs" dxfId="873" priority="277" operator="equal">
      <formula>"Completed"</formula>
    </cfRule>
  </conditionalFormatting>
  <conditionalFormatting sqref="U32">
    <cfRule type="cellIs" dxfId="872" priority="275" operator="equal">
      <formula>"Not Started"</formula>
    </cfRule>
  </conditionalFormatting>
  <conditionalFormatting sqref="V32">
    <cfRule type="cellIs" dxfId="871" priority="273" operator="equal">
      <formula>"In Progress"</formula>
    </cfRule>
    <cfRule type="cellIs" dxfId="870" priority="274" operator="equal">
      <formula>"Completed"</formula>
    </cfRule>
  </conditionalFormatting>
  <conditionalFormatting sqref="V32">
    <cfRule type="cellIs" dxfId="869" priority="272" operator="equal">
      <formula>"Not Started"</formula>
    </cfRule>
  </conditionalFormatting>
  <conditionalFormatting sqref="Y32">
    <cfRule type="cellIs" dxfId="868" priority="270" operator="equal">
      <formula>"In Progress"</formula>
    </cfRule>
    <cfRule type="cellIs" dxfId="867" priority="271" operator="equal">
      <formula>"Completed"</formula>
    </cfRule>
  </conditionalFormatting>
  <conditionalFormatting sqref="Y32">
    <cfRule type="cellIs" dxfId="866" priority="269" operator="equal">
      <formula>"Not Started"</formula>
    </cfRule>
  </conditionalFormatting>
  <conditionalFormatting sqref="Z32">
    <cfRule type="cellIs" dxfId="865" priority="267" operator="equal">
      <formula>"In Progress"</formula>
    </cfRule>
    <cfRule type="cellIs" dxfId="864" priority="268" operator="equal">
      <formula>"Completed"</formula>
    </cfRule>
  </conditionalFormatting>
  <conditionalFormatting sqref="Z32">
    <cfRule type="cellIs" dxfId="863" priority="266" operator="equal">
      <formula>"Not Started"</formula>
    </cfRule>
  </conditionalFormatting>
  <conditionalFormatting sqref="AA32">
    <cfRule type="cellIs" dxfId="862" priority="264" operator="equal">
      <formula>"In Progress"</formula>
    </cfRule>
    <cfRule type="cellIs" dxfId="861" priority="265" operator="equal">
      <formula>"Completed"</formula>
    </cfRule>
  </conditionalFormatting>
  <conditionalFormatting sqref="AA32">
    <cfRule type="cellIs" dxfId="860" priority="263" operator="equal">
      <formula>"Not Started"</formula>
    </cfRule>
  </conditionalFormatting>
  <conditionalFormatting sqref="AB32">
    <cfRule type="cellIs" dxfId="859" priority="261" operator="equal">
      <formula>"In Progress"</formula>
    </cfRule>
    <cfRule type="cellIs" dxfId="858" priority="262" operator="equal">
      <formula>"Completed"</formula>
    </cfRule>
  </conditionalFormatting>
  <conditionalFormatting sqref="AB32">
    <cfRule type="cellIs" dxfId="857" priority="260" operator="equal">
      <formula>"Not Started"</formula>
    </cfRule>
  </conditionalFormatting>
  <conditionalFormatting sqref="T122">
    <cfRule type="cellIs" dxfId="856" priority="258" operator="equal">
      <formula>"In Progress"</formula>
    </cfRule>
    <cfRule type="cellIs" dxfId="855" priority="259" operator="equal">
      <formula>"Completed"</formula>
    </cfRule>
  </conditionalFormatting>
  <conditionalFormatting sqref="T122">
    <cfRule type="cellIs" dxfId="854" priority="257" operator="equal">
      <formula>"Not Started"</formula>
    </cfRule>
  </conditionalFormatting>
  <conditionalFormatting sqref="U122">
    <cfRule type="cellIs" dxfId="853" priority="255" operator="equal">
      <formula>"In Progress"</formula>
    </cfRule>
    <cfRule type="cellIs" dxfId="852" priority="256" operator="equal">
      <formula>"Completed"</formula>
    </cfRule>
  </conditionalFormatting>
  <conditionalFormatting sqref="U122">
    <cfRule type="cellIs" dxfId="851" priority="254" operator="equal">
      <formula>"Not Started"</formula>
    </cfRule>
  </conditionalFormatting>
  <conditionalFormatting sqref="V122">
    <cfRule type="cellIs" dxfId="850" priority="252" operator="equal">
      <formula>"In Progress"</formula>
    </cfRule>
    <cfRule type="cellIs" dxfId="849" priority="253" operator="equal">
      <formula>"Completed"</formula>
    </cfRule>
  </conditionalFormatting>
  <conditionalFormatting sqref="V122">
    <cfRule type="cellIs" dxfId="848" priority="251" operator="equal">
      <formula>"Not Started"</formula>
    </cfRule>
  </conditionalFormatting>
  <conditionalFormatting sqref="Y122">
    <cfRule type="cellIs" dxfId="847" priority="249" operator="equal">
      <formula>"In Progress"</formula>
    </cfRule>
    <cfRule type="cellIs" dxfId="846" priority="250" operator="equal">
      <formula>"Completed"</formula>
    </cfRule>
  </conditionalFormatting>
  <conditionalFormatting sqref="Y122">
    <cfRule type="cellIs" dxfId="845" priority="248" operator="equal">
      <formula>"Not Started"</formula>
    </cfRule>
  </conditionalFormatting>
  <conditionalFormatting sqref="Z122">
    <cfRule type="cellIs" dxfId="844" priority="246" operator="equal">
      <formula>"In Progress"</formula>
    </cfRule>
    <cfRule type="cellIs" dxfId="843" priority="247" operator="equal">
      <formula>"Completed"</formula>
    </cfRule>
  </conditionalFormatting>
  <conditionalFormatting sqref="Z122">
    <cfRule type="cellIs" dxfId="842" priority="245" operator="equal">
      <formula>"Not Started"</formula>
    </cfRule>
  </conditionalFormatting>
  <conditionalFormatting sqref="AA122">
    <cfRule type="cellIs" dxfId="841" priority="243" operator="equal">
      <formula>"In Progress"</formula>
    </cfRule>
    <cfRule type="cellIs" dxfId="840" priority="244" operator="equal">
      <formula>"Completed"</formula>
    </cfRule>
  </conditionalFormatting>
  <conditionalFormatting sqref="AA122">
    <cfRule type="cellIs" dxfId="839" priority="242" operator="equal">
      <formula>"Not Started"</formula>
    </cfRule>
  </conditionalFormatting>
  <conditionalFormatting sqref="AB122">
    <cfRule type="cellIs" dxfId="838" priority="240" operator="equal">
      <formula>"In Progress"</formula>
    </cfRule>
    <cfRule type="cellIs" dxfId="837" priority="241" operator="equal">
      <formula>"Completed"</formula>
    </cfRule>
  </conditionalFormatting>
  <conditionalFormatting sqref="AB122">
    <cfRule type="cellIs" dxfId="836" priority="239" operator="equal">
      <formula>"Not Started"</formula>
    </cfRule>
  </conditionalFormatting>
  <conditionalFormatting sqref="T115">
    <cfRule type="cellIs" dxfId="835" priority="237" operator="equal">
      <formula>"In Progress"</formula>
    </cfRule>
    <cfRule type="cellIs" dxfId="834" priority="238" operator="equal">
      <formula>"Completed"</formula>
    </cfRule>
  </conditionalFormatting>
  <conditionalFormatting sqref="T115">
    <cfRule type="cellIs" dxfId="833" priority="236" operator="equal">
      <formula>"Not Started"</formula>
    </cfRule>
  </conditionalFormatting>
  <conditionalFormatting sqref="U115">
    <cfRule type="cellIs" dxfId="832" priority="234" operator="equal">
      <formula>"In Progress"</formula>
    </cfRule>
    <cfRule type="cellIs" dxfId="831" priority="235" operator="equal">
      <formula>"Completed"</formula>
    </cfRule>
  </conditionalFormatting>
  <conditionalFormatting sqref="U115">
    <cfRule type="cellIs" dxfId="830" priority="233" operator="equal">
      <formula>"Not Started"</formula>
    </cfRule>
  </conditionalFormatting>
  <conditionalFormatting sqref="V115">
    <cfRule type="cellIs" dxfId="829" priority="231" operator="equal">
      <formula>"In Progress"</formula>
    </cfRule>
    <cfRule type="cellIs" dxfId="828" priority="232" operator="equal">
      <formula>"Completed"</formula>
    </cfRule>
  </conditionalFormatting>
  <conditionalFormatting sqref="V115">
    <cfRule type="cellIs" dxfId="827" priority="230" operator="equal">
      <formula>"Not Started"</formula>
    </cfRule>
  </conditionalFormatting>
  <conditionalFormatting sqref="Y115">
    <cfRule type="cellIs" dxfId="826" priority="228" operator="equal">
      <formula>"In Progress"</formula>
    </cfRule>
    <cfRule type="cellIs" dxfId="825" priority="229" operator="equal">
      <formula>"Completed"</formula>
    </cfRule>
  </conditionalFormatting>
  <conditionalFormatting sqref="Y115">
    <cfRule type="cellIs" dxfId="824" priority="227" operator="equal">
      <formula>"Not Started"</formula>
    </cfRule>
  </conditionalFormatting>
  <conditionalFormatting sqref="Z115">
    <cfRule type="cellIs" dxfId="823" priority="225" operator="equal">
      <formula>"In Progress"</formula>
    </cfRule>
    <cfRule type="cellIs" dxfId="822" priority="226" operator="equal">
      <formula>"Completed"</formula>
    </cfRule>
  </conditionalFormatting>
  <conditionalFormatting sqref="Z115">
    <cfRule type="cellIs" dxfId="821" priority="224" operator="equal">
      <formula>"Not Started"</formula>
    </cfRule>
  </conditionalFormatting>
  <conditionalFormatting sqref="AA115">
    <cfRule type="cellIs" dxfId="820" priority="222" operator="equal">
      <formula>"In Progress"</formula>
    </cfRule>
    <cfRule type="cellIs" dxfId="819" priority="223" operator="equal">
      <formula>"Completed"</formula>
    </cfRule>
  </conditionalFormatting>
  <conditionalFormatting sqref="AA115">
    <cfRule type="cellIs" dxfId="818" priority="221" operator="equal">
      <formula>"Not Started"</formula>
    </cfRule>
  </conditionalFormatting>
  <conditionalFormatting sqref="AB115">
    <cfRule type="cellIs" dxfId="817" priority="219" operator="equal">
      <formula>"In Progress"</formula>
    </cfRule>
    <cfRule type="cellIs" dxfId="816" priority="220" operator="equal">
      <formula>"Completed"</formula>
    </cfRule>
  </conditionalFormatting>
  <conditionalFormatting sqref="AB115">
    <cfRule type="cellIs" dxfId="815" priority="218" operator="equal">
      <formula>"Not Started"</formula>
    </cfRule>
  </conditionalFormatting>
  <conditionalFormatting sqref="T198">
    <cfRule type="cellIs" dxfId="814" priority="216" operator="equal">
      <formula>"In Progress"</formula>
    </cfRule>
    <cfRule type="cellIs" dxfId="813" priority="217" operator="equal">
      <formula>"Completed"</formula>
    </cfRule>
  </conditionalFormatting>
  <conditionalFormatting sqref="T198">
    <cfRule type="cellIs" dxfId="812" priority="215" operator="equal">
      <formula>"Not Started"</formula>
    </cfRule>
  </conditionalFormatting>
  <conditionalFormatting sqref="U198">
    <cfRule type="cellIs" dxfId="811" priority="213" operator="equal">
      <formula>"In Progress"</formula>
    </cfRule>
    <cfRule type="cellIs" dxfId="810" priority="214" operator="equal">
      <formula>"Completed"</formula>
    </cfRule>
  </conditionalFormatting>
  <conditionalFormatting sqref="U198">
    <cfRule type="cellIs" dxfId="809" priority="212" operator="equal">
      <formula>"Not Started"</formula>
    </cfRule>
  </conditionalFormatting>
  <conditionalFormatting sqref="V198">
    <cfRule type="cellIs" dxfId="808" priority="210" operator="equal">
      <formula>"In Progress"</formula>
    </cfRule>
    <cfRule type="cellIs" dxfId="807" priority="211" operator="equal">
      <formula>"Completed"</formula>
    </cfRule>
  </conditionalFormatting>
  <conditionalFormatting sqref="V198">
    <cfRule type="cellIs" dxfId="806" priority="209" operator="equal">
      <formula>"Not Started"</formula>
    </cfRule>
  </conditionalFormatting>
  <conditionalFormatting sqref="Y198">
    <cfRule type="cellIs" dxfId="805" priority="207" operator="equal">
      <formula>"In Progress"</formula>
    </cfRule>
    <cfRule type="cellIs" dxfId="804" priority="208" operator="equal">
      <formula>"Completed"</formula>
    </cfRule>
  </conditionalFormatting>
  <conditionalFormatting sqref="Y198">
    <cfRule type="cellIs" dxfId="803" priority="206" operator="equal">
      <formula>"Not Started"</formula>
    </cfRule>
  </conditionalFormatting>
  <conditionalFormatting sqref="Z198">
    <cfRule type="cellIs" dxfId="802" priority="204" operator="equal">
      <formula>"In Progress"</formula>
    </cfRule>
    <cfRule type="cellIs" dxfId="801" priority="205" operator="equal">
      <formula>"Completed"</formula>
    </cfRule>
  </conditionalFormatting>
  <conditionalFormatting sqref="Z198">
    <cfRule type="cellIs" dxfId="800" priority="203" operator="equal">
      <formula>"Not Started"</formula>
    </cfRule>
  </conditionalFormatting>
  <conditionalFormatting sqref="AA198">
    <cfRule type="cellIs" dxfId="799" priority="201" operator="equal">
      <formula>"In Progress"</formula>
    </cfRule>
    <cfRule type="cellIs" dxfId="798" priority="202" operator="equal">
      <formula>"Completed"</formula>
    </cfRule>
  </conditionalFormatting>
  <conditionalFormatting sqref="AA198">
    <cfRule type="cellIs" dxfId="797" priority="200" operator="equal">
      <formula>"Not Started"</formula>
    </cfRule>
  </conditionalFormatting>
  <conditionalFormatting sqref="AB198">
    <cfRule type="cellIs" dxfId="796" priority="198" operator="equal">
      <formula>"In Progress"</formula>
    </cfRule>
    <cfRule type="cellIs" dxfId="795" priority="199" operator="equal">
      <formula>"Completed"</formula>
    </cfRule>
  </conditionalFormatting>
  <conditionalFormatting sqref="AB198">
    <cfRule type="cellIs" dxfId="794" priority="197" operator="equal">
      <formula>"Not Started"</formula>
    </cfRule>
  </conditionalFormatting>
  <conditionalFormatting sqref="T173">
    <cfRule type="cellIs" dxfId="793" priority="195" operator="equal">
      <formula>"In Progress"</formula>
    </cfRule>
    <cfRule type="cellIs" dxfId="792" priority="196" operator="equal">
      <formula>"Completed"</formula>
    </cfRule>
  </conditionalFormatting>
  <conditionalFormatting sqref="T173">
    <cfRule type="cellIs" dxfId="791" priority="194" operator="equal">
      <formula>"Not Started"</formula>
    </cfRule>
  </conditionalFormatting>
  <conditionalFormatting sqref="U173">
    <cfRule type="cellIs" dxfId="790" priority="192" operator="equal">
      <formula>"In Progress"</formula>
    </cfRule>
    <cfRule type="cellIs" dxfId="789" priority="193" operator="equal">
      <formula>"Completed"</formula>
    </cfRule>
  </conditionalFormatting>
  <conditionalFormatting sqref="U173">
    <cfRule type="cellIs" dxfId="788" priority="191" operator="equal">
      <formula>"Not Started"</formula>
    </cfRule>
  </conditionalFormatting>
  <conditionalFormatting sqref="V173">
    <cfRule type="cellIs" dxfId="787" priority="189" operator="equal">
      <formula>"In Progress"</formula>
    </cfRule>
    <cfRule type="cellIs" dxfId="786" priority="190" operator="equal">
      <formula>"Completed"</formula>
    </cfRule>
  </conditionalFormatting>
  <conditionalFormatting sqref="V173">
    <cfRule type="cellIs" dxfId="785" priority="188" operator="equal">
      <formula>"Not Started"</formula>
    </cfRule>
  </conditionalFormatting>
  <conditionalFormatting sqref="Y173">
    <cfRule type="cellIs" dxfId="784" priority="186" operator="equal">
      <formula>"In Progress"</formula>
    </cfRule>
    <cfRule type="cellIs" dxfId="783" priority="187" operator="equal">
      <formula>"Completed"</formula>
    </cfRule>
  </conditionalFormatting>
  <conditionalFormatting sqref="Y173">
    <cfRule type="cellIs" dxfId="782" priority="185" operator="equal">
      <formula>"Not Started"</formula>
    </cfRule>
  </conditionalFormatting>
  <conditionalFormatting sqref="Z173">
    <cfRule type="cellIs" dxfId="781" priority="183" operator="equal">
      <formula>"In Progress"</formula>
    </cfRule>
    <cfRule type="cellIs" dxfId="780" priority="184" operator="equal">
      <formula>"Completed"</formula>
    </cfRule>
  </conditionalFormatting>
  <conditionalFormatting sqref="Z173">
    <cfRule type="cellIs" dxfId="779" priority="182" operator="equal">
      <formula>"Not Started"</formula>
    </cfRule>
  </conditionalFormatting>
  <conditionalFormatting sqref="AA173">
    <cfRule type="cellIs" dxfId="778" priority="180" operator="equal">
      <formula>"In Progress"</formula>
    </cfRule>
    <cfRule type="cellIs" dxfId="777" priority="181" operator="equal">
      <formula>"Completed"</formula>
    </cfRule>
  </conditionalFormatting>
  <conditionalFormatting sqref="AA173">
    <cfRule type="cellIs" dxfId="776" priority="179" operator="equal">
      <formula>"Not Started"</formula>
    </cfRule>
  </conditionalFormatting>
  <conditionalFormatting sqref="AB173">
    <cfRule type="cellIs" dxfId="775" priority="177" operator="equal">
      <formula>"In Progress"</formula>
    </cfRule>
    <cfRule type="cellIs" dxfId="774" priority="178" operator="equal">
      <formula>"Completed"</formula>
    </cfRule>
  </conditionalFormatting>
  <conditionalFormatting sqref="AB173">
    <cfRule type="cellIs" dxfId="773" priority="176" operator="equal">
      <formula>"Not Started"</formula>
    </cfRule>
  </conditionalFormatting>
  <conditionalFormatting sqref="T168">
    <cfRule type="cellIs" dxfId="772" priority="174" operator="equal">
      <formula>"In Progress"</formula>
    </cfRule>
    <cfRule type="cellIs" dxfId="771" priority="175" operator="equal">
      <formula>"Completed"</formula>
    </cfRule>
  </conditionalFormatting>
  <conditionalFormatting sqref="T168">
    <cfRule type="cellIs" dxfId="770" priority="173" operator="equal">
      <formula>"Not Started"</formula>
    </cfRule>
  </conditionalFormatting>
  <conditionalFormatting sqref="U168">
    <cfRule type="cellIs" dxfId="769" priority="171" operator="equal">
      <formula>"In Progress"</formula>
    </cfRule>
    <cfRule type="cellIs" dxfId="768" priority="172" operator="equal">
      <formula>"Completed"</formula>
    </cfRule>
  </conditionalFormatting>
  <conditionalFormatting sqref="U168">
    <cfRule type="cellIs" dxfId="767" priority="170" operator="equal">
      <formula>"Not Started"</formula>
    </cfRule>
  </conditionalFormatting>
  <conditionalFormatting sqref="V168">
    <cfRule type="cellIs" dxfId="766" priority="168" operator="equal">
      <formula>"In Progress"</formula>
    </cfRule>
    <cfRule type="cellIs" dxfId="765" priority="169" operator="equal">
      <formula>"Completed"</formula>
    </cfRule>
  </conditionalFormatting>
  <conditionalFormatting sqref="V168">
    <cfRule type="cellIs" dxfId="764" priority="167" operator="equal">
      <formula>"Not Started"</formula>
    </cfRule>
  </conditionalFormatting>
  <conditionalFormatting sqref="W168">
    <cfRule type="cellIs" dxfId="763" priority="165" operator="equal">
      <formula>"In Progress"</formula>
    </cfRule>
    <cfRule type="cellIs" dxfId="762" priority="166" operator="equal">
      <formula>"Completed"</formula>
    </cfRule>
  </conditionalFormatting>
  <conditionalFormatting sqref="W168">
    <cfRule type="cellIs" dxfId="761" priority="164" operator="equal">
      <formula>"Not Started"</formula>
    </cfRule>
  </conditionalFormatting>
  <conditionalFormatting sqref="X168">
    <cfRule type="cellIs" dxfId="760" priority="162" operator="equal">
      <formula>"In Progress"</formula>
    </cfRule>
    <cfRule type="cellIs" dxfId="759" priority="163" operator="equal">
      <formula>"Completed"</formula>
    </cfRule>
  </conditionalFormatting>
  <conditionalFormatting sqref="X168">
    <cfRule type="cellIs" dxfId="758" priority="161" operator="equal">
      <formula>"Not Started"</formula>
    </cfRule>
  </conditionalFormatting>
  <conditionalFormatting sqref="Y168">
    <cfRule type="cellIs" dxfId="757" priority="159" operator="equal">
      <formula>"In Progress"</formula>
    </cfRule>
    <cfRule type="cellIs" dxfId="756" priority="160" operator="equal">
      <formula>"Completed"</formula>
    </cfRule>
  </conditionalFormatting>
  <conditionalFormatting sqref="Y168">
    <cfRule type="cellIs" dxfId="755" priority="158" operator="equal">
      <formula>"Not Started"</formula>
    </cfRule>
  </conditionalFormatting>
  <conditionalFormatting sqref="Z168">
    <cfRule type="cellIs" dxfId="754" priority="156" operator="equal">
      <formula>"In Progress"</formula>
    </cfRule>
    <cfRule type="cellIs" dxfId="753" priority="157" operator="equal">
      <formula>"Completed"</formula>
    </cfRule>
  </conditionalFormatting>
  <conditionalFormatting sqref="Z168">
    <cfRule type="cellIs" dxfId="752" priority="155" operator="equal">
      <formula>"Not Started"</formula>
    </cfRule>
  </conditionalFormatting>
  <conditionalFormatting sqref="AA168">
    <cfRule type="cellIs" dxfId="751" priority="153" operator="equal">
      <formula>"In Progress"</formula>
    </cfRule>
    <cfRule type="cellIs" dxfId="750" priority="154" operator="equal">
      <formula>"Completed"</formula>
    </cfRule>
  </conditionalFormatting>
  <conditionalFormatting sqref="AA168">
    <cfRule type="cellIs" dxfId="749" priority="152" operator="equal">
      <formula>"Not Started"</formula>
    </cfRule>
  </conditionalFormatting>
  <conditionalFormatting sqref="AB168">
    <cfRule type="cellIs" dxfId="748" priority="150" operator="equal">
      <formula>"In Progress"</formula>
    </cfRule>
    <cfRule type="cellIs" dxfId="747" priority="151" operator="equal">
      <formula>"Completed"</formula>
    </cfRule>
  </conditionalFormatting>
  <conditionalFormatting sqref="AB168">
    <cfRule type="cellIs" dxfId="746" priority="149" operator="equal">
      <formula>"Not Started"</formula>
    </cfRule>
  </conditionalFormatting>
  <conditionalFormatting sqref="T191">
    <cfRule type="cellIs" dxfId="745" priority="147" operator="equal">
      <formula>"In Progress"</formula>
    </cfRule>
    <cfRule type="cellIs" dxfId="744" priority="148" operator="equal">
      <formula>"Completed"</formula>
    </cfRule>
  </conditionalFormatting>
  <conditionalFormatting sqref="T191">
    <cfRule type="cellIs" dxfId="743" priority="146" operator="equal">
      <formula>"Not Started"</formula>
    </cfRule>
  </conditionalFormatting>
  <conditionalFormatting sqref="U191">
    <cfRule type="cellIs" dxfId="742" priority="144" operator="equal">
      <formula>"In Progress"</formula>
    </cfRule>
    <cfRule type="cellIs" dxfId="741" priority="145" operator="equal">
      <formula>"Completed"</formula>
    </cfRule>
  </conditionalFormatting>
  <conditionalFormatting sqref="U191">
    <cfRule type="cellIs" dxfId="740" priority="143" operator="equal">
      <formula>"Not Started"</formula>
    </cfRule>
  </conditionalFormatting>
  <conditionalFormatting sqref="V191">
    <cfRule type="cellIs" dxfId="739" priority="141" operator="equal">
      <formula>"In Progress"</formula>
    </cfRule>
    <cfRule type="cellIs" dxfId="738" priority="142" operator="equal">
      <formula>"Completed"</formula>
    </cfRule>
  </conditionalFormatting>
  <conditionalFormatting sqref="V191">
    <cfRule type="cellIs" dxfId="737" priority="140" operator="equal">
      <formula>"Not Started"</formula>
    </cfRule>
  </conditionalFormatting>
  <conditionalFormatting sqref="Y191">
    <cfRule type="cellIs" dxfId="736" priority="138" operator="equal">
      <formula>"In Progress"</formula>
    </cfRule>
    <cfRule type="cellIs" dxfId="735" priority="139" operator="equal">
      <formula>"Completed"</formula>
    </cfRule>
  </conditionalFormatting>
  <conditionalFormatting sqref="Y191">
    <cfRule type="cellIs" dxfId="734" priority="137" operator="equal">
      <formula>"Not Started"</formula>
    </cfRule>
  </conditionalFormatting>
  <conditionalFormatting sqref="Z191">
    <cfRule type="cellIs" dxfId="733" priority="135" operator="equal">
      <formula>"In Progress"</formula>
    </cfRule>
    <cfRule type="cellIs" dxfId="732" priority="136" operator="equal">
      <formula>"Completed"</formula>
    </cfRule>
  </conditionalFormatting>
  <conditionalFormatting sqref="Z191">
    <cfRule type="cellIs" dxfId="731" priority="134" operator="equal">
      <formula>"Not Started"</formula>
    </cfRule>
  </conditionalFormatting>
  <conditionalFormatting sqref="AB45">
    <cfRule type="cellIs" dxfId="730" priority="133" operator="equal">
      <formula>"Not Started"</formula>
    </cfRule>
  </conditionalFormatting>
  <conditionalFormatting sqref="AB123">
    <cfRule type="cellIs" dxfId="729" priority="132" operator="equal">
      <formula>"Not Started"</formula>
    </cfRule>
  </conditionalFormatting>
  <conditionalFormatting sqref="AB139">
    <cfRule type="cellIs" dxfId="728" priority="131" operator="equal">
      <formula>"Not Started"</formula>
    </cfRule>
  </conditionalFormatting>
  <conditionalFormatting sqref="AC49">
    <cfRule type="cellIs" dxfId="727" priority="130" operator="equal">
      <formula>"Not Started"</formula>
    </cfRule>
  </conditionalFormatting>
  <conditionalFormatting sqref="AC34">
    <cfRule type="cellIs" dxfId="726" priority="129" operator="equal">
      <formula>"Not Started"</formula>
    </cfRule>
  </conditionalFormatting>
  <conditionalFormatting sqref="AC189">
    <cfRule type="cellIs" dxfId="725" priority="127" operator="equal">
      <formula>"In Progress"</formula>
    </cfRule>
    <cfRule type="cellIs" dxfId="724" priority="128" operator="equal">
      <formula>"Completed"</formula>
    </cfRule>
  </conditionalFormatting>
  <conditionalFormatting sqref="AC189">
    <cfRule type="cellIs" dxfId="723" priority="126" operator="equal">
      <formula>"Not Started"</formula>
    </cfRule>
  </conditionalFormatting>
  <conditionalFormatting sqref="AC105">
    <cfRule type="cellIs" dxfId="722" priority="125" operator="equal">
      <formula>"Not Started"</formula>
    </cfRule>
  </conditionalFormatting>
  <conditionalFormatting sqref="AC90">
    <cfRule type="cellIs" dxfId="721" priority="124" operator="equal">
      <formula>"Not Started"</formula>
    </cfRule>
  </conditionalFormatting>
  <conditionalFormatting sqref="AC117">
    <cfRule type="cellIs" dxfId="720" priority="123" operator="equal">
      <formula>"Not Started"</formula>
    </cfRule>
  </conditionalFormatting>
  <conditionalFormatting sqref="AC93">
    <cfRule type="cellIs" dxfId="719" priority="122" operator="equal">
      <formula>"Not Started"</formula>
    </cfRule>
  </conditionalFormatting>
  <conditionalFormatting sqref="AC96">
    <cfRule type="cellIs" dxfId="718" priority="121" operator="equal">
      <formula>"Not Started"</formula>
    </cfRule>
  </conditionalFormatting>
  <conditionalFormatting sqref="AC130">
    <cfRule type="cellIs" dxfId="717" priority="119" operator="equal">
      <formula>"In Progress"</formula>
    </cfRule>
    <cfRule type="cellIs" dxfId="716" priority="120" operator="equal">
      <formula>"Completed"</formula>
    </cfRule>
  </conditionalFormatting>
  <conditionalFormatting sqref="AC130">
    <cfRule type="cellIs" dxfId="715" priority="118" operator="equal">
      <formula>"Not Started"</formula>
    </cfRule>
  </conditionalFormatting>
  <conditionalFormatting sqref="AC160">
    <cfRule type="cellIs" dxfId="714" priority="117" operator="equal">
      <formula>"Not Started"</formula>
    </cfRule>
  </conditionalFormatting>
  <conditionalFormatting sqref="AC114">
    <cfRule type="cellIs" dxfId="713" priority="116" operator="equal">
      <formula>"Not Started"</formula>
    </cfRule>
  </conditionalFormatting>
  <conditionalFormatting sqref="AC121">
    <cfRule type="cellIs" dxfId="712" priority="115" operator="equal">
      <formula>"Not Started"</formula>
    </cfRule>
  </conditionalFormatting>
  <conditionalFormatting sqref="AC125">
    <cfRule type="cellIs" dxfId="711" priority="114" operator="equal">
      <formula>"Not Started"</formula>
    </cfRule>
  </conditionalFormatting>
  <conditionalFormatting sqref="AC138">
    <cfRule type="cellIs" dxfId="710" priority="112" operator="equal">
      <formula>"In Progress"</formula>
    </cfRule>
    <cfRule type="cellIs" dxfId="709" priority="113" operator="equal">
      <formula>"Completed"</formula>
    </cfRule>
  </conditionalFormatting>
  <conditionalFormatting sqref="AC138">
    <cfRule type="cellIs" dxfId="708" priority="111" operator="equal">
      <formula>"Not Started"</formula>
    </cfRule>
  </conditionalFormatting>
  <conditionalFormatting sqref="AC166">
    <cfRule type="cellIs" dxfId="707" priority="109" operator="equal">
      <formula>"In Progress"</formula>
    </cfRule>
    <cfRule type="cellIs" dxfId="706" priority="110" operator="equal">
      <formula>"Completed"</formula>
    </cfRule>
  </conditionalFormatting>
  <conditionalFormatting sqref="AC166">
    <cfRule type="cellIs" dxfId="705" priority="108" operator="equal">
      <formula>"Not Started"</formula>
    </cfRule>
  </conditionalFormatting>
  <conditionalFormatting sqref="AC100">
    <cfRule type="cellIs" dxfId="704" priority="106" operator="equal">
      <formula>"In Progress"</formula>
    </cfRule>
    <cfRule type="cellIs" dxfId="703" priority="107" operator="equal">
      <formula>"Completed"</formula>
    </cfRule>
  </conditionalFormatting>
  <conditionalFormatting sqref="AC100">
    <cfRule type="cellIs" dxfId="702" priority="105" operator="equal">
      <formula>"Not Started"</formula>
    </cfRule>
  </conditionalFormatting>
  <conditionalFormatting sqref="AC175">
    <cfRule type="cellIs" dxfId="701" priority="103" operator="equal">
      <formula>"In Progress"</formula>
    </cfRule>
    <cfRule type="cellIs" dxfId="700" priority="104" operator="equal">
      <formula>"Completed"</formula>
    </cfRule>
  </conditionalFormatting>
  <conditionalFormatting sqref="AC175">
    <cfRule type="cellIs" dxfId="699" priority="102" operator="equal">
      <formula>"Not Started"</formula>
    </cfRule>
  </conditionalFormatting>
  <conditionalFormatting sqref="AC181">
    <cfRule type="cellIs" dxfId="698" priority="101" operator="equal">
      <formula>"Not Started"</formula>
    </cfRule>
  </conditionalFormatting>
  <conditionalFormatting sqref="W191:X191">
    <cfRule type="cellIs" dxfId="697" priority="99" operator="equal">
      <formula>"In Progress"</formula>
    </cfRule>
    <cfRule type="cellIs" dxfId="696" priority="100" operator="equal">
      <formula>"Completed"</formula>
    </cfRule>
  </conditionalFormatting>
  <conditionalFormatting sqref="W191:X191">
    <cfRule type="cellIs" dxfId="695" priority="98" operator="equal">
      <formula>"Not Started"</formula>
    </cfRule>
  </conditionalFormatting>
  <conditionalFormatting sqref="AC89">
    <cfRule type="cellIs" dxfId="694" priority="96" operator="equal">
      <formula>"In Progress"</formula>
    </cfRule>
    <cfRule type="cellIs" dxfId="693" priority="97" operator="equal">
      <formula>"Completed"</formula>
    </cfRule>
  </conditionalFormatting>
  <conditionalFormatting sqref="AC89">
    <cfRule type="cellIs" dxfId="692" priority="95" operator="equal">
      <formula>"Not Started"</formula>
    </cfRule>
  </conditionalFormatting>
  <conditionalFormatting sqref="AC168">
    <cfRule type="cellIs" dxfId="691" priority="93" operator="equal">
      <formula>"In Progress"</formula>
    </cfRule>
    <cfRule type="cellIs" dxfId="690" priority="94" operator="equal">
      <formula>"Completed"</formula>
    </cfRule>
  </conditionalFormatting>
  <conditionalFormatting sqref="AC168">
    <cfRule type="cellIs" dxfId="689" priority="92" operator="equal">
      <formula>"Not Started"</formula>
    </cfRule>
  </conditionalFormatting>
  <conditionalFormatting sqref="W128">
    <cfRule type="cellIs" dxfId="688" priority="90" operator="equal">
      <formula>"In Progress"</formula>
    </cfRule>
    <cfRule type="cellIs" dxfId="687" priority="91" operator="equal">
      <formula>"Completed"</formula>
    </cfRule>
  </conditionalFormatting>
  <conditionalFormatting sqref="W128">
    <cfRule type="cellIs" dxfId="686" priority="89" operator="equal">
      <formula>"Not Started"</formula>
    </cfRule>
  </conditionalFormatting>
  <conditionalFormatting sqref="AC128">
    <cfRule type="cellIs" dxfId="685" priority="87" operator="equal">
      <formula>"In Progress"</formula>
    </cfRule>
    <cfRule type="cellIs" dxfId="684" priority="88" operator="equal">
      <formula>"Completed"</formula>
    </cfRule>
  </conditionalFormatting>
  <conditionalFormatting sqref="AC128">
    <cfRule type="cellIs" dxfId="683" priority="86" operator="equal">
      <formula>"Not Started"</formula>
    </cfRule>
  </conditionalFormatting>
  <conditionalFormatting sqref="AC147">
    <cfRule type="cellIs" dxfId="682" priority="85" operator="equal">
      <formula>"Not Started"</formula>
    </cfRule>
  </conditionalFormatting>
  <conditionalFormatting sqref="AC179">
    <cfRule type="cellIs" dxfId="681" priority="84" operator="equal">
      <formula>"Not Started"</formula>
    </cfRule>
  </conditionalFormatting>
  <conditionalFormatting sqref="AC80">
    <cfRule type="cellIs" dxfId="680" priority="83" operator="equal">
      <formula>"Not Started"</formula>
    </cfRule>
  </conditionalFormatting>
  <conditionalFormatting sqref="W173">
    <cfRule type="cellIs" dxfId="679" priority="81" operator="equal">
      <formula>"In Progress"</formula>
    </cfRule>
    <cfRule type="cellIs" dxfId="678" priority="82" operator="equal">
      <formula>"Completed"</formula>
    </cfRule>
  </conditionalFormatting>
  <conditionalFormatting sqref="W173">
    <cfRule type="cellIs" dxfId="677" priority="80" operator="equal">
      <formula>"Not Started"</formula>
    </cfRule>
  </conditionalFormatting>
  <conditionalFormatting sqref="W115">
    <cfRule type="cellIs" dxfId="676" priority="78" operator="equal">
      <formula>"In Progress"</formula>
    </cfRule>
    <cfRule type="cellIs" dxfId="675" priority="79" operator="equal">
      <formula>"Completed"</formula>
    </cfRule>
  </conditionalFormatting>
  <conditionalFormatting sqref="W115">
    <cfRule type="cellIs" dxfId="674" priority="77" operator="equal">
      <formula>"Not Started"</formula>
    </cfRule>
  </conditionalFormatting>
  <conditionalFormatting sqref="W178">
    <cfRule type="cellIs" dxfId="673" priority="75" operator="equal">
      <formula>"In Progress"</formula>
    </cfRule>
    <cfRule type="cellIs" dxfId="672" priority="76" operator="equal">
      <formula>"Completed"</formula>
    </cfRule>
  </conditionalFormatting>
  <conditionalFormatting sqref="W178">
    <cfRule type="cellIs" dxfId="671" priority="74" operator="equal">
      <formula>"Not Started"</formula>
    </cfRule>
  </conditionalFormatting>
  <conditionalFormatting sqref="AC178">
    <cfRule type="cellIs" dxfId="670" priority="72" operator="equal">
      <formula>"In Progress"</formula>
    </cfRule>
    <cfRule type="cellIs" dxfId="669" priority="73" operator="equal">
      <formula>"Completed"</formula>
    </cfRule>
  </conditionalFormatting>
  <conditionalFormatting sqref="AC178">
    <cfRule type="cellIs" dxfId="668" priority="71" operator="equal">
      <formula>"Not Started"</formula>
    </cfRule>
  </conditionalFormatting>
  <conditionalFormatting sqref="W36">
    <cfRule type="cellIs" dxfId="667" priority="69" operator="equal">
      <formula>"In Progress"</formula>
    </cfRule>
    <cfRule type="cellIs" dxfId="666" priority="70" operator="equal">
      <formula>"Completed"</formula>
    </cfRule>
  </conditionalFormatting>
  <conditionalFormatting sqref="W36">
    <cfRule type="cellIs" dxfId="665" priority="68" operator="equal">
      <formula>"Not Started"</formula>
    </cfRule>
  </conditionalFormatting>
  <conditionalFormatting sqref="AC36">
    <cfRule type="cellIs" dxfId="664" priority="66" operator="equal">
      <formula>"In Progress"</formula>
    </cfRule>
    <cfRule type="cellIs" dxfId="663" priority="67" operator="equal">
      <formula>"Completed"</formula>
    </cfRule>
  </conditionalFormatting>
  <conditionalFormatting sqref="AC36">
    <cfRule type="cellIs" dxfId="662" priority="65" operator="equal">
      <formula>"Not Started"</formula>
    </cfRule>
  </conditionalFormatting>
  <conditionalFormatting sqref="W177">
    <cfRule type="cellIs" dxfId="661" priority="63" operator="equal">
      <formula>"In Progress"</formula>
    </cfRule>
    <cfRule type="cellIs" dxfId="660" priority="64" operator="equal">
      <formula>"Completed"</formula>
    </cfRule>
  </conditionalFormatting>
  <conditionalFormatting sqref="W177">
    <cfRule type="cellIs" dxfId="659" priority="62" operator="equal">
      <formula>"Not Started"</formula>
    </cfRule>
  </conditionalFormatting>
  <conditionalFormatting sqref="X177">
    <cfRule type="cellIs" dxfId="658" priority="60" operator="equal">
      <formula>"In Progress"</formula>
    </cfRule>
    <cfRule type="cellIs" dxfId="657" priority="61" operator="equal">
      <formula>"Completed"</formula>
    </cfRule>
  </conditionalFormatting>
  <conditionalFormatting sqref="X177">
    <cfRule type="cellIs" dxfId="656" priority="59" operator="equal">
      <formula>"Not Started"</formula>
    </cfRule>
  </conditionalFormatting>
  <conditionalFormatting sqref="AC174">
    <cfRule type="cellIs" dxfId="655" priority="58" operator="equal">
      <formula>"Not Started"</formula>
    </cfRule>
  </conditionalFormatting>
  <conditionalFormatting sqref="W32">
    <cfRule type="cellIs" dxfId="654" priority="56" operator="equal">
      <formula>"In Progress"</formula>
    </cfRule>
    <cfRule type="cellIs" dxfId="653" priority="57" operator="equal">
      <formula>"Completed"</formula>
    </cfRule>
  </conditionalFormatting>
  <conditionalFormatting sqref="W32">
    <cfRule type="cellIs" dxfId="652" priority="55" operator="equal">
      <formula>"Not Started"</formula>
    </cfRule>
  </conditionalFormatting>
  <conditionalFormatting sqref="W48">
    <cfRule type="cellIs" dxfId="651" priority="53" operator="equal">
      <formula>"In Progress"</formula>
    </cfRule>
    <cfRule type="cellIs" dxfId="650" priority="54" operator="equal">
      <formula>"Completed"</formula>
    </cfRule>
  </conditionalFormatting>
  <conditionalFormatting sqref="W48">
    <cfRule type="cellIs" dxfId="649" priority="52" operator="equal">
      <formula>"Not Started"</formula>
    </cfRule>
  </conditionalFormatting>
  <conditionalFormatting sqref="W108">
    <cfRule type="cellIs" dxfId="648" priority="50" operator="equal">
      <formula>"In Progress"</formula>
    </cfRule>
    <cfRule type="cellIs" dxfId="647" priority="51" operator="equal">
      <formula>"Completed"</formula>
    </cfRule>
  </conditionalFormatting>
  <conditionalFormatting sqref="W108">
    <cfRule type="cellIs" dxfId="646" priority="49" operator="equal">
      <formula>"Not Started"</formula>
    </cfRule>
  </conditionalFormatting>
  <conditionalFormatting sqref="W122">
    <cfRule type="cellIs" dxfId="645" priority="47" operator="equal">
      <formula>"In Progress"</formula>
    </cfRule>
    <cfRule type="cellIs" dxfId="644" priority="48" operator="equal">
      <formula>"Completed"</formula>
    </cfRule>
  </conditionalFormatting>
  <conditionalFormatting sqref="W122">
    <cfRule type="cellIs" dxfId="643" priority="46" operator="equal">
      <formula>"Not Started"</formula>
    </cfRule>
  </conditionalFormatting>
  <conditionalFormatting sqref="W167">
    <cfRule type="cellIs" dxfId="642" priority="44" operator="equal">
      <formula>"In Progress"</formula>
    </cfRule>
    <cfRule type="cellIs" dxfId="641" priority="45" operator="equal">
      <formula>"Completed"</formula>
    </cfRule>
  </conditionalFormatting>
  <conditionalFormatting sqref="W167">
    <cfRule type="cellIs" dxfId="640" priority="43" operator="equal">
      <formula>"Not Started"</formula>
    </cfRule>
  </conditionalFormatting>
  <conditionalFormatting sqref="W171">
    <cfRule type="cellIs" dxfId="639" priority="41" operator="equal">
      <formula>"In Progress"</formula>
    </cfRule>
    <cfRule type="cellIs" dxfId="638" priority="42" operator="equal">
      <formula>"Completed"</formula>
    </cfRule>
  </conditionalFormatting>
  <conditionalFormatting sqref="W171">
    <cfRule type="cellIs" dxfId="637" priority="40" operator="equal">
      <formula>"Not Started"</formula>
    </cfRule>
  </conditionalFormatting>
  <conditionalFormatting sqref="W180">
    <cfRule type="cellIs" dxfId="636" priority="38" operator="equal">
      <formula>"In Progress"</formula>
    </cfRule>
    <cfRule type="cellIs" dxfId="635" priority="39" operator="equal">
      <formula>"Completed"</formula>
    </cfRule>
  </conditionalFormatting>
  <conditionalFormatting sqref="W180">
    <cfRule type="cellIs" dxfId="634" priority="37" operator="equal">
      <formula>"Not Started"</formula>
    </cfRule>
  </conditionalFormatting>
  <conditionalFormatting sqref="W195">
    <cfRule type="cellIs" dxfId="633" priority="35" operator="equal">
      <formula>"In Progress"</formula>
    </cfRule>
    <cfRule type="cellIs" dxfId="632" priority="36" operator="equal">
      <formula>"Completed"</formula>
    </cfRule>
  </conditionalFormatting>
  <conditionalFormatting sqref="W195">
    <cfRule type="cellIs" dxfId="631" priority="34" operator="equal">
      <formula>"Not Started"</formula>
    </cfRule>
  </conditionalFormatting>
  <conditionalFormatting sqref="W198">
    <cfRule type="cellIs" dxfId="630" priority="32" operator="equal">
      <formula>"In Progress"</formula>
    </cfRule>
    <cfRule type="cellIs" dxfId="629" priority="33" operator="equal">
      <formula>"Completed"</formula>
    </cfRule>
  </conditionalFormatting>
  <conditionalFormatting sqref="W198">
    <cfRule type="cellIs" dxfId="628" priority="31" operator="equal">
      <formula>"Not Started"</formula>
    </cfRule>
  </conditionalFormatting>
  <conditionalFormatting sqref="AC48">
    <cfRule type="cellIs" dxfId="627" priority="29" operator="equal">
      <formula>"In Progress"</formula>
    </cfRule>
    <cfRule type="cellIs" dxfId="626" priority="30" operator="equal">
      <formula>"Completed"</formula>
    </cfRule>
  </conditionalFormatting>
  <conditionalFormatting sqref="AC48">
    <cfRule type="cellIs" dxfId="625" priority="28" operator="equal">
      <formula>"Not Started"</formula>
    </cfRule>
  </conditionalFormatting>
  <conditionalFormatting sqref="AC108">
    <cfRule type="cellIs" dxfId="624" priority="26" operator="equal">
      <formula>"In Progress"</formula>
    </cfRule>
    <cfRule type="cellIs" dxfId="623" priority="27" operator="equal">
      <formula>"Completed"</formula>
    </cfRule>
  </conditionalFormatting>
  <conditionalFormatting sqref="AC108">
    <cfRule type="cellIs" dxfId="622" priority="25" operator="equal">
      <formula>"Not Started"</formula>
    </cfRule>
  </conditionalFormatting>
  <conditionalFormatting sqref="AC171">
    <cfRule type="cellIs" dxfId="621" priority="23" operator="equal">
      <formula>"In Progress"</formula>
    </cfRule>
    <cfRule type="cellIs" dxfId="620" priority="24" operator="equal">
      <formula>"Completed"</formula>
    </cfRule>
  </conditionalFormatting>
  <conditionalFormatting sqref="AC171">
    <cfRule type="cellIs" dxfId="619" priority="22" operator="equal">
      <formula>"Not Started"</formula>
    </cfRule>
  </conditionalFormatting>
  <conditionalFormatting sqref="AC180">
    <cfRule type="cellIs" dxfId="618" priority="20" operator="equal">
      <formula>"In Progress"</formula>
    </cfRule>
    <cfRule type="cellIs" dxfId="617" priority="21" operator="equal">
      <formula>"Completed"</formula>
    </cfRule>
  </conditionalFormatting>
  <conditionalFormatting sqref="AC180">
    <cfRule type="cellIs" dxfId="616" priority="19" operator="equal">
      <formula>"Not Started"</formula>
    </cfRule>
  </conditionalFormatting>
  <conditionalFormatting sqref="AC8">
    <cfRule type="cellIs" dxfId="615" priority="18" operator="equal">
      <formula>"Not Started"</formula>
    </cfRule>
  </conditionalFormatting>
  <conditionalFormatting sqref="X32">
    <cfRule type="cellIs" dxfId="614" priority="16" operator="equal">
      <formula>"In Progress"</formula>
    </cfRule>
    <cfRule type="cellIs" dxfId="613" priority="17" operator="equal">
      <formula>"Completed"</formula>
    </cfRule>
  </conditionalFormatting>
  <conditionalFormatting sqref="X32">
    <cfRule type="cellIs" dxfId="612" priority="15" operator="equal">
      <formula>"Not Started"</formula>
    </cfRule>
  </conditionalFormatting>
  <conditionalFormatting sqref="X195">
    <cfRule type="cellIs" dxfId="611" priority="13" operator="equal">
      <formula>"In Progress"</formula>
    </cfRule>
    <cfRule type="cellIs" dxfId="610" priority="14" operator="equal">
      <formula>"Completed"</formula>
    </cfRule>
  </conditionalFormatting>
  <conditionalFormatting sqref="X195">
    <cfRule type="cellIs" dxfId="609" priority="12" operator="equal">
      <formula>"Not Started"</formula>
    </cfRule>
  </conditionalFormatting>
  <conditionalFormatting sqref="AC109">
    <cfRule type="cellIs" dxfId="608" priority="11" operator="equal">
      <formula>"Not Started"</formula>
    </cfRule>
  </conditionalFormatting>
  <conditionalFormatting sqref="AC84">
    <cfRule type="cellIs" dxfId="607" priority="10" operator="equal">
      <formula>"Not Started"</formula>
    </cfRule>
  </conditionalFormatting>
  <conditionalFormatting sqref="AC101">
    <cfRule type="cellIs" dxfId="606" priority="8" operator="equal">
      <formula>"In Progress"</formula>
    </cfRule>
    <cfRule type="cellIs" dxfId="605" priority="9" operator="equal">
      <formula>"Completed"</formula>
    </cfRule>
  </conditionalFormatting>
  <conditionalFormatting sqref="AC101">
    <cfRule type="cellIs" dxfId="604" priority="7" operator="equal">
      <formula>"Not Started"</formula>
    </cfRule>
  </conditionalFormatting>
  <conditionalFormatting sqref="AC136">
    <cfRule type="cellIs" dxfId="603" priority="6" operator="equal">
      <formula>"Not Started"</formula>
    </cfRule>
  </conditionalFormatting>
  <conditionalFormatting sqref="X122">
    <cfRule type="cellIs" dxfId="602" priority="4" operator="equal">
      <formula>"In Progress"</formula>
    </cfRule>
    <cfRule type="cellIs" dxfId="601" priority="5" operator="equal">
      <formula>"Completed"</formula>
    </cfRule>
  </conditionalFormatting>
  <conditionalFormatting sqref="X122">
    <cfRule type="cellIs" dxfId="600" priority="3" operator="equal">
      <formula>"Not Started"</formula>
    </cfRule>
  </conditionalFormatting>
  <conditionalFormatting sqref="L1:L1048576">
    <cfRule type="duplicateValues" dxfId="599" priority="2"/>
  </conditionalFormatting>
  <conditionalFormatting sqref="M1:M1048576">
    <cfRule type="duplicateValues" dxfId="598" priority="1"/>
  </conditionalFormatting>
  <dataValidations count="3">
    <dataValidation type="list" allowBlank="1" showInputMessage="1" showErrorMessage="1" sqref="P4:AE203" xr:uid="{DF8A65FD-5DB7-44DD-AD4D-A09FA363223A}">
      <formula1>$AN$4:$AN$7</formula1>
    </dataValidation>
    <dataValidation type="list" allowBlank="1" showInputMessage="1" showErrorMessage="1" sqref="F4:F203" xr:uid="{46A0141A-68DF-45A7-8C2B-AA99517184BD}">
      <formula1>$AN$4:$AN$6</formula1>
    </dataValidation>
    <dataValidation type="list" allowBlank="1" showInputMessage="1" showErrorMessage="1" sqref="E4:E203" xr:uid="{21292A23-48F7-4530-B77E-2044FB00542E}">
      <formula1>$AM$4:$AM$9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3AFC-01FD-4C0C-9D02-679210A7EC77}">
  <sheetPr>
    <outlinePr summaryBelow="0" summaryRight="0"/>
  </sheetPr>
  <dimension ref="A1:AO206"/>
  <sheetViews>
    <sheetView showGridLines="0" topLeftCell="B1" zoomScale="108" zoomScaleNormal="108" workbookViewId="0">
      <pane xSplit="1" ySplit="4" topLeftCell="C5" activePane="bottomRight" state="frozen"/>
      <selection activeCell="B1" sqref="B1"/>
      <selection pane="topRight" activeCell="D1" sqref="D1"/>
      <selection pane="bottomLeft" activeCell="B5" sqref="B5"/>
      <selection pane="bottomRight" activeCell="D8" sqref="D8"/>
    </sheetView>
  </sheetViews>
  <sheetFormatPr defaultColWidth="12.54296875" defaultRowHeight="15.75" customHeight="1" x14ac:dyDescent="0.25"/>
  <cols>
    <col min="1" max="1" width="0" style="1" hidden="1" customWidth="1"/>
    <col min="2" max="2" width="13" style="75" bestFit="1" customWidth="1"/>
    <col min="3" max="3" width="14.81640625" style="54" bestFit="1" customWidth="1"/>
    <col min="4" max="4" width="30.6328125" style="58" bestFit="1" customWidth="1"/>
    <col min="5" max="5" width="41.90625" style="1" bestFit="1" customWidth="1"/>
    <col min="6" max="6" width="16.453125" style="1" bestFit="1" customWidth="1"/>
    <col min="7" max="7" width="8.1796875" style="1" customWidth="1"/>
    <col min="8" max="8" width="7.81640625" style="1" customWidth="1"/>
    <col min="9" max="9" width="10.90625" style="1" bestFit="1" customWidth="1"/>
    <col min="10" max="10" width="10.90625" style="1" hidden="1" customWidth="1"/>
    <col min="11" max="11" width="22.81640625" style="1" hidden="1" customWidth="1"/>
    <col min="12" max="12" width="31.08984375" style="1" customWidth="1"/>
    <col min="13" max="13" width="18.54296875" style="1" customWidth="1"/>
    <col min="14" max="15" width="12.54296875" style="1" customWidth="1"/>
    <col min="16" max="18" width="12.54296875" style="1"/>
    <col min="19" max="19" width="14.81640625" style="1" customWidth="1"/>
    <col min="20" max="20" width="14.7265625" style="1" customWidth="1"/>
    <col min="21" max="21" width="12.54296875" style="1"/>
    <col min="22" max="22" width="15.81640625" style="1" customWidth="1"/>
    <col min="23" max="23" width="20.1796875" style="1" customWidth="1"/>
    <col min="24" max="37" width="12.54296875" style="1"/>
    <col min="38" max="38" width="37.81640625" style="1" hidden="1" customWidth="1"/>
    <col min="39" max="39" width="18.453125" style="1" hidden="1" customWidth="1"/>
    <col min="40" max="40" width="12.54296875" style="1" hidden="1" customWidth="1"/>
    <col min="41" max="41" width="0" style="1" hidden="1" customWidth="1"/>
    <col min="42" max="16384" width="12.54296875" style="1"/>
  </cols>
  <sheetData>
    <row r="1" spans="1:41" ht="37" customHeight="1" x14ac:dyDescent="0.25">
      <c r="C1" s="65" t="s">
        <v>0</v>
      </c>
      <c r="D1" s="66">
        <v>46152</v>
      </c>
    </row>
    <row r="2" spans="1:41" ht="13" customHeight="1" x14ac:dyDescent="0.25">
      <c r="A2" s="288" t="s">
        <v>1</v>
      </c>
      <c r="B2" s="283" t="s">
        <v>1</v>
      </c>
      <c r="C2" s="239" t="s">
        <v>2</v>
      </c>
      <c r="D2" s="274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53" t="s">
        <v>3</v>
      </c>
      <c r="Q2" s="241" t="s">
        <v>4</v>
      </c>
      <c r="R2" s="242"/>
      <c r="S2" s="242"/>
      <c r="T2" s="242"/>
      <c r="U2" s="243" t="s">
        <v>5</v>
      </c>
      <c r="V2" s="243"/>
      <c r="W2" s="243"/>
      <c r="X2" s="243"/>
      <c r="Y2" s="243"/>
      <c r="Z2" s="243"/>
      <c r="AA2" s="243"/>
      <c r="AB2" s="243"/>
      <c r="AC2" s="243"/>
      <c r="AD2" s="289" t="s">
        <v>6</v>
      </c>
      <c r="AE2" s="277" t="s">
        <v>7</v>
      </c>
      <c r="AF2" s="279" t="s">
        <v>8</v>
      </c>
      <c r="AG2" s="281" t="s">
        <v>9</v>
      </c>
      <c r="AH2" s="281" t="s">
        <v>10</v>
      </c>
      <c r="AI2" s="281" t="s">
        <v>11</v>
      </c>
      <c r="AJ2" s="281" t="s">
        <v>12</v>
      </c>
    </row>
    <row r="3" spans="1:41" s="2" customFormat="1" ht="47" x14ac:dyDescent="0.25">
      <c r="A3" s="288"/>
      <c r="B3" s="284"/>
      <c r="C3" s="50" t="s">
        <v>13</v>
      </c>
      <c r="D3" s="23" t="s">
        <v>14</v>
      </c>
      <c r="E3" s="23" t="s">
        <v>15</v>
      </c>
      <c r="F3" s="23" t="s">
        <v>10256</v>
      </c>
      <c r="G3" s="23" t="s">
        <v>17</v>
      </c>
      <c r="H3" s="23" t="s">
        <v>18</v>
      </c>
      <c r="I3" s="23" t="s">
        <v>19</v>
      </c>
      <c r="J3" s="245" t="s">
        <v>20</v>
      </c>
      <c r="K3" s="246"/>
      <c r="L3" s="23" t="s">
        <v>20</v>
      </c>
      <c r="M3" s="135" t="s">
        <v>21</v>
      </c>
      <c r="N3" s="23" t="s">
        <v>22</v>
      </c>
      <c r="O3" s="23" t="s">
        <v>23</v>
      </c>
      <c r="P3" s="254"/>
      <c r="Q3" s="42" t="s">
        <v>24</v>
      </c>
      <c r="R3" s="42" t="s">
        <v>25</v>
      </c>
      <c r="S3" s="42" t="s">
        <v>26</v>
      </c>
      <c r="T3" s="42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  <c r="AD3" s="290"/>
      <c r="AE3" s="278"/>
      <c r="AF3" s="280"/>
      <c r="AG3" s="282"/>
      <c r="AH3" s="282"/>
      <c r="AI3" s="282"/>
      <c r="AJ3" s="282"/>
      <c r="AM3" s="5" t="s">
        <v>16</v>
      </c>
      <c r="AN3" s="5" t="s">
        <v>17</v>
      </c>
      <c r="AO3" s="5" t="s">
        <v>37</v>
      </c>
    </row>
    <row r="4" spans="1:41" ht="15.75" customHeight="1" x14ac:dyDescent="0.25">
      <c r="A4" s="255" t="s">
        <v>1257</v>
      </c>
      <c r="B4" s="285" t="s">
        <v>10261</v>
      </c>
      <c r="C4" s="63" t="s">
        <v>1258</v>
      </c>
      <c r="D4" s="53" t="s">
        <v>9836</v>
      </c>
      <c r="E4" s="57" t="s">
        <v>9673</v>
      </c>
      <c r="F4" s="7" t="s">
        <v>43</v>
      </c>
      <c r="G4" s="7" t="s">
        <v>48</v>
      </c>
      <c r="H4" s="7" t="s">
        <v>9099</v>
      </c>
      <c r="I4" s="7" t="s">
        <v>9099</v>
      </c>
      <c r="J4" s="76">
        <v>29.914123486122602</v>
      </c>
      <c r="K4" s="77">
        <v>40.198763057931799</v>
      </c>
      <c r="L4" s="138" t="str">
        <f>_xlfn.CONCAT(J4,",",K4)</f>
        <v>29.9141234861226,40.1987630579318</v>
      </c>
      <c r="M4" s="64" t="s">
        <v>10015</v>
      </c>
      <c r="N4" s="7">
        <v>30110288636</v>
      </c>
      <c r="O4" s="7"/>
      <c r="P4" s="201"/>
      <c r="Q4" s="28" t="s">
        <v>11</v>
      </c>
      <c r="R4" s="28" t="s">
        <v>11</v>
      </c>
      <c r="S4" s="28" t="s">
        <v>11</v>
      </c>
      <c r="T4" s="28" t="s">
        <v>11</v>
      </c>
      <c r="U4" s="28" t="s">
        <v>10</v>
      </c>
      <c r="V4" s="28" t="s">
        <v>9</v>
      </c>
      <c r="W4" s="28" t="s">
        <v>9</v>
      </c>
      <c r="X4" s="28" t="s">
        <v>9</v>
      </c>
      <c r="Y4" s="28" t="s">
        <v>9</v>
      </c>
      <c r="Z4" s="28" t="s">
        <v>9</v>
      </c>
      <c r="AA4" s="28" t="s">
        <v>9</v>
      </c>
      <c r="AB4" s="28" t="s">
        <v>9</v>
      </c>
      <c r="AC4" s="28" t="s">
        <v>9</v>
      </c>
      <c r="AD4" s="28" t="s">
        <v>9</v>
      </c>
      <c r="AE4" s="28" t="s">
        <v>9</v>
      </c>
      <c r="AF4" s="28" t="s">
        <v>10</v>
      </c>
      <c r="AG4" s="24">
        <f t="shared" ref="AG4:AG35" si="0">COUNTIF(Q4:AE4,$AG$2)</f>
        <v>10</v>
      </c>
      <c r="AH4" s="24">
        <f t="shared" ref="AH4:AH35" si="1">COUNTIF(Q4:AE4,$AH$2)</f>
        <v>1</v>
      </c>
      <c r="AI4" s="24">
        <f t="shared" ref="AI4:AI35" si="2">COUNTIF(Q4:AE4,$AI$2)</f>
        <v>4</v>
      </c>
      <c r="AJ4" s="41" t="str" cm="1">
        <f t="array" ref="AJ4">_xlfn.IFS(
$AG4=15,"Not Started",
$AI4&lt;15,"In Progress",
$AI4=15,"Completed",
SUM(AG4:AI4)&gt;15,"Error"
)</f>
        <v>In Progress</v>
      </c>
      <c r="AM4" s="3" t="s">
        <v>43</v>
      </c>
      <c r="AN4" s="3" t="s">
        <v>44</v>
      </c>
      <c r="AO4" s="3" t="s">
        <v>9</v>
      </c>
    </row>
    <row r="5" spans="1:41" ht="13" x14ac:dyDescent="0.25">
      <c r="A5" s="256"/>
      <c r="B5" s="286"/>
      <c r="C5" s="64" t="s">
        <v>1259</v>
      </c>
      <c r="D5" s="53" t="s">
        <v>9837</v>
      </c>
      <c r="E5" s="57" t="s">
        <v>9674</v>
      </c>
      <c r="F5" s="7" t="s">
        <v>43</v>
      </c>
      <c r="G5" s="7" t="s">
        <v>44</v>
      </c>
      <c r="H5" s="7" t="s">
        <v>9099</v>
      </c>
      <c r="I5" s="7" t="s">
        <v>9099</v>
      </c>
      <c r="J5" s="76">
        <v>29.964269513392601</v>
      </c>
      <c r="K5" s="77">
        <v>40.219406659242601</v>
      </c>
      <c r="L5" s="138" t="str">
        <f t="shared" ref="L5:L68" si="3">_xlfn.CONCAT(J5,",",K5)</f>
        <v>29.9642695133926,40.2194066592426</v>
      </c>
      <c r="M5" s="64" t="s">
        <v>10016</v>
      </c>
      <c r="N5" s="7">
        <v>10005997011</v>
      </c>
      <c r="O5" s="7"/>
      <c r="P5" s="201"/>
      <c r="Q5" s="28" t="s">
        <v>11</v>
      </c>
      <c r="R5" s="28" t="s">
        <v>11</v>
      </c>
      <c r="S5" s="28" t="s">
        <v>11</v>
      </c>
      <c r="T5" s="28" t="s">
        <v>11</v>
      </c>
      <c r="U5" s="28" t="s">
        <v>10</v>
      </c>
      <c r="V5" s="28" t="s">
        <v>9</v>
      </c>
      <c r="W5" s="28" t="s">
        <v>9</v>
      </c>
      <c r="X5" s="28" t="s">
        <v>9</v>
      </c>
      <c r="Y5" s="28" t="s">
        <v>9</v>
      </c>
      <c r="Z5" s="28" t="s">
        <v>9</v>
      </c>
      <c r="AA5" s="28" t="s">
        <v>9</v>
      </c>
      <c r="AB5" s="28" t="s">
        <v>9</v>
      </c>
      <c r="AC5" s="28" t="s">
        <v>9</v>
      </c>
      <c r="AD5" s="28" t="s">
        <v>9</v>
      </c>
      <c r="AE5" s="28" t="s">
        <v>9</v>
      </c>
      <c r="AF5" s="28" t="s">
        <v>10</v>
      </c>
      <c r="AG5" s="24">
        <f t="shared" si="0"/>
        <v>10</v>
      </c>
      <c r="AH5" s="24">
        <f t="shared" si="1"/>
        <v>1</v>
      </c>
      <c r="AI5" s="24">
        <f t="shared" si="2"/>
        <v>4</v>
      </c>
      <c r="AJ5" s="41" t="str" cm="1">
        <f t="array" ref="AJ5">_xlfn.IFS(
$AG5=15,"Not Started",
$AI5&lt;15,"In Progress",
$AI5=15,"Completed",
SUM(AG5:AI5)&gt;15,"Error"
)</f>
        <v>In Progress</v>
      </c>
      <c r="AM5" s="3" t="s">
        <v>47</v>
      </c>
      <c r="AN5" s="3" t="s">
        <v>48</v>
      </c>
      <c r="AO5" s="3" t="s">
        <v>10</v>
      </c>
    </row>
    <row r="6" spans="1:41" ht="13" x14ac:dyDescent="0.25">
      <c r="A6" s="256"/>
      <c r="B6" s="286"/>
      <c r="C6" s="63" t="s">
        <v>1260</v>
      </c>
      <c r="D6" s="53" t="s">
        <v>9838</v>
      </c>
      <c r="E6" s="57" t="s">
        <v>9675</v>
      </c>
      <c r="F6" s="48" t="s">
        <v>9097</v>
      </c>
      <c r="G6" s="7" t="s">
        <v>44</v>
      </c>
      <c r="H6" s="7" t="s">
        <v>9099</v>
      </c>
      <c r="I6" s="7" t="s">
        <v>9099</v>
      </c>
      <c r="J6" s="76">
        <v>29.9165409402206</v>
      </c>
      <c r="K6" s="77">
        <v>40.196842897873303</v>
      </c>
      <c r="L6" s="138" t="str">
        <f t="shared" si="3"/>
        <v>29.9165409402206,40.1968428978733</v>
      </c>
      <c r="M6" s="64" t="s">
        <v>10017</v>
      </c>
      <c r="N6" s="7">
        <v>10005982724</v>
      </c>
      <c r="O6" s="7"/>
      <c r="P6" s="201"/>
      <c r="Q6" s="28" t="s">
        <v>11</v>
      </c>
      <c r="R6" s="28" t="s">
        <v>11</v>
      </c>
      <c r="S6" s="28" t="s">
        <v>11</v>
      </c>
      <c r="T6" s="28" t="s">
        <v>11</v>
      </c>
      <c r="U6" s="28" t="s">
        <v>10</v>
      </c>
      <c r="V6" s="28" t="s">
        <v>9</v>
      </c>
      <c r="W6" s="28" t="s">
        <v>9</v>
      </c>
      <c r="X6" s="28" t="s">
        <v>9</v>
      </c>
      <c r="Y6" s="28" t="s">
        <v>9</v>
      </c>
      <c r="Z6" s="28" t="s">
        <v>9</v>
      </c>
      <c r="AA6" s="28" t="s">
        <v>9</v>
      </c>
      <c r="AB6" s="28" t="s">
        <v>9</v>
      </c>
      <c r="AC6" s="28" t="s">
        <v>9</v>
      </c>
      <c r="AD6" s="28" t="s">
        <v>9</v>
      </c>
      <c r="AE6" s="28" t="s">
        <v>9</v>
      </c>
      <c r="AF6" s="28" t="s">
        <v>10</v>
      </c>
      <c r="AG6" s="24">
        <f t="shared" si="0"/>
        <v>10</v>
      </c>
      <c r="AH6" s="24">
        <f t="shared" si="1"/>
        <v>1</v>
      </c>
      <c r="AI6" s="24">
        <f t="shared" si="2"/>
        <v>4</v>
      </c>
      <c r="AJ6" s="41" t="str" cm="1">
        <f t="array" ref="AJ6">_xlfn.IFS(
$AG6=15,"Not Started",
$AI6&lt;15,"In Progress",
$AI6=15,"Completed",
SUM(AG6:AI6)&gt;15,"Error"
)</f>
        <v>In Progress</v>
      </c>
      <c r="AM6" s="3" t="s">
        <v>51</v>
      </c>
      <c r="AN6" s="3" t="s">
        <v>52</v>
      </c>
      <c r="AO6" s="3" t="s">
        <v>11</v>
      </c>
    </row>
    <row r="7" spans="1:41" ht="13" x14ac:dyDescent="0.25">
      <c r="A7" s="256"/>
      <c r="B7" s="286"/>
      <c r="C7" s="64" t="s">
        <v>1261</v>
      </c>
      <c r="D7" s="53" t="s">
        <v>9839</v>
      </c>
      <c r="E7" s="57" t="s">
        <v>9676</v>
      </c>
      <c r="F7" s="7" t="s">
        <v>43</v>
      </c>
      <c r="G7" s="7" t="s">
        <v>44</v>
      </c>
      <c r="H7" s="7" t="s">
        <v>9099</v>
      </c>
      <c r="I7" s="7" t="s">
        <v>9099</v>
      </c>
      <c r="J7" s="76">
        <v>29.889476068363301</v>
      </c>
      <c r="K7" s="77">
        <v>40.214465324613897</v>
      </c>
      <c r="L7" s="138" t="str">
        <f t="shared" si="3"/>
        <v>29.8894760683633,40.2144653246139</v>
      </c>
      <c r="M7" s="64" t="s">
        <v>10018</v>
      </c>
      <c r="N7" s="7">
        <v>10005899402</v>
      </c>
      <c r="O7" s="7"/>
      <c r="P7" s="201"/>
      <c r="Q7" s="28" t="s">
        <v>11</v>
      </c>
      <c r="R7" s="28" t="s">
        <v>11</v>
      </c>
      <c r="S7" s="28" t="s">
        <v>11</v>
      </c>
      <c r="T7" s="28" t="s">
        <v>11</v>
      </c>
      <c r="U7" s="28" t="s">
        <v>10</v>
      </c>
      <c r="V7" s="28" t="s">
        <v>9</v>
      </c>
      <c r="W7" s="28" t="s">
        <v>9</v>
      </c>
      <c r="X7" s="28" t="s">
        <v>9</v>
      </c>
      <c r="Y7" s="28" t="s">
        <v>9</v>
      </c>
      <c r="Z7" s="28" t="s">
        <v>9</v>
      </c>
      <c r="AA7" s="28" t="s">
        <v>9</v>
      </c>
      <c r="AB7" s="28" t="s">
        <v>9</v>
      </c>
      <c r="AC7" s="28" t="s">
        <v>9</v>
      </c>
      <c r="AD7" s="28" t="s">
        <v>9</v>
      </c>
      <c r="AE7" s="28" t="s">
        <v>9</v>
      </c>
      <c r="AF7" s="28" t="s">
        <v>10</v>
      </c>
      <c r="AG7" s="24">
        <f t="shared" si="0"/>
        <v>10</v>
      </c>
      <c r="AH7" s="24">
        <f t="shared" si="1"/>
        <v>1</v>
      </c>
      <c r="AI7" s="24">
        <f t="shared" si="2"/>
        <v>4</v>
      </c>
      <c r="AJ7" s="41" t="str" cm="1">
        <f t="array" ref="AJ7">_xlfn.IFS(
$AG7=15,"Not Started",
$AI7&lt;15,"In Progress",
$AI7=15,"Completed",
SUM(AG7:AI7)&gt;15,"Error"
)</f>
        <v>In Progress</v>
      </c>
      <c r="AM7" s="3" t="s">
        <v>9672</v>
      </c>
      <c r="AN7" s="3"/>
      <c r="AO7" s="3" t="s">
        <v>52</v>
      </c>
    </row>
    <row r="8" spans="1:41" ht="13" x14ac:dyDescent="0.25">
      <c r="A8" s="256"/>
      <c r="B8" s="286"/>
      <c r="C8" s="63" t="s">
        <v>1262</v>
      </c>
      <c r="D8" s="53" t="s">
        <v>9840</v>
      </c>
      <c r="E8" s="57" t="s">
        <v>9677</v>
      </c>
      <c r="F8" s="7" t="s">
        <v>9094</v>
      </c>
      <c r="G8" s="7" t="s">
        <v>44</v>
      </c>
      <c r="H8" s="7" t="s">
        <v>9099</v>
      </c>
      <c r="I8" s="7" t="s">
        <v>9099</v>
      </c>
      <c r="J8" s="76">
        <v>29.875445060591399</v>
      </c>
      <c r="K8" s="77">
        <v>40.223028292448497</v>
      </c>
      <c r="L8" s="138" t="str">
        <f t="shared" si="3"/>
        <v>29.8754450605914,40.2230282924485</v>
      </c>
      <c r="M8" s="64" t="s">
        <v>10019</v>
      </c>
      <c r="N8" s="7">
        <v>10086914371</v>
      </c>
      <c r="O8" s="7"/>
      <c r="P8" s="201"/>
      <c r="Q8" s="28" t="s">
        <v>11</v>
      </c>
      <c r="R8" s="28" t="s">
        <v>11</v>
      </c>
      <c r="S8" s="28" t="s">
        <v>11</v>
      </c>
      <c r="T8" s="28" t="s">
        <v>11</v>
      </c>
      <c r="U8" s="28" t="s">
        <v>10</v>
      </c>
      <c r="V8" s="28" t="s">
        <v>9</v>
      </c>
      <c r="W8" s="28" t="s">
        <v>9</v>
      </c>
      <c r="X8" s="28" t="s">
        <v>9</v>
      </c>
      <c r="Y8" s="28" t="s">
        <v>9</v>
      </c>
      <c r="Z8" s="28" t="s">
        <v>9</v>
      </c>
      <c r="AA8" s="28" t="s">
        <v>9</v>
      </c>
      <c r="AB8" s="28" t="s">
        <v>9</v>
      </c>
      <c r="AC8" s="28" t="s">
        <v>9</v>
      </c>
      <c r="AD8" s="28" t="s">
        <v>9</v>
      </c>
      <c r="AE8" s="28" t="s">
        <v>9</v>
      </c>
      <c r="AF8" s="28" t="s">
        <v>10</v>
      </c>
      <c r="AG8" s="24">
        <f t="shared" si="0"/>
        <v>10</v>
      </c>
      <c r="AH8" s="24">
        <f t="shared" si="1"/>
        <v>1</v>
      </c>
      <c r="AI8" s="24">
        <f t="shared" si="2"/>
        <v>4</v>
      </c>
      <c r="AJ8" s="41" t="str" cm="1">
        <f t="array" ref="AJ8">_xlfn.IFS(
$AG8=15,"Not Started",
$AI8&lt;15,"In Progress",
$AI8=15,"Completed",
SUM(AG8:AI8)&gt;15,"Error"
)</f>
        <v>In Progress</v>
      </c>
      <c r="AM8" s="3" t="s">
        <v>9671</v>
      </c>
      <c r="AN8" s="3"/>
      <c r="AO8" s="3"/>
    </row>
    <row r="9" spans="1:41" ht="13" x14ac:dyDescent="0.25">
      <c r="A9" s="256"/>
      <c r="B9" s="286"/>
      <c r="C9" s="64" t="s">
        <v>1263</v>
      </c>
      <c r="D9" s="53" t="s">
        <v>9841</v>
      </c>
      <c r="E9" s="57" t="s">
        <v>9678</v>
      </c>
      <c r="F9" s="7" t="s">
        <v>43</v>
      </c>
      <c r="G9" s="7" t="s">
        <v>44</v>
      </c>
      <c r="H9" s="7" t="s">
        <v>9099</v>
      </c>
      <c r="I9" s="7" t="s">
        <v>9099</v>
      </c>
      <c r="J9" s="76">
        <v>29.8646373003157</v>
      </c>
      <c r="K9" s="77">
        <v>40.219616587443902</v>
      </c>
      <c r="L9" s="138" t="str">
        <f t="shared" si="3"/>
        <v>29.8646373003157,40.2196165874439</v>
      </c>
      <c r="M9" s="64" t="s">
        <v>10020</v>
      </c>
      <c r="N9" s="7">
        <v>10005967432</v>
      </c>
      <c r="O9" s="7"/>
      <c r="P9" s="201"/>
      <c r="Q9" s="28" t="s">
        <v>11</v>
      </c>
      <c r="R9" s="28" t="s">
        <v>11</v>
      </c>
      <c r="S9" s="28" t="s">
        <v>11</v>
      </c>
      <c r="T9" s="28" t="s">
        <v>11</v>
      </c>
      <c r="U9" s="28" t="s">
        <v>9</v>
      </c>
      <c r="V9" s="28" t="s">
        <v>9</v>
      </c>
      <c r="W9" s="28" t="s">
        <v>9</v>
      </c>
      <c r="X9" s="28" t="s">
        <v>9</v>
      </c>
      <c r="Y9" s="28" t="s">
        <v>9</v>
      </c>
      <c r="Z9" s="28" t="s">
        <v>9</v>
      </c>
      <c r="AA9" s="28" t="s">
        <v>9</v>
      </c>
      <c r="AB9" s="28" t="s">
        <v>9</v>
      </c>
      <c r="AC9" s="28" t="s">
        <v>9</v>
      </c>
      <c r="AD9" s="28" t="s">
        <v>9</v>
      </c>
      <c r="AE9" s="28" t="s">
        <v>9</v>
      </c>
      <c r="AF9" s="28" t="s">
        <v>10</v>
      </c>
      <c r="AG9" s="24">
        <f t="shared" si="0"/>
        <v>11</v>
      </c>
      <c r="AH9" s="24">
        <f t="shared" si="1"/>
        <v>0</v>
      </c>
      <c r="AI9" s="24">
        <f t="shared" si="2"/>
        <v>4</v>
      </c>
      <c r="AJ9" s="41" t="str" cm="1">
        <f t="array" ref="AJ9">_xlfn.IFS(
$AG9=15,"Not Started",
$AI9&lt;15,"In Progress",
$AI9=15,"Completed",
SUM(AG9:AI9)&gt;15,"Error"
)</f>
        <v>In Progress</v>
      </c>
      <c r="AM9" s="3" t="s">
        <v>52</v>
      </c>
      <c r="AN9" s="3"/>
      <c r="AO9" s="3"/>
    </row>
    <row r="10" spans="1:41" ht="13" x14ac:dyDescent="0.25">
      <c r="A10" s="256"/>
      <c r="B10" s="286"/>
      <c r="C10" s="63" t="s">
        <v>1264</v>
      </c>
      <c r="D10" s="53" t="s">
        <v>9842</v>
      </c>
      <c r="E10" s="57" t="s">
        <v>9679</v>
      </c>
      <c r="F10" s="7" t="s">
        <v>47</v>
      </c>
      <c r="G10" s="7" t="s">
        <v>44</v>
      </c>
      <c r="H10" s="7" t="s">
        <v>9099</v>
      </c>
      <c r="I10" s="7" t="s">
        <v>9099</v>
      </c>
      <c r="J10" s="76">
        <v>30.066363204960101</v>
      </c>
      <c r="K10" s="77">
        <v>40.321321209780201</v>
      </c>
      <c r="L10" s="138" t="str">
        <f t="shared" si="3"/>
        <v>30.0663632049601,40.3213212097802</v>
      </c>
      <c r="M10" s="64" t="s">
        <v>10021</v>
      </c>
      <c r="N10" s="7">
        <v>10005987909</v>
      </c>
      <c r="O10" s="7"/>
      <c r="P10" s="201">
        <v>46141</v>
      </c>
      <c r="Q10" s="28" t="s">
        <v>11</v>
      </c>
      <c r="R10" s="28" t="s">
        <v>11</v>
      </c>
      <c r="S10" s="28" t="s">
        <v>11</v>
      </c>
      <c r="T10" s="28" t="s">
        <v>11</v>
      </c>
      <c r="U10" s="28" t="s">
        <v>9</v>
      </c>
      <c r="V10" s="28" t="s">
        <v>9</v>
      </c>
      <c r="W10" s="28" t="s">
        <v>9</v>
      </c>
      <c r="X10" s="28" t="s">
        <v>9</v>
      </c>
      <c r="Y10" s="28" t="s">
        <v>9</v>
      </c>
      <c r="Z10" s="28" t="s">
        <v>9</v>
      </c>
      <c r="AA10" s="28" t="s">
        <v>9</v>
      </c>
      <c r="AB10" s="28" t="s">
        <v>9</v>
      </c>
      <c r="AC10" s="28" t="s">
        <v>9</v>
      </c>
      <c r="AD10" s="28" t="s">
        <v>9</v>
      </c>
      <c r="AE10" s="28" t="s">
        <v>9</v>
      </c>
      <c r="AF10" s="28" t="s">
        <v>10</v>
      </c>
      <c r="AG10" s="24">
        <f t="shared" si="0"/>
        <v>11</v>
      </c>
      <c r="AH10" s="24">
        <f t="shared" si="1"/>
        <v>0</v>
      </c>
      <c r="AI10" s="24">
        <f t="shared" si="2"/>
        <v>4</v>
      </c>
      <c r="AJ10" s="41" t="str" cm="1">
        <f t="array" ref="AJ10">_xlfn.IFS(
$AG10=15,"Not Started",
$AI10&lt;15,"In Progress",
$AI10=15,"Completed",
SUM(AG10:AI10)&gt;15,"Error"
)</f>
        <v>In Progress</v>
      </c>
    </row>
    <row r="11" spans="1:41" ht="13" x14ac:dyDescent="0.25">
      <c r="A11" s="256"/>
      <c r="B11" s="286"/>
      <c r="C11" s="64" t="s">
        <v>1265</v>
      </c>
      <c r="D11" s="53" t="s">
        <v>9843</v>
      </c>
      <c r="E11" s="57" t="s">
        <v>9680</v>
      </c>
      <c r="F11" s="7" t="s">
        <v>43</v>
      </c>
      <c r="G11" s="7" t="s">
        <v>44</v>
      </c>
      <c r="H11" s="7" t="s">
        <v>9099</v>
      </c>
      <c r="I11" s="7" t="s">
        <v>9099</v>
      </c>
      <c r="J11" s="76">
        <v>30.0634315235089</v>
      </c>
      <c r="K11" s="77">
        <v>40.391805311257698</v>
      </c>
      <c r="L11" s="138" t="str">
        <f t="shared" si="3"/>
        <v>30.0634315235089,40.3918053112577</v>
      </c>
      <c r="M11" s="64" t="s">
        <v>10022</v>
      </c>
      <c r="N11" s="7">
        <v>10005998377</v>
      </c>
      <c r="O11" s="7"/>
      <c r="P11" s="201"/>
      <c r="Q11" s="28" t="s">
        <v>11</v>
      </c>
      <c r="R11" s="28" t="s">
        <v>11</v>
      </c>
      <c r="S11" s="28" t="s">
        <v>11</v>
      </c>
      <c r="T11" s="28" t="s">
        <v>11</v>
      </c>
      <c r="U11" s="28" t="s">
        <v>10</v>
      </c>
      <c r="V11" s="28" t="s">
        <v>9</v>
      </c>
      <c r="W11" s="28" t="s">
        <v>9</v>
      </c>
      <c r="X11" s="28" t="s">
        <v>9</v>
      </c>
      <c r="Y11" s="28" t="s">
        <v>9</v>
      </c>
      <c r="Z11" s="28" t="s">
        <v>9</v>
      </c>
      <c r="AA11" s="28" t="s">
        <v>9</v>
      </c>
      <c r="AB11" s="28" t="s">
        <v>9</v>
      </c>
      <c r="AC11" s="28" t="s">
        <v>9</v>
      </c>
      <c r="AD11" s="28" t="s">
        <v>9</v>
      </c>
      <c r="AE11" s="28" t="s">
        <v>9</v>
      </c>
      <c r="AF11" s="28" t="s">
        <v>10</v>
      </c>
      <c r="AG11" s="24">
        <f t="shared" si="0"/>
        <v>10</v>
      </c>
      <c r="AH11" s="24">
        <f t="shared" si="1"/>
        <v>1</v>
      </c>
      <c r="AI11" s="24">
        <f t="shared" si="2"/>
        <v>4</v>
      </c>
      <c r="AJ11" s="41" t="str" cm="1">
        <f t="array" ref="AJ11">_xlfn.IFS(
$AG11=15,"Not Started",
$AI11&lt;15,"In Progress",
$AI11=15,"Completed",
SUM(AG11:AI11)&gt;15,"Error"
)</f>
        <v>In Progress</v>
      </c>
    </row>
    <row r="12" spans="1:41" ht="13" x14ac:dyDescent="0.25">
      <c r="A12" s="256"/>
      <c r="B12" s="286"/>
      <c r="C12" s="63" t="s">
        <v>1266</v>
      </c>
      <c r="D12" s="53" t="s">
        <v>9844</v>
      </c>
      <c r="E12" s="57" t="s">
        <v>9681</v>
      </c>
      <c r="F12" s="7" t="s">
        <v>47</v>
      </c>
      <c r="G12" s="7" t="s">
        <v>44</v>
      </c>
      <c r="H12" s="7" t="s">
        <v>9099</v>
      </c>
      <c r="I12" s="7" t="s">
        <v>9099</v>
      </c>
      <c r="J12" s="76">
        <v>30.363384165701198</v>
      </c>
      <c r="K12" s="77">
        <v>40.422415537146001</v>
      </c>
      <c r="L12" s="138" t="str">
        <f t="shared" si="3"/>
        <v>30.3633841657012,40.422415537146</v>
      </c>
      <c r="M12" s="64" t="s">
        <v>10023</v>
      </c>
      <c r="N12" s="7">
        <v>10005998439</v>
      </c>
      <c r="O12" s="7"/>
      <c r="P12" s="201"/>
      <c r="Q12" s="28" t="s">
        <v>11</v>
      </c>
      <c r="R12" s="28" t="s">
        <v>11</v>
      </c>
      <c r="S12" s="28" t="s">
        <v>11</v>
      </c>
      <c r="T12" s="28" t="s">
        <v>11</v>
      </c>
      <c r="U12" s="28" t="s">
        <v>10</v>
      </c>
      <c r="V12" s="28" t="s">
        <v>9</v>
      </c>
      <c r="W12" s="28" t="s">
        <v>9</v>
      </c>
      <c r="X12" s="28" t="s">
        <v>9</v>
      </c>
      <c r="Y12" s="28" t="s">
        <v>9</v>
      </c>
      <c r="Z12" s="28" t="s">
        <v>9</v>
      </c>
      <c r="AA12" s="28" t="s">
        <v>9</v>
      </c>
      <c r="AB12" s="28" t="s">
        <v>9</v>
      </c>
      <c r="AC12" s="28" t="s">
        <v>9</v>
      </c>
      <c r="AD12" s="28" t="s">
        <v>9</v>
      </c>
      <c r="AE12" s="28" t="s">
        <v>9</v>
      </c>
      <c r="AF12" s="28" t="s">
        <v>10</v>
      </c>
      <c r="AG12" s="24">
        <f t="shared" si="0"/>
        <v>10</v>
      </c>
      <c r="AH12" s="24">
        <f t="shared" si="1"/>
        <v>1</v>
      </c>
      <c r="AI12" s="24">
        <f t="shared" si="2"/>
        <v>4</v>
      </c>
      <c r="AJ12" s="41" t="str" cm="1">
        <f t="array" ref="AJ12">_xlfn.IFS(
$AG12=15,"Not Started",
$AI12&lt;15,"In Progress",
$AI12=15,"Completed",
SUM(AG12:AI12)&gt;15,"Error"
)</f>
        <v>In Progress</v>
      </c>
    </row>
    <row r="13" spans="1:41" ht="26" x14ac:dyDescent="0.25">
      <c r="A13" s="256"/>
      <c r="B13" s="286"/>
      <c r="C13" s="64" t="s">
        <v>1267</v>
      </c>
      <c r="D13" s="79" t="s">
        <v>10284</v>
      </c>
      <c r="E13" s="80" t="s">
        <v>10283</v>
      </c>
      <c r="F13" s="7" t="s">
        <v>9092</v>
      </c>
      <c r="G13" s="7" t="s">
        <v>48</v>
      </c>
      <c r="H13" s="7" t="s">
        <v>9099</v>
      </c>
      <c r="I13" s="7" t="s">
        <v>9099</v>
      </c>
      <c r="J13" s="76">
        <v>29.888201867089101</v>
      </c>
      <c r="K13" s="77">
        <v>40.223009884391601</v>
      </c>
      <c r="L13" s="138" t="str">
        <f t="shared" si="3"/>
        <v>29.8882018670891,40.2230098843916</v>
      </c>
      <c r="M13" s="64" t="s">
        <v>10024</v>
      </c>
      <c r="N13" s="7">
        <v>10005964628</v>
      </c>
      <c r="O13" s="7"/>
      <c r="P13" s="201"/>
      <c r="Q13" s="28" t="s">
        <v>11</v>
      </c>
      <c r="R13" s="28" t="s">
        <v>11</v>
      </c>
      <c r="S13" s="28" t="s">
        <v>11</v>
      </c>
      <c r="T13" s="28" t="s">
        <v>11</v>
      </c>
      <c r="U13" s="28" t="s">
        <v>10</v>
      </c>
      <c r="V13" s="28" t="s">
        <v>9</v>
      </c>
      <c r="W13" s="28" t="s">
        <v>9</v>
      </c>
      <c r="X13" s="28" t="s">
        <v>9</v>
      </c>
      <c r="Y13" s="28" t="s">
        <v>9</v>
      </c>
      <c r="Z13" s="28" t="s">
        <v>9</v>
      </c>
      <c r="AA13" s="28" t="s">
        <v>9</v>
      </c>
      <c r="AB13" s="28" t="s">
        <v>9</v>
      </c>
      <c r="AC13" s="28" t="s">
        <v>9</v>
      </c>
      <c r="AD13" s="28" t="s">
        <v>9</v>
      </c>
      <c r="AE13" s="28" t="s">
        <v>9</v>
      </c>
      <c r="AF13" s="28" t="s">
        <v>10</v>
      </c>
      <c r="AG13" s="24">
        <f t="shared" si="0"/>
        <v>10</v>
      </c>
      <c r="AH13" s="24">
        <f t="shared" si="1"/>
        <v>1</v>
      </c>
      <c r="AI13" s="24">
        <f t="shared" si="2"/>
        <v>4</v>
      </c>
      <c r="AJ13" s="41" t="str" cm="1">
        <f t="array" ref="AJ13">_xlfn.IFS(
$AG13=15,"Not Started",
$AI13&lt;15,"In Progress",
$AI13=15,"Completed",
SUM(AG13:AI13)&gt;15,"Error"
)</f>
        <v>In Progress</v>
      </c>
    </row>
    <row r="14" spans="1:41" ht="15.75" customHeight="1" x14ac:dyDescent="0.25">
      <c r="A14" s="256"/>
      <c r="B14" s="286"/>
      <c r="C14" s="63" t="s">
        <v>1268</v>
      </c>
      <c r="D14" s="53" t="s">
        <v>9845</v>
      </c>
      <c r="E14" s="57" t="s">
        <v>9682</v>
      </c>
      <c r="F14" s="7" t="s">
        <v>47</v>
      </c>
      <c r="G14" s="7" t="s">
        <v>44</v>
      </c>
      <c r="H14" s="7" t="s">
        <v>9099</v>
      </c>
      <c r="I14" s="7" t="s">
        <v>9099</v>
      </c>
      <c r="J14" s="76">
        <v>29.7989481398237</v>
      </c>
      <c r="K14" s="77">
        <v>40.442714806586302</v>
      </c>
      <c r="L14" s="138" t="str">
        <f t="shared" si="3"/>
        <v>29.7989481398237,40.4427148065863</v>
      </c>
      <c r="M14" s="64" t="s">
        <v>10025</v>
      </c>
      <c r="N14" s="7">
        <v>10005951746</v>
      </c>
      <c r="O14" s="7"/>
      <c r="P14" s="201"/>
      <c r="Q14" s="28" t="s">
        <v>11</v>
      </c>
      <c r="R14" s="28" t="s">
        <v>11</v>
      </c>
      <c r="S14" s="28" t="s">
        <v>11</v>
      </c>
      <c r="T14" s="28" t="s">
        <v>11</v>
      </c>
      <c r="U14" s="28" t="s">
        <v>10</v>
      </c>
      <c r="V14" s="28" t="s">
        <v>9</v>
      </c>
      <c r="W14" s="28" t="s">
        <v>9</v>
      </c>
      <c r="X14" s="28" t="s">
        <v>9</v>
      </c>
      <c r="Y14" s="28" t="s">
        <v>9</v>
      </c>
      <c r="Z14" s="28" t="s">
        <v>9</v>
      </c>
      <c r="AA14" s="28" t="s">
        <v>9</v>
      </c>
      <c r="AB14" s="28" t="s">
        <v>9</v>
      </c>
      <c r="AC14" s="28" t="s">
        <v>9</v>
      </c>
      <c r="AD14" s="28" t="s">
        <v>9</v>
      </c>
      <c r="AE14" s="28" t="s">
        <v>9</v>
      </c>
      <c r="AF14" s="28" t="s">
        <v>10</v>
      </c>
      <c r="AG14" s="24">
        <f t="shared" si="0"/>
        <v>10</v>
      </c>
      <c r="AH14" s="24">
        <f t="shared" si="1"/>
        <v>1</v>
      </c>
      <c r="AI14" s="24">
        <f t="shared" si="2"/>
        <v>4</v>
      </c>
      <c r="AJ14" s="41" t="str" cm="1">
        <f t="array" ref="AJ14">_xlfn.IFS(
$AG14=15,"Not Started",
$AI14&lt;15,"In Progress",
$AI14=15,"Completed",
SUM(AG14:AI14)&gt;15,"Error"
)</f>
        <v>In Progress</v>
      </c>
    </row>
    <row r="15" spans="1:41" ht="26" x14ac:dyDescent="0.25">
      <c r="A15" s="256"/>
      <c r="B15" s="286"/>
      <c r="C15" s="64" t="s">
        <v>1269</v>
      </c>
      <c r="D15" s="79" t="s">
        <v>10285</v>
      </c>
      <c r="E15" s="80" t="s">
        <v>10282</v>
      </c>
      <c r="F15" s="7" t="s">
        <v>9092</v>
      </c>
      <c r="G15" s="7" t="s">
        <v>48</v>
      </c>
      <c r="H15" s="7" t="s">
        <v>9099</v>
      </c>
      <c r="I15" s="7" t="s">
        <v>9099</v>
      </c>
      <c r="J15" s="76">
        <v>29.974225223484002</v>
      </c>
      <c r="K15" s="77">
        <v>40.192669145251998</v>
      </c>
      <c r="L15" s="138" t="str">
        <f t="shared" si="3"/>
        <v>29.974225223484,40.192669145252</v>
      </c>
      <c r="M15" s="64" t="s">
        <v>10026</v>
      </c>
      <c r="N15" s="7">
        <v>10005999294</v>
      </c>
      <c r="O15" s="7"/>
      <c r="P15" s="201"/>
      <c r="Q15" s="28" t="s">
        <v>11</v>
      </c>
      <c r="R15" s="28" t="s">
        <v>11</v>
      </c>
      <c r="S15" s="28" t="s">
        <v>11</v>
      </c>
      <c r="T15" s="28" t="s">
        <v>11</v>
      </c>
      <c r="U15" s="28" t="s">
        <v>10</v>
      </c>
      <c r="V15" s="28" t="s">
        <v>9</v>
      </c>
      <c r="W15" s="28" t="s">
        <v>9</v>
      </c>
      <c r="X15" s="28" t="s">
        <v>9</v>
      </c>
      <c r="Y15" s="28" t="s">
        <v>9</v>
      </c>
      <c r="Z15" s="28" t="s">
        <v>9</v>
      </c>
      <c r="AA15" s="28" t="s">
        <v>9</v>
      </c>
      <c r="AB15" s="28" t="s">
        <v>9</v>
      </c>
      <c r="AC15" s="28" t="s">
        <v>9</v>
      </c>
      <c r="AD15" s="28" t="s">
        <v>9</v>
      </c>
      <c r="AE15" s="28" t="s">
        <v>9</v>
      </c>
      <c r="AF15" s="28" t="s">
        <v>10</v>
      </c>
      <c r="AG15" s="24">
        <f t="shared" si="0"/>
        <v>10</v>
      </c>
      <c r="AH15" s="24">
        <f t="shared" si="1"/>
        <v>1</v>
      </c>
      <c r="AI15" s="24">
        <f t="shared" si="2"/>
        <v>4</v>
      </c>
      <c r="AJ15" s="41" t="str" cm="1">
        <f t="array" ref="AJ15">_xlfn.IFS(
$AG15=15,"Not Started",
$AI15&lt;15,"In Progress",
$AI15=15,"Completed",
SUM(AG15:AI15)&gt;15,"Error"
)</f>
        <v>In Progress</v>
      </c>
    </row>
    <row r="16" spans="1:41" ht="26" x14ac:dyDescent="0.25">
      <c r="A16" s="256"/>
      <c r="B16" s="286"/>
      <c r="C16" s="63" t="s">
        <v>1270</v>
      </c>
      <c r="D16" s="53" t="s">
        <v>9846</v>
      </c>
      <c r="E16" s="80" t="s">
        <v>10281</v>
      </c>
      <c r="F16" s="7" t="s">
        <v>9092</v>
      </c>
      <c r="G16" s="7" t="s">
        <v>44</v>
      </c>
      <c r="H16" s="7" t="s">
        <v>9099</v>
      </c>
      <c r="I16" s="7" t="s">
        <v>9099</v>
      </c>
      <c r="J16" s="76">
        <v>30.121711968654001</v>
      </c>
      <c r="K16" s="77">
        <v>40.3890571902676</v>
      </c>
      <c r="L16" s="138" t="str">
        <f t="shared" si="3"/>
        <v>30.121711968654,40.3890571902676</v>
      </c>
      <c r="M16" s="64" t="s">
        <v>10027</v>
      </c>
      <c r="N16" s="7">
        <v>10005998116</v>
      </c>
      <c r="O16" s="7"/>
      <c r="P16" s="201"/>
      <c r="Q16" s="28" t="s">
        <v>11</v>
      </c>
      <c r="R16" s="28" t="s">
        <v>11</v>
      </c>
      <c r="S16" s="28" t="s">
        <v>11</v>
      </c>
      <c r="T16" s="28" t="s">
        <v>11</v>
      </c>
      <c r="U16" s="28" t="s">
        <v>10</v>
      </c>
      <c r="V16" s="28" t="s">
        <v>9</v>
      </c>
      <c r="W16" s="28" t="s">
        <v>9</v>
      </c>
      <c r="X16" s="28" t="s">
        <v>9</v>
      </c>
      <c r="Y16" s="28" t="s">
        <v>9</v>
      </c>
      <c r="Z16" s="28" t="s">
        <v>9</v>
      </c>
      <c r="AA16" s="28" t="s">
        <v>9</v>
      </c>
      <c r="AB16" s="28" t="s">
        <v>9</v>
      </c>
      <c r="AC16" s="28" t="s">
        <v>9</v>
      </c>
      <c r="AD16" s="28" t="s">
        <v>9</v>
      </c>
      <c r="AE16" s="28" t="s">
        <v>9</v>
      </c>
      <c r="AF16" s="28" t="s">
        <v>10</v>
      </c>
      <c r="AG16" s="24">
        <f t="shared" si="0"/>
        <v>10</v>
      </c>
      <c r="AH16" s="24">
        <f t="shared" si="1"/>
        <v>1</v>
      </c>
      <c r="AI16" s="24">
        <f t="shared" si="2"/>
        <v>4</v>
      </c>
      <c r="AJ16" s="41" t="str" cm="1">
        <f t="array" ref="AJ16">_xlfn.IFS(
$AG16=15,"Not Started",
$AI16&lt;15,"In Progress",
$AI16=15,"Completed",
SUM(AG16:AI16)&gt;15,"Error"
)</f>
        <v>In Progress</v>
      </c>
    </row>
    <row r="17" spans="1:36" ht="39" x14ac:dyDescent="0.25">
      <c r="A17" s="256"/>
      <c r="B17" s="286"/>
      <c r="C17" s="64" t="s">
        <v>1271</v>
      </c>
      <c r="D17" s="79" t="s">
        <v>10286</v>
      </c>
      <c r="E17" s="80" t="s">
        <v>10280</v>
      </c>
      <c r="F17" s="7" t="s">
        <v>47</v>
      </c>
      <c r="G17" s="7" t="s">
        <v>48</v>
      </c>
      <c r="H17" s="7" t="s">
        <v>9099</v>
      </c>
      <c r="I17" s="7" t="s">
        <v>9099</v>
      </c>
      <c r="J17" s="76">
        <v>29.880306000000001</v>
      </c>
      <c r="K17" s="77">
        <v>40.227893999999999</v>
      </c>
      <c r="L17" s="138" t="str">
        <f t="shared" si="3"/>
        <v>29.880306,40.227894</v>
      </c>
      <c r="M17" s="64" t="s">
        <v>10028</v>
      </c>
      <c r="N17" s="7">
        <v>10083050857</v>
      </c>
      <c r="O17" s="7"/>
      <c r="P17" s="201"/>
      <c r="Q17" s="141" t="s">
        <v>11</v>
      </c>
      <c r="R17" s="141" t="s">
        <v>11</v>
      </c>
      <c r="S17" s="141" t="s">
        <v>11</v>
      </c>
      <c r="T17" s="141" t="s">
        <v>11</v>
      </c>
      <c r="U17" s="141" t="s">
        <v>10</v>
      </c>
      <c r="V17" s="141" t="s">
        <v>9</v>
      </c>
      <c r="W17" s="141" t="s">
        <v>9</v>
      </c>
      <c r="X17" s="141" t="s">
        <v>9</v>
      </c>
      <c r="Y17" s="141" t="s">
        <v>9</v>
      </c>
      <c r="Z17" s="141" t="s">
        <v>9</v>
      </c>
      <c r="AA17" s="141" t="s">
        <v>9</v>
      </c>
      <c r="AB17" s="141" t="s">
        <v>9</v>
      </c>
      <c r="AC17" s="141" t="s">
        <v>9</v>
      </c>
      <c r="AD17" s="141" t="s">
        <v>9</v>
      </c>
      <c r="AE17" s="141" t="s">
        <v>9</v>
      </c>
      <c r="AF17" s="141" t="s">
        <v>10</v>
      </c>
      <c r="AG17" s="24">
        <f t="shared" si="0"/>
        <v>10</v>
      </c>
      <c r="AH17" s="24">
        <f t="shared" si="1"/>
        <v>1</v>
      </c>
      <c r="AI17" s="24">
        <f t="shared" si="2"/>
        <v>4</v>
      </c>
      <c r="AJ17" s="41" t="str" cm="1">
        <f t="array" ref="AJ17">_xlfn.IFS(
$AG17=15,"Not Started",
$AI17&lt;15,"In Progress",
$AI17=15,"Completed",
SUM(AG17:AI17)&gt;15,"Error"
)</f>
        <v>In Progress</v>
      </c>
    </row>
    <row r="18" spans="1:36" ht="15.75" customHeight="1" x14ac:dyDescent="0.25">
      <c r="A18" s="256"/>
      <c r="B18" s="286"/>
      <c r="C18" s="63" t="s">
        <v>1272</v>
      </c>
      <c r="D18" s="146" t="s">
        <v>10602</v>
      </c>
      <c r="E18" s="144" t="s">
        <v>10603</v>
      </c>
      <c r="F18" s="142" t="s">
        <v>43</v>
      </c>
      <c r="G18" s="142" t="s">
        <v>48</v>
      </c>
      <c r="H18" s="142" t="s">
        <v>9099</v>
      </c>
      <c r="I18" s="142" t="s">
        <v>9099</v>
      </c>
      <c r="J18" s="184">
        <v>29.978021999999999</v>
      </c>
      <c r="K18" s="185">
        <v>40.212609</v>
      </c>
      <c r="L18" s="1" t="s">
        <v>10605</v>
      </c>
      <c r="M18" s="145" t="s">
        <v>10604</v>
      </c>
      <c r="N18" s="142">
        <v>10005995428</v>
      </c>
      <c r="O18" s="142"/>
      <c r="P18" s="201"/>
      <c r="Q18" s="141" t="s">
        <v>11</v>
      </c>
      <c r="R18" s="141" t="s">
        <v>11</v>
      </c>
      <c r="S18" s="141" t="s">
        <v>11</v>
      </c>
      <c r="T18" s="141" t="s">
        <v>11</v>
      </c>
      <c r="U18" s="28" t="s">
        <v>10</v>
      </c>
      <c r="V18" s="28" t="s">
        <v>9</v>
      </c>
      <c r="W18" s="28" t="s">
        <v>9</v>
      </c>
      <c r="X18" s="28" t="s">
        <v>9</v>
      </c>
      <c r="Y18" s="28" t="s">
        <v>9</v>
      </c>
      <c r="Z18" s="28" t="s">
        <v>9</v>
      </c>
      <c r="AA18" s="28" t="s">
        <v>9</v>
      </c>
      <c r="AB18" s="28" t="s">
        <v>9</v>
      </c>
      <c r="AC18" s="28" t="s">
        <v>9</v>
      </c>
      <c r="AD18" s="28" t="s">
        <v>9</v>
      </c>
      <c r="AE18" s="28" t="s">
        <v>9</v>
      </c>
      <c r="AF18" s="28" t="s">
        <v>10</v>
      </c>
      <c r="AG18" s="24">
        <f>COUNTIF(R18:AE18,$AG$2)</f>
        <v>10</v>
      </c>
      <c r="AH18" s="24">
        <f>COUNTIF(R18:AE18,$AH$2)</f>
        <v>1</v>
      </c>
      <c r="AI18" s="24">
        <f>COUNTIF(R18:AE18,$AI$2)</f>
        <v>3</v>
      </c>
      <c r="AJ18" s="41" t="str" cm="1">
        <f t="array" ref="AJ18">_xlfn.IFS(
$AG18=15,"Not Started",
$AI18&lt;15,"In Progress",
$AI18=15,"Completed",
SUM(AG18:AI18)&gt;15,"Error"
)</f>
        <v>In Progress</v>
      </c>
    </row>
    <row r="19" spans="1:36" ht="15.75" customHeight="1" x14ac:dyDescent="0.25">
      <c r="A19" s="256"/>
      <c r="B19" s="286"/>
      <c r="C19" s="64" t="s">
        <v>1273</v>
      </c>
      <c r="D19" s="53" t="s">
        <v>9847</v>
      </c>
      <c r="E19" s="57" t="s">
        <v>9683</v>
      </c>
      <c r="F19" s="7" t="s">
        <v>47</v>
      </c>
      <c r="G19" s="7" t="s">
        <v>48</v>
      </c>
      <c r="H19" s="7" t="s">
        <v>9099</v>
      </c>
      <c r="I19" s="7" t="s">
        <v>9099</v>
      </c>
      <c r="J19" s="76">
        <v>30.170369999999998</v>
      </c>
      <c r="K19" s="77">
        <v>40.288806999999998</v>
      </c>
      <c r="L19" s="138" t="str">
        <f t="shared" si="3"/>
        <v>30.17037,40.288807</v>
      </c>
      <c r="M19" s="64" t="s">
        <v>10029</v>
      </c>
      <c r="N19" s="7">
        <v>10005994153</v>
      </c>
      <c r="O19" s="7"/>
      <c r="P19" s="201">
        <v>46123</v>
      </c>
      <c r="Q19" s="141" t="s">
        <v>11</v>
      </c>
      <c r="R19" s="141" t="s">
        <v>11</v>
      </c>
      <c r="S19" s="141" t="s">
        <v>11</v>
      </c>
      <c r="T19" s="141" t="s">
        <v>11</v>
      </c>
      <c r="U19" s="28" t="s">
        <v>10</v>
      </c>
      <c r="V19" s="28" t="s">
        <v>9</v>
      </c>
      <c r="W19" s="28" t="s">
        <v>9</v>
      </c>
      <c r="X19" s="28" t="s">
        <v>9</v>
      </c>
      <c r="Y19" s="28" t="s">
        <v>9</v>
      </c>
      <c r="Z19" s="28" t="s">
        <v>9</v>
      </c>
      <c r="AA19" s="28" t="s">
        <v>9</v>
      </c>
      <c r="AB19" s="28" t="s">
        <v>9</v>
      </c>
      <c r="AC19" s="28" t="s">
        <v>9</v>
      </c>
      <c r="AD19" s="28" t="s">
        <v>9</v>
      </c>
      <c r="AE19" s="28" t="s">
        <v>9</v>
      </c>
      <c r="AF19" s="28" t="s">
        <v>10</v>
      </c>
      <c r="AG19" s="24">
        <f t="shared" si="0"/>
        <v>10</v>
      </c>
      <c r="AH19" s="24">
        <f t="shared" si="1"/>
        <v>1</v>
      </c>
      <c r="AI19" s="24">
        <f t="shared" si="2"/>
        <v>4</v>
      </c>
      <c r="AJ19" s="41" t="str" cm="1">
        <f t="array" ref="AJ19">_xlfn.IFS(
$AG19=15,"Not Started",
$AI19&lt;15,"In Progress",
$AI19=15,"Completed",
SUM(AG19:AI19)&gt;15,"Error"
)</f>
        <v>In Progress</v>
      </c>
    </row>
    <row r="20" spans="1:36" ht="15.75" customHeight="1" x14ac:dyDescent="0.25">
      <c r="A20" s="256"/>
      <c r="B20" s="286"/>
      <c r="C20" s="63" t="s">
        <v>1274</v>
      </c>
      <c r="D20" s="53" t="s">
        <v>9848</v>
      </c>
      <c r="E20" s="57" t="s">
        <v>9684</v>
      </c>
      <c r="F20" s="7" t="s">
        <v>9672</v>
      </c>
      <c r="G20" s="7" t="s">
        <v>48</v>
      </c>
      <c r="H20" s="7" t="s">
        <v>9099</v>
      </c>
      <c r="I20" s="7" t="s">
        <v>9099</v>
      </c>
      <c r="J20" s="76">
        <v>30.165747</v>
      </c>
      <c r="K20" s="77">
        <v>40.304684000000002</v>
      </c>
      <c r="L20" s="138" t="str">
        <f t="shared" si="3"/>
        <v>30.165747,40.304684</v>
      </c>
      <c r="M20" s="64" t="s">
        <v>10030</v>
      </c>
      <c r="N20" s="7">
        <v>10093592007</v>
      </c>
      <c r="O20" s="7"/>
      <c r="P20" s="201">
        <v>46124</v>
      </c>
      <c r="Q20" s="28" t="s">
        <v>11</v>
      </c>
      <c r="R20" s="28" t="s">
        <v>11</v>
      </c>
      <c r="S20" s="28" t="s">
        <v>11</v>
      </c>
      <c r="T20" s="28" t="s">
        <v>11</v>
      </c>
      <c r="U20" s="28" t="s">
        <v>10</v>
      </c>
      <c r="V20" s="28" t="s">
        <v>9</v>
      </c>
      <c r="W20" s="28" t="s">
        <v>9</v>
      </c>
      <c r="X20" s="28" t="s">
        <v>9</v>
      </c>
      <c r="Y20" s="28" t="s">
        <v>9</v>
      </c>
      <c r="Z20" s="28" t="s">
        <v>9</v>
      </c>
      <c r="AA20" s="28" t="s">
        <v>9</v>
      </c>
      <c r="AB20" s="28" t="s">
        <v>9</v>
      </c>
      <c r="AC20" s="28" t="s">
        <v>9</v>
      </c>
      <c r="AD20" s="28" t="s">
        <v>9</v>
      </c>
      <c r="AE20" s="28" t="s">
        <v>9</v>
      </c>
      <c r="AF20" s="28" t="s">
        <v>10</v>
      </c>
      <c r="AG20" s="24">
        <f t="shared" si="0"/>
        <v>10</v>
      </c>
      <c r="AH20" s="24">
        <f t="shared" si="1"/>
        <v>1</v>
      </c>
      <c r="AI20" s="24">
        <f t="shared" si="2"/>
        <v>4</v>
      </c>
      <c r="AJ20" s="41" t="str" cm="1">
        <f t="array" ref="AJ20">_xlfn.IFS(
$AG20=15,"Not Started",
$AI20&lt;15,"In Progress",
$AI20=15,"Completed",
SUM(AG20:AI20)&gt;15,"Error"
)</f>
        <v>In Progress</v>
      </c>
    </row>
    <row r="21" spans="1:36" ht="52" x14ac:dyDescent="0.25">
      <c r="A21" s="256"/>
      <c r="B21" s="286"/>
      <c r="C21" s="64" t="s">
        <v>1275</v>
      </c>
      <c r="D21" s="79" t="s">
        <v>10287</v>
      </c>
      <c r="E21" s="80" t="s">
        <v>10279</v>
      </c>
      <c r="F21" s="7" t="s">
        <v>9092</v>
      </c>
      <c r="G21" s="7" t="s">
        <v>48</v>
      </c>
      <c r="H21" s="7" t="s">
        <v>9099</v>
      </c>
      <c r="I21" s="7" t="s">
        <v>9099</v>
      </c>
      <c r="J21" s="76">
        <v>29.801839999999999</v>
      </c>
      <c r="K21" s="77">
        <v>39.856838000000003</v>
      </c>
      <c r="L21" s="138" t="str">
        <f t="shared" si="3"/>
        <v>29.80184,39.856838</v>
      </c>
      <c r="M21" s="64" t="s">
        <v>10031</v>
      </c>
      <c r="N21" s="7">
        <v>10096518193</v>
      </c>
      <c r="O21" s="7"/>
      <c r="P21" s="201"/>
      <c r="Q21" s="28" t="s">
        <v>11</v>
      </c>
      <c r="R21" s="28" t="s">
        <v>11</v>
      </c>
      <c r="S21" s="28" t="s">
        <v>11</v>
      </c>
      <c r="T21" s="28" t="s">
        <v>11</v>
      </c>
      <c r="U21" s="28" t="s">
        <v>9</v>
      </c>
      <c r="V21" s="28" t="s">
        <v>9</v>
      </c>
      <c r="W21" s="28" t="s">
        <v>9</v>
      </c>
      <c r="X21" s="28" t="s">
        <v>9</v>
      </c>
      <c r="Y21" s="28" t="s">
        <v>9</v>
      </c>
      <c r="Z21" s="28" t="s">
        <v>9</v>
      </c>
      <c r="AA21" s="28" t="s">
        <v>9</v>
      </c>
      <c r="AB21" s="28" t="s">
        <v>9</v>
      </c>
      <c r="AC21" s="28" t="s">
        <v>9</v>
      </c>
      <c r="AD21" s="28" t="s">
        <v>9</v>
      </c>
      <c r="AE21" s="28" t="s">
        <v>9</v>
      </c>
      <c r="AF21" s="28" t="s">
        <v>10</v>
      </c>
      <c r="AG21" s="24">
        <f t="shared" si="0"/>
        <v>11</v>
      </c>
      <c r="AH21" s="24">
        <f t="shared" si="1"/>
        <v>0</v>
      </c>
      <c r="AI21" s="24">
        <f t="shared" si="2"/>
        <v>4</v>
      </c>
      <c r="AJ21" s="41" t="str" cm="1">
        <f t="array" ref="AJ21">_xlfn.IFS(
$AG21=15,"Not Started",
$AI21&lt;15,"In Progress",
$AI21=15,"Completed",
SUM(AG21:AI21)&gt;15,"Error"
)</f>
        <v>In Progress</v>
      </c>
    </row>
    <row r="22" spans="1:36" ht="13" x14ac:dyDescent="0.25">
      <c r="A22" s="256"/>
      <c r="B22" s="286"/>
      <c r="C22" s="63" t="s">
        <v>1276</v>
      </c>
      <c r="D22" s="53" t="s">
        <v>9849</v>
      </c>
      <c r="E22" s="57" t="s">
        <v>9685</v>
      </c>
      <c r="F22" s="7" t="s">
        <v>9671</v>
      </c>
      <c r="G22" s="7" t="s">
        <v>48</v>
      </c>
      <c r="H22" s="7" t="s">
        <v>9099</v>
      </c>
      <c r="I22" s="7" t="s">
        <v>9099</v>
      </c>
      <c r="J22" s="76">
        <v>29.812436999999999</v>
      </c>
      <c r="K22" s="77">
        <v>39.855274000000001</v>
      </c>
      <c r="L22" s="138" t="str">
        <f t="shared" si="3"/>
        <v>29.812437,39.855274</v>
      </c>
      <c r="M22" s="64" t="s">
        <v>10032</v>
      </c>
      <c r="N22" s="7">
        <v>10006005669</v>
      </c>
      <c r="O22" s="7"/>
      <c r="P22" s="201"/>
      <c r="Q22" s="28" t="s">
        <v>11</v>
      </c>
      <c r="R22" s="28" t="s">
        <v>11</v>
      </c>
      <c r="S22" s="28" t="s">
        <v>11</v>
      </c>
      <c r="T22" s="28" t="s">
        <v>11</v>
      </c>
      <c r="U22" s="28" t="s">
        <v>10</v>
      </c>
      <c r="V22" s="28" t="s">
        <v>9</v>
      </c>
      <c r="W22" s="28" t="s">
        <v>9</v>
      </c>
      <c r="X22" s="28" t="s">
        <v>9</v>
      </c>
      <c r="Y22" s="28" t="s">
        <v>9</v>
      </c>
      <c r="Z22" s="28" t="s">
        <v>9</v>
      </c>
      <c r="AA22" s="28" t="s">
        <v>9</v>
      </c>
      <c r="AB22" s="28" t="s">
        <v>9</v>
      </c>
      <c r="AC22" s="28" t="s">
        <v>9</v>
      </c>
      <c r="AD22" s="28" t="s">
        <v>9</v>
      </c>
      <c r="AE22" s="28" t="s">
        <v>9</v>
      </c>
      <c r="AF22" s="28" t="s">
        <v>10</v>
      </c>
      <c r="AG22" s="24">
        <f t="shared" si="0"/>
        <v>10</v>
      </c>
      <c r="AH22" s="24">
        <f t="shared" si="1"/>
        <v>1</v>
      </c>
      <c r="AI22" s="24">
        <f t="shared" si="2"/>
        <v>4</v>
      </c>
      <c r="AJ22" s="41" t="str" cm="1">
        <f t="array" ref="AJ22">_xlfn.IFS(
$AG22=15,"Not Started",
$AI22&lt;15,"In Progress",
$AI22=15,"Completed",
SUM(AG22:AI22)&gt;15,"Error"
)</f>
        <v>In Progress</v>
      </c>
    </row>
    <row r="23" spans="1:36" ht="13" x14ac:dyDescent="0.25">
      <c r="A23" s="256"/>
      <c r="B23" s="286"/>
      <c r="C23" s="64" t="s">
        <v>1277</v>
      </c>
      <c r="D23" s="53" t="s">
        <v>9850</v>
      </c>
      <c r="E23" s="57" t="s">
        <v>9686</v>
      </c>
      <c r="F23" s="7" t="s">
        <v>51</v>
      </c>
      <c r="G23" s="7" t="s">
        <v>48</v>
      </c>
      <c r="H23" s="7" t="s">
        <v>9099</v>
      </c>
      <c r="I23" s="7" t="s">
        <v>9099</v>
      </c>
      <c r="J23" s="76">
        <v>29.9785825290929</v>
      </c>
      <c r="K23" s="77">
        <v>40.256311998488599</v>
      </c>
      <c r="L23" s="138" t="str">
        <f t="shared" si="3"/>
        <v>29.9785825290929,40.2563119984886</v>
      </c>
      <c r="M23" s="64" t="s">
        <v>10033</v>
      </c>
      <c r="N23" s="7">
        <v>10005996031</v>
      </c>
      <c r="O23" s="7"/>
      <c r="P23" s="201"/>
      <c r="Q23" s="28" t="s">
        <v>11</v>
      </c>
      <c r="R23" s="28" t="s">
        <v>11</v>
      </c>
      <c r="S23" s="28" t="s">
        <v>11</v>
      </c>
      <c r="T23" s="28" t="s">
        <v>11</v>
      </c>
      <c r="U23" s="28" t="s">
        <v>10</v>
      </c>
      <c r="V23" s="28" t="s">
        <v>9</v>
      </c>
      <c r="W23" s="28" t="s">
        <v>9</v>
      </c>
      <c r="X23" s="28" t="s">
        <v>9</v>
      </c>
      <c r="Y23" s="28" t="s">
        <v>9</v>
      </c>
      <c r="Z23" s="28" t="s">
        <v>9</v>
      </c>
      <c r="AA23" s="28" t="s">
        <v>9</v>
      </c>
      <c r="AB23" s="28" t="s">
        <v>9</v>
      </c>
      <c r="AC23" s="28" t="s">
        <v>9</v>
      </c>
      <c r="AD23" s="28" t="s">
        <v>9</v>
      </c>
      <c r="AE23" s="28" t="s">
        <v>9</v>
      </c>
      <c r="AF23" s="28" t="s">
        <v>10</v>
      </c>
      <c r="AG23" s="24">
        <f t="shared" si="0"/>
        <v>10</v>
      </c>
      <c r="AH23" s="24">
        <f t="shared" si="1"/>
        <v>1</v>
      </c>
      <c r="AI23" s="24">
        <f t="shared" si="2"/>
        <v>4</v>
      </c>
      <c r="AJ23" s="41" t="str" cm="1">
        <f t="array" ref="AJ23">_xlfn.IFS(
$AG23=15,"Not Started",
$AI23&lt;15,"In Progress",
$AI23=15,"Completed",
SUM(AG23:AI23)&gt;15,"Error"
)</f>
        <v>In Progress</v>
      </c>
    </row>
    <row r="24" spans="1:36" ht="15.5" customHeight="1" x14ac:dyDescent="0.25">
      <c r="A24" s="256"/>
      <c r="B24" s="286"/>
      <c r="C24" s="63" t="s">
        <v>1278</v>
      </c>
      <c r="D24" s="53" t="s">
        <v>9851</v>
      </c>
      <c r="E24" s="57" t="s">
        <v>9687</v>
      </c>
      <c r="F24" s="7" t="s">
        <v>9092</v>
      </c>
      <c r="G24" s="7" t="s">
        <v>44</v>
      </c>
      <c r="H24" s="7" t="s">
        <v>9099</v>
      </c>
      <c r="I24" s="7" t="s">
        <v>9099</v>
      </c>
      <c r="J24" s="76">
        <v>29.913946159151099</v>
      </c>
      <c r="K24" s="77">
        <v>40.1991256020181</v>
      </c>
      <c r="L24" s="138" t="str">
        <f t="shared" si="3"/>
        <v>29.9139461591511,40.1991256020181</v>
      </c>
      <c r="M24" s="64" t="s">
        <v>10034</v>
      </c>
      <c r="N24" s="7">
        <v>10005967129</v>
      </c>
      <c r="O24" s="7"/>
      <c r="P24" s="201"/>
      <c r="Q24" s="28" t="s">
        <v>11</v>
      </c>
      <c r="R24" s="28" t="s">
        <v>11</v>
      </c>
      <c r="S24" s="28" t="s">
        <v>11</v>
      </c>
      <c r="T24" s="28" t="s">
        <v>11</v>
      </c>
      <c r="U24" s="28" t="s">
        <v>10</v>
      </c>
      <c r="V24" s="28" t="s">
        <v>9</v>
      </c>
      <c r="W24" s="28" t="s">
        <v>9</v>
      </c>
      <c r="X24" s="28" t="s">
        <v>9</v>
      </c>
      <c r="Y24" s="28" t="s">
        <v>9</v>
      </c>
      <c r="Z24" s="28" t="s">
        <v>9</v>
      </c>
      <c r="AA24" s="28" t="s">
        <v>9</v>
      </c>
      <c r="AB24" s="28" t="s">
        <v>9</v>
      </c>
      <c r="AC24" s="28" t="s">
        <v>9</v>
      </c>
      <c r="AD24" s="28" t="s">
        <v>9</v>
      </c>
      <c r="AE24" s="28" t="s">
        <v>9</v>
      </c>
      <c r="AF24" s="28" t="s">
        <v>10</v>
      </c>
      <c r="AG24" s="24">
        <f t="shared" si="0"/>
        <v>10</v>
      </c>
      <c r="AH24" s="24">
        <f t="shared" si="1"/>
        <v>1</v>
      </c>
      <c r="AI24" s="24">
        <f t="shared" si="2"/>
        <v>4</v>
      </c>
      <c r="AJ24" s="41" t="str" cm="1">
        <f t="array" ref="AJ24">_xlfn.IFS(
$AG24=15,"Not Started",
$AI24&lt;15,"In Progress",
$AI24=15,"Completed",
SUM(AG24:AI24)&gt;15,"Error"
)</f>
        <v>In Progress</v>
      </c>
    </row>
    <row r="25" spans="1:36" ht="13" x14ac:dyDescent="0.25">
      <c r="A25" s="256"/>
      <c r="B25" s="286"/>
      <c r="C25" s="64" t="s">
        <v>1279</v>
      </c>
      <c r="D25" s="53" t="s">
        <v>9852</v>
      </c>
      <c r="E25" s="57" t="s">
        <v>9688</v>
      </c>
      <c r="F25" s="7" t="s">
        <v>9092</v>
      </c>
      <c r="G25" s="7" t="s">
        <v>9087</v>
      </c>
      <c r="H25" s="7" t="s">
        <v>9099</v>
      </c>
      <c r="I25" s="7" t="s">
        <v>9099</v>
      </c>
      <c r="J25" s="76">
        <v>29.832730999999999</v>
      </c>
      <c r="K25" s="77">
        <v>39.869109999999999</v>
      </c>
      <c r="L25" s="138" t="str">
        <f t="shared" si="3"/>
        <v>29.832731,39.86911</v>
      </c>
      <c r="M25" s="64" t="s">
        <v>10035</v>
      </c>
      <c r="N25" s="7">
        <v>10006005856</v>
      </c>
      <c r="O25" s="7"/>
      <c r="P25" s="201"/>
      <c r="Q25" s="28" t="s">
        <v>11</v>
      </c>
      <c r="R25" s="28" t="s">
        <v>11</v>
      </c>
      <c r="S25" s="28" t="s">
        <v>11</v>
      </c>
      <c r="T25" s="28" t="s">
        <v>11</v>
      </c>
      <c r="U25" s="28" t="s">
        <v>10</v>
      </c>
      <c r="V25" s="28" t="s">
        <v>9</v>
      </c>
      <c r="W25" s="28" t="s">
        <v>9</v>
      </c>
      <c r="X25" s="28" t="s">
        <v>9</v>
      </c>
      <c r="Y25" s="28" t="s">
        <v>9</v>
      </c>
      <c r="Z25" s="28" t="s">
        <v>9</v>
      </c>
      <c r="AA25" s="28" t="s">
        <v>9</v>
      </c>
      <c r="AB25" s="28" t="s">
        <v>9</v>
      </c>
      <c r="AC25" s="28" t="s">
        <v>9</v>
      </c>
      <c r="AD25" s="28" t="s">
        <v>9</v>
      </c>
      <c r="AE25" s="28" t="s">
        <v>9</v>
      </c>
      <c r="AF25" s="28" t="s">
        <v>10</v>
      </c>
      <c r="AG25" s="24">
        <f t="shared" si="0"/>
        <v>10</v>
      </c>
      <c r="AH25" s="24">
        <f t="shared" si="1"/>
        <v>1</v>
      </c>
      <c r="AI25" s="24">
        <f t="shared" si="2"/>
        <v>4</v>
      </c>
      <c r="AJ25" s="41" t="str" cm="1">
        <f t="array" ref="AJ25">_xlfn.IFS(
$AG25=15,"Not Started",
$AI25&lt;15,"In Progress",
$AI25=15,"Completed",
SUM(AG25:AI25)&gt;15,"Error"
)</f>
        <v>In Progress</v>
      </c>
    </row>
    <row r="26" spans="1:36" ht="13" x14ac:dyDescent="0.25">
      <c r="A26" s="256"/>
      <c r="B26" s="286"/>
      <c r="C26" s="63" t="s">
        <v>1280</v>
      </c>
      <c r="D26" s="53" t="s">
        <v>9853</v>
      </c>
      <c r="E26" s="57" t="s">
        <v>9689</v>
      </c>
      <c r="F26" s="7" t="s">
        <v>47</v>
      </c>
      <c r="G26" s="7" t="s">
        <v>48</v>
      </c>
      <c r="H26" s="7" t="s">
        <v>9099</v>
      </c>
      <c r="I26" s="7" t="s">
        <v>9099</v>
      </c>
      <c r="J26" s="76">
        <v>30.1700517120588</v>
      </c>
      <c r="K26" s="77">
        <v>40.2979839216705</v>
      </c>
      <c r="L26" s="138" t="str">
        <f t="shared" si="3"/>
        <v>30.1700517120588,40.2979839216705</v>
      </c>
      <c r="M26" s="64" t="s">
        <v>10036</v>
      </c>
      <c r="N26" s="7">
        <v>10005968556</v>
      </c>
      <c r="O26" s="7"/>
      <c r="P26" s="201">
        <v>46127</v>
      </c>
      <c r="Q26" s="28" t="s">
        <v>11</v>
      </c>
      <c r="R26" s="28" t="s">
        <v>11</v>
      </c>
      <c r="S26" s="28" t="s">
        <v>11</v>
      </c>
      <c r="T26" s="28" t="s">
        <v>11</v>
      </c>
      <c r="U26" s="28" t="s">
        <v>10</v>
      </c>
      <c r="V26" s="28" t="s">
        <v>9</v>
      </c>
      <c r="W26" s="28" t="s">
        <v>9</v>
      </c>
      <c r="X26" s="28" t="s">
        <v>9</v>
      </c>
      <c r="Y26" s="28" t="s">
        <v>9</v>
      </c>
      <c r="Z26" s="28" t="s">
        <v>9</v>
      </c>
      <c r="AA26" s="28" t="s">
        <v>9</v>
      </c>
      <c r="AB26" s="28" t="s">
        <v>9</v>
      </c>
      <c r="AC26" s="28" t="s">
        <v>9</v>
      </c>
      <c r="AD26" s="28" t="s">
        <v>9</v>
      </c>
      <c r="AE26" s="28" t="s">
        <v>9</v>
      </c>
      <c r="AF26" s="28" t="s">
        <v>10</v>
      </c>
      <c r="AG26" s="24">
        <f t="shared" si="0"/>
        <v>10</v>
      </c>
      <c r="AH26" s="24">
        <f t="shared" si="1"/>
        <v>1</v>
      </c>
      <c r="AI26" s="24">
        <f t="shared" si="2"/>
        <v>4</v>
      </c>
      <c r="AJ26" s="41" t="str" cm="1">
        <f t="array" ref="AJ26">_xlfn.IFS(
$AG26=15,"Not Started",
$AI26&lt;15,"In Progress",
$AI26=15,"Completed",
SUM(AG26:AI26)&gt;15,"Error"
)</f>
        <v>In Progress</v>
      </c>
    </row>
    <row r="27" spans="1:36" ht="13" x14ac:dyDescent="0.25">
      <c r="A27" s="256"/>
      <c r="B27" s="286"/>
      <c r="C27" s="64" t="s">
        <v>1281</v>
      </c>
      <c r="D27" s="53" t="s">
        <v>9854</v>
      </c>
      <c r="E27" s="57" t="s">
        <v>9690</v>
      </c>
      <c r="F27" s="7" t="s">
        <v>9672</v>
      </c>
      <c r="G27" s="7" t="s">
        <v>48</v>
      </c>
      <c r="H27" s="7" t="s">
        <v>9099</v>
      </c>
      <c r="I27" s="7" t="s">
        <v>9099</v>
      </c>
      <c r="J27" s="76">
        <v>30.128782979863502</v>
      </c>
      <c r="K27" s="77">
        <v>40.381467162934797</v>
      </c>
      <c r="L27" s="138" t="str">
        <f t="shared" si="3"/>
        <v>30.1287829798635,40.3814671629348</v>
      </c>
      <c r="M27" s="64" t="s">
        <v>10037</v>
      </c>
      <c r="N27" s="7">
        <v>10005993488</v>
      </c>
      <c r="O27" s="7"/>
      <c r="P27" s="201"/>
      <c r="Q27" s="28" t="s">
        <v>9</v>
      </c>
      <c r="R27" s="28" t="s">
        <v>9</v>
      </c>
      <c r="S27" s="28" t="s">
        <v>9</v>
      </c>
      <c r="T27" s="28" t="s">
        <v>9</v>
      </c>
      <c r="U27" s="28" t="s">
        <v>9</v>
      </c>
      <c r="V27" s="28" t="s">
        <v>9</v>
      </c>
      <c r="W27" s="28" t="s">
        <v>9</v>
      </c>
      <c r="X27" s="28" t="s">
        <v>9</v>
      </c>
      <c r="Y27" s="28" t="s">
        <v>9</v>
      </c>
      <c r="Z27" s="28" t="s">
        <v>9</v>
      </c>
      <c r="AA27" s="28" t="s">
        <v>9</v>
      </c>
      <c r="AB27" s="28" t="s">
        <v>9</v>
      </c>
      <c r="AC27" s="28" t="s">
        <v>9</v>
      </c>
      <c r="AD27" s="28" t="s">
        <v>9</v>
      </c>
      <c r="AE27" s="28" t="s">
        <v>9</v>
      </c>
      <c r="AF27" s="28" t="s">
        <v>9</v>
      </c>
      <c r="AG27" s="24">
        <f t="shared" si="0"/>
        <v>15</v>
      </c>
      <c r="AH27" s="24">
        <f t="shared" si="1"/>
        <v>0</v>
      </c>
      <c r="AI27" s="24">
        <f t="shared" si="2"/>
        <v>0</v>
      </c>
      <c r="AJ27" s="41" t="str" cm="1">
        <f t="array" ref="AJ27">_xlfn.IFS(
$AG27=15,"Not Started",
$AI27&lt;15,"In Progress",
$AI27=15,"Completed",
SUM(AG27:AI27)&gt;15,"Error"
)</f>
        <v>Not Started</v>
      </c>
    </row>
    <row r="28" spans="1:36" ht="13" x14ac:dyDescent="0.25">
      <c r="A28" s="256"/>
      <c r="B28" s="286"/>
      <c r="C28" s="63" t="s">
        <v>1282</v>
      </c>
      <c r="D28" s="53" t="s">
        <v>9855</v>
      </c>
      <c r="E28" s="57" t="s">
        <v>9691</v>
      </c>
      <c r="F28" s="7" t="s">
        <v>9671</v>
      </c>
      <c r="G28" s="7" t="s">
        <v>48</v>
      </c>
      <c r="H28" s="7" t="s">
        <v>9099</v>
      </c>
      <c r="I28" s="7" t="s">
        <v>9099</v>
      </c>
      <c r="J28" s="76">
        <v>29.935995323178101</v>
      </c>
      <c r="K28" s="77">
        <v>40.195372638176998</v>
      </c>
      <c r="L28" s="138" t="str">
        <f t="shared" si="3"/>
        <v>29.9359953231781,40.195372638177</v>
      </c>
      <c r="M28" s="64" t="s">
        <v>10038</v>
      </c>
      <c r="N28" s="7">
        <v>10005993460</v>
      </c>
      <c r="O28" s="7"/>
      <c r="P28" s="201"/>
      <c r="Q28" s="28" t="s">
        <v>11</v>
      </c>
      <c r="R28" s="28" t="s">
        <v>11</v>
      </c>
      <c r="S28" s="28" t="s">
        <v>11</v>
      </c>
      <c r="T28" s="28" t="s">
        <v>11</v>
      </c>
      <c r="U28" s="28" t="s">
        <v>10</v>
      </c>
      <c r="V28" s="28" t="s">
        <v>9</v>
      </c>
      <c r="W28" s="28" t="s">
        <v>9</v>
      </c>
      <c r="X28" s="28" t="s">
        <v>9</v>
      </c>
      <c r="Y28" s="28" t="s">
        <v>9</v>
      </c>
      <c r="Z28" s="28" t="s">
        <v>9</v>
      </c>
      <c r="AA28" s="28" t="s">
        <v>9</v>
      </c>
      <c r="AB28" s="28" t="s">
        <v>9</v>
      </c>
      <c r="AC28" s="28" t="s">
        <v>9</v>
      </c>
      <c r="AD28" s="28" t="s">
        <v>9</v>
      </c>
      <c r="AE28" s="28" t="s">
        <v>9</v>
      </c>
      <c r="AF28" s="28" t="s">
        <v>10</v>
      </c>
      <c r="AG28" s="24">
        <f t="shared" si="0"/>
        <v>10</v>
      </c>
      <c r="AH28" s="24">
        <f t="shared" si="1"/>
        <v>1</v>
      </c>
      <c r="AI28" s="24">
        <f t="shared" si="2"/>
        <v>4</v>
      </c>
      <c r="AJ28" s="41" t="str" cm="1">
        <f t="array" ref="AJ28">_xlfn.IFS(
$AG28=15,"Not Started",
$AI28&lt;15,"In Progress",
$AI28=15,"Completed",
SUM(AG28:AI28)&gt;15,"Error"
)</f>
        <v>In Progress</v>
      </c>
    </row>
    <row r="29" spans="1:36" s="221" customFormat="1" ht="13" x14ac:dyDescent="0.25">
      <c r="A29" s="256"/>
      <c r="B29" s="286"/>
      <c r="C29" s="223" t="s">
        <v>1283</v>
      </c>
      <c r="D29" s="94" t="s">
        <v>9856</v>
      </c>
      <c r="E29" s="95" t="s">
        <v>9692</v>
      </c>
      <c r="F29" s="216" t="s">
        <v>9094</v>
      </c>
      <c r="G29" s="216" t="s">
        <v>48</v>
      </c>
      <c r="H29" s="216" t="s">
        <v>9099</v>
      </c>
      <c r="I29" s="216" t="s">
        <v>9099</v>
      </c>
      <c r="J29" s="224">
        <v>30.118402217373699</v>
      </c>
      <c r="K29" s="225">
        <v>40.3917197523688</v>
      </c>
      <c r="L29" s="226" t="str">
        <f t="shared" si="3"/>
        <v>30.1184022173737,40.3917197523688</v>
      </c>
      <c r="M29" s="223" t="s">
        <v>10039</v>
      </c>
      <c r="N29" s="216">
        <v>10005989510</v>
      </c>
      <c r="O29" s="216"/>
      <c r="P29" s="201">
        <v>46140</v>
      </c>
      <c r="Q29" s="141" t="s">
        <v>11</v>
      </c>
      <c r="R29" s="141" t="s">
        <v>11</v>
      </c>
      <c r="S29" s="141" t="s">
        <v>11</v>
      </c>
      <c r="T29" s="141" t="s">
        <v>11</v>
      </c>
      <c r="U29" s="141" t="s">
        <v>10</v>
      </c>
      <c r="V29" s="28" t="s">
        <v>9</v>
      </c>
      <c r="W29" s="28" t="s">
        <v>9</v>
      </c>
      <c r="X29" s="28" t="s">
        <v>9</v>
      </c>
      <c r="Y29" s="28" t="s">
        <v>9</v>
      </c>
      <c r="Z29" s="28" t="s">
        <v>9</v>
      </c>
      <c r="AA29" s="28" t="s">
        <v>9</v>
      </c>
      <c r="AB29" s="28" t="s">
        <v>9</v>
      </c>
      <c r="AC29" s="28" t="s">
        <v>9</v>
      </c>
      <c r="AD29" s="28" t="s">
        <v>9</v>
      </c>
      <c r="AE29" s="28" t="s">
        <v>9</v>
      </c>
      <c r="AF29" s="28" t="s">
        <v>10</v>
      </c>
      <c r="AG29" s="219">
        <f t="shared" si="0"/>
        <v>10</v>
      </c>
      <c r="AH29" s="219">
        <f t="shared" si="1"/>
        <v>1</v>
      </c>
      <c r="AI29" s="219">
        <f t="shared" si="2"/>
        <v>4</v>
      </c>
      <c r="AJ29" s="220" t="str" cm="1">
        <f t="array" ref="AJ29">_xlfn.IFS(
$AG29=15,"Not Started",
$AI29&lt;15,"In Progress",
$AI29=15,"Completed",
SUM(AG29:AI29)&gt;15,"Error"
)</f>
        <v>In Progress</v>
      </c>
    </row>
    <row r="30" spans="1:36" ht="13" x14ac:dyDescent="0.25">
      <c r="A30" s="256"/>
      <c r="B30" s="286"/>
      <c r="C30" s="63" t="s">
        <v>1284</v>
      </c>
      <c r="D30" s="53" t="s">
        <v>9857</v>
      </c>
      <c r="E30" s="57" t="s">
        <v>9693</v>
      </c>
      <c r="F30" s="7" t="s">
        <v>51</v>
      </c>
      <c r="G30" s="7" t="s">
        <v>48</v>
      </c>
      <c r="H30" s="7" t="s">
        <v>9099</v>
      </c>
      <c r="I30" s="7" t="s">
        <v>9099</v>
      </c>
      <c r="J30" s="76">
        <v>30.1333973030419</v>
      </c>
      <c r="K30" s="77">
        <v>40.376441895839697</v>
      </c>
      <c r="L30" s="138" t="str">
        <f t="shared" si="3"/>
        <v>30.1333973030419,40.3764418958397</v>
      </c>
      <c r="M30" s="64" t="s">
        <v>10040</v>
      </c>
      <c r="N30" s="7">
        <v>10005989538</v>
      </c>
      <c r="O30" s="7"/>
      <c r="P30" s="201">
        <v>46134</v>
      </c>
      <c r="Q30" s="28" t="s">
        <v>11</v>
      </c>
      <c r="R30" s="28" t="s">
        <v>11</v>
      </c>
      <c r="S30" s="28" t="s">
        <v>11</v>
      </c>
      <c r="T30" s="28" t="s">
        <v>11</v>
      </c>
      <c r="U30" s="28" t="s">
        <v>10</v>
      </c>
      <c r="V30" s="28" t="s">
        <v>9</v>
      </c>
      <c r="W30" s="28" t="s">
        <v>9</v>
      </c>
      <c r="X30" s="28" t="s">
        <v>9</v>
      </c>
      <c r="Y30" s="28" t="s">
        <v>9</v>
      </c>
      <c r="Z30" s="28" t="s">
        <v>9</v>
      </c>
      <c r="AA30" s="28" t="s">
        <v>9</v>
      </c>
      <c r="AB30" s="28" t="s">
        <v>9</v>
      </c>
      <c r="AC30" s="28" t="s">
        <v>9</v>
      </c>
      <c r="AD30" s="28" t="s">
        <v>9</v>
      </c>
      <c r="AE30" s="28" t="s">
        <v>9</v>
      </c>
      <c r="AF30" s="28" t="s">
        <v>10</v>
      </c>
      <c r="AG30" s="24">
        <f t="shared" si="0"/>
        <v>10</v>
      </c>
      <c r="AH30" s="24">
        <f t="shared" si="1"/>
        <v>1</v>
      </c>
      <c r="AI30" s="24">
        <f t="shared" si="2"/>
        <v>4</v>
      </c>
      <c r="AJ30" s="41" t="str" cm="1">
        <f t="array" ref="AJ30">_xlfn.IFS(
$AG30=15,"Not Started",
$AI30&lt;15,"In Progress",
$AI30=15,"Completed",
SUM(AG30:AI30)&gt;15,"Error"
)</f>
        <v>In Progress</v>
      </c>
    </row>
    <row r="31" spans="1:36" ht="13" x14ac:dyDescent="0.25">
      <c r="A31" s="256"/>
      <c r="B31" s="286"/>
      <c r="C31" s="64" t="s">
        <v>1285</v>
      </c>
      <c r="D31" s="53" t="s">
        <v>9858</v>
      </c>
      <c r="E31" s="57" t="s">
        <v>9694</v>
      </c>
      <c r="F31" s="7" t="s">
        <v>47</v>
      </c>
      <c r="G31" s="7" t="s">
        <v>48</v>
      </c>
      <c r="H31" s="7" t="s">
        <v>9099</v>
      </c>
      <c r="I31" s="7" t="s">
        <v>9099</v>
      </c>
      <c r="J31" s="76">
        <v>29.9346215263527</v>
      </c>
      <c r="K31" s="77">
        <v>40.201348316372801</v>
      </c>
      <c r="L31" s="138" t="str">
        <f t="shared" si="3"/>
        <v>29.9346215263527,40.2013483163728</v>
      </c>
      <c r="M31" s="64" t="s">
        <v>10041</v>
      </c>
      <c r="N31" s="7">
        <v>10005989322</v>
      </c>
      <c r="O31" s="7"/>
      <c r="P31" s="201"/>
      <c r="Q31" s="28" t="s">
        <v>11</v>
      </c>
      <c r="R31" s="28" t="s">
        <v>11</v>
      </c>
      <c r="S31" s="28" t="s">
        <v>11</v>
      </c>
      <c r="T31" s="28" t="s">
        <v>11</v>
      </c>
      <c r="U31" s="28" t="s">
        <v>10</v>
      </c>
      <c r="V31" s="28" t="s">
        <v>9</v>
      </c>
      <c r="W31" s="28" t="s">
        <v>9</v>
      </c>
      <c r="X31" s="28" t="s">
        <v>9</v>
      </c>
      <c r="Y31" s="28" t="s">
        <v>9</v>
      </c>
      <c r="Z31" s="28" t="s">
        <v>9</v>
      </c>
      <c r="AA31" s="28" t="s">
        <v>9</v>
      </c>
      <c r="AB31" s="28" t="s">
        <v>9</v>
      </c>
      <c r="AC31" s="28" t="s">
        <v>9</v>
      </c>
      <c r="AD31" s="28" t="s">
        <v>9</v>
      </c>
      <c r="AE31" s="28" t="s">
        <v>9</v>
      </c>
      <c r="AF31" s="28" t="s">
        <v>10</v>
      </c>
      <c r="AG31" s="24">
        <f t="shared" si="0"/>
        <v>10</v>
      </c>
      <c r="AH31" s="24">
        <f t="shared" si="1"/>
        <v>1</v>
      </c>
      <c r="AI31" s="24">
        <f t="shared" si="2"/>
        <v>4</v>
      </c>
      <c r="AJ31" s="41" t="str" cm="1">
        <f t="array" ref="AJ31">_xlfn.IFS(
$AG31=15,"Not Started",
$AI31&lt;15,"In Progress",
$AI31=15,"Completed",
SUM(AG31:AI31)&gt;15,"Error"
)</f>
        <v>In Progress</v>
      </c>
    </row>
    <row r="32" spans="1:36" ht="13" x14ac:dyDescent="0.25">
      <c r="A32" s="256"/>
      <c r="B32" s="286"/>
      <c r="C32" s="63" t="s">
        <v>1286</v>
      </c>
      <c r="D32" s="53" t="s">
        <v>9859</v>
      </c>
      <c r="E32" s="57" t="s">
        <v>9695</v>
      </c>
      <c r="F32" s="7" t="s">
        <v>8888</v>
      </c>
      <c r="G32" s="7" t="s">
        <v>48</v>
      </c>
      <c r="H32" s="7" t="s">
        <v>9099</v>
      </c>
      <c r="I32" s="7" t="s">
        <v>9099</v>
      </c>
      <c r="J32" s="76">
        <v>29.9496569845465</v>
      </c>
      <c r="K32" s="77">
        <v>40.203586460714803</v>
      </c>
      <c r="L32" s="138" t="str">
        <f t="shared" si="3"/>
        <v>29.9496569845465,40.2035864607148</v>
      </c>
      <c r="M32" s="64" t="s">
        <v>10042</v>
      </c>
      <c r="N32" s="7">
        <v>10005961798</v>
      </c>
      <c r="O32" s="7"/>
      <c r="P32" s="201"/>
      <c r="Q32" s="28" t="s">
        <v>11</v>
      </c>
      <c r="R32" s="28" t="s">
        <v>11</v>
      </c>
      <c r="S32" s="28" t="s">
        <v>11</v>
      </c>
      <c r="T32" s="28" t="s">
        <v>11</v>
      </c>
      <c r="U32" s="28" t="s">
        <v>10</v>
      </c>
      <c r="V32" s="28" t="s">
        <v>9</v>
      </c>
      <c r="W32" s="28" t="s">
        <v>9</v>
      </c>
      <c r="X32" s="28" t="s">
        <v>9</v>
      </c>
      <c r="Y32" s="28" t="s">
        <v>9</v>
      </c>
      <c r="Z32" s="28" t="s">
        <v>9</v>
      </c>
      <c r="AA32" s="28" t="s">
        <v>9</v>
      </c>
      <c r="AB32" s="28" t="s">
        <v>9</v>
      </c>
      <c r="AC32" s="28" t="s">
        <v>9</v>
      </c>
      <c r="AD32" s="28" t="s">
        <v>9</v>
      </c>
      <c r="AE32" s="28" t="s">
        <v>9</v>
      </c>
      <c r="AF32" s="28" t="s">
        <v>10</v>
      </c>
      <c r="AG32" s="24">
        <f t="shared" si="0"/>
        <v>10</v>
      </c>
      <c r="AH32" s="24">
        <f t="shared" si="1"/>
        <v>1</v>
      </c>
      <c r="AI32" s="24">
        <f t="shared" si="2"/>
        <v>4</v>
      </c>
      <c r="AJ32" s="41" t="str" cm="1">
        <f t="array" ref="AJ32">_xlfn.IFS(
$AG32=15,"Not Started",
$AI32&lt;15,"In Progress",
$AI32=15,"Completed",
SUM(AG32:AI32)&gt;15,"Error"
)</f>
        <v>In Progress</v>
      </c>
    </row>
    <row r="33" spans="1:36" ht="13" x14ac:dyDescent="0.25">
      <c r="A33" s="256"/>
      <c r="B33" s="286"/>
      <c r="C33" s="64" t="s">
        <v>1287</v>
      </c>
      <c r="D33" s="53" t="s">
        <v>9860</v>
      </c>
      <c r="E33" s="57" t="s">
        <v>9696</v>
      </c>
      <c r="F33" s="7" t="s">
        <v>8888</v>
      </c>
      <c r="G33" s="7" t="s">
        <v>48</v>
      </c>
      <c r="H33" s="7" t="s">
        <v>9099</v>
      </c>
      <c r="I33" s="7" t="s">
        <v>9099</v>
      </c>
      <c r="J33" s="76">
        <v>29.9757722313146</v>
      </c>
      <c r="K33" s="77">
        <v>40.192853362413203</v>
      </c>
      <c r="L33" s="138" t="str">
        <f t="shared" si="3"/>
        <v>29.9757722313146,40.1928533624132</v>
      </c>
      <c r="M33" s="64" t="s">
        <v>10043</v>
      </c>
      <c r="N33" s="7">
        <v>10005998626</v>
      </c>
      <c r="O33" s="7"/>
      <c r="P33" s="201"/>
      <c r="Q33" s="28" t="s">
        <v>11</v>
      </c>
      <c r="R33" s="28" t="s">
        <v>11</v>
      </c>
      <c r="S33" s="28" t="s">
        <v>11</v>
      </c>
      <c r="T33" s="28" t="s">
        <v>11</v>
      </c>
      <c r="U33" s="28" t="s">
        <v>10</v>
      </c>
      <c r="V33" s="28" t="s">
        <v>9</v>
      </c>
      <c r="W33" s="28" t="s">
        <v>9</v>
      </c>
      <c r="X33" s="28" t="s">
        <v>9</v>
      </c>
      <c r="Y33" s="28" t="s">
        <v>9</v>
      </c>
      <c r="Z33" s="28" t="s">
        <v>9</v>
      </c>
      <c r="AA33" s="28" t="s">
        <v>9</v>
      </c>
      <c r="AB33" s="28" t="s">
        <v>9</v>
      </c>
      <c r="AC33" s="28" t="s">
        <v>9</v>
      </c>
      <c r="AD33" s="28" t="s">
        <v>9</v>
      </c>
      <c r="AE33" s="28" t="s">
        <v>9</v>
      </c>
      <c r="AF33" s="28" t="s">
        <v>10</v>
      </c>
      <c r="AG33" s="24">
        <f t="shared" si="0"/>
        <v>10</v>
      </c>
      <c r="AH33" s="24">
        <f t="shared" si="1"/>
        <v>1</v>
      </c>
      <c r="AI33" s="24">
        <f t="shared" si="2"/>
        <v>4</v>
      </c>
      <c r="AJ33" s="41" t="str" cm="1">
        <f t="array" ref="AJ33">_xlfn.IFS(
$AG33=15,"Not Started",
$AI33&lt;15,"In Progress",
$AI33=15,"Completed",
SUM(AG33:AI33)&gt;15,"Error"
)</f>
        <v>In Progress</v>
      </c>
    </row>
    <row r="34" spans="1:36" ht="13" x14ac:dyDescent="0.25">
      <c r="A34" s="256"/>
      <c r="B34" s="286"/>
      <c r="C34" s="63" t="s">
        <v>1288</v>
      </c>
      <c r="D34" s="53" t="s">
        <v>9861</v>
      </c>
      <c r="E34" s="57" t="s">
        <v>9697</v>
      </c>
      <c r="F34" s="7" t="s">
        <v>43</v>
      </c>
      <c r="G34" s="7" t="s">
        <v>44</v>
      </c>
      <c r="H34" s="7" t="s">
        <v>9099</v>
      </c>
      <c r="I34" s="7" t="s">
        <v>9099</v>
      </c>
      <c r="J34" s="76">
        <v>29.891154575838399</v>
      </c>
      <c r="K34" s="77">
        <v>40.2261526095688</v>
      </c>
      <c r="L34" s="138" t="str">
        <f t="shared" si="3"/>
        <v>29.8911545758384,40.2261526095688</v>
      </c>
      <c r="M34" s="64" t="s">
        <v>10044</v>
      </c>
      <c r="N34" s="7">
        <v>10005986723</v>
      </c>
      <c r="O34" s="7"/>
      <c r="P34" s="201"/>
      <c r="Q34" s="28" t="s">
        <v>11</v>
      </c>
      <c r="R34" s="28" t="s">
        <v>11</v>
      </c>
      <c r="S34" s="28" t="s">
        <v>11</v>
      </c>
      <c r="T34" s="28" t="s">
        <v>11</v>
      </c>
      <c r="U34" s="28" t="s">
        <v>10</v>
      </c>
      <c r="V34" s="28" t="s">
        <v>9</v>
      </c>
      <c r="W34" s="28" t="s">
        <v>9</v>
      </c>
      <c r="X34" s="28" t="s">
        <v>9</v>
      </c>
      <c r="Y34" s="28" t="s">
        <v>9</v>
      </c>
      <c r="Z34" s="28" t="s">
        <v>9</v>
      </c>
      <c r="AA34" s="28" t="s">
        <v>9</v>
      </c>
      <c r="AB34" s="28" t="s">
        <v>9</v>
      </c>
      <c r="AC34" s="28" t="s">
        <v>9</v>
      </c>
      <c r="AD34" s="28" t="s">
        <v>9</v>
      </c>
      <c r="AE34" s="28" t="s">
        <v>9</v>
      </c>
      <c r="AF34" s="28" t="s">
        <v>10</v>
      </c>
      <c r="AG34" s="24">
        <f t="shared" si="0"/>
        <v>10</v>
      </c>
      <c r="AH34" s="24">
        <f t="shared" si="1"/>
        <v>1</v>
      </c>
      <c r="AI34" s="24">
        <f t="shared" si="2"/>
        <v>4</v>
      </c>
      <c r="AJ34" s="41" t="str" cm="1">
        <f t="array" ref="AJ34">_xlfn.IFS(
$AG34=15,"Not Started",
$AI34&lt;15,"In Progress",
$AI34=15,"Completed",
SUM(AG34:AI34)&gt;15,"Error"
)</f>
        <v>In Progress</v>
      </c>
    </row>
    <row r="35" spans="1:36" ht="26" x14ac:dyDescent="0.25">
      <c r="A35" s="256"/>
      <c r="B35" s="286"/>
      <c r="C35" s="64" t="s">
        <v>1289</v>
      </c>
      <c r="D35" s="79" t="s">
        <v>10277</v>
      </c>
      <c r="E35" s="80" t="s">
        <v>10278</v>
      </c>
      <c r="F35" s="7" t="s">
        <v>43</v>
      </c>
      <c r="G35" s="7" t="s">
        <v>48</v>
      </c>
      <c r="H35" s="7" t="s">
        <v>9099</v>
      </c>
      <c r="I35" s="7" t="s">
        <v>9099</v>
      </c>
      <c r="J35" s="76">
        <v>29.9618866278234</v>
      </c>
      <c r="K35" s="77">
        <v>40.211017191249397</v>
      </c>
      <c r="L35" s="138" t="str">
        <f t="shared" si="3"/>
        <v>29.9618866278234,40.2110171912494</v>
      </c>
      <c r="M35" s="64" t="s">
        <v>10045</v>
      </c>
      <c r="N35" s="7">
        <v>10005996443</v>
      </c>
      <c r="O35" s="7"/>
      <c r="P35" s="201"/>
      <c r="Q35" s="28" t="s">
        <v>11</v>
      </c>
      <c r="R35" s="28" t="s">
        <v>11</v>
      </c>
      <c r="S35" s="28" t="s">
        <v>11</v>
      </c>
      <c r="T35" s="28" t="s">
        <v>11</v>
      </c>
      <c r="U35" s="28" t="s">
        <v>9</v>
      </c>
      <c r="V35" s="28" t="s">
        <v>9</v>
      </c>
      <c r="W35" s="28" t="s">
        <v>9</v>
      </c>
      <c r="X35" s="28" t="s">
        <v>9</v>
      </c>
      <c r="Y35" s="28" t="s">
        <v>9</v>
      </c>
      <c r="Z35" s="28" t="s">
        <v>9</v>
      </c>
      <c r="AA35" s="28" t="s">
        <v>9</v>
      </c>
      <c r="AB35" s="28" t="s">
        <v>9</v>
      </c>
      <c r="AC35" s="28" t="s">
        <v>9</v>
      </c>
      <c r="AD35" s="28" t="s">
        <v>9</v>
      </c>
      <c r="AE35" s="28" t="s">
        <v>9</v>
      </c>
      <c r="AF35" s="28" t="s">
        <v>10</v>
      </c>
      <c r="AG35" s="24">
        <f t="shared" si="0"/>
        <v>11</v>
      </c>
      <c r="AH35" s="24">
        <f t="shared" si="1"/>
        <v>0</v>
      </c>
      <c r="AI35" s="24">
        <f t="shared" si="2"/>
        <v>4</v>
      </c>
      <c r="AJ35" s="41" t="str" cm="1">
        <f t="array" ref="AJ35">_xlfn.IFS(
$AG35=15,"Not Started",
$AI35&lt;15,"In Progress",
$AI35=15,"Completed",
SUM(AG35:AI35)&gt;15,"Error"
)</f>
        <v>In Progress</v>
      </c>
    </row>
    <row r="36" spans="1:36" ht="13" x14ac:dyDescent="0.25">
      <c r="A36" s="256"/>
      <c r="B36" s="286"/>
      <c r="C36" s="63" t="s">
        <v>1290</v>
      </c>
      <c r="D36" s="53" t="s">
        <v>9862</v>
      </c>
      <c r="E36" s="57" t="s">
        <v>9698</v>
      </c>
      <c r="F36" s="7" t="s">
        <v>9094</v>
      </c>
      <c r="G36" s="7" t="s">
        <v>48</v>
      </c>
      <c r="H36" s="7" t="s">
        <v>9099</v>
      </c>
      <c r="I36" s="7" t="s">
        <v>9099</v>
      </c>
      <c r="J36" s="76">
        <v>29.978336838069801</v>
      </c>
      <c r="K36" s="77">
        <v>40.239467593627502</v>
      </c>
      <c r="L36" s="138" t="str">
        <f t="shared" si="3"/>
        <v>29.9783368380698,40.2394675936275</v>
      </c>
      <c r="M36" s="64" t="s">
        <v>10046</v>
      </c>
      <c r="N36" s="7">
        <v>10102399970</v>
      </c>
      <c r="O36" s="7"/>
      <c r="P36" s="201"/>
      <c r="Q36" s="28" t="s">
        <v>11</v>
      </c>
      <c r="R36" s="28" t="s">
        <v>11</v>
      </c>
      <c r="S36" s="28" t="s">
        <v>11</v>
      </c>
      <c r="T36" s="28" t="s">
        <v>11</v>
      </c>
      <c r="U36" s="28" t="s">
        <v>10</v>
      </c>
      <c r="V36" s="28" t="s">
        <v>9</v>
      </c>
      <c r="W36" s="28" t="s">
        <v>9</v>
      </c>
      <c r="X36" s="28" t="s">
        <v>9</v>
      </c>
      <c r="Y36" s="28" t="s">
        <v>9</v>
      </c>
      <c r="Z36" s="28" t="s">
        <v>9</v>
      </c>
      <c r="AA36" s="28" t="s">
        <v>9</v>
      </c>
      <c r="AB36" s="28" t="s">
        <v>9</v>
      </c>
      <c r="AC36" s="28" t="s">
        <v>9</v>
      </c>
      <c r="AD36" s="28" t="s">
        <v>9</v>
      </c>
      <c r="AE36" s="28" t="s">
        <v>9</v>
      </c>
      <c r="AF36" s="28" t="s">
        <v>10</v>
      </c>
      <c r="AG36" s="24">
        <f t="shared" ref="AG36:AG67" si="4">COUNTIF(Q36:AE36,$AG$2)</f>
        <v>10</v>
      </c>
      <c r="AH36" s="24">
        <f t="shared" ref="AH36:AH67" si="5">COUNTIF(Q36:AE36,$AH$2)</f>
        <v>1</v>
      </c>
      <c r="AI36" s="24">
        <f t="shared" ref="AI36:AI67" si="6">COUNTIF(Q36:AE36,$AI$2)</f>
        <v>4</v>
      </c>
      <c r="AJ36" s="41" t="str" cm="1">
        <f t="array" ref="AJ36">_xlfn.IFS(
$AG36=15,"Not Started",
$AI36&lt;15,"In Progress",
$AI36=15,"Completed",
SUM(AG36:AI36)&gt;15,"Error"
)</f>
        <v>In Progress</v>
      </c>
    </row>
    <row r="37" spans="1:36" ht="13" x14ac:dyDescent="0.25">
      <c r="A37" s="256"/>
      <c r="B37" s="286"/>
      <c r="C37" s="64" t="s">
        <v>1291</v>
      </c>
      <c r="D37" s="53" t="s">
        <v>9863</v>
      </c>
      <c r="E37" s="57" t="s">
        <v>9699</v>
      </c>
      <c r="F37" s="7" t="s">
        <v>8890</v>
      </c>
      <c r="G37" s="7" t="s">
        <v>48</v>
      </c>
      <c r="H37" s="7" t="s">
        <v>9099</v>
      </c>
      <c r="I37" s="7" t="s">
        <v>9099</v>
      </c>
      <c r="J37" s="76">
        <v>29.9781244406967</v>
      </c>
      <c r="K37" s="77">
        <v>40.212757689518199</v>
      </c>
      <c r="L37" s="138" t="str">
        <f t="shared" si="3"/>
        <v>29.9781244406967,40.2127576895182</v>
      </c>
      <c r="M37" s="64" t="s">
        <v>10047</v>
      </c>
      <c r="N37" s="7">
        <v>10005995446</v>
      </c>
      <c r="O37" s="7"/>
      <c r="P37" s="201"/>
      <c r="Q37" s="28" t="s">
        <v>11</v>
      </c>
      <c r="R37" s="28" t="s">
        <v>11</v>
      </c>
      <c r="S37" s="28" t="s">
        <v>11</v>
      </c>
      <c r="T37" s="28" t="s">
        <v>11</v>
      </c>
      <c r="U37" s="28" t="s">
        <v>10</v>
      </c>
      <c r="V37" s="28" t="s">
        <v>9</v>
      </c>
      <c r="W37" s="28" t="s">
        <v>9</v>
      </c>
      <c r="X37" s="28" t="s">
        <v>9</v>
      </c>
      <c r="Y37" s="28" t="s">
        <v>9</v>
      </c>
      <c r="Z37" s="28" t="s">
        <v>9</v>
      </c>
      <c r="AA37" s="28" t="s">
        <v>9</v>
      </c>
      <c r="AB37" s="28" t="s">
        <v>9</v>
      </c>
      <c r="AC37" s="28" t="s">
        <v>9</v>
      </c>
      <c r="AD37" s="28" t="s">
        <v>9</v>
      </c>
      <c r="AE37" s="28" t="s">
        <v>9</v>
      </c>
      <c r="AF37" s="28" t="s">
        <v>10</v>
      </c>
      <c r="AG37" s="24">
        <f t="shared" si="4"/>
        <v>10</v>
      </c>
      <c r="AH37" s="24">
        <f t="shared" si="5"/>
        <v>1</v>
      </c>
      <c r="AI37" s="24">
        <f t="shared" si="6"/>
        <v>4</v>
      </c>
      <c r="AJ37" s="41" t="str" cm="1">
        <f t="array" ref="AJ37">_xlfn.IFS(
$AG37=15,"Not Started",
$AI37&lt;15,"In Progress",
$AI37=15,"Completed",
SUM(AG37:AI37)&gt;15,"Error"
)</f>
        <v>In Progress</v>
      </c>
    </row>
    <row r="38" spans="1:36" ht="13" x14ac:dyDescent="0.25">
      <c r="A38" s="256"/>
      <c r="B38" s="286"/>
      <c r="C38" s="63" t="s">
        <v>1292</v>
      </c>
      <c r="D38" s="53" t="s">
        <v>9864</v>
      </c>
      <c r="E38" s="57" t="s">
        <v>9700</v>
      </c>
      <c r="F38" s="7" t="s">
        <v>8887</v>
      </c>
      <c r="G38" s="7" t="s">
        <v>48</v>
      </c>
      <c r="H38" s="7" t="s">
        <v>9099</v>
      </c>
      <c r="I38" s="7" t="s">
        <v>9099</v>
      </c>
      <c r="J38" s="76">
        <v>30.061696469421801</v>
      </c>
      <c r="K38" s="77">
        <v>40.4038316757768</v>
      </c>
      <c r="L38" s="138" t="str">
        <f t="shared" si="3"/>
        <v>30.0616964694218,40.4038316757768</v>
      </c>
      <c r="M38" s="64" t="s">
        <v>10048</v>
      </c>
      <c r="N38" s="7">
        <v>10005994055</v>
      </c>
      <c r="O38" s="7"/>
      <c r="P38" s="201">
        <v>46120</v>
      </c>
      <c r="Q38" s="28" t="s">
        <v>11</v>
      </c>
      <c r="R38" s="28" t="s">
        <v>11</v>
      </c>
      <c r="S38" s="28" t="s">
        <v>11</v>
      </c>
      <c r="T38" s="28" t="s">
        <v>11</v>
      </c>
      <c r="U38" s="28" t="s">
        <v>10</v>
      </c>
      <c r="V38" s="28" t="s">
        <v>9</v>
      </c>
      <c r="W38" s="28" t="s">
        <v>9</v>
      </c>
      <c r="X38" s="28" t="s">
        <v>9</v>
      </c>
      <c r="Y38" s="28" t="s">
        <v>9</v>
      </c>
      <c r="Z38" s="28" t="s">
        <v>9</v>
      </c>
      <c r="AA38" s="28" t="s">
        <v>9</v>
      </c>
      <c r="AB38" s="28" t="s">
        <v>9</v>
      </c>
      <c r="AC38" s="28" t="s">
        <v>9</v>
      </c>
      <c r="AD38" s="28" t="s">
        <v>9</v>
      </c>
      <c r="AE38" s="28" t="s">
        <v>9</v>
      </c>
      <c r="AF38" s="28" t="s">
        <v>10</v>
      </c>
      <c r="AG38" s="24">
        <f t="shared" si="4"/>
        <v>10</v>
      </c>
      <c r="AH38" s="24">
        <f t="shared" si="5"/>
        <v>1</v>
      </c>
      <c r="AI38" s="24">
        <f t="shared" si="6"/>
        <v>4</v>
      </c>
      <c r="AJ38" s="41" t="str" cm="1">
        <f t="array" ref="AJ38">_xlfn.IFS(
$AG38=15,"Not Started",
$AI38&lt;15,"In Progress",
$AI38=15,"Completed",
SUM(AG38:AI38)&gt;15,"Error"
)</f>
        <v>In Progress</v>
      </c>
    </row>
    <row r="39" spans="1:36" ht="13" x14ac:dyDescent="0.25">
      <c r="A39" s="256"/>
      <c r="B39" s="286"/>
      <c r="C39" s="64" t="s">
        <v>1293</v>
      </c>
      <c r="D39" s="53" t="s">
        <v>9865</v>
      </c>
      <c r="E39" s="57" t="s">
        <v>9701</v>
      </c>
      <c r="F39" s="7" t="s">
        <v>8887</v>
      </c>
      <c r="G39" s="7" t="s">
        <v>48</v>
      </c>
      <c r="H39" s="7" t="s">
        <v>9099</v>
      </c>
      <c r="I39" s="7" t="s">
        <v>9099</v>
      </c>
      <c r="J39" s="76">
        <v>30.129371682429301</v>
      </c>
      <c r="K39" s="77">
        <v>40.384186560034401</v>
      </c>
      <c r="L39" s="138" t="str">
        <f t="shared" si="3"/>
        <v>30.1293716824293,40.3841865600344</v>
      </c>
      <c r="M39" s="64" t="s">
        <v>10049</v>
      </c>
      <c r="N39" s="7">
        <v>10005993147</v>
      </c>
      <c r="O39" s="7"/>
      <c r="P39" s="201"/>
      <c r="Q39" s="28" t="s">
        <v>11</v>
      </c>
      <c r="R39" s="28" t="s">
        <v>11</v>
      </c>
      <c r="S39" s="28" t="s">
        <v>11</v>
      </c>
      <c r="T39" s="28" t="s">
        <v>11</v>
      </c>
      <c r="U39" s="28" t="s">
        <v>10</v>
      </c>
      <c r="V39" s="28" t="s">
        <v>9</v>
      </c>
      <c r="W39" s="28" t="s">
        <v>9</v>
      </c>
      <c r="X39" s="28" t="s">
        <v>9</v>
      </c>
      <c r="Y39" s="28" t="s">
        <v>9</v>
      </c>
      <c r="Z39" s="28" t="s">
        <v>9</v>
      </c>
      <c r="AA39" s="28" t="s">
        <v>9</v>
      </c>
      <c r="AB39" s="28" t="s">
        <v>9</v>
      </c>
      <c r="AC39" s="28" t="s">
        <v>9</v>
      </c>
      <c r="AD39" s="28" t="s">
        <v>9</v>
      </c>
      <c r="AE39" s="28" t="s">
        <v>9</v>
      </c>
      <c r="AF39" s="28" t="s">
        <v>10</v>
      </c>
      <c r="AG39" s="24">
        <f t="shared" si="4"/>
        <v>10</v>
      </c>
      <c r="AH39" s="24">
        <f t="shared" si="5"/>
        <v>1</v>
      </c>
      <c r="AI39" s="24">
        <f t="shared" si="6"/>
        <v>4</v>
      </c>
      <c r="AJ39" s="41" t="str" cm="1">
        <f t="array" ref="AJ39">_xlfn.IFS(
$AG39=15,"Not Started",
$AI39&lt;15,"In Progress",
$AI39=15,"Completed",
SUM(AG39:AI39)&gt;15,"Error"
)</f>
        <v>In Progress</v>
      </c>
    </row>
    <row r="40" spans="1:36" ht="13" x14ac:dyDescent="0.25">
      <c r="A40" s="256"/>
      <c r="B40" s="286"/>
      <c r="C40" s="63" t="s">
        <v>1294</v>
      </c>
      <c r="D40" s="146" t="s">
        <v>10606</v>
      </c>
      <c r="E40" s="144" t="s">
        <v>10607</v>
      </c>
      <c r="F40" s="142" t="s">
        <v>43</v>
      </c>
      <c r="G40" s="142" t="s">
        <v>48</v>
      </c>
      <c r="H40" s="142" t="s">
        <v>9099</v>
      </c>
      <c r="I40" s="142" t="s">
        <v>9099</v>
      </c>
      <c r="J40" s="76">
        <v>29.803193225882701</v>
      </c>
      <c r="K40" s="77">
        <v>40.4409313407496</v>
      </c>
      <c r="L40" s="138" t="s">
        <v>10608</v>
      </c>
      <c r="M40" s="145" t="s">
        <v>10609</v>
      </c>
      <c r="N40" s="142">
        <v>10005989037</v>
      </c>
      <c r="O40" s="142"/>
      <c r="P40" s="201"/>
      <c r="Q40" s="28" t="s">
        <v>11</v>
      </c>
      <c r="R40" s="28" t="s">
        <v>11</v>
      </c>
      <c r="S40" s="28" t="s">
        <v>11</v>
      </c>
      <c r="T40" s="28" t="s">
        <v>11</v>
      </c>
      <c r="U40" s="28" t="s">
        <v>10</v>
      </c>
      <c r="V40" s="28" t="s">
        <v>9</v>
      </c>
      <c r="W40" s="28" t="s">
        <v>9</v>
      </c>
      <c r="X40" s="28" t="s">
        <v>9</v>
      </c>
      <c r="Y40" s="28" t="s">
        <v>9</v>
      </c>
      <c r="Z40" s="28" t="s">
        <v>9</v>
      </c>
      <c r="AA40" s="28" t="s">
        <v>9</v>
      </c>
      <c r="AB40" s="28" t="s">
        <v>9</v>
      </c>
      <c r="AC40" s="28" t="s">
        <v>9</v>
      </c>
      <c r="AD40" s="28" t="s">
        <v>9</v>
      </c>
      <c r="AE40" s="28" t="s">
        <v>9</v>
      </c>
      <c r="AF40" s="28" t="s">
        <v>10</v>
      </c>
      <c r="AG40" s="24">
        <f t="shared" si="4"/>
        <v>10</v>
      </c>
      <c r="AH40" s="24">
        <f t="shared" si="5"/>
        <v>1</v>
      </c>
      <c r="AI40" s="24">
        <f t="shared" si="6"/>
        <v>4</v>
      </c>
      <c r="AJ40" s="41" t="str" cm="1">
        <f t="array" ref="AJ40">_xlfn.IFS(
$AG40=15,"Not Started",
$AI40&lt;15,"In Progress",
$AI40=15,"Completed",
SUM(AG40:AI40)&gt;15,"Error"
)</f>
        <v>In Progress</v>
      </c>
    </row>
    <row r="41" spans="1:36" ht="13" x14ac:dyDescent="0.25">
      <c r="A41" s="256"/>
      <c r="B41" s="286"/>
      <c r="C41" s="64" t="s">
        <v>1295</v>
      </c>
      <c r="D41" s="53" t="s">
        <v>9866</v>
      </c>
      <c r="E41" s="57" t="s">
        <v>9702</v>
      </c>
      <c r="F41" s="7" t="s">
        <v>9094</v>
      </c>
      <c r="G41" s="7" t="s">
        <v>48</v>
      </c>
      <c r="H41" s="7" t="s">
        <v>9099</v>
      </c>
      <c r="I41" s="7" t="s">
        <v>9099</v>
      </c>
      <c r="J41" s="76">
        <v>30.061625030949401</v>
      </c>
      <c r="K41" s="77">
        <v>40.321542178280701</v>
      </c>
      <c r="L41" s="138" t="str">
        <f t="shared" si="3"/>
        <v>30.0616250309494,40.3215421782807</v>
      </c>
      <c r="M41" s="64" t="s">
        <v>10050</v>
      </c>
      <c r="N41" s="7">
        <v>10005992032</v>
      </c>
      <c r="O41" s="7"/>
      <c r="P41" s="201">
        <v>46123</v>
      </c>
      <c r="Q41" s="28" t="s">
        <v>11</v>
      </c>
      <c r="R41" s="28" t="s">
        <v>11</v>
      </c>
      <c r="S41" s="28" t="s">
        <v>11</v>
      </c>
      <c r="T41" s="28" t="s">
        <v>11</v>
      </c>
      <c r="U41" s="28" t="s">
        <v>10</v>
      </c>
      <c r="V41" s="28" t="s">
        <v>9</v>
      </c>
      <c r="W41" s="28" t="s">
        <v>9</v>
      </c>
      <c r="X41" s="28" t="s">
        <v>9</v>
      </c>
      <c r="Y41" s="28" t="s">
        <v>9</v>
      </c>
      <c r="Z41" s="28" t="s">
        <v>9</v>
      </c>
      <c r="AA41" s="28" t="s">
        <v>9</v>
      </c>
      <c r="AB41" s="28" t="s">
        <v>9</v>
      </c>
      <c r="AC41" s="28" t="s">
        <v>9</v>
      </c>
      <c r="AD41" s="28" t="s">
        <v>9</v>
      </c>
      <c r="AE41" s="28" t="s">
        <v>9</v>
      </c>
      <c r="AF41" s="28" t="s">
        <v>10</v>
      </c>
      <c r="AG41" s="24">
        <f t="shared" si="4"/>
        <v>10</v>
      </c>
      <c r="AH41" s="24">
        <f t="shared" si="5"/>
        <v>1</v>
      </c>
      <c r="AI41" s="24">
        <f t="shared" si="6"/>
        <v>4</v>
      </c>
      <c r="AJ41" s="41" t="str" cm="1">
        <f t="array" ref="AJ41">_xlfn.IFS(
$AG41=15,"Not Started",
$AI41&lt;15,"In Progress",
$AI41=15,"Completed",
SUM(AG41:AI41)&gt;15,"Error"
)</f>
        <v>In Progress</v>
      </c>
    </row>
    <row r="42" spans="1:36" ht="13" x14ac:dyDescent="0.25">
      <c r="A42" s="256"/>
      <c r="B42" s="286"/>
      <c r="C42" s="63" t="s">
        <v>1296</v>
      </c>
      <c r="D42" s="53" t="s">
        <v>9867</v>
      </c>
      <c r="E42" s="57" t="s">
        <v>9703</v>
      </c>
      <c r="F42" s="7" t="s">
        <v>43</v>
      </c>
      <c r="G42" s="7" t="s">
        <v>48</v>
      </c>
      <c r="H42" s="7" t="s">
        <v>9099</v>
      </c>
      <c r="I42" s="7" t="s">
        <v>9099</v>
      </c>
      <c r="J42" s="76">
        <v>29.9290521071954</v>
      </c>
      <c r="K42" s="77">
        <v>40.181288390285303</v>
      </c>
      <c r="L42" s="138" t="str">
        <f t="shared" si="3"/>
        <v>29.9290521071954,40.1812883902853</v>
      </c>
      <c r="M42" s="64" t="s">
        <v>10051</v>
      </c>
      <c r="N42" s="7">
        <v>10005993067</v>
      </c>
      <c r="O42" s="7"/>
      <c r="P42" s="201"/>
      <c r="Q42" s="28" t="s">
        <v>11</v>
      </c>
      <c r="R42" s="28" t="s">
        <v>11</v>
      </c>
      <c r="S42" s="28" t="s">
        <v>11</v>
      </c>
      <c r="T42" s="28" t="s">
        <v>11</v>
      </c>
      <c r="U42" s="28" t="s">
        <v>10</v>
      </c>
      <c r="V42" s="28" t="s">
        <v>9</v>
      </c>
      <c r="W42" s="28" t="s">
        <v>9</v>
      </c>
      <c r="X42" s="28" t="s">
        <v>9</v>
      </c>
      <c r="Y42" s="28" t="s">
        <v>9</v>
      </c>
      <c r="Z42" s="28" t="s">
        <v>9</v>
      </c>
      <c r="AA42" s="28" t="s">
        <v>9</v>
      </c>
      <c r="AB42" s="28" t="s">
        <v>9</v>
      </c>
      <c r="AC42" s="28" t="s">
        <v>9</v>
      </c>
      <c r="AD42" s="28" t="s">
        <v>9</v>
      </c>
      <c r="AE42" s="28" t="s">
        <v>9</v>
      </c>
      <c r="AF42" s="28" t="s">
        <v>10</v>
      </c>
      <c r="AG42" s="24">
        <f t="shared" si="4"/>
        <v>10</v>
      </c>
      <c r="AH42" s="24">
        <f t="shared" si="5"/>
        <v>1</v>
      </c>
      <c r="AI42" s="24">
        <f t="shared" si="6"/>
        <v>4</v>
      </c>
      <c r="AJ42" s="41" t="str" cm="1">
        <f t="array" ref="AJ42">_xlfn.IFS(
$AG42=15,"Not Started",
$AI42&lt;15,"In Progress",
$AI42=15,"Completed",
SUM(AG42:AI42)&gt;15,"Error"
)</f>
        <v>In Progress</v>
      </c>
    </row>
    <row r="43" spans="1:36" ht="13" x14ac:dyDescent="0.25">
      <c r="A43" s="256"/>
      <c r="B43" s="286"/>
      <c r="C43" s="64" t="s">
        <v>1297</v>
      </c>
      <c r="D43" s="53" t="s">
        <v>9868</v>
      </c>
      <c r="E43" s="57" t="s">
        <v>9704</v>
      </c>
      <c r="F43" s="7" t="s">
        <v>51</v>
      </c>
      <c r="G43" s="7" t="s">
        <v>48</v>
      </c>
      <c r="H43" s="7" t="s">
        <v>9099</v>
      </c>
      <c r="I43" s="7" t="s">
        <v>9099</v>
      </c>
      <c r="J43" s="76">
        <v>29.901409691809899</v>
      </c>
      <c r="K43" s="77">
        <v>40.206928324316898</v>
      </c>
      <c r="L43" s="138" t="str">
        <f t="shared" si="3"/>
        <v>29.9014096918099,40.2069283243169</v>
      </c>
      <c r="M43" s="64" t="s">
        <v>10052</v>
      </c>
      <c r="N43" s="7">
        <v>10005938575</v>
      </c>
      <c r="O43" s="7"/>
      <c r="P43" s="202">
        <v>46151</v>
      </c>
      <c r="Q43" s="28" t="s">
        <v>11</v>
      </c>
      <c r="R43" s="28" t="s">
        <v>11</v>
      </c>
      <c r="S43" s="28" t="s">
        <v>11</v>
      </c>
      <c r="T43" s="28" t="s">
        <v>11</v>
      </c>
      <c r="U43" s="28" t="s">
        <v>10</v>
      </c>
      <c r="V43" s="28" t="s">
        <v>9</v>
      </c>
      <c r="W43" s="28" t="s">
        <v>9</v>
      </c>
      <c r="X43" s="28" t="s">
        <v>9</v>
      </c>
      <c r="Y43" s="28" t="s">
        <v>9</v>
      </c>
      <c r="Z43" s="28" t="s">
        <v>9</v>
      </c>
      <c r="AA43" s="28" t="s">
        <v>9</v>
      </c>
      <c r="AB43" s="28" t="s">
        <v>9</v>
      </c>
      <c r="AC43" s="28" t="s">
        <v>9</v>
      </c>
      <c r="AD43" s="28" t="s">
        <v>9</v>
      </c>
      <c r="AE43" s="28" t="s">
        <v>9</v>
      </c>
      <c r="AF43" s="28" t="s">
        <v>10</v>
      </c>
      <c r="AG43" s="24">
        <f t="shared" si="4"/>
        <v>10</v>
      </c>
      <c r="AH43" s="24">
        <f t="shared" si="5"/>
        <v>1</v>
      </c>
      <c r="AI43" s="24">
        <f t="shared" si="6"/>
        <v>4</v>
      </c>
      <c r="AJ43" s="41" t="str" cm="1">
        <f t="array" ref="AJ43">_xlfn.IFS(
$AG43=15,"Not Started",
$AI43&lt;15,"In Progress",
$AI43=15,"Completed",
SUM(AG43:AI43)&gt;15,"Error"
)</f>
        <v>In Progress</v>
      </c>
    </row>
    <row r="44" spans="1:36" ht="13" x14ac:dyDescent="0.25">
      <c r="A44" s="256"/>
      <c r="B44" s="286"/>
      <c r="C44" s="63" t="s">
        <v>1298</v>
      </c>
      <c r="D44" s="53" t="s">
        <v>9869</v>
      </c>
      <c r="E44" s="57" t="s">
        <v>9705</v>
      </c>
      <c r="F44" s="7" t="s">
        <v>43</v>
      </c>
      <c r="G44" s="7" t="s">
        <v>48</v>
      </c>
      <c r="H44" s="7" t="s">
        <v>9099</v>
      </c>
      <c r="I44" s="7" t="s">
        <v>9099</v>
      </c>
      <c r="J44" s="76">
        <v>29.962126214897498</v>
      </c>
      <c r="K44" s="77">
        <v>40.208239716913901</v>
      </c>
      <c r="L44" s="138" t="str">
        <f t="shared" si="3"/>
        <v>29.9621262148975,40.2082397169139</v>
      </c>
      <c r="M44" s="64" t="s">
        <v>10053</v>
      </c>
      <c r="N44" s="7">
        <v>10101200968</v>
      </c>
      <c r="O44" s="7"/>
      <c r="P44" s="201"/>
      <c r="Q44" s="28" t="s">
        <v>11</v>
      </c>
      <c r="R44" s="28" t="s">
        <v>11</v>
      </c>
      <c r="S44" s="28" t="s">
        <v>11</v>
      </c>
      <c r="T44" s="28" t="s">
        <v>11</v>
      </c>
      <c r="U44" s="28" t="s">
        <v>10</v>
      </c>
      <c r="V44" s="28" t="s">
        <v>9</v>
      </c>
      <c r="W44" s="28" t="s">
        <v>9</v>
      </c>
      <c r="X44" s="28" t="s">
        <v>9</v>
      </c>
      <c r="Y44" s="28" t="s">
        <v>9</v>
      </c>
      <c r="Z44" s="28" t="s">
        <v>9</v>
      </c>
      <c r="AA44" s="28" t="s">
        <v>9</v>
      </c>
      <c r="AB44" s="28" t="s">
        <v>9</v>
      </c>
      <c r="AC44" s="28" t="s">
        <v>9</v>
      </c>
      <c r="AD44" s="28" t="s">
        <v>9</v>
      </c>
      <c r="AE44" s="28" t="s">
        <v>9</v>
      </c>
      <c r="AF44" s="28" t="s">
        <v>10</v>
      </c>
      <c r="AG44" s="24">
        <f t="shared" si="4"/>
        <v>10</v>
      </c>
      <c r="AH44" s="24">
        <f t="shared" si="5"/>
        <v>1</v>
      </c>
      <c r="AI44" s="24">
        <f t="shared" si="6"/>
        <v>4</v>
      </c>
      <c r="AJ44" s="41" t="str" cm="1">
        <f t="array" ref="AJ44">_xlfn.IFS(
$AG44=15,"Not Started",
$AI44&lt;15,"In Progress",
$AI44=15,"Completed",
SUM(AG44:AI44)&gt;15,"Error"
)</f>
        <v>In Progress</v>
      </c>
    </row>
    <row r="45" spans="1:36" ht="13" x14ac:dyDescent="0.25">
      <c r="A45" s="256"/>
      <c r="B45" s="286"/>
      <c r="C45" s="64" t="s">
        <v>1299</v>
      </c>
      <c r="D45" s="53" t="s">
        <v>9870</v>
      </c>
      <c r="E45" s="57" t="s">
        <v>9706</v>
      </c>
      <c r="F45" s="7" t="s">
        <v>9095</v>
      </c>
      <c r="G45" s="7" t="s">
        <v>48</v>
      </c>
      <c r="H45" s="7" t="s">
        <v>9099</v>
      </c>
      <c r="I45" s="7" t="s">
        <v>9099</v>
      </c>
      <c r="J45" s="76">
        <v>29.987942267233802</v>
      </c>
      <c r="K45" s="77">
        <v>40.197118100296301</v>
      </c>
      <c r="L45" s="138" t="str">
        <f t="shared" si="3"/>
        <v>29.9879422672338,40.1971181002963</v>
      </c>
      <c r="M45" s="64" t="s">
        <v>10054</v>
      </c>
      <c r="N45" s="7">
        <v>10005961448</v>
      </c>
      <c r="O45" s="7"/>
      <c r="P45" s="201">
        <v>46128</v>
      </c>
      <c r="Q45" s="28" t="s">
        <v>11</v>
      </c>
      <c r="R45" s="28" t="s">
        <v>11</v>
      </c>
      <c r="S45" s="28" t="s">
        <v>11</v>
      </c>
      <c r="T45" s="28" t="s">
        <v>11</v>
      </c>
      <c r="U45" s="28" t="s">
        <v>10</v>
      </c>
      <c r="V45" s="28" t="s">
        <v>9</v>
      </c>
      <c r="W45" s="28" t="s">
        <v>9</v>
      </c>
      <c r="X45" s="28" t="s">
        <v>9</v>
      </c>
      <c r="Y45" s="28" t="s">
        <v>9</v>
      </c>
      <c r="Z45" s="28" t="s">
        <v>9</v>
      </c>
      <c r="AA45" s="28" t="s">
        <v>9</v>
      </c>
      <c r="AB45" s="28" t="s">
        <v>9</v>
      </c>
      <c r="AC45" s="28" t="s">
        <v>9</v>
      </c>
      <c r="AD45" s="28" t="s">
        <v>9</v>
      </c>
      <c r="AE45" s="28" t="s">
        <v>9</v>
      </c>
      <c r="AF45" s="28" t="s">
        <v>10</v>
      </c>
      <c r="AG45" s="24">
        <f t="shared" si="4"/>
        <v>10</v>
      </c>
      <c r="AH45" s="24">
        <f t="shared" si="5"/>
        <v>1</v>
      </c>
      <c r="AI45" s="24">
        <f t="shared" si="6"/>
        <v>4</v>
      </c>
      <c r="AJ45" s="41" t="str" cm="1">
        <f t="array" ref="AJ45">_xlfn.IFS(
$AG45=15,"Not Started",
$AI45&lt;15,"In Progress",
$AI45=15,"Completed",
SUM(AG45:AI45)&gt;15,"Error"
)</f>
        <v>In Progress</v>
      </c>
    </row>
    <row r="46" spans="1:36" ht="13" x14ac:dyDescent="0.25">
      <c r="A46" s="256"/>
      <c r="B46" s="286"/>
      <c r="C46" s="63" t="s">
        <v>1300</v>
      </c>
      <c r="D46" s="53" t="s">
        <v>9871</v>
      </c>
      <c r="E46" s="57" t="s">
        <v>9707</v>
      </c>
      <c r="F46" s="7" t="s">
        <v>43</v>
      </c>
      <c r="G46" s="7" t="s">
        <v>48</v>
      </c>
      <c r="H46" s="7" t="s">
        <v>9099</v>
      </c>
      <c r="I46" s="7" t="s">
        <v>9099</v>
      </c>
      <c r="J46" s="76">
        <v>29.990330769940002</v>
      </c>
      <c r="K46" s="77">
        <v>40.210434347085197</v>
      </c>
      <c r="L46" s="138" t="str">
        <f t="shared" si="3"/>
        <v>29.99033076994,40.2104343470852</v>
      </c>
      <c r="M46" s="64" t="s">
        <v>10055</v>
      </c>
      <c r="N46" s="7">
        <v>10005966829</v>
      </c>
      <c r="O46" s="7"/>
      <c r="P46" s="201"/>
      <c r="Q46" s="28" t="s">
        <v>11</v>
      </c>
      <c r="R46" s="28" t="s">
        <v>11</v>
      </c>
      <c r="S46" s="28" t="s">
        <v>11</v>
      </c>
      <c r="T46" s="28" t="s">
        <v>11</v>
      </c>
      <c r="U46" s="28" t="s">
        <v>10</v>
      </c>
      <c r="V46" s="28" t="s">
        <v>9</v>
      </c>
      <c r="W46" s="28" t="s">
        <v>9</v>
      </c>
      <c r="X46" s="28" t="s">
        <v>9</v>
      </c>
      <c r="Y46" s="28" t="s">
        <v>9</v>
      </c>
      <c r="Z46" s="28" t="s">
        <v>9</v>
      </c>
      <c r="AA46" s="28" t="s">
        <v>9</v>
      </c>
      <c r="AB46" s="28" t="s">
        <v>9</v>
      </c>
      <c r="AC46" s="28" t="s">
        <v>9</v>
      </c>
      <c r="AD46" s="28" t="s">
        <v>9</v>
      </c>
      <c r="AE46" s="28" t="s">
        <v>9</v>
      </c>
      <c r="AF46" s="28" t="s">
        <v>10</v>
      </c>
      <c r="AG46" s="24">
        <f t="shared" si="4"/>
        <v>10</v>
      </c>
      <c r="AH46" s="24">
        <f t="shared" si="5"/>
        <v>1</v>
      </c>
      <c r="AI46" s="24">
        <f t="shared" si="6"/>
        <v>4</v>
      </c>
      <c r="AJ46" s="41" t="str" cm="1">
        <f t="array" ref="AJ46">_xlfn.IFS(
$AG46=15,"Not Started",
$AI46&lt;15,"In Progress",
$AI46=15,"Completed",
SUM(AG46:AI46)&gt;15,"Error"
)</f>
        <v>In Progress</v>
      </c>
    </row>
    <row r="47" spans="1:36" ht="13" x14ac:dyDescent="0.25">
      <c r="A47" s="256"/>
      <c r="B47" s="286"/>
      <c r="C47" s="64" t="s">
        <v>1301</v>
      </c>
      <c r="D47" s="53" t="s">
        <v>9872</v>
      </c>
      <c r="E47" s="57" t="s">
        <v>9708</v>
      </c>
      <c r="F47" s="7" t="s">
        <v>9094</v>
      </c>
      <c r="G47" s="7" t="s">
        <v>44</v>
      </c>
      <c r="H47" s="7" t="s">
        <v>9099</v>
      </c>
      <c r="I47" s="7" t="s">
        <v>9099</v>
      </c>
      <c r="J47" s="76">
        <v>29.947111213775798</v>
      </c>
      <c r="K47" s="77">
        <v>40.199907845207797</v>
      </c>
      <c r="L47" s="138" t="str">
        <f t="shared" si="3"/>
        <v>29.9471112137758,40.1999078452078</v>
      </c>
      <c r="M47" s="64" t="s">
        <v>10056</v>
      </c>
      <c r="N47" s="7">
        <v>10005966060</v>
      </c>
      <c r="O47" s="7"/>
      <c r="P47" s="201"/>
      <c r="Q47" s="28" t="s">
        <v>11</v>
      </c>
      <c r="R47" s="28" t="s">
        <v>11</v>
      </c>
      <c r="S47" s="28" t="s">
        <v>11</v>
      </c>
      <c r="T47" s="28" t="s">
        <v>11</v>
      </c>
      <c r="U47" s="28" t="s">
        <v>10</v>
      </c>
      <c r="V47" s="28" t="s">
        <v>9</v>
      </c>
      <c r="W47" s="28" t="s">
        <v>9</v>
      </c>
      <c r="X47" s="28" t="s">
        <v>9</v>
      </c>
      <c r="Y47" s="28" t="s">
        <v>9</v>
      </c>
      <c r="Z47" s="28" t="s">
        <v>9</v>
      </c>
      <c r="AA47" s="28" t="s">
        <v>9</v>
      </c>
      <c r="AB47" s="28" t="s">
        <v>9</v>
      </c>
      <c r="AC47" s="28" t="s">
        <v>9</v>
      </c>
      <c r="AD47" s="28" t="s">
        <v>9</v>
      </c>
      <c r="AE47" s="28" t="s">
        <v>9</v>
      </c>
      <c r="AF47" s="28" t="s">
        <v>10</v>
      </c>
      <c r="AG47" s="24">
        <f t="shared" si="4"/>
        <v>10</v>
      </c>
      <c r="AH47" s="24">
        <f t="shared" si="5"/>
        <v>1</v>
      </c>
      <c r="AI47" s="24">
        <f t="shared" si="6"/>
        <v>4</v>
      </c>
      <c r="AJ47" s="41" t="str" cm="1">
        <f t="array" ref="AJ47">_xlfn.IFS(
$AG47=15,"Not Started",
$AI47&lt;15,"In Progress",
$AI47=15,"Completed",
SUM(AG47:AI47)&gt;15,"Error"
)</f>
        <v>In Progress</v>
      </c>
    </row>
    <row r="48" spans="1:36" ht="13" x14ac:dyDescent="0.25">
      <c r="A48" s="256"/>
      <c r="B48" s="286"/>
      <c r="C48" s="63" t="s">
        <v>1302</v>
      </c>
      <c r="D48" s="53" t="s">
        <v>9873</v>
      </c>
      <c r="E48" s="57" t="s">
        <v>9709</v>
      </c>
      <c r="F48" s="7" t="s">
        <v>47</v>
      </c>
      <c r="G48" s="7" t="s">
        <v>44</v>
      </c>
      <c r="H48" s="7" t="s">
        <v>9099</v>
      </c>
      <c r="I48" s="7" t="s">
        <v>9099</v>
      </c>
      <c r="J48" s="76">
        <v>29.934630704555101</v>
      </c>
      <c r="K48" s="77">
        <v>40.190772397329702</v>
      </c>
      <c r="L48" s="138" t="str">
        <f t="shared" si="3"/>
        <v>29.9346307045551,40.1907723973297</v>
      </c>
      <c r="M48" s="64" t="s">
        <v>10057</v>
      </c>
      <c r="N48" s="7">
        <v>10005960834</v>
      </c>
      <c r="O48" s="7"/>
      <c r="P48" s="201"/>
      <c r="Q48" s="28" t="s">
        <v>11</v>
      </c>
      <c r="R48" s="28" t="s">
        <v>11</v>
      </c>
      <c r="S48" s="28" t="s">
        <v>11</v>
      </c>
      <c r="T48" s="28" t="s">
        <v>11</v>
      </c>
      <c r="U48" s="28" t="s">
        <v>10</v>
      </c>
      <c r="V48" s="28" t="s">
        <v>9</v>
      </c>
      <c r="W48" s="28" t="s">
        <v>9</v>
      </c>
      <c r="X48" s="28" t="s">
        <v>9</v>
      </c>
      <c r="Y48" s="28" t="s">
        <v>9</v>
      </c>
      <c r="Z48" s="28" t="s">
        <v>9</v>
      </c>
      <c r="AA48" s="28" t="s">
        <v>9</v>
      </c>
      <c r="AB48" s="28" t="s">
        <v>9</v>
      </c>
      <c r="AC48" s="28" t="s">
        <v>9</v>
      </c>
      <c r="AD48" s="28" t="s">
        <v>9</v>
      </c>
      <c r="AE48" s="28" t="s">
        <v>9</v>
      </c>
      <c r="AF48" s="28" t="s">
        <v>10</v>
      </c>
      <c r="AG48" s="24">
        <f t="shared" si="4"/>
        <v>10</v>
      </c>
      <c r="AH48" s="24">
        <f t="shared" si="5"/>
        <v>1</v>
      </c>
      <c r="AI48" s="24">
        <f t="shared" si="6"/>
        <v>4</v>
      </c>
      <c r="AJ48" s="41" t="str" cm="1">
        <f t="array" ref="AJ48">_xlfn.IFS(
$AG48=15,"Not Started",
$AI48&lt;15,"In Progress",
$AI48=15,"Completed",
SUM(AG48:AI48)&gt;15,"Error"
)</f>
        <v>In Progress</v>
      </c>
    </row>
    <row r="49" spans="1:36" ht="13" x14ac:dyDescent="0.25">
      <c r="A49" s="256"/>
      <c r="B49" s="286"/>
      <c r="C49" s="64" t="s">
        <v>1303</v>
      </c>
      <c r="D49" s="53" t="s">
        <v>9874</v>
      </c>
      <c r="E49" s="57" t="s">
        <v>9710</v>
      </c>
      <c r="F49" s="7" t="s">
        <v>47</v>
      </c>
      <c r="G49" s="7" t="s">
        <v>44</v>
      </c>
      <c r="H49" s="7" t="s">
        <v>9099</v>
      </c>
      <c r="I49" s="7" t="s">
        <v>9099</v>
      </c>
      <c r="J49" s="76">
        <v>29.939887734014501</v>
      </c>
      <c r="K49" s="77">
        <v>40.201894201029702</v>
      </c>
      <c r="L49" s="138" t="str">
        <f t="shared" si="3"/>
        <v>29.9398877340145,40.2018942010297</v>
      </c>
      <c r="M49" s="64" t="s">
        <v>10058</v>
      </c>
      <c r="N49" s="7">
        <v>10005993227</v>
      </c>
      <c r="O49" s="7"/>
      <c r="P49" s="201"/>
      <c r="Q49" s="28" t="s">
        <v>11</v>
      </c>
      <c r="R49" s="28" t="s">
        <v>11</v>
      </c>
      <c r="S49" s="28" t="s">
        <v>11</v>
      </c>
      <c r="T49" s="28" t="s">
        <v>11</v>
      </c>
      <c r="U49" s="28" t="s">
        <v>11</v>
      </c>
      <c r="V49" s="28" t="s">
        <v>11</v>
      </c>
      <c r="W49" s="28" t="s">
        <v>11</v>
      </c>
      <c r="X49" s="28" t="s">
        <v>11</v>
      </c>
      <c r="Y49" s="28" t="s">
        <v>11</v>
      </c>
      <c r="Z49" s="28" t="s">
        <v>11</v>
      </c>
      <c r="AA49" s="28" t="s">
        <v>11</v>
      </c>
      <c r="AB49" s="28" t="s">
        <v>11</v>
      </c>
      <c r="AC49" s="28" t="s">
        <v>11</v>
      </c>
      <c r="AD49" s="28" t="s">
        <v>11</v>
      </c>
      <c r="AE49" s="28" t="s">
        <v>11</v>
      </c>
      <c r="AF49" s="28" t="s">
        <v>11</v>
      </c>
      <c r="AG49" s="24">
        <f t="shared" si="4"/>
        <v>0</v>
      </c>
      <c r="AH49" s="24">
        <f t="shared" si="5"/>
        <v>0</v>
      </c>
      <c r="AI49" s="24">
        <f t="shared" si="6"/>
        <v>15</v>
      </c>
      <c r="AJ49" s="41" t="str" cm="1">
        <f t="array" ref="AJ49">_xlfn.IFS(
$AG49=15,"Not Started",
$AI49&lt;15,"In Progress",
$AI49=15,"Completed",
SUM(AG49:AI49)&gt;15,"Error"
)</f>
        <v>Completed</v>
      </c>
    </row>
    <row r="50" spans="1:36" ht="13" x14ac:dyDescent="0.25">
      <c r="A50" s="256"/>
      <c r="B50" s="286"/>
      <c r="C50" s="63" t="s">
        <v>1304</v>
      </c>
      <c r="D50" s="94" t="s">
        <v>9875</v>
      </c>
      <c r="E50" s="95" t="s">
        <v>9711</v>
      </c>
      <c r="F50" s="7" t="s">
        <v>43</v>
      </c>
      <c r="G50" s="7" t="s">
        <v>44</v>
      </c>
      <c r="H50" s="7" t="s">
        <v>9099</v>
      </c>
      <c r="I50" s="7" t="s">
        <v>9099</v>
      </c>
      <c r="J50" s="76">
        <v>29.997509568244801</v>
      </c>
      <c r="K50" s="77">
        <v>40.258712764237004</v>
      </c>
      <c r="L50" s="138" t="str">
        <f t="shared" si="3"/>
        <v>29.9975095682448,40.258712764237</v>
      </c>
      <c r="M50" s="64" t="s">
        <v>10059</v>
      </c>
      <c r="N50" s="7">
        <v>10095262744</v>
      </c>
      <c r="O50" s="7"/>
      <c r="P50" s="201"/>
      <c r="Q50" s="28" t="s">
        <v>11</v>
      </c>
      <c r="R50" s="28" t="s">
        <v>11</v>
      </c>
      <c r="S50" s="28" t="s">
        <v>11</v>
      </c>
      <c r="T50" s="28" t="s">
        <v>11</v>
      </c>
      <c r="U50" s="28" t="s">
        <v>10</v>
      </c>
      <c r="V50" s="28" t="s">
        <v>9</v>
      </c>
      <c r="W50" s="28" t="s">
        <v>9</v>
      </c>
      <c r="X50" s="28" t="s">
        <v>9</v>
      </c>
      <c r="Y50" s="28" t="s">
        <v>9</v>
      </c>
      <c r="Z50" s="28" t="s">
        <v>9</v>
      </c>
      <c r="AA50" s="28" t="s">
        <v>9</v>
      </c>
      <c r="AB50" s="28" t="s">
        <v>9</v>
      </c>
      <c r="AC50" s="28" t="s">
        <v>9</v>
      </c>
      <c r="AD50" s="28" t="s">
        <v>9</v>
      </c>
      <c r="AE50" s="28" t="s">
        <v>9</v>
      </c>
      <c r="AF50" s="28" t="s">
        <v>10</v>
      </c>
      <c r="AG50" s="24">
        <f t="shared" si="4"/>
        <v>10</v>
      </c>
      <c r="AH50" s="24">
        <f t="shared" si="5"/>
        <v>1</v>
      </c>
      <c r="AI50" s="24">
        <f t="shared" si="6"/>
        <v>4</v>
      </c>
      <c r="AJ50" s="41" t="str" cm="1">
        <f t="array" ref="AJ50">_xlfn.IFS(
$AG50=15,"Not Started",
$AI50&lt;15,"In Progress",
$AI50=15,"Completed",
SUM(AG50:AI50)&gt;15,"Error"
)</f>
        <v>In Progress</v>
      </c>
    </row>
    <row r="51" spans="1:36" ht="13" x14ac:dyDescent="0.25">
      <c r="A51" s="256"/>
      <c r="B51" s="286"/>
      <c r="C51" s="64" t="s">
        <v>1305</v>
      </c>
      <c r="D51" s="53" t="s">
        <v>9876</v>
      </c>
      <c r="E51" s="57" t="s">
        <v>9712</v>
      </c>
      <c r="F51" s="7" t="s">
        <v>52</v>
      </c>
      <c r="G51" s="7" t="s">
        <v>44</v>
      </c>
      <c r="H51" s="7" t="s">
        <v>9099</v>
      </c>
      <c r="I51" s="7" t="s">
        <v>9099</v>
      </c>
      <c r="J51" s="76">
        <v>29.928146249380202</v>
      </c>
      <c r="K51" s="77">
        <v>40.199683267951798</v>
      </c>
      <c r="L51" s="138" t="str">
        <f t="shared" si="3"/>
        <v>29.9281462493802,40.1996832679518</v>
      </c>
      <c r="M51" s="64" t="s">
        <v>10060</v>
      </c>
      <c r="N51" s="7">
        <v>10005987346</v>
      </c>
      <c r="O51" s="7"/>
      <c r="P51" s="201"/>
      <c r="Q51" s="28" t="s">
        <v>11</v>
      </c>
      <c r="R51" s="28" t="s">
        <v>11</v>
      </c>
      <c r="S51" s="28" t="s">
        <v>11</v>
      </c>
      <c r="T51" s="28" t="s">
        <v>11</v>
      </c>
      <c r="U51" s="28" t="s">
        <v>10</v>
      </c>
      <c r="V51" s="28" t="s">
        <v>9</v>
      </c>
      <c r="W51" s="28" t="s">
        <v>9</v>
      </c>
      <c r="X51" s="28" t="s">
        <v>9</v>
      </c>
      <c r="Y51" s="28" t="s">
        <v>9</v>
      </c>
      <c r="Z51" s="28" t="s">
        <v>9</v>
      </c>
      <c r="AA51" s="28" t="s">
        <v>9</v>
      </c>
      <c r="AB51" s="28" t="s">
        <v>9</v>
      </c>
      <c r="AC51" s="28" t="s">
        <v>9</v>
      </c>
      <c r="AD51" s="28" t="s">
        <v>9</v>
      </c>
      <c r="AE51" s="28" t="s">
        <v>9</v>
      </c>
      <c r="AF51" s="28" t="s">
        <v>10</v>
      </c>
      <c r="AG51" s="24">
        <f t="shared" si="4"/>
        <v>10</v>
      </c>
      <c r="AH51" s="24">
        <f t="shared" si="5"/>
        <v>1</v>
      </c>
      <c r="AI51" s="24">
        <f t="shared" si="6"/>
        <v>4</v>
      </c>
      <c r="AJ51" s="41" t="str" cm="1">
        <f t="array" ref="AJ51">_xlfn.IFS(
$AG51=15,"Not Started",
$AI51&lt;15,"In Progress",
$AI51=15,"Completed",
SUM(AG51:AI51)&gt;15,"Error"
)</f>
        <v>In Progress</v>
      </c>
    </row>
    <row r="52" spans="1:36" ht="13" x14ac:dyDescent="0.25">
      <c r="A52" s="256"/>
      <c r="B52" s="286"/>
      <c r="C52" s="63" t="s">
        <v>1306</v>
      </c>
      <c r="D52" s="53" t="s">
        <v>9877</v>
      </c>
      <c r="E52" s="57" t="s">
        <v>9713</v>
      </c>
      <c r="F52" s="7" t="s">
        <v>52</v>
      </c>
      <c r="G52" s="7" t="s">
        <v>44</v>
      </c>
      <c r="H52" s="7" t="s">
        <v>9099</v>
      </c>
      <c r="I52" s="7" t="s">
        <v>9099</v>
      </c>
      <c r="J52" s="76">
        <v>29.973766142695901</v>
      </c>
      <c r="K52" s="77">
        <v>40.183374149709003</v>
      </c>
      <c r="L52" s="138" t="str">
        <f t="shared" si="3"/>
        <v>29.9737661426959,40.183374149709</v>
      </c>
      <c r="M52" s="64" t="s">
        <v>10061</v>
      </c>
      <c r="N52" s="7">
        <v>10005996668</v>
      </c>
      <c r="O52" s="7"/>
      <c r="P52" s="201"/>
      <c r="Q52" s="28" t="s">
        <v>11</v>
      </c>
      <c r="R52" s="28" t="s">
        <v>11</v>
      </c>
      <c r="S52" s="28" t="s">
        <v>11</v>
      </c>
      <c r="T52" s="28" t="s">
        <v>11</v>
      </c>
      <c r="U52" s="28" t="s">
        <v>10</v>
      </c>
      <c r="V52" s="28" t="s">
        <v>9</v>
      </c>
      <c r="W52" s="28" t="s">
        <v>9</v>
      </c>
      <c r="X52" s="28" t="s">
        <v>9</v>
      </c>
      <c r="Y52" s="28" t="s">
        <v>9</v>
      </c>
      <c r="Z52" s="28" t="s">
        <v>9</v>
      </c>
      <c r="AA52" s="28" t="s">
        <v>9</v>
      </c>
      <c r="AB52" s="28" t="s">
        <v>9</v>
      </c>
      <c r="AC52" s="28" t="s">
        <v>9</v>
      </c>
      <c r="AD52" s="28" t="s">
        <v>9</v>
      </c>
      <c r="AE52" s="28" t="s">
        <v>9</v>
      </c>
      <c r="AF52" s="28" t="s">
        <v>10</v>
      </c>
      <c r="AG52" s="24">
        <f t="shared" si="4"/>
        <v>10</v>
      </c>
      <c r="AH52" s="24">
        <f t="shared" si="5"/>
        <v>1</v>
      </c>
      <c r="AI52" s="24">
        <f t="shared" si="6"/>
        <v>4</v>
      </c>
      <c r="AJ52" s="41" t="str" cm="1">
        <f t="array" ref="AJ52">_xlfn.IFS(
$AG52=15,"Not Started",
$AI52&lt;15,"In Progress",
$AI52=15,"Completed",
SUM(AG52:AI52)&gt;15,"Error"
)</f>
        <v>In Progress</v>
      </c>
    </row>
    <row r="53" spans="1:36" ht="13" x14ac:dyDescent="0.25">
      <c r="A53" s="256"/>
      <c r="B53" s="286"/>
      <c r="C53" s="64" t="s">
        <v>1307</v>
      </c>
      <c r="D53" s="53" t="s">
        <v>9878</v>
      </c>
      <c r="E53" s="57" t="s">
        <v>9714</v>
      </c>
      <c r="F53" s="7" t="s">
        <v>52</v>
      </c>
      <c r="G53" s="7" t="s">
        <v>44</v>
      </c>
      <c r="H53" s="7" t="s">
        <v>9099</v>
      </c>
      <c r="I53" s="7" t="s">
        <v>9099</v>
      </c>
      <c r="J53" s="76">
        <v>29.964507939173401</v>
      </c>
      <c r="K53" s="77">
        <v>40.205848047599702</v>
      </c>
      <c r="L53" s="138" t="str">
        <f t="shared" si="3"/>
        <v>29.9645079391734,40.2058480475997</v>
      </c>
      <c r="M53" s="64" t="s">
        <v>10062</v>
      </c>
      <c r="N53" s="7">
        <v>10005985691</v>
      </c>
      <c r="O53" s="7"/>
      <c r="P53" s="201"/>
      <c r="Q53" s="28" t="s">
        <v>11</v>
      </c>
      <c r="R53" s="28" t="s">
        <v>11</v>
      </c>
      <c r="S53" s="28" t="s">
        <v>11</v>
      </c>
      <c r="T53" s="28" t="s">
        <v>11</v>
      </c>
      <c r="U53" s="28" t="s">
        <v>10</v>
      </c>
      <c r="V53" s="28" t="s">
        <v>9</v>
      </c>
      <c r="W53" s="28" t="s">
        <v>9</v>
      </c>
      <c r="X53" s="28" t="s">
        <v>9</v>
      </c>
      <c r="Y53" s="28" t="s">
        <v>9</v>
      </c>
      <c r="Z53" s="28" t="s">
        <v>9</v>
      </c>
      <c r="AA53" s="28" t="s">
        <v>9</v>
      </c>
      <c r="AB53" s="28" t="s">
        <v>9</v>
      </c>
      <c r="AC53" s="28" t="s">
        <v>9</v>
      </c>
      <c r="AD53" s="28" t="s">
        <v>9</v>
      </c>
      <c r="AE53" s="28" t="s">
        <v>9</v>
      </c>
      <c r="AF53" s="28" t="s">
        <v>10</v>
      </c>
      <c r="AG53" s="24">
        <f t="shared" si="4"/>
        <v>10</v>
      </c>
      <c r="AH53" s="24">
        <f t="shared" si="5"/>
        <v>1</v>
      </c>
      <c r="AI53" s="24">
        <f t="shared" si="6"/>
        <v>4</v>
      </c>
      <c r="AJ53" s="41" t="str" cm="1">
        <f t="array" ref="AJ53">_xlfn.IFS(
$AG53=15,"Not Started",
$AI53&lt;15,"In Progress",
$AI53=15,"Completed",
SUM(AG53:AI53)&gt;15,"Error"
)</f>
        <v>In Progress</v>
      </c>
    </row>
    <row r="54" spans="1:36" ht="13" x14ac:dyDescent="0.25">
      <c r="A54" s="256"/>
      <c r="B54" s="286"/>
      <c r="C54" s="63" t="s">
        <v>1308</v>
      </c>
      <c r="D54" s="53" t="s">
        <v>9879</v>
      </c>
      <c r="E54" s="57" t="s">
        <v>9715</v>
      </c>
      <c r="F54" s="7" t="s">
        <v>52</v>
      </c>
      <c r="G54" s="7" t="s">
        <v>44</v>
      </c>
      <c r="H54" s="7" t="s">
        <v>9099</v>
      </c>
      <c r="I54" s="7" t="s">
        <v>9099</v>
      </c>
      <c r="J54" s="76">
        <v>29.9506264964268</v>
      </c>
      <c r="K54" s="77">
        <v>40.204014447600201</v>
      </c>
      <c r="L54" s="138" t="str">
        <f t="shared" si="3"/>
        <v>29.9506264964268,40.2040144476002</v>
      </c>
      <c r="M54" s="64" t="s">
        <v>10063</v>
      </c>
      <c r="N54" s="7">
        <v>10005969188</v>
      </c>
      <c r="O54" s="7"/>
      <c r="P54" s="201"/>
      <c r="Q54" s="28" t="s">
        <v>11</v>
      </c>
      <c r="R54" s="28" t="s">
        <v>11</v>
      </c>
      <c r="S54" s="28" t="s">
        <v>11</v>
      </c>
      <c r="T54" s="28" t="s">
        <v>11</v>
      </c>
      <c r="U54" s="28" t="s">
        <v>9</v>
      </c>
      <c r="V54" s="28" t="s">
        <v>9</v>
      </c>
      <c r="W54" s="28" t="s">
        <v>9</v>
      </c>
      <c r="X54" s="28" t="s">
        <v>9</v>
      </c>
      <c r="Y54" s="28" t="s">
        <v>9</v>
      </c>
      <c r="Z54" s="28" t="s">
        <v>9</v>
      </c>
      <c r="AA54" s="28" t="s">
        <v>9</v>
      </c>
      <c r="AB54" s="28" t="s">
        <v>9</v>
      </c>
      <c r="AC54" s="28" t="s">
        <v>9</v>
      </c>
      <c r="AD54" s="28" t="s">
        <v>9</v>
      </c>
      <c r="AE54" s="28" t="s">
        <v>9</v>
      </c>
      <c r="AF54" s="28" t="s">
        <v>10</v>
      </c>
      <c r="AG54" s="24">
        <f t="shared" si="4"/>
        <v>11</v>
      </c>
      <c r="AH54" s="24">
        <f t="shared" si="5"/>
        <v>0</v>
      </c>
      <c r="AI54" s="24">
        <f t="shared" si="6"/>
        <v>4</v>
      </c>
      <c r="AJ54" s="41" t="str" cm="1">
        <f t="array" ref="AJ54">_xlfn.IFS(
$AG54=15,"Not Started",
$AI54&lt;15,"In Progress",
$AI54=15,"Completed",
SUM(AG54:AI54)&gt;15,"Error"
)</f>
        <v>In Progress</v>
      </c>
    </row>
    <row r="55" spans="1:36" ht="13" x14ac:dyDescent="0.25">
      <c r="A55" s="256"/>
      <c r="B55" s="286"/>
      <c r="C55" s="64" t="s">
        <v>1309</v>
      </c>
      <c r="D55" s="53" t="s">
        <v>9880</v>
      </c>
      <c r="E55" s="57" t="s">
        <v>9716</v>
      </c>
      <c r="F55" s="7" t="s">
        <v>52</v>
      </c>
      <c r="G55" s="7" t="s">
        <v>44</v>
      </c>
      <c r="H55" s="7" t="s">
        <v>9099</v>
      </c>
      <c r="I55" s="7" t="s">
        <v>9099</v>
      </c>
      <c r="J55" s="76">
        <v>29.941847406648598</v>
      </c>
      <c r="K55" s="77">
        <v>40.2033671587009</v>
      </c>
      <c r="L55" s="138" t="str">
        <f t="shared" si="3"/>
        <v>29.9418474066486,40.2033671587009</v>
      </c>
      <c r="M55" s="64" t="s">
        <v>10064</v>
      </c>
      <c r="N55" s="7">
        <v>10005960914</v>
      </c>
      <c r="O55" s="7"/>
      <c r="P55" s="201"/>
      <c r="Q55" s="28" t="s">
        <v>11</v>
      </c>
      <c r="R55" s="28" t="s">
        <v>11</v>
      </c>
      <c r="S55" s="28" t="s">
        <v>11</v>
      </c>
      <c r="T55" s="28" t="s">
        <v>11</v>
      </c>
      <c r="U55" s="28" t="s">
        <v>10</v>
      </c>
      <c r="V55" s="28" t="s">
        <v>9</v>
      </c>
      <c r="W55" s="28" t="s">
        <v>9</v>
      </c>
      <c r="X55" s="28" t="s">
        <v>9</v>
      </c>
      <c r="Y55" s="28" t="s">
        <v>9</v>
      </c>
      <c r="Z55" s="28" t="s">
        <v>9</v>
      </c>
      <c r="AA55" s="28" t="s">
        <v>9</v>
      </c>
      <c r="AB55" s="28" t="s">
        <v>9</v>
      </c>
      <c r="AC55" s="28" t="s">
        <v>9</v>
      </c>
      <c r="AD55" s="28" t="s">
        <v>9</v>
      </c>
      <c r="AE55" s="28" t="s">
        <v>9</v>
      </c>
      <c r="AF55" s="28" t="s">
        <v>10</v>
      </c>
      <c r="AG55" s="24">
        <f t="shared" si="4"/>
        <v>10</v>
      </c>
      <c r="AH55" s="24">
        <f t="shared" si="5"/>
        <v>1</v>
      </c>
      <c r="AI55" s="24">
        <f t="shared" si="6"/>
        <v>4</v>
      </c>
      <c r="AJ55" s="41" t="str" cm="1">
        <f t="array" ref="AJ55">_xlfn.IFS(
$AG55=15,"Not Started",
$AI55&lt;15,"In Progress",
$AI55=15,"Completed",
SUM(AG55:AI55)&gt;15,"Error"
)</f>
        <v>In Progress</v>
      </c>
    </row>
    <row r="56" spans="1:36" ht="13" x14ac:dyDescent="0.25">
      <c r="A56" s="256"/>
      <c r="B56" s="286"/>
      <c r="C56" s="63" t="s">
        <v>1310</v>
      </c>
      <c r="D56" s="53" t="s">
        <v>9881</v>
      </c>
      <c r="E56" s="57" t="s">
        <v>9717</v>
      </c>
      <c r="F56" s="7" t="s">
        <v>52</v>
      </c>
      <c r="G56" s="7" t="s">
        <v>44</v>
      </c>
      <c r="H56" s="7" t="s">
        <v>9099</v>
      </c>
      <c r="I56" s="7" t="s">
        <v>9099</v>
      </c>
      <c r="J56" s="76">
        <v>29.9963862922224</v>
      </c>
      <c r="K56" s="77">
        <v>40.256383562940897</v>
      </c>
      <c r="L56" s="138" t="str">
        <f t="shared" si="3"/>
        <v>29.9963862922224,40.2563835629409</v>
      </c>
      <c r="M56" s="64" t="s">
        <v>10065</v>
      </c>
      <c r="N56" s="7">
        <v>10094125670</v>
      </c>
      <c r="O56" s="7"/>
      <c r="P56" s="201"/>
      <c r="Q56" s="28" t="s">
        <v>11</v>
      </c>
      <c r="R56" s="28" t="s">
        <v>11</v>
      </c>
      <c r="S56" s="28" t="s">
        <v>11</v>
      </c>
      <c r="T56" s="28" t="s">
        <v>11</v>
      </c>
      <c r="U56" s="28" t="s">
        <v>10</v>
      </c>
      <c r="V56" s="28" t="s">
        <v>9</v>
      </c>
      <c r="W56" s="28" t="s">
        <v>9</v>
      </c>
      <c r="X56" s="28" t="s">
        <v>9</v>
      </c>
      <c r="Y56" s="28" t="s">
        <v>9</v>
      </c>
      <c r="Z56" s="28" t="s">
        <v>9</v>
      </c>
      <c r="AA56" s="28" t="s">
        <v>9</v>
      </c>
      <c r="AB56" s="28" t="s">
        <v>9</v>
      </c>
      <c r="AC56" s="28" t="s">
        <v>9</v>
      </c>
      <c r="AD56" s="28" t="s">
        <v>9</v>
      </c>
      <c r="AE56" s="28" t="s">
        <v>9</v>
      </c>
      <c r="AF56" s="28" t="s">
        <v>10</v>
      </c>
      <c r="AG56" s="24">
        <f t="shared" si="4"/>
        <v>10</v>
      </c>
      <c r="AH56" s="24">
        <f t="shared" si="5"/>
        <v>1</v>
      </c>
      <c r="AI56" s="24">
        <f t="shared" si="6"/>
        <v>4</v>
      </c>
      <c r="AJ56" s="41" t="str" cm="1">
        <f t="array" ref="AJ56">_xlfn.IFS(
$AG56=15,"Not Started",
$AI56&lt;15,"In Progress",
$AI56=15,"Completed",
SUM(AG56:AI56)&gt;15,"Error"
)</f>
        <v>In Progress</v>
      </c>
    </row>
    <row r="57" spans="1:36" ht="13" x14ac:dyDescent="0.25">
      <c r="A57" s="256"/>
      <c r="B57" s="286"/>
      <c r="C57" s="64" t="s">
        <v>1311</v>
      </c>
      <c r="D57" s="53" t="s">
        <v>9882</v>
      </c>
      <c r="E57" s="57" t="s">
        <v>9718</v>
      </c>
      <c r="F57" s="7" t="s">
        <v>51</v>
      </c>
      <c r="G57" s="7" t="s">
        <v>44</v>
      </c>
      <c r="H57" s="7" t="s">
        <v>9099</v>
      </c>
      <c r="I57" s="7" t="s">
        <v>9099</v>
      </c>
      <c r="J57" s="76">
        <v>29.878943224797698</v>
      </c>
      <c r="K57" s="77">
        <v>40.2211184629465</v>
      </c>
      <c r="L57" s="138" t="str">
        <f t="shared" si="3"/>
        <v>29.8789432247977,40.2211184629465</v>
      </c>
      <c r="M57" s="64" t="s">
        <v>10066</v>
      </c>
      <c r="N57" s="7">
        <v>10005938501</v>
      </c>
      <c r="O57" s="7"/>
      <c r="P57" s="201"/>
      <c r="Q57" s="28" t="s">
        <v>11</v>
      </c>
      <c r="R57" s="28" t="s">
        <v>11</v>
      </c>
      <c r="S57" s="28" t="s">
        <v>11</v>
      </c>
      <c r="T57" s="28" t="s">
        <v>11</v>
      </c>
      <c r="U57" s="28" t="s">
        <v>10</v>
      </c>
      <c r="V57" s="28" t="s">
        <v>9</v>
      </c>
      <c r="W57" s="28" t="s">
        <v>9</v>
      </c>
      <c r="X57" s="28" t="s">
        <v>9</v>
      </c>
      <c r="Y57" s="28" t="s">
        <v>9</v>
      </c>
      <c r="Z57" s="28" t="s">
        <v>9</v>
      </c>
      <c r="AA57" s="28" t="s">
        <v>9</v>
      </c>
      <c r="AB57" s="28" t="s">
        <v>9</v>
      </c>
      <c r="AC57" s="28" t="s">
        <v>9</v>
      </c>
      <c r="AD57" s="28" t="s">
        <v>9</v>
      </c>
      <c r="AE57" s="28" t="s">
        <v>9</v>
      </c>
      <c r="AF57" s="28" t="s">
        <v>10</v>
      </c>
      <c r="AG57" s="24">
        <f t="shared" si="4"/>
        <v>10</v>
      </c>
      <c r="AH57" s="24">
        <f t="shared" si="5"/>
        <v>1</v>
      </c>
      <c r="AI57" s="24">
        <f t="shared" si="6"/>
        <v>4</v>
      </c>
      <c r="AJ57" s="41" t="str" cm="1">
        <f t="array" ref="AJ57">_xlfn.IFS(
$AG57=15,"Not Started",
$AI57&lt;15,"In Progress",
$AI57=15,"Completed",
SUM(AG57:AI57)&gt;15,"Error"
)</f>
        <v>In Progress</v>
      </c>
    </row>
    <row r="58" spans="1:36" ht="13" x14ac:dyDescent="0.25">
      <c r="A58" s="256"/>
      <c r="B58" s="286"/>
      <c r="C58" s="63" t="s">
        <v>1312</v>
      </c>
      <c r="D58" s="53" t="s">
        <v>9883</v>
      </c>
      <c r="E58" s="57" t="s">
        <v>9719</v>
      </c>
      <c r="F58" s="7" t="s">
        <v>47</v>
      </c>
      <c r="G58" s="7" t="s">
        <v>48</v>
      </c>
      <c r="H58" s="7" t="s">
        <v>9099</v>
      </c>
      <c r="I58" s="7" t="s">
        <v>9099</v>
      </c>
      <c r="J58" s="76">
        <v>29.982569000000002</v>
      </c>
      <c r="K58" s="77">
        <v>40.190120999999998</v>
      </c>
      <c r="L58" s="138" t="str">
        <f t="shared" si="3"/>
        <v>29.982569,40.190121</v>
      </c>
      <c r="M58" s="64" t="s">
        <v>10067</v>
      </c>
      <c r="N58" s="7">
        <v>10084877330</v>
      </c>
      <c r="O58" s="7"/>
      <c r="P58" s="201"/>
      <c r="Q58" s="28" t="s">
        <v>11</v>
      </c>
      <c r="R58" s="28" t="s">
        <v>11</v>
      </c>
      <c r="S58" s="28" t="s">
        <v>11</v>
      </c>
      <c r="T58" s="28" t="s">
        <v>11</v>
      </c>
      <c r="U58" s="28" t="s">
        <v>10</v>
      </c>
      <c r="V58" s="28" t="s">
        <v>9</v>
      </c>
      <c r="W58" s="28" t="s">
        <v>9</v>
      </c>
      <c r="X58" s="28" t="s">
        <v>9</v>
      </c>
      <c r="Y58" s="28" t="s">
        <v>9</v>
      </c>
      <c r="Z58" s="28" t="s">
        <v>9</v>
      </c>
      <c r="AA58" s="28" t="s">
        <v>9</v>
      </c>
      <c r="AB58" s="28" t="s">
        <v>9</v>
      </c>
      <c r="AC58" s="28" t="s">
        <v>9</v>
      </c>
      <c r="AD58" s="28" t="s">
        <v>9</v>
      </c>
      <c r="AE58" s="28" t="s">
        <v>9</v>
      </c>
      <c r="AF58" s="28" t="s">
        <v>10</v>
      </c>
      <c r="AG58" s="24">
        <f t="shared" si="4"/>
        <v>10</v>
      </c>
      <c r="AH58" s="24">
        <f t="shared" si="5"/>
        <v>1</v>
      </c>
      <c r="AI58" s="24">
        <f t="shared" si="6"/>
        <v>4</v>
      </c>
      <c r="AJ58" s="41" t="str" cm="1">
        <f t="array" ref="AJ58">_xlfn.IFS(
$AG58=15,"Not Started",
$AI58&lt;15,"In Progress",
$AI58=15,"Completed",
SUM(AG58:AI58)&gt;15,"Error"
)</f>
        <v>In Progress</v>
      </c>
    </row>
    <row r="59" spans="1:36" ht="26" x14ac:dyDescent="0.25">
      <c r="A59" s="256"/>
      <c r="B59" s="286"/>
      <c r="C59" s="64" t="s">
        <v>1313</v>
      </c>
      <c r="D59" s="53" t="s">
        <v>9884</v>
      </c>
      <c r="E59" s="80" t="s">
        <v>10290</v>
      </c>
      <c r="F59" s="7" t="s">
        <v>9092</v>
      </c>
      <c r="G59" s="48" t="s">
        <v>48</v>
      </c>
      <c r="H59" s="7" t="s">
        <v>9099</v>
      </c>
      <c r="I59" s="7" t="s">
        <v>9099</v>
      </c>
      <c r="J59" s="76">
        <v>29.968111</v>
      </c>
      <c r="K59" s="77">
        <v>40.200232999999997</v>
      </c>
      <c r="L59" s="138" t="str">
        <f t="shared" si="3"/>
        <v>29.968111,40.200233</v>
      </c>
      <c r="M59" s="64" t="s">
        <v>10068</v>
      </c>
      <c r="N59" s="7">
        <v>10005995741</v>
      </c>
      <c r="O59" s="7"/>
      <c r="P59" s="201"/>
      <c r="Q59" s="28" t="s">
        <v>11</v>
      </c>
      <c r="R59" s="28" t="s">
        <v>11</v>
      </c>
      <c r="S59" s="28" t="s">
        <v>11</v>
      </c>
      <c r="T59" s="28" t="s">
        <v>11</v>
      </c>
      <c r="U59" s="28" t="s">
        <v>10</v>
      </c>
      <c r="V59" s="28" t="s">
        <v>9</v>
      </c>
      <c r="W59" s="28" t="s">
        <v>9</v>
      </c>
      <c r="X59" s="28" t="s">
        <v>9</v>
      </c>
      <c r="Y59" s="28" t="s">
        <v>9</v>
      </c>
      <c r="Z59" s="28" t="s">
        <v>9</v>
      </c>
      <c r="AA59" s="28" t="s">
        <v>9</v>
      </c>
      <c r="AB59" s="28" t="s">
        <v>9</v>
      </c>
      <c r="AC59" s="28" t="s">
        <v>9</v>
      </c>
      <c r="AD59" s="28" t="s">
        <v>9</v>
      </c>
      <c r="AE59" s="28" t="s">
        <v>9</v>
      </c>
      <c r="AF59" s="28" t="s">
        <v>10</v>
      </c>
      <c r="AG59" s="24">
        <f t="shared" si="4"/>
        <v>10</v>
      </c>
      <c r="AH59" s="24">
        <f t="shared" si="5"/>
        <v>1</v>
      </c>
      <c r="AI59" s="24">
        <f t="shared" si="6"/>
        <v>4</v>
      </c>
      <c r="AJ59" s="41" t="str" cm="1">
        <f t="array" ref="AJ59">_xlfn.IFS(
$AG59=15,"Not Started",
$AI59&lt;15,"In Progress",
$AI59=15,"Completed",
SUM(AG59:AI59)&gt;15,"Error"
)</f>
        <v>In Progress</v>
      </c>
    </row>
    <row r="60" spans="1:36" ht="26" x14ac:dyDescent="0.25">
      <c r="A60" s="256"/>
      <c r="B60" s="286"/>
      <c r="C60" s="63" t="s">
        <v>1314</v>
      </c>
      <c r="D60" s="79" t="s">
        <v>10276</v>
      </c>
      <c r="E60" s="80" t="s">
        <v>10215</v>
      </c>
      <c r="F60" s="7" t="s">
        <v>9092</v>
      </c>
      <c r="G60" s="7" t="s">
        <v>48</v>
      </c>
      <c r="H60" s="7" t="s">
        <v>9099</v>
      </c>
      <c r="I60" s="7" t="s">
        <v>9099</v>
      </c>
      <c r="J60" s="76">
        <v>29.924982700000001</v>
      </c>
      <c r="K60" s="77">
        <v>40.196973300000003</v>
      </c>
      <c r="L60" s="138" t="str">
        <f t="shared" si="3"/>
        <v>29.9249827,40.1969733</v>
      </c>
      <c r="M60" s="64" t="s">
        <v>10069</v>
      </c>
      <c r="N60" s="7">
        <v>10005988058</v>
      </c>
      <c r="O60" s="7"/>
      <c r="P60" s="201"/>
      <c r="Q60" s="28" t="s">
        <v>11</v>
      </c>
      <c r="R60" s="28" t="s">
        <v>11</v>
      </c>
      <c r="S60" s="28" t="s">
        <v>11</v>
      </c>
      <c r="T60" s="28" t="s">
        <v>11</v>
      </c>
      <c r="U60" s="28" t="s">
        <v>10</v>
      </c>
      <c r="V60" s="28" t="s">
        <v>9</v>
      </c>
      <c r="W60" s="28" t="s">
        <v>9</v>
      </c>
      <c r="X60" s="28" t="s">
        <v>9</v>
      </c>
      <c r="Y60" s="28" t="s">
        <v>9</v>
      </c>
      <c r="Z60" s="28" t="s">
        <v>9</v>
      </c>
      <c r="AA60" s="28" t="s">
        <v>9</v>
      </c>
      <c r="AB60" s="28" t="s">
        <v>9</v>
      </c>
      <c r="AC60" s="28" t="s">
        <v>9</v>
      </c>
      <c r="AD60" s="28" t="s">
        <v>9</v>
      </c>
      <c r="AE60" s="28" t="s">
        <v>9</v>
      </c>
      <c r="AF60" s="28" t="s">
        <v>10</v>
      </c>
      <c r="AG60" s="24">
        <f t="shared" si="4"/>
        <v>10</v>
      </c>
      <c r="AH60" s="24">
        <f t="shared" si="5"/>
        <v>1</v>
      </c>
      <c r="AI60" s="24">
        <f t="shared" si="6"/>
        <v>4</v>
      </c>
      <c r="AJ60" s="41" t="str" cm="1">
        <f t="array" ref="AJ60">_xlfn.IFS(
$AG60=15,"Not Started",
$AI60&lt;15,"In Progress",
$AI60=15,"Completed",
SUM(AG60:AI60)&gt;15,"Error"
)</f>
        <v>In Progress</v>
      </c>
    </row>
    <row r="61" spans="1:36" ht="13" x14ac:dyDescent="0.25">
      <c r="A61" s="256"/>
      <c r="B61" s="286"/>
      <c r="C61" s="64" t="s">
        <v>1315</v>
      </c>
      <c r="D61" s="53" t="s">
        <v>9885</v>
      </c>
      <c r="E61" s="57" t="s">
        <v>9720</v>
      </c>
      <c r="F61" s="7" t="s">
        <v>47</v>
      </c>
      <c r="G61" s="7" t="s">
        <v>48</v>
      </c>
      <c r="H61" s="7" t="s">
        <v>9099</v>
      </c>
      <c r="I61" s="7" t="s">
        <v>9099</v>
      </c>
      <c r="J61" s="76">
        <v>29.914419800000001</v>
      </c>
      <c r="K61" s="77">
        <v>40.198655600000002</v>
      </c>
      <c r="L61" s="138" t="str">
        <f t="shared" si="3"/>
        <v>29.9144198,40.1986556</v>
      </c>
      <c r="M61" s="64" t="s">
        <v>10070</v>
      </c>
      <c r="N61" s="7">
        <v>10005993512</v>
      </c>
      <c r="O61" s="7"/>
      <c r="P61" s="201"/>
      <c r="Q61" s="28" t="s">
        <v>11</v>
      </c>
      <c r="R61" s="28" t="s">
        <v>11</v>
      </c>
      <c r="S61" s="28" t="s">
        <v>11</v>
      </c>
      <c r="T61" s="28" t="s">
        <v>11</v>
      </c>
      <c r="U61" s="28" t="s">
        <v>10</v>
      </c>
      <c r="V61" s="28" t="s">
        <v>9</v>
      </c>
      <c r="W61" s="28" t="s">
        <v>9</v>
      </c>
      <c r="X61" s="28" t="s">
        <v>9</v>
      </c>
      <c r="Y61" s="28" t="s">
        <v>9</v>
      </c>
      <c r="Z61" s="28" t="s">
        <v>9</v>
      </c>
      <c r="AA61" s="28" t="s">
        <v>9</v>
      </c>
      <c r="AB61" s="28" t="s">
        <v>9</v>
      </c>
      <c r="AC61" s="28" t="s">
        <v>9</v>
      </c>
      <c r="AD61" s="28" t="s">
        <v>9</v>
      </c>
      <c r="AE61" s="28" t="s">
        <v>9</v>
      </c>
      <c r="AF61" s="28" t="s">
        <v>10</v>
      </c>
      <c r="AG61" s="24">
        <f t="shared" si="4"/>
        <v>10</v>
      </c>
      <c r="AH61" s="24">
        <f t="shared" si="5"/>
        <v>1</v>
      </c>
      <c r="AI61" s="24">
        <f t="shared" si="6"/>
        <v>4</v>
      </c>
      <c r="AJ61" s="41" t="str" cm="1">
        <f t="array" ref="AJ61">_xlfn.IFS(
$AG61=15,"Not Started",
$AI61&lt;15,"In Progress",
$AI61=15,"Completed",
SUM(AG61:AI61)&gt;15,"Error"
)</f>
        <v>In Progress</v>
      </c>
    </row>
    <row r="62" spans="1:36" ht="13" x14ac:dyDescent="0.25">
      <c r="A62" s="256"/>
      <c r="B62" s="286"/>
      <c r="C62" s="63" t="s">
        <v>1316</v>
      </c>
      <c r="D62" s="53" t="s">
        <v>9886</v>
      </c>
      <c r="E62" s="57" t="s">
        <v>9721</v>
      </c>
      <c r="F62" s="7" t="s">
        <v>9092</v>
      </c>
      <c r="G62" s="7" t="s">
        <v>48</v>
      </c>
      <c r="H62" s="7" t="s">
        <v>9099</v>
      </c>
      <c r="I62" s="7" t="s">
        <v>9099</v>
      </c>
      <c r="J62" s="76">
        <v>29.9521375272905</v>
      </c>
      <c r="K62" s="77">
        <v>40.193171454346597</v>
      </c>
      <c r="L62" s="138" t="str">
        <f t="shared" si="3"/>
        <v>29.9521375272905,40.1931714543466</v>
      </c>
      <c r="M62" s="64" t="s">
        <v>10071</v>
      </c>
      <c r="N62" s="7">
        <v>10005969849</v>
      </c>
      <c r="O62" s="7"/>
      <c r="P62" s="201"/>
      <c r="Q62" s="28" t="s">
        <v>11</v>
      </c>
      <c r="R62" s="28" t="s">
        <v>11</v>
      </c>
      <c r="S62" s="28" t="s">
        <v>11</v>
      </c>
      <c r="T62" s="28" t="s">
        <v>11</v>
      </c>
      <c r="U62" s="28" t="s">
        <v>10</v>
      </c>
      <c r="V62" s="28" t="s">
        <v>9</v>
      </c>
      <c r="W62" s="28" t="s">
        <v>9</v>
      </c>
      <c r="X62" s="28" t="s">
        <v>9</v>
      </c>
      <c r="Y62" s="28" t="s">
        <v>9</v>
      </c>
      <c r="Z62" s="28" t="s">
        <v>9</v>
      </c>
      <c r="AA62" s="28" t="s">
        <v>9</v>
      </c>
      <c r="AB62" s="28" t="s">
        <v>9</v>
      </c>
      <c r="AC62" s="28" t="s">
        <v>9</v>
      </c>
      <c r="AD62" s="28" t="s">
        <v>9</v>
      </c>
      <c r="AE62" s="28" t="s">
        <v>9</v>
      </c>
      <c r="AF62" s="28" t="s">
        <v>10</v>
      </c>
      <c r="AG62" s="24">
        <f t="shared" si="4"/>
        <v>10</v>
      </c>
      <c r="AH62" s="24">
        <f t="shared" si="5"/>
        <v>1</v>
      </c>
      <c r="AI62" s="24">
        <f t="shared" si="6"/>
        <v>4</v>
      </c>
      <c r="AJ62" s="41" t="str" cm="1">
        <f t="array" ref="AJ62">_xlfn.IFS(
$AG62=15,"Not Started",
$AI62&lt;15,"In Progress",
$AI62=15,"Completed",
SUM(AG62:AI62)&gt;15,"Error"
)</f>
        <v>In Progress</v>
      </c>
    </row>
    <row r="63" spans="1:36" ht="13" x14ac:dyDescent="0.25">
      <c r="A63" s="256"/>
      <c r="B63" s="286"/>
      <c r="C63" s="64" t="s">
        <v>1317</v>
      </c>
      <c r="D63" s="53" t="s">
        <v>9887</v>
      </c>
      <c r="E63" s="57" t="s">
        <v>9722</v>
      </c>
      <c r="F63" s="7" t="s">
        <v>9095</v>
      </c>
      <c r="G63" s="7" t="s">
        <v>9088</v>
      </c>
      <c r="H63" s="7" t="s">
        <v>9099</v>
      </c>
      <c r="I63" s="7" t="s">
        <v>9099</v>
      </c>
      <c r="J63" s="76">
        <v>29.981554324935601</v>
      </c>
      <c r="K63" s="77">
        <v>40.211807789927398</v>
      </c>
      <c r="L63" s="138" t="str">
        <f t="shared" si="3"/>
        <v>29.9815543249356,40.2118077899274</v>
      </c>
      <c r="M63" s="64" t="s">
        <v>10072</v>
      </c>
      <c r="N63" s="7">
        <v>10005970447</v>
      </c>
      <c r="O63" s="7"/>
      <c r="P63" s="201"/>
      <c r="Q63" s="28" t="s">
        <v>11</v>
      </c>
      <c r="R63" s="28" t="s">
        <v>11</v>
      </c>
      <c r="S63" s="28" t="s">
        <v>11</v>
      </c>
      <c r="T63" s="28" t="s">
        <v>11</v>
      </c>
      <c r="U63" s="28" t="s">
        <v>10</v>
      </c>
      <c r="V63" s="28" t="s">
        <v>9</v>
      </c>
      <c r="W63" s="28" t="s">
        <v>9</v>
      </c>
      <c r="X63" s="28" t="s">
        <v>9</v>
      </c>
      <c r="Y63" s="28" t="s">
        <v>9</v>
      </c>
      <c r="Z63" s="28" t="s">
        <v>9</v>
      </c>
      <c r="AA63" s="28" t="s">
        <v>9</v>
      </c>
      <c r="AB63" s="28" t="s">
        <v>9</v>
      </c>
      <c r="AC63" s="28" t="s">
        <v>9</v>
      </c>
      <c r="AD63" s="28" t="s">
        <v>9</v>
      </c>
      <c r="AE63" s="28" t="s">
        <v>9</v>
      </c>
      <c r="AF63" s="28" t="s">
        <v>10</v>
      </c>
      <c r="AG63" s="24">
        <f t="shared" si="4"/>
        <v>10</v>
      </c>
      <c r="AH63" s="24">
        <f t="shared" si="5"/>
        <v>1</v>
      </c>
      <c r="AI63" s="24">
        <f t="shared" si="6"/>
        <v>4</v>
      </c>
      <c r="AJ63" s="41" t="str" cm="1">
        <f t="array" ref="AJ63">_xlfn.IFS(
$AG63=15,"Not Started",
$AI63&lt;15,"In Progress",
$AI63=15,"Completed",
SUM(AG63:AI63)&gt;15,"Error"
)</f>
        <v>In Progress</v>
      </c>
    </row>
    <row r="64" spans="1:36" ht="13" x14ac:dyDescent="0.25">
      <c r="A64" s="256"/>
      <c r="B64" s="286"/>
      <c r="C64" s="63" t="s">
        <v>1318</v>
      </c>
      <c r="D64" s="53" t="s">
        <v>9888</v>
      </c>
      <c r="E64" s="57" t="s">
        <v>9723</v>
      </c>
      <c r="F64" s="7" t="s">
        <v>9092</v>
      </c>
      <c r="G64" s="7" t="s">
        <v>44</v>
      </c>
      <c r="H64" s="7" t="s">
        <v>9099</v>
      </c>
      <c r="I64" s="7" t="s">
        <v>9099</v>
      </c>
      <c r="J64" s="76">
        <v>29.9732888661065</v>
      </c>
      <c r="K64" s="77">
        <v>40.245260294935399</v>
      </c>
      <c r="L64" s="138" t="str">
        <f t="shared" si="3"/>
        <v>29.9732888661065,40.2452602949354</v>
      </c>
      <c r="M64" s="64" t="s">
        <v>10073</v>
      </c>
      <c r="N64" s="7">
        <v>10005997001</v>
      </c>
      <c r="O64" s="7"/>
      <c r="P64" s="201"/>
      <c r="Q64" s="28" t="s">
        <v>11</v>
      </c>
      <c r="R64" s="28" t="s">
        <v>11</v>
      </c>
      <c r="S64" s="28" t="s">
        <v>11</v>
      </c>
      <c r="T64" s="28" t="s">
        <v>11</v>
      </c>
      <c r="U64" s="28" t="s">
        <v>10</v>
      </c>
      <c r="V64" s="28" t="s">
        <v>9</v>
      </c>
      <c r="W64" s="28" t="s">
        <v>9</v>
      </c>
      <c r="X64" s="28" t="s">
        <v>9</v>
      </c>
      <c r="Y64" s="28" t="s">
        <v>9</v>
      </c>
      <c r="Z64" s="28" t="s">
        <v>9</v>
      </c>
      <c r="AA64" s="28" t="s">
        <v>9</v>
      </c>
      <c r="AB64" s="28" t="s">
        <v>9</v>
      </c>
      <c r="AC64" s="28" t="s">
        <v>9</v>
      </c>
      <c r="AD64" s="28" t="s">
        <v>9</v>
      </c>
      <c r="AE64" s="28" t="s">
        <v>9</v>
      </c>
      <c r="AF64" s="28" t="s">
        <v>10</v>
      </c>
      <c r="AG64" s="24">
        <f t="shared" si="4"/>
        <v>10</v>
      </c>
      <c r="AH64" s="24">
        <f t="shared" si="5"/>
        <v>1</v>
      </c>
      <c r="AI64" s="24">
        <f t="shared" si="6"/>
        <v>4</v>
      </c>
      <c r="AJ64" s="41" t="str" cm="1">
        <f t="array" ref="AJ64">_xlfn.IFS(
$AG64=15,"Not Started",
$AI64&lt;15,"In Progress",
$AI64=15,"Completed",
SUM(AG64:AI64)&gt;15,"Error"
)</f>
        <v>In Progress</v>
      </c>
    </row>
    <row r="65" spans="1:36" ht="13" x14ac:dyDescent="0.25">
      <c r="A65" s="256"/>
      <c r="B65" s="286"/>
      <c r="C65" s="64" t="s">
        <v>1319</v>
      </c>
      <c r="D65" s="53" t="s">
        <v>9889</v>
      </c>
      <c r="E65" s="57" t="s">
        <v>9724</v>
      </c>
      <c r="F65" s="7" t="s">
        <v>43</v>
      </c>
      <c r="G65" s="7" t="s">
        <v>44</v>
      </c>
      <c r="H65" s="7" t="s">
        <v>9099</v>
      </c>
      <c r="I65" s="7" t="s">
        <v>9099</v>
      </c>
      <c r="J65" s="76">
        <v>29.986049837373901</v>
      </c>
      <c r="K65" s="77">
        <v>40.220443953148703</v>
      </c>
      <c r="L65" s="138" t="str">
        <f t="shared" si="3"/>
        <v>29.9860498373739,40.2204439531487</v>
      </c>
      <c r="M65" s="64" t="s">
        <v>10074</v>
      </c>
      <c r="N65" s="7">
        <v>10005987829</v>
      </c>
      <c r="O65" s="7"/>
      <c r="P65" s="201"/>
      <c r="Q65" s="28" t="s">
        <v>11</v>
      </c>
      <c r="R65" s="28" t="s">
        <v>11</v>
      </c>
      <c r="S65" s="28" t="s">
        <v>11</v>
      </c>
      <c r="T65" s="28" t="s">
        <v>11</v>
      </c>
      <c r="U65" s="28" t="s">
        <v>9</v>
      </c>
      <c r="V65" s="28" t="s">
        <v>9</v>
      </c>
      <c r="W65" s="28" t="s">
        <v>9</v>
      </c>
      <c r="X65" s="28" t="s">
        <v>9</v>
      </c>
      <c r="Y65" s="28" t="s">
        <v>9</v>
      </c>
      <c r="Z65" s="28" t="s">
        <v>9</v>
      </c>
      <c r="AA65" s="28" t="s">
        <v>9</v>
      </c>
      <c r="AB65" s="28" t="s">
        <v>9</v>
      </c>
      <c r="AC65" s="28" t="s">
        <v>9</v>
      </c>
      <c r="AD65" s="28" t="s">
        <v>9</v>
      </c>
      <c r="AE65" s="28" t="s">
        <v>9</v>
      </c>
      <c r="AF65" s="28" t="s">
        <v>10</v>
      </c>
      <c r="AG65" s="24">
        <f t="shared" si="4"/>
        <v>11</v>
      </c>
      <c r="AH65" s="24">
        <f t="shared" si="5"/>
        <v>0</v>
      </c>
      <c r="AI65" s="24">
        <f t="shared" si="6"/>
        <v>4</v>
      </c>
      <c r="AJ65" s="41" t="str" cm="1">
        <f t="array" ref="AJ65">_xlfn.IFS(
$AG65=15,"Not Started",
$AI65&lt;15,"In Progress",
$AI65=15,"Completed",
SUM(AG65:AI65)&gt;15,"Error"
)</f>
        <v>In Progress</v>
      </c>
    </row>
    <row r="66" spans="1:36" ht="13" x14ac:dyDescent="0.25">
      <c r="A66" s="256"/>
      <c r="B66" s="286"/>
      <c r="C66" s="63" t="s">
        <v>1320</v>
      </c>
      <c r="D66" s="53" t="s">
        <v>9890</v>
      </c>
      <c r="E66" s="57" t="s">
        <v>9725</v>
      </c>
      <c r="F66" s="7" t="s">
        <v>9092</v>
      </c>
      <c r="G66" s="7" t="s">
        <v>9088</v>
      </c>
      <c r="H66" s="7" t="s">
        <v>9099</v>
      </c>
      <c r="I66" s="7" t="s">
        <v>9099</v>
      </c>
      <c r="J66" s="76">
        <v>29.992533102325002</v>
      </c>
      <c r="K66" s="77">
        <v>40.201686651298402</v>
      </c>
      <c r="L66" s="138" t="str">
        <f t="shared" si="3"/>
        <v>29.992533102325,40.2016866512984</v>
      </c>
      <c r="M66" s="64" t="s">
        <v>10075</v>
      </c>
      <c r="N66" s="7">
        <v>10005999187</v>
      </c>
      <c r="O66" s="7"/>
      <c r="P66" s="201"/>
      <c r="Q66" s="28" t="s">
        <v>11</v>
      </c>
      <c r="R66" s="28" t="s">
        <v>11</v>
      </c>
      <c r="S66" s="28" t="s">
        <v>11</v>
      </c>
      <c r="T66" s="28" t="s">
        <v>11</v>
      </c>
      <c r="U66" s="28" t="s">
        <v>9</v>
      </c>
      <c r="V66" s="28" t="s">
        <v>9</v>
      </c>
      <c r="W66" s="28" t="s">
        <v>9</v>
      </c>
      <c r="X66" s="28" t="s">
        <v>9</v>
      </c>
      <c r="Y66" s="28" t="s">
        <v>9</v>
      </c>
      <c r="Z66" s="28" t="s">
        <v>9</v>
      </c>
      <c r="AA66" s="28" t="s">
        <v>9</v>
      </c>
      <c r="AB66" s="28" t="s">
        <v>9</v>
      </c>
      <c r="AC66" s="28" t="s">
        <v>9</v>
      </c>
      <c r="AD66" s="28" t="s">
        <v>9</v>
      </c>
      <c r="AE66" s="28" t="s">
        <v>9</v>
      </c>
      <c r="AF66" s="28" t="s">
        <v>10</v>
      </c>
      <c r="AG66" s="24">
        <f t="shared" si="4"/>
        <v>11</v>
      </c>
      <c r="AH66" s="24">
        <f t="shared" si="5"/>
        <v>0</v>
      </c>
      <c r="AI66" s="24">
        <f t="shared" si="6"/>
        <v>4</v>
      </c>
      <c r="AJ66" s="41" t="str" cm="1">
        <f t="array" ref="AJ66">_xlfn.IFS(
$AG66=15,"Not Started",
$AI66&lt;15,"In Progress",
$AI66=15,"Completed",
SUM(AG66:AI66)&gt;15,"Error"
)</f>
        <v>In Progress</v>
      </c>
    </row>
    <row r="67" spans="1:36" ht="13" x14ac:dyDescent="0.25">
      <c r="A67" s="256"/>
      <c r="B67" s="286"/>
      <c r="C67" s="64" t="s">
        <v>1321</v>
      </c>
      <c r="D67" s="53" t="s">
        <v>4271</v>
      </c>
      <c r="E67" s="57" t="s">
        <v>9726</v>
      </c>
      <c r="F67" s="7" t="s">
        <v>43</v>
      </c>
      <c r="G67" s="7" t="s">
        <v>44</v>
      </c>
      <c r="H67" s="7" t="s">
        <v>9099</v>
      </c>
      <c r="I67" s="7" t="s">
        <v>9099</v>
      </c>
      <c r="J67" s="76">
        <v>29.814618321111698</v>
      </c>
      <c r="K67" s="77">
        <v>39.850251918429997</v>
      </c>
      <c r="L67" s="138" t="str">
        <f t="shared" si="3"/>
        <v>29.8146183211117,39.85025191843</v>
      </c>
      <c r="M67" s="64" t="s">
        <v>10076</v>
      </c>
      <c r="N67" s="7">
        <v>10006004017</v>
      </c>
      <c r="O67" s="7"/>
      <c r="P67" s="201">
        <v>46123</v>
      </c>
      <c r="Q67" s="28" t="s">
        <v>11</v>
      </c>
      <c r="R67" s="28" t="s">
        <v>11</v>
      </c>
      <c r="S67" s="28" t="s">
        <v>11</v>
      </c>
      <c r="T67" s="28" t="s">
        <v>11</v>
      </c>
      <c r="U67" s="28" t="s">
        <v>9</v>
      </c>
      <c r="V67" s="28" t="s">
        <v>9</v>
      </c>
      <c r="W67" s="28" t="s">
        <v>9</v>
      </c>
      <c r="X67" s="28" t="s">
        <v>9</v>
      </c>
      <c r="Y67" s="28" t="s">
        <v>9</v>
      </c>
      <c r="Z67" s="28" t="s">
        <v>9</v>
      </c>
      <c r="AA67" s="28" t="s">
        <v>9</v>
      </c>
      <c r="AB67" s="28" t="s">
        <v>9</v>
      </c>
      <c r="AC67" s="28" t="s">
        <v>9</v>
      </c>
      <c r="AD67" s="28" t="s">
        <v>9</v>
      </c>
      <c r="AE67" s="28" t="s">
        <v>9</v>
      </c>
      <c r="AF67" s="28" t="s">
        <v>10</v>
      </c>
      <c r="AG67" s="24">
        <f t="shared" si="4"/>
        <v>11</v>
      </c>
      <c r="AH67" s="24">
        <f t="shared" si="5"/>
        <v>0</v>
      </c>
      <c r="AI67" s="24">
        <f t="shared" si="6"/>
        <v>4</v>
      </c>
      <c r="AJ67" s="41" t="str" cm="1">
        <f t="array" ref="AJ67">_xlfn.IFS(
$AG67=15,"Not Started",
$AI67&lt;15,"In Progress",
$AI67=15,"Completed",
SUM(AG67:AI67)&gt;15,"Error"
)</f>
        <v>In Progress</v>
      </c>
    </row>
    <row r="68" spans="1:36" ht="13" x14ac:dyDescent="0.25">
      <c r="A68" s="256"/>
      <c r="B68" s="286"/>
      <c r="C68" s="63" t="s">
        <v>1322</v>
      </c>
      <c r="D68" s="53" t="s">
        <v>9891</v>
      </c>
      <c r="E68" s="57" t="s">
        <v>9727</v>
      </c>
      <c r="F68" s="7" t="s">
        <v>43</v>
      </c>
      <c r="G68" s="7" t="s">
        <v>44</v>
      </c>
      <c r="H68" s="7" t="s">
        <v>9099</v>
      </c>
      <c r="I68" s="7" t="s">
        <v>9099</v>
      </c>
      <c r="J68" s="76">
        <v>29.956251637200999</v>
      </c>
      <c r="K68" s="77">
        <v>40.203279258700299</v>
      </c>
      <c r="L68" s="138" t="str">
        <f t="shared" si="3"/>
        <v>29.956251637201,40.2032792587003</v>
      </c>
      <c r="M68" s="64" t="s">
        <v>10077</v>
      </c>
      <c r="N68" s="7">
        <v>10005969811</v>
      </c>
      <c r="O68" s="7"/>
      <c r="P68" s="201"/>
      <c r="Q68" s="28" t="s">
        <v>11</v>
      </c>
      <c r="R68" s="28" t="s">
        <v>11</v>
      </c>
      <c r="S68" s="28" t="s">
        <v>11</v>
      </c>
      <c r="T68" s="28" t="s">
        <v>11</v>
      </c>
      <c r="U68" s="28" t="s">
        <v>10</v>
      </c>
      <c r="V68" s="28" t="s">
        <v>9</v>
      </c>
      <c r="W68" s="28" t="s">
        <v>9</v>
      </c>
      <c r="X68" s="28" t="s">
        <v>9</v>
      </c>
      <c r="Y68" s="28" t="s">
        <v>9</v>
      </c>
      <c r="Z68" s="28" t="s">
        <v>9</v>
      </c>
      <c r="AA68" s="28" t="s">
        <v>9</v>
      </c>
      <c r="AB68" s="28" t="s">
        <v>9</v>
      </c>
      <c r="AC68" s="28" t="s">
        <v>9</v>
      </c>
      <c r="AD68" s="28" t="s">
        <v>9</v>
      </c>
      <c r="AE68" s="28" t="s">
        <v>9</v>
      </c>
      <c r="AF68" s="28" t="s">
        <v>10</v>
      </c>
      <c r="AG68" s="24">
        <f t="shared" ref="AG68:AG99" si="7">COUNTIF(Q68:AE68,$AG$2)</f>
        <v>10</v>
      </c>
      <c r="AH68" s="24">
        <f t="shared" ref="AH68:AH99" si="8">COUNTIF(Q68:AE68,$AH$2)</f>
        <v>1</v>
      </c>
      <c r="AI68" s="24">
        <f t="shared" ref="AI68:AI99" si="9">COUNTIF(Q68:AE68,$AI$2)</f>
        <v>4</v>
      </c>
      <c r="AJ68" s="41" t="str" cm="1">
        <f t="array" ref="AJ68">_xlfn.IFS(
$AG68=15,"Not Started",
$AI68&lt;15,"In Progress",
$AI68=15,"Completed",
SUM(AG68:AI68)&gt;15,"Error"
)</f>
        <v>In Progress</v>
      </c>
    </row>
    <row r="69" spans="1:36" ht="13" x14ac:dyDescent="0.25">
      <c r="A69" s="256"/>
      <c r="B69" s="286"/>
      <c r="C69" s="64" t="s">
        <v>1323</v>
      </c>
      <c r="D69" s="53" t="s">
        <v>9892</v>
      </c>
      <c r="E69" s="57" t="s">
        <v>9728</v>
      </c>
      <c r="F69" s="7" t="s">
        <v>43</v>
      </c>
      <c r="G69" s="7" t="s">
        <v>44</v>
      </c>
      <c r="H69" s="7" t="s">
        <v>9099</v>
      </c>
      <c r="I69" s="7" t="s">
        <v>9099</v>
      </c>
      <c r="J69" s="76">
        <v>29.954190877007399</v>
      </c>
      <c r="K69" s="77">
        <v>40.211951191778603</v>
      </c>
      <c r="L69" s="138" t="str">
        <f t="shared" ref="L69:L132" si="10">_xlfn.CONCAT(J69,",",K69)</f>
        <v>29.9541908770074,40.2119511917786</v>
      </c>
      <c r="M69" s="64" t="s">
        <v>10078</v>
      </c>
      <c r="N69" s="7">
        <v>10018941891</v>
      </c>
      <c r="O69" s="7"/>
      <c r="P69" s="201"/>
      <c r="Q69" s="28" t="s">
        <v>11</v>
      </c>
      <c r="R69" s="28" t="s">
        <v>11</v>
      </c>
      <c r="S69" s="28" t="s">
        <v>11</v>
      </c>
      <c r="T69" s="28" t="s">
        <v>11</v>
      </c>
      <c r="U69" s="28" t="s">
        <v>10</v>
      </c>
      <c r="V69" s="28" t="s">
        <v>9</v>
      </c>
      <c r="W69" s="28" t="s">
        <v>9</v>
      </c>
      <c r="X69" s="28" t="s">
        <v>9</v>
      </c>
      <c r="Y69" s="28" t="s">
        <v>9</v>
      </c>
      <c r="Z69" s="28" t="s">
        <v>9</v>
      </c>
      <c r="AA69" s="28" t="s">
        <v>9</v>
      </c>
      <c r="AB69" s="28" t="s">
        <v>9</v>
      </c>
      <c r="AC69" s="28" t="s">
        <v>9</v>
      </c>
      <c r="AD69" s="28" t="s">
        <v>9</v>
      </c>
      <c r="AE69" s="28" t="s">
        <v>9</v>
      </c>
      <c r="AF69" s="28" t="s">
        <v>10</v>
      </c>
      <c r="AG69" s="24">
        <f t="shared" si="7"/>
        <v>10</v>
      </c>
      <c r="AH69" s="24">
        <f t="shared" si="8"/>
        <v>1</v>
      </c>
      <c r="AI69" s="24">
        <f t="shared" si="9"/>
        <v>4</v>
      </c>
      <c r="AJ69" s="41" t="str" cm="1">
        <f t="array" ref="AJ69">_xlfn.IFS(
$AG69=15,"Not Started",
$AI69&lt;15,"In Progress",
$AI69=15,"Completed",
SUM(AG69:AI69)&gt;15,"Error"
)</f>
        <v>In Progress</v>
      </c>
    </row>
    <row r="70" spans="1:36" ht="13" x14ac:dyDescent="0.25">
      <c r="A70" s="256"/>
      <c r="B70" s="286"/>
      <c r="C70" s="63" t="s">
        <v>1324</v>
      </c>
      <c r="D70" s="53" t="s">
        <v>9893</v>
      </c>
      <c r="E70" s="57" t="s">
        <v>9729</v>
      </c>
      <c r="F70" s="7" t="s">
        <v>43</v>
      </c>
      <c r="G70" s="7" t="s">
        <v>9088</v>
      </c>
      <c r="H70" s="7" t="s">
        <v>9099</v>
      </c>
      <c r="I70" s="7" t="s">
        <v>9099</v>
      </c>
      <c r="J70" s="76">
        <v>29.946398936025101</v>
      </c>
      <c r="K70" s="77">
        <v>40.206812712672097</v>
      </c>
      <c r="L70" s="138" t="str">
        <f t="shared" si="10"/>
        <v>29.9463989360251,40.2068127126721</v>
      </c>
      <c r="M70" s="64" t="s">
        <v>10079</v>
      </c>
      <c r="N70" s="7">
        <v>10005969830</v>
      </c>
      <c r="O70" s="7"/>
      <c r="P70" s="201"/>
      <c r="Q70" s="28" t="s">
        <v>11</v>
      </c>
      <c r="R70" s="28" t="s">
        <v>11</v>
      </c>
      <c r="S70" s="28" t="s">
        <v>11</v>
      </c>
      <c r="T70" s="28" t="s">
        <v>11</v>
      </c>
      <c r="U70" s="28" t="s">
        <v>10</v>
      </c>
      <c r="V70" s="28" t="s">
        <v>9</v>
      </c>
      <c r="W70" s="28" t="s">
        <v>9</v>
      </c>
      <c r="X70" s="28" t="s">
        <v>9</v>
      </c>
      <c r="Y70" s="28" t="s">
        <v>9</v>
      </c>
      <c r="Z70" s="28" t="s">
        <v>9</v>
      </c>
      <c r="AA70" s="28" t="s">
        <v>9</v>
      </c>
      <c r="AB70" s="28" t="s">
        <v>9</v>
      </c>
      <c r="AC70" s="28" t="s">
        <v>9</v>
      </c>
      <c r="AD70" s="28" t="s">
        <v>9</v>
      </c>
      <c r="AE70" s="28" t="s">
        <v>9</v>
      </c>
      <c r="AF70" s="28" t="s">
        <v>10</v>
      </c>
      <c r="AG70" s="24">
        <f t="shared" si="7"/>
        <v>10</v>
      </c>
      <c r="AH70" s="24">
        <f t="shared" si="8"/>
        <v>1</v>
      </c>
      <c r="AI70" s="24">
        <f t="shared" si="9"/>
        <v>4</v>
      </c>
      <c r="AJ70" s="41" t="str" cm="1">
        <f t="array" ref="AJ70">_xlfn.IFS(
$AG70=15,"Not Started",
$AI70&lt;15,"In Progress",
$AI70=15,"Completed",
SUM(AG70:AI70)&gt;15,"Error"
)</f>
        <v>In Progress</v>
      </c>
    </row>
    <row r="71" spans="1:36" ht="13" x14ac:dyDescent="0.25">
      <c r="A71" s="256"/>
      <c r="B71" s="286"/>
      <c r="C71" s="64" t="s">
        <v>1325</v>
      </c>
      <c r="D71" s="53" t="s">
        <v>9894</v>
      </c>
      <c r="E71" s="57" t="s">
        <v>9730</v>
      </c>
      <c r="F71" s="7" t="s">
        <v>51</v>
      </c>
      <c r="G71" s="7" t="s">
        <v>44</v>
      </c>
      <c r="H71" s="7" t="s">
        <v>9099</v>
      </c>
      <c r="I71" s="7" t="s">
        <v>9099</v>
      </c>
      <c r="J71" s="76">
        <v>29.984889972235901</v>
      </c>
      <c r="K71" s="77">
        <v>40.244255785849901</v>
      </c>
      <c r="L71" s="138" t="str">
        <f t="shared" si="10"/>
        <v>29.9848899722359,40.2442557858499</v>
      </c>
      <c r="M71" s="64" t="s">
        <v>10080</v>
      </c>
      <c r="N71" s="7">
        <v>10005989233</v>
      </c>
      <c r="O71" s="7"/>
      <c r="P71" s="201"/>
      <c r="Q71" s="28" t="s">
        <v>11</v>
      </c>
      <c r="R71" s="28" t="s">
        <v>11</v>
      </c>
      <c r="S71" s="28" t="s">
        <v>11</v>
      </c>
      <c r="T71" s="28" t="s">
        <v>11</v>
      </c>
      <c r="U71" s="28" t="s">
        <v>9</v>
      </c>
      <c r="V71" s="28" t="s">
        <v>9</v>
      </c>
      <c r="W71" s="28" t="s">
        <v>9</v>
      </c>
      <c r="X71" s="28" t="s">
        <v>9</v>
      </c>
      <c r="Y71" s="28" t="s">
        <v>9</v>
      </c>
      <c r="Z71" s="28" t="s">
        <v>9</v>
      </c>
      <c r="AA71" s="28" t="s">
        <v>9</v>
      </c>
      <c r="AB71" s="28" t="s">
        <v>9</v>
      </c>
      <c r="AC71" s="28" t="s">
        <v>9</v>
      </c>
      <c r="AD71" s="28" t="s">
        <v>9</v>
      </c>
      <c r="AE71" s="28" t="s">
        <v>9</v>
      </c>
      <c r="AF71" s="28" t="s">
        <v>10</v>
      </c>
      <c r="AG71" s="24">
        <f t="shared" si="7"/>
        <v>11</v>
      </c>
      <c r="AH71" s="24">
        <f t="shared" si="8"/>
        <v>0</v>
      </c>
      <c r="AI71" s="24">
        <f t="shared" si="9"/>
        <v>4</v>
      </c>
      <c r="AJ71" s="41" t="str" cm="1">
        <f t="array" ref="AJ71">_xlfn.IFS(
$AG71=15,"Not Started",
$AI71&lt;15,"In Progress",
$AI71=15,"Completed",
SUM(AG71:AI71)&gt;15,"Error"
)</f>
        <v>In Progress</v>
      </c>
    </row>
    <row r="72" spans="1:36" ht="13" x14ac:dyDescent="0.25">
      <c r="A72" s="256"/>
      <c r="B72" s="286"/>
      <c r="C72" s="63" t="s">
        <v>1326</v>
      </c>
      <c r="D72" s="53" t="s">
        <v>9895</v>
      </c>
      <c r="E72" s="57" t="s">
        <v>9731</v>
      </c>
      <c r="F72" s="7" t="s">
        <v>51</v>
      </c>
      <c r="G72" s="7" t="s">
        <v>48</v>
      </c>
      <c r="H72" s="7" t="s">
        <v>9099</v>
      </c>
      <c r="I72" s="7" t="s">
        <v>9099</v>
      </c>
      <c r="J72" s="76">
        <v>29.809565780990098</v>
      </c>
      <c r="K72" s="77">
        <v>39.868339256642599</v>
      </c>
      <c r="L72" s="138" t="str">
        <f t="shared" si="10"/>
        <v>29.8095657809901,39.8683392566426</v>
      </c>
      <c r="M72" s="64" t="s">
        <v>10081</v>
      </c>
      <c r="N72" s="7">
        <v>10006004161</v>
      </c>
      <c r="O72" s="7"/>
      <c r="P72" s="201">
        <v>46124</v>
      </c>
      <c r="Q72" s="28" t="s">
        <v>11</v>
      </c>
      <c r="R72" s="28" t="s">
        <v>11</v>
      </c>
      <c r="S72" s="28" t="s">
        <v>11</v>
      </c>
      <c r="T72" s="28" t="s">
        <v>11</v>
      </c>
      <c r="U72" s="28" t="s">
        <v>9</v>
      </c>
      <c r="V72" s="28" t="s">
        <v>9</v>
      </c>
      <c r="W72" s="28" t="s">
        <v>9</v>
      </c>
      <c r="X72" s="28" t="s">
        <v>9</v>
      </c>
      <c r="Y72" s="28" t="s">
        <v>9</v>
      </c>
      <c r="Z72" s="28" t="s">
        <v>9</v>
      </c>
      <c r="AA72" s="28" t="s">
        <v>9</v>
      </c>
      <c r="AB72" s="28" t="s">
        <v>9</v>
      </c>
      <c r="AC72" s="28" t="s">
        <v>9</v>
      </c>
      <c r="AD72" s="28" t="s">
        <v>9</v>
      </c>
      <c r="AE72" s="28" t="s">
        <v>9</v>
      </c>
      <c r="AF72" s="28" t="s">
        <v>10</v>
      </c>
      <c r="AG72" s="24">
        <f t="shared" si="7"/>
        <v>11</v>
      </c>
      <c r="AH72" s="24">
        <f t="shared" si="8"/>
        <v>0</v>
      </c>
      <c r="AI72" s="24">
        <f t="shared" si="9"/>
        <v>4</v>
      </c>
      <c r="AJ72" s="41" t="str" cm="1">
        <f t="array" ref="AJ72">_xlfn.IFS(
$AG72=15,"Not Started",
$AI72&lt;15,"In Progress",
$AI72=15,"Completed",
SUM(AG72:AI72)&gt;15,"Error"
)</f>
        <v>In Progress</v>
      </c>
    </row>
    <row r="73" spans="1:36" ht="13" x14ac:dyDescent="0.25">
      <c r="A73" s="256"/>
      <c r="B73" s="286"/>
      <c r="C73" s="64" t="s">
        <v>1327</v>
      </c>
      <c r="D73" s="53" t="s">
        <v>9896</v>
      </c>
      <c r="E73" s="57" t="s">
        <v>9732</v>
      </c>
      <c r="F73" s="7" t="s">
        <v>9671</v>
      </c>
      <c r="G73" s="7" t="s">
        <v>48</v>
      </c>
      <c r="H73" s="7" t="s">
        <v>9099</v>
      </c>
      <c r="I73" s="7" t="s">
        <v>9099</v>
      </c>
      <c r="J73" s="76">
        <v>29.997112000000001</v>
      </c>
      <c r="K73" s="77">
        <v>40.206828999999999</v>
      </c>
      <c r="L73" s="138" t="str">
        <f t="shared" si="10"/>
        <v>29.997112,40.206829</v>
      </c>
      <c r="M73" s="64" t="s">
        <v>10082</v>
      </c>
      <c r="N73" s="7">
        <v>10084592797</v>
      </c>
      <c r="O73" s="7"/>
      <c r="P73" s="201"/>
      <c r="Q73" s="28" t="s">
        <v>11</v>
      </c>
      <c r="R73" s="28" t="s">
        <v>11</v>
      </c>
      <c r="S73" s="28" t="s">
        <v>11</v>
      </c>
      <c r="T73" s="28" t="s">
        <v>11</v>
      </c>
      <c r="U73" s="28" t="s">
        <v>10</v>
      </c>
      <c r="V73" s="28" t="s">
        <v>9</v>
      </c>
      <c r="W73" s="28" t="s">
        <v>9</v>
      </c>
      <c r="X73" s="28" t="s">
        <v>9</v>
      </c>
      <c r="Y73" s="28" t="s">
        <v>9</v>
      </c>
      <c r="Z73" s="28" t="s">
        <v>9</v>
      </c>
      <c r="AA73" s="28" t="s">
        <v>9</v>
      </c>
      <c r="AB73" s="28" t="s">
        <v>9</v>
      </c>
      <c r="AC73" s="28" t="s">
        <v>9</v>
      </c>
      <c r="AD73" s="28" t="s">
        <v>9</v>
      </c>
      <c r="AE73" s="28" t="s">
        <v>9</v>
      </c>
      <c r="AF73" s="28" t="s">
        <v>10</v>
      </c>
      <c r="AG73" s="24">
        <f t="shared" si="7"/>
        <v>10</v>
      </c>
      <c r="AH73" s="24">
        <f t="shared" si="8"/>
        <v>1</v>
      </c>
      <c r="AI73" s="24">
        <f t="shared" si="9"/>
        <v>4</v>
      </c>
      <c r="AJ73" s="41" t="str" cm="1">
        <f t="array" ref="AJ73">_xlfn.IFS(
$AG73=15,"Not Started",
$AI73&lt;15,"In Progress",
$AI73=15,"Completed",
SUM(AG73:AI73)&gt;15,"Error"
)</f>
        <v>In Progress</v>
      </c>
    </row>
    <row r="74" spans="1:36" ht="13" x14ac:dyDescent="0.25">
      <c r="A74" s="256"/>
      <c r="B74" s="286"/>
      <c r="C74" s="63" t="s">
        <v>1328</v>
      </c>
      <c r="D74" s="53" t="s">
        <v>9897</v>
      </c>
      <c r="E74" s="57" t="s">
        <v>9733</v>
      </c>
      <c r="F74" s="7" t="s">
        <v>8888</v>
      </c>
      <c r="G74" s="7" t="s">
        <v>48</v>
      </c>
      <c r="H74" s="7" t="s">
        <v>9099</v>
      </c>
      <c r="I74" s="7" t="s">
        <v>9099</v>
      </c>
      <c r="J74" s="76">
        <v>29.896616262025098</v>
      </c>
      <c r="K74" s="77">
        <v>40.218583422248003</v>
      </c>
      <c r="L74" s="138" t="str">
        <f t="shared" si="10"/>
        <v>29.8966162620251,40.218583422248</v>
      </c>
      <c r="M74" s="64" t="s">
        <v>10083</v>
      </c>
      <c r="N74" s="7">
        <v>10005964593</v>
      </c>
      <c r="O74" s="7"/>
      <c r="P74" s="201"/>
      <c r="Q74" s="28" t="s">
        <v>11</v>
      </c>
      <c r="R74" s="28" t="s">
        <v>11</v>
      </c>
      <c r="S74" s="28" t="s">
        <v>11</v>
      </c>
      <c r="T74" s="28" t="s">
        <v>11</v>
      </c>
      <c r="U74" s="28" t="s">
        <v>10</v>
      </c>
      <c r="V74" s="28" t="s">
        <v>9</v>
      </c>
      <c r="W74" s="28" t="s">
        <v>9</v>
      </c>
      <c r="X74" s="28" t="s">
        <v>9</v>
      </c>
      <c r="Y74" s="28" t="s">
        <v>9</v>
      </c>
      <c r="Z74" s="28" t="s">
        <v>9</v>
      </c>
      <c r="AA74" s="28" t="s">
        <v>9</v>
      </c>
      <c r="AB74" s="28" t="s">
        <v>9</v>
      </c>
      <c r="AC74" s="28" t="s">
        <v>9</v>
      </c>
      <c r="AD74" s="28" t="s">
        <v>9</v>
      </c>
      <c r="AE74" s="28" t="s">
        <v>9</v>
      </c>
      <c r="AF74" s="28" t="s">
        <v>10</v>
      </c>
      <c r="AG74" s="24">
        <f t="shared" si="7"/>
        <v>10</v>
      </c>
      <c r="AH74" s="24">
        <f t="shared" si="8"/>
        <v>1</v>
      </c>
      <c r="AI74" s="24">
        <f t="shared" si="9"/>
        <v>4</v>
      </c>
      <c r="AJ74" s="41" t="str" cm="1">
        <f t="array" ref="AJ74">_xlfn.IFS(
$AG74=15,"Not Started",
$AI74&lt;15,"In Progress",
$AI74=15,"Completed",
SUM(AG74:AI74)&gt;15,"Error"
)</f>
        <v>In Progress</v>
      </c>
    </row>
    <row r="75" spans="1:36" ht="13" x14ac:dyDescent="0.25">
      <c r="A75" s="256"/>
      <c r="B75" s="286"/>
      <c r="C75" s="64" t="s">
        <v>1329</v>
      </c>
      <c r="D75" s="53" t="s">
        <v>9898</v>
      </c>
      <c r="E75" s="57" t="s">
        <v>9734</v>
      </c>
      <c r="F75" s="7" t="s">
        <v>9092</v>
      </c>
      <c r="G75" s="7" t="s">
        <v>48</v>
      </c>
      <c r="H75" s="7" t="s">
        <v>9099</v>
      </c>
      <c r="I75" s="7" t="s">
        <v>9099</v>
      </c>
      <c r="J75" s="76">
        <v>29.878161153921798</v>
      </c>
      <c r="K75" s="77">
        <v>40.213433581102201</v>
      </c>
      <c r="L75" s="138" t="str">
        <f t="shared" si="10"/>
        <v>29.8781611539218,40.2134335811022</v>
      </c>
      <c r="M75" s="64" t="s">
        <v>10084</v>
      </c>
      <c r="N75" s="7">
        <v>10005970465</v>
      </c>
      <c r="O75" s="7"/>
      <c r="P75" s="201"/>
      <c r="Q75" s="28" t="s">
        <v>11</v>
      </c>
      <c r="R75" s="28" t="s">
        <v>11</v>
      </c>
      <c r="S75" s="28" t="s">
        <v>11</v>
      </c>
      <c r="T75" s="28" t="s">
        <v>11</v>
      </c>
      <c r="U75" s="28" t="s">
        <v>9</v>
      </c>
      <c r="V75" s="28" t="s">
        <v>9</v>
      </c>
      <c r="W75" s="28" t="s">
        <v>9</v>
      </c>
      <c r="X75" s="28" t="s">
        <v>9</v>
      </c>
      <c r="Y75" s="28" t="s">
        <v>9</v>
      </c>
      <c r="Z75" s="28" t="s">
        <v>9</v>
      </c>
      <c r="AA75" s="28" t="s">
        <v>9</v>
      </c>
      <c r="AB75" s="28" t="s">
        <v>9</v>
      </c>
      <c r="AC75" s="28" t="s">
        <v>9</v>
      </c>
      <c r="AD75" s="28" t="s">
        <v>9</v>
      </c>
      <c r="AE75" s="28" t="s">
        <v>9</v>
      </c>
      <c r="AF75" s="28" t="s">
        <v>10</v>
      </c>
      <c r="AG75" s="24">
        <f t="shared" si="7"/>
        <v>11</v>
      </c>
      <c r="AH75" s="24">
        <f t="shared" si="8"/>
        <v>0</v>
      </c>
      <c r="AI75" s="24">
        <f t="shared" si="9"/>
        <v>4</v>
      </c>
      <c r="AJ75" s="41" t="str" cm="1">
        <f t="array" ref="AJ75">_xlfn.IFS(
$AG75=15,"Not Started",
$AI75&lt;15,"In Progress",
$AI75=15,"Completed",
SUM(AG75:AI75)&gt;15,"Error"
)</f>
        <v>In Progress</v>
      </c>
    </row>
    <row r="76" spans="1:36" ht="13" x14ac:dyDescent="0.25">
      <c r="A76" s="256"/>
      <c r="B76" s="286"/>
      <c r="C76" s="63" t="s">
        <v>1330</v>
      </c>
      <c r="D76" s="53" t="s">
        <v>9899</v>
      </c>
      <c r="E76" s="57" t="s">
        <v>9735</v>
      </c>
      <c r="F76" s="7" t="s">
        <v>43</v>
      </c>
      <c r="G76" s="7" t="s">
        <v>48</v>
      </c>
      <c r="H76" s="7" t="s">
        <v>9099</v>
      </c>
      <c r="I76" s="7" t="s">
        <v>9099</v>
      </c>
      <c r="J76" s="76">
        <v>29.864764177991599</v>
      </c>
      <c r="K76" s="77">
        <v>40.223647432708098</v>
      </c>
      <c r="L76" s="138" t="str">
        <f t="shared" si="10"/>
        <v>29.8647641779916,40.2236474327081</v>
      </c>
      <c r="M76" s="64" t="s">
        <v>10085</v>
      </c>
      <c r="N76" s="7">
        <v>10083053367</v>
      </c>
      <c r="O76" s="7"/>
      <c r="P76" s="201">
        <v>46131</v>
      </c>
      <c r="Q76" s="28" t="s">
        <v>11</v>
      </c>
      <c r="R76" s="28" t="s">
        <v>11</v>
      </c>
      <c r="S76" s="28" t="s">
        <v>11</v>
      </c>
      <c r="T76" s="28" t="s">
        <v>11</v>
      </c>
      <c r="U76" s="28" t="s">
        <v>10</v>
      </c>
      <c r="V76" s="28" t="s">
        <v>9</v>
      </c>
      <c r="W76" s="28" t="s">
        <v>9</v>
      </c>
      <c r="X76" s="28" t="s">
        <v>9</v>
      </c>
      <c r="Y76" s="28" t="s">
        <v>9</v>
      </c>
      <c r="Z76" s="28" t="s">
        <v>9</v>
      </c>
      <c r="AA76" s="28" t="s">
        <v>9</v>
      </c>
      <c r="AB76" s="28" t="s">
        <v>9</v>
      </c>
      <c r="AC76" s="28" t="s">
        <v>9</v>
      </c>
      <c r="AD76" s="28" t="s">
        <v>9</v>
      </c>
      <c r="AE76" s="28" t="s">
        <v>9</v>
      </c>
      <c r="AF76" s="28" t="s">
        <v>10</v>
      </c>
      <c r="AG76" s="24">
        <f t="shared" si="7"/>
        <v>10</v>
      </c>
      <c r="AH76" s="24">
        <f t="shared" si="8"/>
        <v>1</v>
      </c>
      <c r="AI76" s="24">
        <f t="shared" si="9"/>
        <v>4</v>
      </c>
      <c r="AJ76" s="41" t="str" cm="1">
        <f t="array" ref="AJ76">_xlfn.IFS(
$AG76=15,"Not Started",
$AI76&lt;15,"In Progress",
$AI76=15,"Completed",
SUM(AG76:AI76)&gt;15,"Error"
)</f>
        <v>In Progress</v>
      </c>
    </row>
    <row r="77" spans="1:36" ht="13" x14ac:dyDescent="0.25">
      <c r="A77" s="256"/>
      <c r="B77" s="286"/>
      <c r="C77" s="64" t="s">
        <v>1331</v>
      </c>
      <c r="D77" s="53" t="s">
        <v>9900</v>
      </c>
      <c r="E77" s="57" t="s">
        <v>9736</v>
      </c>
      <c r="F77" s="7" t="s">
        <v>43</v>
      </c>
      <c r="G77" s="7" t="s">
        <v>48</v>
      </c>
      <c r="H77" s="7" t="s">
        <v>9099</v>
      </c>
      <c r="I77" s="7" t="s">
        <v>9099</v>
      </c>
      <c r="J77" s="76">
        <v>29.882105476254502</v>
      </c>
      <c r="K77" s="77">
        <v>40.235749559365502</v>
      </c>
      <c r="L77" s="138" t="str">
        <f t="shared" si="10"/>
        <v>29.8821054762545,40.2357495593655</v>
      </c>
      <c r="M77" s="64" t="s">
        <v>10086</v>
      </c>
      <c r="N77" s="7">
        <v>10005996891</v>
      </c>
      <c r="O77" s="7"/>
      <c r="P77" s="201"/>
      <c r="Q77" s="28" t="s">
        <v>11</v>
      </c>
      <c r="R77" s="28" t="s">
        <v>11</v>
      </c>
      <c r="S77" s="28" t="s">
        <v>11</v>
      </c>
      <c r="T77" s="28" t="s">
        <v>11</v>
      </c>
      <c r="U77" s="28" t="s">
        <v>10</v>
      </c>
      <c r="V77" s="28" t="s">
        <v>9</v>
      </c>
      <c r="W77" s="28" t="s">
        <v>9</v>
      </c>
      <c r="X77" s="28" t="s">
        <v>9</v>
      </c>
      <c r="Y77" s="28" t="s">
        <v>9</v>
      </c>
      <c r="Z77" s="28" t="s">
        <v>9</v>
      </c>
      <c r="AA77" s="28" t="s">
        <v>9</v>
      </c>
      <c r="AB77" s="28" t="s">
        <v>9</v>
      </c>
      <c r="AC77" s="28" t="s">
        <v>9</v>
      </c>
      <c r="AD77" s="28" t="s">
        <v>9</v>
      </c>
      <c r="AE77" s="28" t="s">
        <v>9</v>
      </c>
      <c r="AF77" s="28" t="s">
        <v>10</v>
      </c>
      <c r="AG77" s="24">
        <f t="shared" si="7"/>
        <v>10</v>
      </c>
      <c r="AH77" s="24">
        <f t="shared" si="8"/>
        <v>1</v>
      </c>
      <c r="AI77" s="24">
        <f t="shared" si="9"/>
        <v>4</v>
      </c>
      <c r="AJ77" s="41" t="str" cm="1">
        <f t="array" ref="AJ77">_xlfn.IFS(
$AG77=15,"Not Started",
$AI77&lt;15,"In Progress",
$AI77=15,"Completed",
SUM(AG77:AI77)&gt;15,"Error"
)</f>
        <v>In Progress</v>
      </c>
    </row>
    <row r="78" spans="1:36" ht="13" x14ac:dyDescent="0.25">
      <c r="A78" s="256"/>
      <c r="B78" s="286"/>
      <c r="C78" s="63" t="s">
        <v>1332</v>
      </c>
      <c r="D78" s="53" t="s">
        <v>9901</v>
      </c>
      <c r="E78" s="57" t="s">
        <v>9737</v>
      </c>
      <c r="F78" s="7" t="s">
        <v>9671</v>
      </c>
      <c r="G78" s="7" t="s">
        <v>48</v>
      </c>
      <c r="H78" s="7" t="s">
        <v>9099</v>
      </c>
      <c r="I78" s="7" t="s">
        <v>9099</v>
      </c>
      <c r="J78" s="76">
        <v>29.985098189097101</v>
      </c>
      <c r="K78" s="77">
        <v>40.243190487534598</v>
      </c>
      <c r="L78" s="138" t="str">
        <f t="shared" si="10"/>
        <v>29.9850981890971,40.2431904875346</v>
      </c>
      <c r="M78" s="64" t="s">
        <v>10087</v>
      </c>
      <c r="N78" s="7">
        <v>10005992014</v>
      </c>
      <c r="O78" s="7"/>
      <c r="P78" s="201"/>
      <c r="Q78" s="28" t="s">
        <v>11</v>
      </c>
      <c r="R78" s="28" t="s">
        <v>11</v>
      </c>
      <c r="S78" s="28" t="s">
        <v>11</v>
      </c>
      <c r="T78" s="28" t="s">
        <v>11</v>
      </c>
      <c r="U78" s="28" t="s">
        <v>10</v>
      </c>
      <c r="V78" s="28" t="s">
        <v>9</v>
      </c>
      <c r="W78" s="28" t="s">
        <v>9</v>
      </c>
      <c r="X78" s="28" t="s">
        <v>9</v>
      </c>
      <c r="Y78" s="28" t="s">
        <v>9</v>
      </c>
      <c r="Z78" s="28" t="s">
        <v>9</v>
      </c>
      <c r="AA78" s="28" t="s">
        <v>9</v>
      </c>
      <c r="AB78" s="28" t="s">
        <v>9</v>
      </c>
      <c r="AC78" s="28" t="s">
        <v>9</v>
      </c>
      <c r="AD78" s="28" t="s">
        <v>9</v>
      </c>
      <c r="AE78" s="28" t="s">
        <v>9</v>
      </c>
      <c r="AF78" s="28" t="s">
        <v>10</v>
      </c>
      <c r="AG78" s="24">
        <f t="shared" si="7"/>
        <v>10</v>
      </c>
      <c r="AH78" s="24">
        <f t="shared" si="8"/>
        <v>1</v>
      </c>
      <c r="AI78" s="24">
        <f t="shared" si="9"/>
        <v>4</v>
      </c>
      <c r="AJ78" s="41" t="str" cm="1">
        <f t="array" ref="AJ78">_xlfn.IFS(
$AG78=15,"Not Started",
$AI78&lt;15,"In Progress",
$AI78=15,"Completed",
SUM(AG78:AI78)&gt;15,"Error"
)</f>
        <v>In Progress</v>
      </c>
    </row>
    <row r="79" spans="1:36" ht="13" x14ac:dyDescent="0.25">
      <c r="A79" s="256"/>
      <c r="B79" s="286"/>
      <c r="C79" s="64" t="s">
        <v>1333</v>
      </c>
      <c r="D79" s="53" t="s">
        <v>9902</v>
      </c>
      <c r="E79" s="57" t="s">
        <v>9738</v>
      </c>
      <c r="F79" s="7" t="s">
        <v>9671</v>
      </c>
      <c r="G79" s="7" t="s">
        <v>48</v>
      </c>
      <c r="H79" s="7" t="s">
        <v>9099</v>
      </c>
      <c r="I79" s="7" t="s">
        <v>9099</v>
      </c>
      <c r="J79" s="76">
        <v>29.993392551823199</v>
      </c>
      <c r="K79" s="77">
        <v>40.232083801643398</v>
      </c>
      <c r="L79" s="138" t="str">
        <f t="shared" si="10"/>
        <v>29.9933925518232,40.2320838016434</v>
      </c>
      <c r="M79" s="64" t="s">
        <v>10088</v>
      </c>
      <c r="N79" s="7">
        <v>10005992328</v>
      </c>
      <c r="O79" s="7"/>
      <c r="P79" s="201"/>
      <c r="Q79" s="28" t="s">
        <v>11</v>
      </c>
      <c r="R79" s="28" t="s">
        <v>11</v>
      </c>
      <c r="S79" s="28" t="s">
        <v>11</v>
      </c>
      <c r="T79" s="28" t="s">
        <v>11</v>
      </c>
      <c r="U79" s="28" t="s">
        <v>10</v>
      </c>
      <c r="V79" s="28" t="s">
        <v>9</v>
      </c>
      <c r="W79" s="28" t="s">
        <v>9</v>
      </c>
      <c r="X79" s="28" t="s">
        <v>9</v>
      </c>
      <c r="Y79" s="28" t="s">
        <v>9</v>
      </c>
      <c r="Z79" s="28" t="s">
        <v>9</v>
      </c>
      <c r="AA79" s="28" t="s">
        <v>9</v>
      </c>
      <c r="AB79" s="28" t="s">
        <v>9</v>
      </c>
      <c r="AC79" s="28" t="s">
        <v>9</v>
      </c>
      <c r="AD79" s="28" t="s">
        <v>9</v>
      </c>
      <c r="AE79" s="28" t="s">
        <v>9</v>
      </c>
      <c r="AF79" s="28" t="s">
        <v>10</v>
      </c>
      <c r="AG79" s="24">
        <f t="shared" si="7"/>
        <v>10</v>
      </c>
      <c r="AH79" s="24">
        <f t="shared" si="8"/>
        <v>1</v>
      </c>
      <c r="AI79" s="24">
        <f t="shared" si="9"/>
        <v>4</v>
      </c>
      <c r="AJ79" s="41" t="str" cm="1">
        <f t="array" ref="AJ79">_xlfn.IFS(
$AG79=15,"Not Started",
$AI79&lt;15,"In Progress",
$AI79=15,"Completed",
SUM(AG79:AI79)&gt;15,"Error"
)</f>
        <v>In Progress</v>
      </c>
    </row>
    <row r="80" spans="1:36" ht="13" x14ac:dyDescent="0.25">
      <c r="A80" s="256"/>
      <c r="B80" s="286"/>
      <c r="C80" s="63" t="s">
        <v>1334</v>
      </c>
      <c r="D80" s="53" t="s">
        <v>9903</v>
      </c>
      <c r="E80" s="57" t="s">
        <v>9739</v>
      </c>
      <c r="F80" s="7" t="s">
        <v>51</v>
      </c>
      <c r="G80" s="7" t="s">
        <v>48</v>
      </c>
      <c r="H80" s="7" t="s">
        <v>9099</v>
      </c>
      <c r="I80" s="7" t="s">
        <v>9099</v>
      </c>
      <c r="J80" s="76">
        <v>29.944966999999998</v>
      </c>
      <c r="K80" s="77">
        <v>40.197102000000001</v>
      </c>
      <c r="L80" s="138" t="str">
        <f t="shared" si="10"/>
        <v>29.944967,40.197102</v>
      </c>
      <c r="M80" s="64" t="s">
        <v>10089</v>
      </c>
      <c r="N80" s="7">
        <v>10005993183</v>
      </c>
      <c r="O80" s="7"/>
      <c r="P80" s="201"/>
      <c r="Q80" s="28" t="s">
        <v>11</v>
      </c>
      <c r="R80" s="28" t="s">
        <v>11</v>
      </c>
      <c r="S80" s="28" t="s">
        <v>11</v>
      </c>
      <c r="T80" s="28" t="s">
        <v>11</v>
      </c>
      <c r="U80" s="28" t="s">
        <v>10</v>
      </c>
      <c r="V80" s="28" t="s">
        <v>9</v>
      </c>
      <c r="W80" s="28" t="s">
        <v>9</v>
      </c>
      <c r="X80" s="28" t="s">
        <v>9</v>
      </c>
      <c r="Y80" s="28" t="s">
        <v>9</v>
      </c>
      <c r="Z80" s="28" t="s">
        <v>9</v>
      </c>
      <c r="AA80" s="28" t="s">
        <v>9</v>
      </c>
      <c r="AB80" s="28" t="s">
        <v>9</v>
      </c>
      <c r="AC80" s="28" t="s">
        <v>9</v>
      </c>
      <c r="AD80" s="28" t="s">
        <v>9</v>
      </c>
      <c r="AE80" s="28" t="s">
        <v>9</v>
      </c>
      <c r="AF80" s="28" t="s">
        <v>10</v>
      </c>
      <c r="AG80" s="24">
        <f t="shared" si="7"/>
        <v>10</v>
      </c>
      <c r="AH80" s="24">
        <f t="shared" si="8"/>
        <v>1</v>
      </c>
      <c r="AI80" s="24">
        <f t="shared" si="9"/>
        <v>4</v>
      </c>
      <c r="AJ80" s="41" t="str" cm="1">
        <f t="array" ref="AJ80">_xlfn.IFS(
$AG80=15,"Not Started",
$AI80&lt;15,"In Progress",
$AI80=15,"Completed",
SUM(AG80:AI80)&gt;15,"Error"
)</f>
        <v>In Progress</v>
      </c>
    </row>
    <row r="81" spans="1:36" ht="13" x14ac:dyDescent="0.25">
      <c r="A81" s="256"/>
      <c r="B81" s="286"/>
      <c r="C81" s="64" t="s">
        <v>1335</v>
      </c>
      <c r="D81" s="53" t="s">
        <v>9904</v>
      </c>
      <c r="E81" s="57" t="s">
        <v>9740</v>
      </c>
      <c r="F81" s="7" t="s">
        <v>43</v>
      </c>
      <c r="G81" s="7" t="s">
        <v>48</v>
      </c>
      <c r="H81" s="7" t="s">
        <v>9099</v>
      </c>
      <c r="I81" s="7" t="s">
        <v>9099</v>
      </c>
      <c r="J81" s="76">
        <v>29.997173559695199</v>
      </c>
      <c r="K81" s="77">
        <v>40.220228340759398</v>
      </c>
      <c r="L81" s="138" t="str">
        <f t="shared" si="10"/>
        <v>29.9971735596952,40.2202283407594</v>
      </c>
      <c r="M81" s="64" t="s">
        <v>10090</v>
      </c>
      <c r="N81" s="7">
        <v>10088974449</v>
      </c>
      <c r="O81" s="7"/>
      <c r="P81" s="201"/>
      <c r="Q81" s="28" t="s">
        <v>11</v>
      </c>
      <c r="R81" s="28" t="s">
        <v>11</v>
      </c>
      <c r="S81" s="28" t="s">
        <v>11</v>
      </c>
      <c r="T81" s="28" t="s">
        <v>11</v>
      </c>
      <c r="U81" s="28" t="s">
        <v>10</v>
      </c>
      <c r="V81" s="28" t="s">
        <v>9</v>
      </c>
      <c r="W81" s="28" t="s">
        <v>9</v>
      </c>
      <c r="X81" s="28" t="s">
        <v>9</v>
      </c>
      <c r="Y81" s="28" t="s">
        <v>9</v>
      </c>
      <c r="Z81" s="28" t="s">
        <v>9</v>
      </c>
      <c r="AA81" s="28" t="s">
        <v>9</v>
      </c>
      <c r="AB81" s="28" t="s">
        <v>9</v>
      </c>
      <c r="AC81" s="28" t="s">
        <v>9</v>
      </c>
      <c r="AD81" s="28" t="s">
        <v>9</v>
      </c>
      <c r="AE81" s="28" t="s">
        <v>9</v>
      </c>
      <c r="AF81" s="28" t="s">
        <v>10</v>
      </c>
      <c r="AG81" s="24">
        <f t="shared" si="7"/>
        <v>10</v>
      </c>
      <c r="AH81" s="24">
        <f t="shared" si="8"/>
        <v>1</v>
      </c>
      <c r="AI81" s="24">
        <f t="shared" si="9"/>
        <v>4</v>
      </c>
      <c r="AJ81" s="41" t="str" cm="1">
        <f t="array" ref="AJ81">_xlfn.IFS(
$AG81=15,"Not Started",
$AI81&lt;15,"In Progress",
$AI81=15,"Completed",
SUM(AG81:AI81)&gt;15,"Error"
)</f>
        <v>In Progress</v>
      </c>
    </row>
    <row r="82" spans="1:36" ht="13" x14ac:dyDescent="0.25">
      <c r="A82" s="256"/>
      <c r="B82" s="286"/>
      <c r="C82" s="63" t="s">
        <v>1336</v>
      </c>
      <c r="D82" s="53" t="s">
        <v>9905</v>
      </c>
      <c r="E82" s="57" t="s">
        <v>9741</v>
      </c>
      <c r="F82" s="7" t="s">
        <v>43</v>
      </c>
      <c r="G82" s="7" t="s">
        <v>48</v>
      </c>
      <c r="H82" s="7" t="s">
        <v>9099</v>
      </c>
      <c r="I82" s="7" t="s">
        <v>9099</v>
      </c>
      <c r="J82" s="76">
        <v>29.947905338205199</v>
      </c>
      <c r="K82" s="77">
        <v>40.210644250757902</v>
      </c>
      <c r="L82" s="138" t="str">
        <f t="shared" si="10"/>
        <v>29.9479053382052,40.2106442507579</v>
      </c>
      <c r="M82" s="64" t="s">
        <v>10091</v>
      </c>
      <c r="N82" s="7">
        <v>10005993844</v>
      </c>
      <c r="O82" s="7"/>
      <c r="P82" s="201"/>
      <c r="Q82" s="28" t="s">
        <v>11</v>
      </c>
      <c r="R82" s="28" t="s">
        <v>11</v>
      </c>
      <c r="S82" s="28" t="s">
        <v>11</v>
      </c>
      <c r="T82" s="28" t="s">
        <v>11</v>
      </c>
      <c r="U82" s="28" t="s">
        <v>10</v>
      </c>
      <c r="V82" s="28" t="s">
        <v>9</v>
      </c>
      <c r="W82" s="28" t="s">
        <v>9</v>
      </c>
      <c r="X82" s="28" t="s">
        <v>9</v>
      </c>
      <c r="Y82" s="28" t="s">
        <v>9</v>
      </c>
      <c r="Z82" s="28" t="s">
        <v>9</v>
      </c>
      <c r="AA82" s="28" t="s">
        <v>9</v>
      </c>
      <c r="AB82" s="28" t="s">
        <v>9</v>
      </c>
      <c r="AC82" s="28" t="s">
        <v>9</v>
      </c>
      <c r="AD82" s="28" t="s">
        <v>9</v>
      </c>
      <c r="AE82" s="28" t="s">
        <v>9</v>
      </c>
      <c r="AF82" s="28" t="s">
        <v>10</v>
      </c>
      <c r="AG82" s="24">
        <f t="shared" si="7"/>
        <v>10</v>
      </c>
      <c r="AH82" s="24">
        <f t="shared" si="8"/>
        <v>1</v>
      </c>
      <c r="AI82" s="24">
        <f t="shared" si="9"/>
        <v>4</v>
      </c>
      <c r="AJ82" s="41" t="str" cm="1">
        <f t="array" ref="AJ82">_xlfn.IFS(
$AG82=15,"Not Started",
$AI82&lt;15,"In Progress",
$AI82=15,"Completed",
SUM(AG82:AI82)&gt;15,"Error"
)</f>
        <v>In Progress</v>
      </c>
    </row>
    <row r="83" spans="1:36" ht="13" x14ac:dyDescent="0.25">
      <c r="A83" s="256"/>
      <c r="B83" s="286"/>
      <c r="C83" s="64" t="s">
        <v>1337</v>
      </c>
      <c r="D83" s="53" t="s">
        <v>9906</v>
      </c>
      <c r="E83" s="57" t="s">
        <v>9742</v>
      </c>
      <c r="F83" s="7" t="s">
        <v>9092</v>
      </c>
      <c r="G83" s="7" t="s">
        <v>48</v>
      </c>
      <c r="H83" s="7" t="s">
        <v>9099</v>
      </c>
      <c r="I83" s="7" t="s">
        <v>9099</v>
      </c>
      <c r="J83" s="76">
        <v>29.9339435583701</v>
      </c>
      <c r="K83" s="77">
        <v>40.201456328015603</v>
      </c>
      <c r="L83" s="138" t="str">
        <f t="shared" si="10"/>
        <v>29.9339435583701,40.2014563280156</v>
      </c>
      <c r="M83" s="64" t="s">
        <v>10092</v>
      </c>
      <c r="N83" s="7">
        <v>10005989396</v>
      </c>
      <c r="O83" s="7"/>
      <c r="P83" s="202">
        <v>46146</v>
      </c>
      <c r="Q83" s="28" t="s">
        <v>11</v>
      </c>
      <c r="R83" s="28" t="s">
        <v>11</v>
      </c>
      <c r="S83" s="28" t="s">
        <v>11</v>
      </c>
      <c r="T83" s="28" t="s">
        <v>11</v>
      </c>
      <c r="U83" s="28" t="s">
        <v>10</v>
      </c>
      <c r="V83" s="28" t="s">
        <v>9</v>
      </c>
      <c r="W83" s="28" t="s">
        <v>9</v>
      </c>
      <c r="X83" s="28" t="s">
        <v>9</v>
      </c>
      <c r="Y83" s="28" t="s">
        <v>9</v>
      </c>
      <c r="Z83" s="28" t="s">
        <v>9</v>
      </c>
      <c r="AA83" s="28" t="s">
        <v>9</v>
      </c>
      <c r="AB83" s="28" t="s">
        <v>9</v>
      </c>
      <c r="AC83" s="28" t="s">
        <v>9</v>
      </c>
      <c r="AD83" s="28" t="s">
        <v>9</v>
      </c>
      <c r="AE83" s="28" t="s">
        <v>9</v>
      </c>
      <c r="AF83" s="28" t="s">
        <v>10</v>
      </c>
      <c r="AG83" s="24">
        <f t="shared" si="7"/>
        <v>10</v>
      </c>
      <c r="AH83" s="24">
        <f t="shared" si="8"/>
        <v>1</v>
      </c>
      <c r="AI83" s="24">
        <f t="shared" si="9"/>
        <v>4</v>
      </c>
      <c r="AJ83" s="41" t="str" cm="1">
        <f t="array" ref="AJ83">_xlfn.IFS(
$AG83=15,"Not Started",
$AI83&lt;15,"In Progress",
$AI83=15,"Completed",
SUM(AG83:AI83)&gt;15,"Error"
)</f>
        <v>In Progress</v>
      </c>
    </row>
    <row r="84" spans="1:36" ht="13" x14ac:dyDescent="0.25">
      <c r="A84" s="256"/>
      <c r="B84" s="286"/>
      <c r="C84" s="63" t="s">
        <v>1338</v>
      </c>
      <c r="D84" s="53" t="s">
        <v>9907</v>
      </c>
      <c r="E84" s="57" t="s">
        <v>5825</v>
      </c>
      <c r="F84" s="7" t="s">
        <v>43</v>
      </c>
      <c r="G84" s="7" t="s">
        <v>9091</v>
      </c>
      <c r="H84" s="7" t="s">
        <v>9099</v>
      </c>
      <c r="I84" s="7" t="s">
        <v>9099</v>
      </c>
      <c r="J84" s="76">
        <v>29.934431438745499</v>
      </c>
      <c r="K84" s="77">
        <v>40.195987181444302</v>
      </c>
      <c r="L84" s="138" t="str">
        <f t="shared" si="10"/>
        <v>29.9344314387455,40.1959871814443</v>
      </c>
      <c r="M84" s="64" t="s">
        <v>10093</v>
      </c>
      <c r="N84" s="7">
        <v>10019035262</v>
      </c>
      <c r="O84" s="7"/>
      <c r="P84" s="201"/>
      <c r="Q84" s="28" t="s">
        <v>11</v>
      </c>
      <c r="R84" s="28" t="s">
        <v>11</v>
      </c>
      <c r="S84" s="28" t="s">
        <v>11</v>
      </c>
      <c r="T84" s="28" t="s">
        <v>11</v>
      </c>
      <c r="U84" s="28" t="s">
        <v>10</v>
      </c>
      <c r="V84" s="28" t="s">
        <v>9</v>
      </c>
      <c r="W84" s="28" t="s">
        <v>9</v>
      </c>
      <c r="X84" s="28" t="s">
        <v>9</v>
      </c>
      <c r="Y84" s="28" t="s">
        <v>9</v>
      </c>
      <c r="Z84" s="28" t="s">
        <v>9</v>
      </c>
      <c r="AA84" s="28" t="s">
        <v>9</v>
      </c>
      <c r="AB84" s="28" t="s">
        <v>9</v>
      </c>
      <c r="AC84" s="28" t="s">
        <v>9</v>
      </c>
      <c r="AD84" s="28" t="s">
        <v>9</v>
      </c>
      <c r="AE84" s="28" t="s">
        <v>9</v>
      </c>
      <c r="AF84" s="28" t="s">
        <v>10</v>
      </c>
      <c r="AG84" s="24">
        <f t="shared" si="7"/>
        <v>10</v>
      </c>
      <c r="AH84" s="24">
        <f t="shared" si="8"/>
        <v>1</v>
      </c>
      <c r="AI84" s="24">
        <f t="shared" si="9"/>
        <v>4</v>
      </c>
      <c r="AJ84" s="41" t="str" cm="1">
        <f t="array" ref="AJ84">_xlfn.IFS(
$AG84=15,"Not Started",
$AI84&lt;15,"In Progress",
$AI84=15,"Completed",
SUM(AG84:AI84)&gt;15,"Error"
)</f>
        <v>In Progress</v>
      </c>
    </row>
    <row r="85" spans="1:36" ht="13" x14ac:dyDescent="0.25">
      <c r="A85" s="256"/>
      <c r="B85" s="286"/>
      <c r="C85" s="64" t="s">
        <v>1339</v>
      </c>
      <c r="D85" s="53" t="s">
        <v>9908</v>
      </c>
      <c r="E85" s="57" t="s">
        <v>9743</v>
      </c>
      <c r="F85" s="7" t="s">
        <v>43</v>
      </c>
      <c r="G85" s="7" t="s">
        <v>48</v>
      </c>
      <c r="H85" s="7" t="s">
        <v>9099</v>
      </c>
      <c r="I85" s="7" t="s">
        <v>9099</v>
      </c>
      <c r="J85" s="76">
        <v>29.948796787647399</v>
      </c>
      <c r="K85" s="77">
        <v>40.2768993683529</v>
      </c>
      <c r="L85" s="138" t="str">
        <f t="shared" si="10"/>
        <v>29.9487967876474,40.2768993683529</v>
      </c>
      <c r="M85" s="64" t="s">
        <v>10094</v>
      </c>
      <c r="N85" s="7">
        <v>10005989369</v>
      </c>
      <c r="O85" s="7"/>
      <c r="P85" s="201"/>
      <c r="Q85" s="28" t="s">
        <v>11</v>
      </c>
      <c r="R85" s="28" t="s">
        <v>11</v>
      </c>
      <c r="S85" s="28" t="s">
        <v>11</v>
      </c>
      <c r="T85" s="28" t="s">
        <v>11</v>
      </c>
      <c r="U85" s="28" t="s">
        <v>10</v>
      </c>
      <c r="V85" s="28" t="s">
        <v>9</v>
      </c>
      <c r="W85" s="28" t="s">
        <v>9</v>
      </c>
      <c r="X85" s="28" t="s">
        <v>9</v>
      </c>
      <c r="Y85" s="28" t="s">
        <v>9</v>
      </c>
      <c r="Z85" s="28" t="s">
        <v>9</v>
      </c>
      <c r="AA85" s="28" t="s">
        <v>9</v>
      </c>
      <c r="AB85" s="28" t="s">
        <v>9</v>
      </c>
      <c r="AC85" s="28" t="s">
        <v>9</v>
      </c>
      <c r="AD85" s="28" t="s">
        <v>9</v>
      </c>
      <c r="AE85" s="28" t="s">
        <v>9</v>
      </c>
      <c r="AF85" s="28" t="s">
        <v>10</v>
      </c>
      <c r="AG85" s="24">
        <f t="shared" si="7"/>
        <v>10</v>
      </c>
      <c r="AH85" s="24">
        <f t="shared" si="8"/>
        <v>1</v>
      </c>
      <c r="AI85" s="24">
        <f t="shared" si="9"/>
        <v>4</v>
      </c>
      <c r="AJ85" s="41" t="str" cm="1">
        <f t="array" ref="AJ85">_xlfn.IFS(
$AG85=15,"Not Started",
$AI85&lt;15,"In Progress",
$AI85=15,"Completed",
SUM(AG85:AI85)&gt;15,"Error"
)</f>
        <v>In Progress</v>
      </c>
    </row>
    <row r="86" spans="1:36" ht="13" x14ac:dyDescent="0.25">
      <c r="A86" s="256"/>
      <c r="B86" s="286"/>
      <c r="C86" s="63" t="s">
        <v>1340</v>
      </c>
      <c r="D86" s="53" t="s">
        <v>9909</v>
      </c>
      <c r="E86" s="57" t="s">
        <v>3821</v>
      </c>
      <c r="F86" s="7" t="s">
        <v>47</v>
      </c>
      <c r="G86" s="7" t="s">
        <v>48</v>
      </c>
      <c r="H86" s="7" t="s">
        <v>9099</v>
      </c>
      <c r="I86" s="7" t="s">
        <v>9099</v>
      </c>
      <c r="J86" s="76">
        <v>31.326252878457101</v>
      </c>
      <c r="K86" s="77">
        <v>37.328688879020099</v>
      </c>
      <c r="L86" s="138" t="str">
        <f t="shared" si="10"/>
        <v>31.3262528784571,37.3286888790201</v>
      </c>
      <c r="M86" s="64" t="s">
        <v>10095</v>
      </c>
      <c r="N86" s="7">
        <v>10084462729</v>
      </c>
      <c r="O86" s="7"/>
      <c r="P86" s="202">
        <v>46149</v>
      </c>
      <c r="Q86" s="28" t="s">
        <v>11</v>
      </c>
      <c r="R86" s="28" t="s">
        <v>11</v>
      </c>
      <c r="S86" s="28" t="s">
        <v>11</v>
      </c>
      <c r="T86" s="28" t="s">
        <v>11</v>
      </c>
      <c r="U86" s="28" t="s">
        <v>10</v>
      </c>
      <c r="V86" s="28" t="s">
        <v>9</v>
      </c>
      <c r="W86" s="28" t="s">
        <v>9</v>
      </c>
      <c r="X86" s="28" t="s">
        <v>9</v>
      </c>
      <c r="Y86" s="28" t="s">
        <v>9</v>
      </c>
      <c r="Z86" s="28" t="s">
        <v>9</v>
      </c>
      <c r="AA86" s="28" t="s">
        <v>9</v>
      </c>
      <c r="AB86" s="28" t="s">
        <v>9</v>
      </c>
      <c r="AC86" s="28" t="s">
        <v>9</v>
      </c>
      <c r="AD86" s="28" t="s">
        <v>9</v>
      </c>
      <c r="AE86" s="28" t="s">
        <v>9</v>
      </c>
      <c r="AF86" s="28" t="s">
        <v>10</v>
      </c>
      <c r="AG86" s="24">
        <f t="shared" si="7"/>
        <v>10</v>
      </c>
      <c r="AH86" s="24">
        <f t="shared" si="8"/>
        <v>1</v>
      </c>
      <c r="AI86" s="24">
        <f t="shared" si="9"/>
        <v>4</v>
      </c>
      <c r="AJ86" s="41" t="str" cm="1">
        <f t="array" ref="AJ86">_xlfn.IFS(
$AG86=15,"Not Started",
$AI86&lt;15,"In Progress",
$AI86=15,"Completed",
SUM(AG86:AI86)&gt;15,"Error"
)</f>
        <v>In Progress</v>
      </c>
    </row>
    <row r="87" spans="1:36" ht="26" x14ac:dyDescent="0.25">
      <c r="A87" s="256"/>
      <c r="B87" s="286"/>
      <c r="C87" s="64" t="s">
        <v>1341</v>
      </c>
      <c r="D87" s="79" t="s">
        <v>10275</v>
      </c>
      <c r="E87" s="80" t="s">
        <v>10214</v>
      </c>
      <c r="F87" s="7" t="s">
        <v>9092</v>
      </c>
      <c r="G87" s="7" t="s">
        <v>48</v>
      </c>
      <c r="H87" s="7" t="s">
        <v>9099</v>
      </c>
      <c r="I87" s="7" t="s">
        <v>9099</v>
      </c>
      <c r="J87" s="76">
        <v>29.819754</v>
      </c>
      <c r="K87" s="77">
        <v>39.856338999999998</v>
      </c>
      <c r="L87" s="138" t="str">
        <f t="shared" si="10"/>
        <v>29.819754,39.856339</v>
      </c>
      <c r="M87" s="64" t="s">
        <v>10096</v>
      </c>
      <c r="N87" s="7">
        <v>10105089792</v>
      </c>
      <c r="O87" s="7"/>
      <c r="P87" s="201"/>
      <c r="Q87" s="28" t="s">
        <v>11</v>
      </c>
      <c r="R87" s="28" t="s">
        <v>11</v>
      </c>
      <c r="S87" s="28" t="s">
        <v>11</v>
      </c>
      <c r="T87" s="28" t="s">
        <v>11</v>
      </c>
      <c r="U87" s="28" t="s">
        <v>10</v>
      </c>
      <c r="V87" s="28" t="s">
        <v>9</v>
      </c>
      <c r="W87" s="28" t="s">
        <v>9</v>
      </c>
      <c r="X87" s="28" t="s">
        <v>9</v>
      </c>
      <c r="Y87" s="28" t="s">
        <v>9</v>
      </c>
      <c r="Z87" s="28" t="s">
        <v>9</v>
      </c>
      <c r="AA87" s="28" t="s">
        <v>9</v>
      </c>
      <c r="AB87" s="28" t="s">
        <v>9</v>
      </c>
      <c r="AC87" s="28" t="s">
        <v>9</v>
      </c>
      <c r="AD87" s="28" t="s">
        <v>9</v>
      </c>
      <c r="AE87" s="28" t="s">
        <v>9</v>
      </c>
      <c r="AF87" s="28" t="s">
        <v>10</v>
      </c>
      <c r="AG87" s="24">
        <f t="shared" si="7"/>
        <v>10</v>
      </c>
      <c r="AH87" s="24">
        <f t="shared" si="8"/>
        <v>1</v>
      </c>
      <c r="AI87" s="24">
        <f t="shared" si="9"/>
        <v>4</v>
      </c>
      <c r="AJ87" s="41" t="str" cm="1">
        <f t="array" ref="AJ87">_xlfn.IFS(
$AG87=15,"Not Started",
$AI87&lt;15,"In Progress",
$AI87=15,"Completed",
SUM(AG87:AI87)&gt;15,"Error"
)</f>
        <v>In Progress</v>
      </c>
    </row>
    <row r="88" spans="1:36" ht="13" x14ac:dyDescent="0.25">
      <c r="A88" s="256"/>
      <c r="B88" s="286"/>
      <c r="C88" s="63" t="s">
        <v>1342</v>
      </c>
      <c r="D88" s="53" t="s">
        <v>9910</v>
      </c>
      <c r="E88" s="57" t="s">
        <v>9744</v>
      </c>
      <c r="F88" s="7" t="s">
        <v>47</v>
      </c>
      <c r="G88" s="7" t="s">
        <v>48</v>
      </c>
      <c r="H88" s="7" t="s">
        <v>9099</v>
      </c>
      <c r="I88" s="7" t="s">
        <v>9099</v>
      </c>
      <c r="J88" s="76">
        <v>29.80855</v>
      </c>
      <c r="K88" s="77">
        <v>39.846705999999998</v>
      </c>
      <c r="L88" s="138" t="str">
        <f t="shared" si="10"/>
        <v>29.80855,39.846706</v>
      </c>
      <c r="M88" s="64" t="s">
        <v>10097</v>
      </c>
      <c r="N88" s="7">
        <v>10006004330</v>
      </c>
      <c r="O88" s="7"/>
      <c r="P88" s="201">
        <v>46138</v>
      </c>
      <c r="Q88" s="28" t="s">
        <v>11</v>
      </c>
      <c r="R88" s="28" t="s">
        <v>11</v>
      </c>
      <c r="S88" s="28" t="s">
        <v>11</v>
      </c>
      <c r="T88" s="28" t="s">
        <v>11</v>
      </c>
      <c r="U88" s="28" t="s">
        <v>9</v>
      </c>
      <c r="V88" s="28" t="s">
        <v>9</v>
      </c>
      <c r="W88" s="28" t="s">
        <v>9</v>
      </c>
      <c r="X88" s="28" t="s">
        <v>9</v>
      </c>
      <c r="Y88" s="28" t="s">
        <v>9</v>
      </c>
      <c r="Z88" s="28" t="s">
        <v>9</v>
      </c>
      <c r="AA88" s="28" t="s">
        <v>9</v>
      </c>
      <c r="AB88" s="28" t="s">
        <v>9</v>
      </c>
      <c r="AC88" s="28" t="s">
        <v>9</v>
      </c>
      <c r="AD88" s="28" t="s">
        <v>9</v>
      </c>
      <c r="AE88" s="28" t="s">
        <v>9</v>
      </c>
      <c r="AF88" s="28" t="s">
        <v>10</v>
      </c>
      <c r="AG88" s="24">
        <f t="shared" si="7"/>
        <v>11</v>
      </c>
      <c r="AH88" s="24">
        <f t="shared" si="8"/>
        <v>0</v>
      </c>
      <c r="AI88" s="24">
        <f t="shared" si="9"/>
        <v>4</v>
      </c>
      <c r="AJ88" s="41" t="str" cm="1">
        <f t="array" ref="AJ88">_xlfn.IFS(
$AG88=15,"Not Started",
$AI88&lt;15,"In Progress",
$AI88=15,"Completed",
SUM(AG88:AI88)&gt;15,"Error"
)</f>
        <v>In Progress</v>
      </c>
    </row>
    <row r="89" spans="1:36" ht="13" x14ac:dyDescent="0.25">
      <c r="A89" s="256"/>
      <c r="B89" s="286"/>
      <c r="C89" s="64" t="s">
        <v>1343</v>
      </c>
      <c r="D89" s="53" t="s">
        <v>9911</v>
      </c>
      <c r="E89" s="57" t="s">
        <v>9745</v>
      </c>
      <c r="F89" s="7" t="s">
        <v>43</v>
      </c>
      <c r="G89" s="7" t="s">
        <v>48</v>
      </c>
      <c r="H89" s="7" t="s">
        <v>9099</v>
      </c>
      <c r="I89" s="7" t="s">
        <v>9099</v>
      </c>
      <c r="J89" s="76">
        <v>29.806881000000001</v>
      </c>
      <c r="K89" s="77">
        <v>39.870238999999998</v>
      </c>
      <c r="L89" s="138" t="str">
        <f t="shared" si="10"/>
        <v>29.806881,39.870239</v>
      </c>
      <c r="M89" s="64" t="s">
        <v>10098</v>
      </c>
      <c r="N89" s="7">
        <v>10005985440</v>
      </c>
      <c r="O89" s="7"/>
      <c r="P89" s="201"/>
      <c r="Q89" s="28" t="s">
        <v>11</v>
      </c>
      <c r="R89" s="28" t="s">
        <v>11</v>
      </c>
      <c r="S89" s="28" t="s">
        <v>11</v>
      </c>
      <c r="T89" s="28" t="s">
        <v>11</v>
      </c>
      <c r="U89" s="28" t="s">
        <v>10</v>
      </c>
      <c r="V89" s="28" t="s">
        <v>9</v>
      </c>
      <c r="W89" s="28" t="s">
        <v>9</v>
      </c>
      <c r="X89" s="28" t="s">
        <v>9</v>
      </c>
      <c r="Y89" s="28" t="s">
        <v>9</v>
      </c>
      <c r="Z89" s="28" t="s">
        <v>9</v>
      </c>
      <c r="AA89" s="28" t="s">
        <v>9</v>
      </c>
      <c r="AB89" s="28" t="s">
        <v>9</v>
      </c>
      <c r="AC89" s="28" t="s">
        <v>9</v>
      </c>
      <c r="AD89" s="28" t="s">
        <v>9</v>
      </c>
      <c r="AE89" s="28" t="s">
        <v>9</v>
      </c>
      <c r="AF89" s="28" t="s">
        <v>10</v>
      </c>
      <c r="AG89" s="24">
        <f t="shared" si="7"/>
        <v>10</v>
      </c>
      <c r="AH89" s="24">
        <f t="shared" si="8"/>
        <v>1</v>
      </c>
      <c r="AI89" s="24">
        <f t="shared" si="9"/>
        <v>4</v>
      </c>
      <c r="AJ89" s="41" t="str" cm="1">
        <f t="array" ref="AJ89">_xlfn.IFS(
$AG89=15,"Not Started",
$AI89&lt;15,"In Progress",
$AI89=15,"Completed",
SUM(AG89:AI89)&gt;15,"Error"
)</f>
        <v>In Progress</v>
      </c>
    </row>
    <row r="90" spans="1:36" ht="13" x14ac:dyDescent="0.25">
      <c r="A90" s="256"/>
      <c r="B90" s="286"/>
      <c r="C90" s="63" t="s">
        <v>1344</v>
      </c>
      <c r="D90" s="53" t="s">
        <v>9912</v>
      </c>
      <c r="E90" s="57" t="s">
        <v>9746</v>
      </c>
      <c r="F90" s="7" t="s">
        <v>47</v>
      </c>
      <c r="G90" s="7" t="s">
        <v>44</v>
      </c>
      <c r="H90" s="7" t="s">
        <v>9099</v>
      </c>
      <c r="I90" s="7" t="s">
        <v>9099</v>
      </c>
      <c r="J90" s="76">
        <v>29.989805253451902</v>
      </c>
      <c r="K90" s="77">
        <v>40.2436676052697</v>
      </c>
      <c r="L90" s="138" t="str">
        <f t="shared" si="10"/>
        <v>29.9898052534519,40.2436676052697</v>
      </c>
      <c r="M90" s="64" t="s">
        <v>10099</v>
      </c>
      <c r="N90" s="7">
        <v>10005987220</v>
      </c>
      <c r="O90" s="7"/>
      <c r="P90" s="201"/>
      <c r="Q90" s="28" t="s">
        <v>11</v>
      </c>
      <c r="R90" s="28" t="s">
        <v>11</v>
      </c>
      <c r="S90" s="28" t="s">
        <v>11</v>
      </c>
      <c r="T90" s="28" t="s">
        <v>11</v>
      </c>
      <c r="U90" s="28" t="s">
        <v>10</v>
      </c>
      <c r="V90" s="28" t="s">
        <v>9</v>
      </c>
      <c r="W90" s="28" t="s">
        <v>9</v>
      </c>
      <c r="X90" s="28" t="s">
        <v>9</v>
      </c>
      <c r="Y90" s="28" t="s">
        <v>9</v>
      </c>
      <c r="Z90" s="28" t="s">
        <v>9</v>
      </c>
      <c r="AA90" s="28" t="s">
        <v>9</v>
      </c>
      <c r="AB90" s="28" t="s">
        <v>9</v>
      </c>
      <c r="AC90" s="28" t="s">
        <v>9</v>
      </c>
      <c r="AD90" s="28" t="s">
        <v>9</v>
      </c>
      <c r="AE90" s="28" t="s">
        <v>9</v>
      </c>
      <c r="AF90" s="28" t="s">
        <v>10</v>
      </c>
      <c r="AG90" s="24">
        <f t="shared" si="7"/>
        <v>10</v>
      </c>
      <c r="AH90" s="24">
        <f t="shared" si="8"/>
        <v>1</v>
      </c>
      <c r="AI90" s="24">
        <f t="shared" si="9"/>
        <v>4</v>
      </c>
      <c r="AJ90" s="41" t="str" cm="1">
        <f t="array" ref="AJ90">_xlfn.IFS(
$AG90=15,"Not Started",
$AI90&lt;15,"In Progress",
$AI90=15,"Completed",
SUM(AG90:AI90)&gt;15,"Error"
)</f>
        <v>In Progress</v>
      </c>
    </row>
    <row r="91" spans="1:36" ht="13" x14ac:dyDescent="0.25">
      <c r="A91" s="256"/>
      <c r="B91" s="286"/>
      <c r="C91" s="64" t="s">
        <v>1345</v>
      </c>
      <c r="D91" s="53" t="s">
        <v>9913</v>
      </c>
      <c r="E91" s="57" t="s">
        <v>9747</v>
      </c>
      <c r="F91" s="7" t="s">
        <v>9092</v>
      </c>
      <c r="G91" s="7" t="s">
        <v>44</v>
      </c>
      <c r="H91" s="7" t="s">
        <v>9099</v>
      </c>
      <c r="I91" s="7" t="s">
        <v>9099</v>
      </c>
      <c r="J91" s="76">
        <v>29.9164633789131</v>
      </c>
      <c r="K91" s="77">
        <v>40.1945777711612</v>
      </c>
      <c r="L91" s="138" t="str">
        <f t="shared" si="10"/>
        <v>29.9164633789131,40.1945777711612</v>
      </c>
      <c r="M91" s="64" t="s">
        <v>10100</v>
      </c>
      <c r="N91" s="7">
        <v>10005938486</v>
      </c>
      <c r="O91" s="7"/>
      <c r="P91" s="201"/>
      <c r="Q91" s="28" t="s">
        <v>11</v>
      </c>
      <c r="R91" s="28" t="s">
        <v>11</v>
      </c>
      <c r="S91" s="28" t="s">
        <v>11</v>
      </c>
      <c r="T91" s="28" t="s">
        <v>11</v>
      </c>
      <c r="U91" s="28" t="s">
        <v>10</v>
      </c>
      <c r="V91" s="28" t="s">
        <v>9</v>
      </c>
      <c r="W91" s="28" t="s">
        <v>9</v>
      </c>
      <c r="X91" s="28" t="s">
        <v>9</v>
      </c>
      <c r="Y91" s="28" t="s">
        <v>9</v>
      </c>
      <c r="Z91" s="28" t="s">
        <v>9</v>
      </c>
      <c r="AA91" s="28" t="s">
        <v>9</v>
      </c>
      <c r="AB91" s="28" t="s">
        <v>9</v>
      </c>
      <c r="AC91" s="28" t="s">
        <v>9</v>
      </c>
      <c r="AD91" s="28" t="s">
        <v>9</v>
      </c>
      <c r="AE91" s="28" t="s">
        <v>9</v>
      </c>
      <c r="AF91" s="28" t="s">
        <v>10</v>
      </c>
      <c r="AG91" s="24">
        <f t="shared" si="7"/>
        <v>10</v>
      </c>
      <c r="AH91" s="24">
        <f t="shared" si="8"/>
        <v>1</v>
      </c>
      <c r="AI91" s="24">
        <f t="shared" si="9"/>
        <v>4</v>
      </c>
      <c r="AJ91" s="41" t="str" cm="1">
        <f t="array" ref="AJ91">_xlfn.IFS(
$AG91=15,"Not Started",
$AI91&lt;15,"In Progress",
$AI91=15,"Completed",
SUM(AG91:AI91)&gt;15,"Error"
)</f>
        <v>In Progress</v>
      </c>
    </row>
    <row r="92" spans="1:36" ht="13" x14ac:dyDescent="0.25">
      <c r="A92" s="256"/>
      <c r="B92" s="286"/>
      <c r="C92" s="63" t="s">
        <v>1346</v>
      </c>
      <c r="D92" s="53" t="s">
        <v>9914</v>
      </c>
      <c r="E92" s="57" t="s">
        <v>9748</v>
      </c>
      <c r="F92" s="7" t="s">
        <v>9092</v>
      </c>
      <c r="G92" s="7" t="s">
        <v>44</v>
      </c>
      <c r="H92" s="7" t="s">
        <v>9099</v>
      </c>
      <c r="I92" s="7" t="s">
        <v>9099</v>
      </c>
      <c r="J92" s="76">
        <v>29.9032265701304</v>
      </c>
      <c r="K92" s="77">
        <v>40.202954334109599</v>
      </c>
      <c r="L92" s="138" t="str">
        <f t="shared" si="10"/>
        <v>29.9032265701304,40.2029543341096</v>
      </c>
      <c r="M92" s="64" t="s">
        <v>10101</v>
      </c>
      <c r="N92" s="7">
        <v>10091300551</v>
      </c>
      <c r="O92" s="7"/>
      <c r="P92" s="201"/>
      <c r="Q92" s="28" t="s">
        <v>11</v>
      </c>
      <c r="R92" s="28" t="s">
        <v>11</v>
      </c>
      <c r="S92" s="28" t="s">
        <v>11</v>
      </c>
      <c r="T92" s="28" t="s">
        <v>11</v>
      </c>
      <c r="U92" s="28" t="s">
        <v>10</v>
      </c>
      <c r="V92" s="28" t="s">
        <v>9</v>
      </c>
      <c r="W92" s="28" t="s">
        <v>9</v>
      </c>
      <c r="X92" s="28" t="s">
        <v>9</v>
      </c>
      <c r="Y92" s="28" t="s">
        <v>9</v>
      </c>
      <c r="Z92" s="28" t="s">
        <v>9</v>
      </c>
      <c r="AA92" s="28" t="s">
        <v>9</v>
      </c>
      <c r="AB92" s="28" t="s">
        <v>9</v>
      </c>
      <c r="AC92" s="28" t="s">
        <v>9</v>
      </c>
      <c r="AD92" s="28" t="s">
        <v>9</v>
      </c>
      <c r="AE92" s="28" t="s">
        <v>9</v>
      </c>
      <c r="AF92" s="28" t="s">
        <v>10</v>
      </c>
      <c r="AG92" s="24">
        <f t="shared" si="7"/>
        <v>10</v>
      </c>
      <c r="AH92" s="24">
        <f t="shared" si="8"/>
        <v>1</v>
      </c>
      <c r="AI92" s="24">
        <f t="shared" si="9"/>
        <v>4</v>
      </c>
      <c r="AJ92" s="41" t="str" cm="1">
        <f t="array" ref="AJ92">_xlfn.IFS(
$AG92=15,"Not Started",
$AI92&lt;15,"In Progress",
$AI92=15,"Completed",
SUM(AG92:AI92)&gt;15,"Error"
)</f>
        <v>In Progress</v>
      </c>
    </row>
    <row r="93" spans="1:36" ht="13" x14ac:dyDescent="0.25">
      <c r="A93" s="256"/>
      <c r="B93" s="286"/>
      <c r="C93" s="64" t="s">
        <v>1347</v>
      </c>
      <c r="D93" s="53" t="s">
        <v>9915</v>
      </c>
      <c r="E93" s="57" t="s">
        <v>9749</v>
      </c>
      <c r="F93" s="7" t="s">
        <v>9092</v>
      </c>
      <c r="G93" s="7" t="s">
        <v>44</v>
      </c>
      <c r="H93" s="7" t="s">
        <v>9099</v>
      </c>
      <c r="I93" s="7" t="s">
        <v>9099</v>
      </c>
      <c r="J93" s="76">
        <v>29.828271999999998</v>
      </c>
      <c r="K93" s="77">
        <v>39.573425</v>
      </c>
      <c r="L93" s="138" t="str">
        <f t="shared" si="10"/>
        <v>29.828272,39.573425</v>
      </c>
      <c r="M93" s="64" t="s">
        <v>10102</v>
      </c>
      <c r="N93" s="7">
        <v>10006006030</v>
      </c>
      <c r="O93" s="7"/>
      <c r="P93" s="201">
        <v>46131</v>
      </c>
      <c r="Q93" s="28" t="s">
        <v>11</v>
      </c>
      <c r="R93" s="28" t="s">
        <v>11</v>
      </c>
      <c r="S93" s="28" t="s">
        <v>11</v>
      </c>
      <c r="T93" s="28" t="s">
        <v>11</v>
      </c>
      <c r="U93" s="28" t="s">
        <v>10</v>
      </c>
      <c r="V93" s="28" t="s">
        <v>9</v>
      </c>
      <c r="W93" s="28" t="s">
        <v>9</v>
      </c>
      <c r="X93" s="28" t="s">
        <v>9</v>
      </c>
      <c r="Y93" s="28" t="s">
        <v>9</v>
      </c>
      <c r="Z93" s="28" t="s">
        <v>9</v>
      </c>
      <c r="AA93" s="28" t="s">
        <v>9</v>
      </c>
      <c r="AB93" s="28" t="s">
        <v>9</v>
      </c>
      <c r="AC93" s="28" t="s">
        <v>9</v>
      </c>
      <c r="AD93" s="28" t="s">
        <v>9</v>
      </c>
      <c r="AE93" s="28" t="s">
        <v>9</v>
      </c>
      <c r="AF93" s="28" t="s">
        <v>10</v>
      </c>
      <c r="AG93" s="24">
        <f t="shared" si="7"/>
        <v>10</v>
      </c>
      <c r="AH93" s="24">
        <f t="shared" si="8"/>
        <v>1</v>
      </c>
      <c r="AI93" s="24">
        <f t="shared" si="9"/>
        <v>4</v>
      </c>
      <c r="AJ93" s="41" t="str" cm="1">
        <f t="array" ref="AJ93">_xlfn.IFS(
$AG93=15,"Not Started",
$AI93&lt;15,"In Progress",
$AI93=15,"Completed",
SUM(AG93:AI93)&gt;15,"Error"
)</f>
        <v>In Progress</v>
      </c>
    </row>
    <row r="94" spans="1:36" ht="13" x14ac:dyDescent="0.25">
      <c r="A94" s="256"/>
      <c r="B94" s="286"/>
      <c r="C94" s="63" t="s">
        <v>1348</v>
      </c>
      <c r="D94" s="53" t="s">
        <v>9916</v>
      </c>
      <c r="E94" s="57" t="s">
        <v>9750</v>
      </c>
      <c r="F94" s="48" t="s">
        <v>51</v>
      </c>
      <c r="G94" s="7" t="s">
        <v>44</v>
      </c>
      <c r="H94" s="7" t="s">
        <v>9099</v>
      </c>
      <c r="I94" s="7" t="s">
        <v>9099</v>
      </c>
      <c r="J94" s="76">
        <v>29.828271999999998</v>
      </c>
      <c r="K94" s="77">
        <v>39.573425</v>
      </c>
      <c r="L94" s="138" t="str">
        <f t="shared" si="10"/>
        <v>29.828272,39.573425</v>
      </c>
      <c r="M94" s="64" t="s">
        <v>10103</v>
      </c>
      <c r="N94" s="7">
        <v>10006003781</v>
      </c>
      <c r="O94" s="7"/>
      <c r="P94" s="201">
        <v>46133</v>
      </c>
      <c r="Q94" s="28" t="s">
        <v>11</v>
      </c>
      <c r="R94" s="28" t="s">
        <v>11</v>
      </c>
      <c r="S94" s="28" t="s">
        <v>11</v>
      </c>
      <c r="T94" s="28" t="s">
        <v>11</v>
      </c>
      <c r="U94" s="28" t="s">
        <v>10</v>
      </c>
      <c r="V94" s="28" t="s">
        <v>9</v>
      </c>
      <c r="W94" s="28" t="s">
        <v>9</v>
      </c>
      <c r="X94" s="28" t="s">
        <v>9</v>
      </c>
      <c r="Y94" s="28" t="s">
        <v>9</v>
      </c>
      <c r="Z94" s="28" t="s">
        <v>9</v>
      </c>
      <c r="AA94" s="28" t="s">
        <v>9</v>
      </c>
      <c r="AB94" s="28" t="s">
        <v>9</v>
      </c>
      <c r="AC94" s="28" t="s">
        <v>9</v>
      </c>
      <c r="AD94" s="28" t="s">
        <v>9</v>
      </c>
      <c r="AE94" s="28" t="s">
        <v>9</v>
      </c>
      <c r="AF94" s="28" t="s">
        <v>9</v>
      </c>
      <c r="AG94" s="24">
        <f t="shared" si="7"/>
        <v>10</v>
      </c>
      <c r="AH94" s="24">
        <f t="shared" si="8"/>
        <v>1</v>
      </c>
      <c r="AI94" s="24">
        <f t="shared" si="9"/>
        <v>4</v>
      </c>
      <c r="AJ94" s="41" t="str" cm="1">
        <f t="array" ref="AJ94">_xlfn.IFS(
$AG94=15,"Not Started",
$AI94&lt;15,"In Progress",
$AI94=15,"Completed",
SUM(AG94:AI94)&gt;15,"Error"
)</f>
        <v>In Progress</v>
      </c>
    </row>
    <row r="95" spans="1:36" ht="13" x14ac:dyDescent="0.25">
      <c r="A95" s="256"/>
      <c r="B95" s="286"/>
      <c r="C95" s="64" t="s">
        <v>1349</v>
      </c>
      <c r="D95" s="53" t="s">
        <v>9917</v>
      </c>
      <c r="E95" s="57" t="s">
        <v>9751</v>
      </c>
      <c r="F95" s="7" t="s">
        <v>9672</v>
      </c>
      <c r="G95" s="7" t="s">
        <v>48</v>
      </c>
      <c r="H95" s="7" t="s">
        <v>9099</v>
      </c>
      <c r="I95" s="7" t="s">
        <v>9099</v>
      </c>
      <c r="J95" s="76">
        <v>30.505610999999998</v>
      </c>
      <c r="K95" s="77">
        <v>38.216499200000001</v>
      </c>
      <c r="L95" s="138" t="str">
        <f t="shared" si="10"/>
        <v>30.505611,38.2164992</v>
      </c>
      <c r="M95" s="64" t="s">
        <v>10104</v>
      </c>
      <c r="N95" s="7">
        <v>30132937711</v>
      </c>
      <c r="O95" s="7"/>
      <c r="P95" s="201">
        <v>46141</v>
      </c>
      <c r="Q95" s="28" t="s">
        <v>11</v>
      </c>
      <c r="R95" s="28" t="s">
        <v>11</v>
      </c>
      <c r="S95" s="28" t="s">
        <v>11</v>
      </c>
      <c r="T95" s="28" t="s">
        <v>11</v>
      </c>
      <c r="U95" s="28" t="s">
        <v>9</v>
      </c>
      <c r="V95" s="28" t="s">
        <v>9</v>
      </c>
      <c r="W95" s="28" t="s">
        <v>9</v>
      </c>
      <c r="X95" s="28" t="s">
        <v>9</v>
      </c>
      <c r="Y95" s="28" t="s">
        <v>9</v>
      </c>
      <c r="Z95" s="28" t="s">
        <v>9</v>
      </c>
      <c r="AA95" s="28" t="s">
        <v>9</v>
      </c>
      <c r="AB95" s="28" t="s">
        <v>9</v>
      </c>
      <c r="AC95" s="28" t="s">
        <v>9</v>
      </c>
      <c r="AD95" s="28" t="s">
        <v>9</v>
      </c>
      <c r="AE95" s="28" t="s">
        <v>9</v>
      </c>
      <c r="AF95" s="28" t="s">
        <v>10</v>
      </c>
      <c r="AG95" s="24">
        <f t="shared" si="7"/>
        <v>11</v>
      </c>
      <c r="AH95" s="24">
        <f t="shared" si="8"/>
        <v>0</v>
      </c>
      <c r="AI95" s="24">
        <f t="shared" si="9"/>
        <v>4</v>
      </c>
      <c r="AJ95" s="41" t="str" cm="1">
        <f t="array" ref="AJ95">_xlfn.IFS(
$AG95=15,"Not Started",
$AI95&lt;15,"In Progress",
$AI95=15,"Completed",
SUM(AG95:AI95)&gt;15,"Error"
)</f>
        <v>In Progress</v>
      </c>
    </row>
    <row r="96" spans="1:36" ht="13" x14ac:dyDescent="0.25">
      <c r="A96" s="256"/>
      <c r="B96" s="286"/>
      <c r="C96" s="63" t="s">
        <v>1350</v>
      </c>
      <c r="D96" s="53" t="s">
        <v>9918</v>
      </c>
      <c r="E96" s="57" t="s">
        <v>9752</v>
      </c>
      <c r="F96" s="7" t="s">
        <v>51</v>
      </c>
      <c r="G96" s="7" t="s">
        <v>48</v>
      </c>
      <c r="H96" s="7" t="s">
        <v>9099</v>
      </c>
      <c r="I96" s="7" t="s">
        <v>9099</v>
      </c>
      <c r="J96" s="76">
        <v>29.890775099999999</v>
      </c>
      <c r="K96" s="77">
        <v>40.218232499999999</v>
      </c>
      <c r="L96" s="138" t="str">
        <f t="shared" si="10"/>
        <v>29.8907751,40.2182325</v>
      </c>
      <c r="M96" s="64" t="s">
        <v>10105</v>
      </c>
      <c r="N96" s="7">
        <v>30015076901</v>
      </c>
      <c r="O96" s="7"/>
      <c r="P96" s="201"/>
      <c r="Q96" s="28" t="s">
        <v>11</v>
      </c>
      <c r="R96" s="28" t="s">
        <v>11</v>
      </c>
      <c r="S96" s="28" t="s">
        <v>11</v>
      </c>
      <c r="T96" s="28" t="s">
        <v>11</v>
      </c>
      <c r="U96" s="28" t="s">
        <v>10</v>
      </c>
      <c r="V96" s="28" t="s">
        <v>9</v>
      </c>
      <c r="W96" s="28" t="s">
        <v>9</v>
      </c>
      <c r="X96" s="28" t="s">
        <v>9</v>
      </c>
      <c r="Y96" s="28" t="s">
        <v>9</v>
      </c>
      <c r="Z96" s="28" t="s">
        <v>9</v>
      </c>
      <c r="AA96" s="28" t="s">
        <v>9</v>
      </c>
      <c r="AB96" s="28" t="s">
        <v>9</v>
      </c>
      <c r="AC96" s="28" t="s">
        <v>9</v>
      </c>
      <c r="AD96" s="28" t="s">
        <v>9</v>
      </c>
      <c r="AE96" s="28" t="s">
        <v>9</v>
      </c>
      <c r="AF96" s="28" t="s">
        <v>10</v>
      </c>
      <c r="AG96" s="24">
        <f t="shared" si="7"/>
        <v>10</v>
      </c>
      <c r="AH96" s="24">
        <f t="shared" si="8"/>
        <v>1</v>
      </c>
      <c r="AI96" s="24">
        <f t="shared" si="9"/>
        <v>4</v>
      </c>
      <c r="AJ96" s="41" t="str" cm="1">
        <f t="array" ref="AJ96">_xlfn.IFS(
$AG96=15,"Not Started",
$AI96&lt;15,"In Progress",
$AI96=15,"Completed",
SUM(AG96:AI96)&gt;15,"Error"
)</f>
        <v>In Progress</v>
      </c>
    </row>
    <row r="97" spans="1:36" ht="13" x14ac:dyDescent="0.25">
      <c r="A97" s="256"/>
      <c r="B97" s="286"/>
      <c r="C97" s="64" t="s">
        <v>1351</v>
      </c>
      <c r="D97" s="53" t="s">
        <v>9919</v>
      </c>
      <c r="E97" s="57" t="s">
        <v>9753</v>
      </c>
      <c r="F97" s="7" t="s">
        <v>47</v>
      </c>
      <c r="G97" s="7" t="s">
        <v>44</v>
      </c>
      <c r="H97" s="7" t="s">
        <v>9099</v>
      </c>
      <c r="I97" s="7" t="s">
        <v>9099</v>
      </c>
      <c r="J97" s="76">
        <v>29.832069000000001</v>
      </c>
      <c r="K97" s="77">
        <v>39.571624999999997</v>
      </c>
      <c r="L97" s="138" t="str">
        <f t="shared" si="10"/>
        <v>29.832069,39.571625</v>
      </c>
      <c r="M97" s="64" t="s">
        <v>10106</v>
      </c>
      <c r="N97" s="7">
        <v>10005988998</v>
      </c>
      <c r="O97" s="7"/>
      <c r="P97" s="201">
        <v>46131</v>
      </c>
      <c r="Q97" s="28" t="s">
        <v>11</v>
      </c>
      <c r="R97" s="28" t="s">
        <v>11</v>
      </c>
      <c r="S97" s="28" t="s">
        <v>11</v>
      </c>
      <c r="T97" s="28" t="s">
        <v>11</v>
      </c>
      <c r="U97" s="28" t="s">
        <v>10</v>
      </c>
      <c r="V97" s="28" t="s">
        <v>9</v>
      </c>
      <c r="W97" s="28" t="s">
        <v>9</v>
      </c>
      <c r="X97" s="28" t="s">
        <v>9</v>
      </c>
      <c r="Y97" s="28" t="s">
        <v>9</v>
      </c>
      <c r="Z97" s="28" t="s">
        <v>9</v>
      </c>
      <c r="AA97" s="28" t="s">
        <v>9</v>
      </c>
      <c r="AB97" s="28" t="s">
        <v>9</v>
      </c>
      <c r="AC97" s="28" t="s">
        <v>9</v>
      </c>
      <c r="AD97" s="28" t="s">
        <v>9</v>
      </c>
      <c r="AE97" s="28" t="s">
        <v>9</v>
      </c>
      <c r="AF97" s="28" t="s">
        <v>10</v>
      </c>
      <c r="AG97" s="24">
        <f t="shared" si="7"/>
        <v>10</v>
      </c>
      <c r="AH97" s="24">
        <f t="shared" si="8"/>
        <v>1</v>
      </c>
      <c r="AI97" s="24">
        <f t="shared" si="9"/>
        <v>4</v>
      </c>
      <c r="AJ97" s="41" t="str" cm="1">
        <f t="array" ref="AJ97">_xlfn.IFS(
$AG97=15,"Not Started",
$AI97&lt;15,"In Progress",
$AI97=15,"Completed",
SUM(AG97:AI97)&gt;15,"Error"
)</f>
        <v>In Progress</v>
      </c>
    </row>
    <row r="98" spans="1:36" ht="13" x14ac:dyDescent="0.25">
      <c r="A98" s="256"/>
      <c r="B98" s="286"/>
      <c r="C98" s="63" t="s">
        <v>1352</v>
      </c>
      <c r="D98" s="53" t="s">
        <v>9920</v>
      </c>
      <c r="E98" s="57" t="s">
        <v>9754</v>
      </c>
      <c r="F98" s="7" t="s">
        <v>51</v>
      </c>
      <c r="G98" s="7" t="s">
        <v>48</v>
      </c>
      <c r="H98" s="7" t="s">
        <v>9099</v>
      </c>
      <c r="I98" s="7" t="s">
        <v>9099</v>
      </c>
      <c r="J98" s="76">
        <v>29.802591</v>
      </c>
      <c r="K98" s="77">
        <v>39.689228</v>
      </c>
      <c r="L98" s="138" t="str">
        <f t="shared" si="10"/>
        <v>29.802591,39.689228</v>
      </c>
      <c r="M98" s="64" t="s">
        <v>10107</v>
      </c>
      <c r="N98" s="7">
        <v>10097801796</v>
      </c>
      <c r="O98" s="7"/>
      <c r="P98" s="201">
        <v>46133</v>
      </c>
      <c r="Q98" s="28" t="s">
        <v>11</v>
      </c>
      <c r="R98" s="28" t="s">
        <v>11</v>
      </c>
      <c r="S98" s="28" t="s">
        <v>11</v>
      </c>
      <c r="T98" s="28" t="s">
        <v>11</v>
      </c>
      <c r="U98" s="28" t="s">
        <v>10</v>
      </c>
      <c r="V98" s="28" t="s">
        <v>9</v>
      </c>
      <c r="W98" s="28" t="s">
        <v>9</v>
      </c>
      <c r="X98" s="28" t="s">
        <v>9</v>
      </c>
      <c r="Y98" s="28" t="s">
        <v>9</v>
      </c>
      <c r="Z98" s="28" t="s">
        <v>9</v>
      </c>
      <c r="AA98" s="28" t="s">
        <v>9</v>
      </c>
      <c r="AB98" s="28" t="s">
        <v>9</v>
      </c>
      <c r="AC98" s="28" t="s">
        <v>9</v>
      </c>
      <c r="AD98" s="28" t="s">
        <v>9</v>
      </c>
      <c r="AE98" s="28" t="s">
        <v>9</v>
      </c>
      <c r="AF98" s="28" t="s">
        <v>10</v>
      </c>
      <c r="AG98" s="24">
        <f t="shared" si="7"/>
        <v>10</v>
      </c>
      <c r="AH98" s="24">
        <f t="shared" si="8"/>
        <v>1</v>
      </c>
      <c r="AI98" s="24">
        <f t="shared" si="9"/>
        <v>4</v>
      </c>
      <c r="AJ98" s="41" t="str" cm="1">
        <f t="array" ref="AJ98">_xlfn.IFS(
$AG98=15,"Not Started",
$AI98&lt;15,"In Progress",
$AI98=15,"Completed",
SUM(AG98:AI98)&gt;15,"Error"
)</f>
        <v>In Progress</v>
      </c>
    </row>
    <row r="99" spans="1:36" ht="13" x14ac:dyDescent="0.25">
      <c r="A99" s="256"/>
      <c r="B99" s="286"/>
      <c r="C99" s="64" t="s">
        <v>1353</v>
      </c>
      <c r="D99" s="53" t="s">
        <v>9921</v>
      </c>
      <c r="E99" s="57" t="s">
        <v>9755</v>
      </c>
      <c r="F99" s="7" t="s">
        <v>9671</v>
      </c>
      <c r="G99" s="7" t="s">
        <v>9091</v>
      </c>
      <c r="H99" s="7" t="s">
        <v>9099</v>
      </c>
      <c r="I99" s="7" t="s">
        <v>9099</v>
      </c>
      <c r="J99" s="76">
        <v>29.832115000000002</v>
      </c>
      <c r="K99" s="77">
        <v>39.572066999999997</v>
      </c>
      <c r="L99" s="138" t="str">
        <f t="shared" si="10"/>
        <v>29.832115,39.572067</v>
      </c>
      <c r="M99" s="64" t="s">
        <v>10108</v>
      </c>
      <c r="N99" s="7">
        <v>10006005991</v>
      </c>
      <c r="O99" s="7"/>
      <c r="P99" s="201">
        <v>46130</v>
      </c>
      <c r="Q99" s="28" t="s">
        <v>11</v>
      </c>
      <c r="R99" s="28" t="s">
        <v>11</v>
      </c>
      <c r="S99" s="28" t="s">
        <v>11</v>
      </c>
      <c r="T99" s="28" t="s">
        <v>11</v>
      </c>
      <c r="U99" s="28" t="s">
        <v>9</v>
      </c>
      <c r="V99" s="28" t="s">
        <v>9</v>
      </c>
      <c r="W99" s="28" t="s">
        <v>9</v>
      </c>
      <c r="X99" s="28" t="s">
        <v>9</v>
      </c>
      <c r="Y99" s="28" t="s">
        <v>9</v>
      </c>
      <c r="Z99" s="28" t="s">
        <v>9</v>
      </c>
      <c r="AA99" s="28" t="s">
        <v>9</v>
      </c>
      <c r="AB99" s="28" t="s">
        <v>9</v>
      </c>
      <c r="AC99" s="28" t="s">
        <v>9</v>
      </c>
      <c r="AD99" s="28" t="s">
        <v>9</v>
      </c>
      <c r="AE99" s="28" t="s">
        <v>9</v>
      </c>
      <c r="AF99" s="28" t="s">
        <v>10</v>
      </c>
      <c r="AG99" s="24">
        <f t="shared" si="7"/>
        <v>11</v>
      </c>
      <c r="AH99" s="24">
        <f t="shared" si="8"/>
        <v>0</v>
      </c>
      <c r="AI99" s="24">
        <f t="shared" si="9"/>
        <v>4</v>
      </c>
      <c r="AJ99" s="41" t="str" cm="1">
        <f t="array" ref="AJ99">_xlfn.IFS(
$AG99=15,"Not Started",
$AI99&lt;15,"In Progress",
$AI99=15,"Completed",
SUM(AG99:AI99)&gt;15,"Error"
)</f>
        <v>In Progress</v>
      </c>
    </row>
    <row r="100" spans="1:36" ht="13" x14ac:dyDescent="0.25">
      <c r="A100" s="256"/>
      <c r="B100" s="286"/>
      <c r="C100" s="63" t="s">
        <v>1354</v>
      </c>
      <c r="D100" s="53" t="s">
        <v>9922</v>
      </c>
      <c r="E100" s="57" t="s">
        <v>9756</v>
      </c>
      <c r="F100" s="7" t="s">
        <v>43</v>
      </c>
      <c r="G100" s="7" t="s">
        <v>48</v>
      </c>
      <c r="H100" s="7" t="s">
        <v>9099</v>
      </c>
      <c r="I100" s="7" t="s">
        <v>9099</v>
      </c>
      <c r="J100" s="76">
        <v>29.832115000000002</v>
      </c>
      <c r="K100" s="77">
        <v>39.572066999999997</v>
      </c>
      <c r="L100" s="138" t="str">
        <f t="shared" si="10"/>
        <v>29.832115,39.572067</v>
      </c>
      <c r="M100" s="64" t="s">
        <v>10109</v>
      </c>
      <c r="N100" s="7">
        <v>10097745491</v>
      </c>
      <c r="O100" s="7"/>
      <c r="P100" s="201">
        <v>46130</v>
      </c>
      <c r="Q100" s="28" t="s">
        <v>11</v>
      </c>
      <c r="R100" s="28" t="s">
        <v>11</v>
      </c>
      <c r="S100" s="28" t="s">
        <v>11</v>
      </c>
      <c r="T100" s="28" t="s">
        <v>11</v>
      </c>
      <c r="U100" s="28" t="s">
        <v>9</v>
      </c>
      <c r="V100" s="28" t="s">
        <v>9</v>
      </c>
      <c r="W100" s="28" t="s">
        <v>9</v>
      </c>
      <c r="X100" s="28" t="s">
        <v>9</v>
      </c>
      <c r="Y100" s="28" t="s">
        <v>9</v>
      </c>
      <c r="Z100" s="28" t="s">
        <v>9</v>
      </c>
      <c r="AA100" s="28" t="s">
        <v>9</v>
      </c>
      <c r="AB100" s="28" t="s">
        <v>9</v>
      </c>
      <c r="AC100" s="28" t="s">
        <v>9</v>
      </c>
      <c r="AD100" s="28" t="s">
        <v>9</v>
      </c>
      <c r="AE100" s="28" t="s">
        <v>9</v>
      </c>
      <c r="AF100" s="28" t="s">
        <v>10</v>
      </c>
      <c r="AG100" s="24">
        <f t="shared" ref="AG100:AG131" si="11">COUNTIF(Q100:AE100,$AG$2)</f>
        <v>11</v>
      </c>
      <c r="AH100" s="24">
        <f t="shared" ref="AH100:AH131" si="12">COUNTIF(Q100:AE100,$AH$2)</f>
        <v>0</v>
      </c>
      <c r="AI100" s="24">
        <f t="shared" ref="AI100:AI131" si="13">COUNTIF(Q100:AE100,$AI$2)</f>
        <v>4</v>
      </c>
      <c r="AJ100" s="41" t="str" cm="1">
        <f t="array" ref="AJ100">_xlfn.IFS(
$AG100=15,"Not Started",
$AI100&lt;15,"In Progress",
$AI100=15,"Completed",
SUM(AG100:AI100)&gt;15,"Error"
)</f>
        <v>In Progress</v>
      </c>
    </row>
    <row r="101" spans="1:36" ht="13" x14ac:dyDescent="0.25">
      <c r="A101" s="256"/>
      <c r="B101" s="286"/>
      <c r="C101" s="64" t="s">
        <v>1355</v>
      </c>
      <c r="D101" s="53" t="s">
        <v>9923</v>
      </c>
      <c r="E101" s="57" t="s">
        <v>9757</v>
      </c>
      <c r="F101" s="7" t="s">
        <v>43</v>
      </c>
      <c r="G101" s="7" t="s">
        <v>48</v>
      </c>
      <c r="H101" s="7" t="s">
        <v>9099</v>
      </c>
      <c r="I101" s="7" t="s">
        <v>9099</v>
      </c>
      <c r="J101" s="76">
        <v>29.802659999999999</v>
      </c>
      <c r="K101" s="77">
        <v>39.689746999999997</v>
      </c>
      <c r="L101" s="138" t="str">
        <f t="shared" si="10"/>
        <v>29.80266,39.689747</v>
      </c>
      <c r="M101" s="64" t="s">
        <v>10110</v>
      </c>
      <c r="N101" s="7">
        <v>10006004518</v>
      </c>
      <c r="O101" s="7"/>
      <c r="P101" s="201">
        <v>46134</v>
      </c>
      <c r="Q101" s="28" t="s">
        <v>11</v>
      </c>
      <c r="R101" s="28" t="s">
        <v>11</v>
      </c>
      <c r="S101" s="28" t="s">
        <v>11</v>
      </c>
      <c r="T101" s="28" t="s">
        <v>11</v>
      </c>
      <c r="U101" s="28" t="s">
        <v>10</v>
      </c>
      <c r="V101" s="28" t="s">
        <v>9</v>
      </c>
      <c r="W101" s="28" t="s">
        <v>9</v>
      </c>
      <c r="X101" s="28" t="s">
        <v>9</v>
      </c>
      <c r="Y101" s="28" t="s">
        <v>9</v>
      </c>
      <c r="Z101" s="28" t="s">
        <v>9</v>
      </c>
      <c r="AA101" s="28" t="s">
        <v>9</v>
      </c>
      <c r="AB101" s="28" t="s">
        <v>9</v>
      </c>
      <c r="AC101" s="141" t="s">
        <v>9</v>
      </c>
      <c r="AD101" s="141" t="s">
        <v>9</v>
      </c>
      <c r="AE101" s="141" t="s">
        <v>9</v>
      </c>
      <c r="AF101" s="141" t="s">
        <v>10</v>
      </c>
      <c r="AG101" s="24">
        <f t="shared" si="11"/>
        <v>10</v>
      </c>
      <c r="AH101" s="24">
        <f t="shared" si="12"/>
        <v>1</v>
      </c>
      <c r="AI101" s="24">
        <f t="shared" si="13"/>
        <v>4</v>
      </c>
      <c r="AJ101" s="41" t="str" cm="1">
        <f t="array" ref="AJ101">_xlfn.IFS(
$AG101=15,"Not Started",
$AI101&lt;15,"In Progress",
$AI101=15,"Completed",
SUM(AG101:AI101)&gt;15,"Error"
)</f>
        <v>In Progress</v>
      </c>
    </row>
    <row r="102" spans="1:36" ht="13" x14ac:dyDescent="0.25">
      <c r="A102" s="256"/>
      <c r="B102" s="286"/>
      <c r="C102" s="63" t="s">
        <v>1356</v>
      </c>
      <c r="D102" s="53" t="s">
        <v>9924</v>
      </c>
      <c r="E102" s="57" t="s">
        <v>9758</v>
      </c>
      <c r="F102" s="7" t="s">
        <v>47</v>
      </c>
      <c r="G102" s="7" t="s">
        <v>44</v>
      </c>
      <c r="H102" s="7" t="s">
        <v>9099</v>
      </c>
      <c r="I102" s="7" t="s">
        <v>9099</v>
      </c>
      <c r="J102" s="76">
        <v>29.810053</v>
      </c>
      <c r="K102" s="77">
        <v>39.857005999999998</v>
      </c>
      <c r="L102" s="138" t="str">
        <f t="shared" si="10"/>
        <v>29.810053,39.857006</v>
      </c>
      <c r="M102" s="64" t="s">
        <v>10111</v>
      </c>
      <c r="N102" s="7">
        <v>10005985360</v>
      </c>
      <c r="O102" s="7"/>
      <c r="P102" s="201">
        <v>46123</v>
      </c>
      <c r="Q102" s="28" t="s">
        <v>11</v>
      </c>
      <c r="R102" s="28" t="s">
        <v>11</v>
      </c>
      <c r="S102" s="28" t="s">
        <v>11</v>
      </c>
      <c r="T102" s="28" t="s">
        <v>11</v>
      </c>
      <c r="U102" s="28" t="s">
        <v>9</v>
      </c>
      <c r="V102" s="28" t="s">
        <v>9</v>
      </c>
      <c r="W102" s="28" t="s">
        <v>9</v>
      </c>
      <c r="X102" s="28" t="s">
        <v>9</v>
      </c>
      <c r="Y102" s="28" t="s">
        <v>9</v>
      </c>
      <c r="Z102" s="28" t="s">
        <v>9</v>
      </c>
      <c r="AA102" s="28" t="s">
        <v>9</v>
      </c>
      <c r="AB102" s="28" t="s">
        <v>9</v>
      </c>
      <c r="AC102" s="28" t="s">
        <v>9</v>
      </c>
      <c r="AD102" s="28" t="s">
        <v>9</v>
      </c>
      <c r="AE102" s="28" t="s">
        <v>9</v>
      </c>
      <c r="AF102" s="28" t="s">
        <v>10</v>
      </c>
      <c r="AG102" s="24">
        <f t="shared" si="11"/>
        <v>11</v>
      </c>
      <c r="AH102" s="24">
        <f t="shared" si="12"/>
        <v>0</v>
      </c>
      <c r="AI102" s="24">
        <f t="shared" si="13"/>
        <v>4</v>
      </c>
      <c r="AJ102" s="41" t="str" cm="1">
        <f t="array" ref="AJ102">_xlfn.IFS(
$AG102=15,"Not Started",
$AI102&lt;15,"In Progress",
$AI102=15,"Completed",
SUM(AG102:AI102)&gt;15,"Error"
)</f>
        <v>In Progress</v>
      </c>
    </row>
    <row r="103" spans="1:36" ht="13" x14ac:dyDescent="0.25">
      <c r="A103" s="256"/>
      <c r="B103" s="286"/>
      <c r="C103" s="64" t="s">
        <v>1357</v>
      </c>
      <c r="D103" s="53" t="s">
        <v>9925</v>
      </c>
      <c r="E103" s="57" t="s">
        <v>9759</v>
      </c>
      <c r="F103" s="7" t="s">
        <v>8887</v>
      </c>
      <c r="G103" s="7" t="s">
        <v>44</v>
      </c>
      <c r="H103" s="7" t="s">
        <v>9099</v>
      </c>
      <c r="I103" s="7" t="s">
        <v>9099</v>
      </c>
      <c r="J103" s="76">
        <v>29.810047000000001</v>
      </c>
      <c r="K103" s="77">
        <v>39.856850000000001</v>
      </c>
      <c r="L103" s="138" t="str">
        <f t="shared" si="10"/>
        <v>29.810047,39.85685</v>
      </c>
      <c r="M103" s="64" t="s">
        <v>10112</v>
      </c>
      <c r="N103" s="7">
        <v>10006005524</v>
      </c>
      <c r="O103" s="7"/>
      <c r="P103" s="201">
        <v>46134</v>
      </c>
      <c r="Q103" s="28" t="s">
        <v>11</v>
      </c>
      <c r="R103" s="28" t="s">
        <v>11</v>
      </c>
      <c r="S103" s="28" t="s">
        <v>11</v>
      </c>
      <c r="T103" s="28" t="s">
        <v>11</v>
      </c>
      <c r="U103" s="28" t="s">
        <v>10</v>
      </c>
      <c r="V103" s="28" t="s">
        <v>9</v>
      </c>
      <c r="W103" s="28" t="s">
        <v>9</v>
      </c>
      <c r="X103" s="28" t="s">
        <v>9</v>
      </c>
      <c r="Y103" s="28" t="s">
        <v>9</v>
      </c>
      <c r="Z103" s="28" t="s">
        <v>9</v>
      </c>
      <c r="AA103" s="28" t="s">
        <v>9</v>
      </c>
      <c r="AB103" s="28" t="s">
        <v>9</v>
      </c>
      <c r="AC103" s="28" t="s">
        <v>9</v>
      </c>
      <c r="AD103" s="28" t="s">
        <v>9</v>
      </c>
      <c r="AE103" s="28" t="s">
        <v>9</v>
      </c>
      <c r="AF103" s="28" t="s">
        <v>10</v>
      </c>
      <c r="AG103" s="24">
        <f t="shared" si="11"/>
        <v>10</v>
      </c>
      <c r="AH103" s="24">
        <f t="shared" si="12"/>
        <v>1</v>
      </c>
      <c r="AI103" s="24">
        <f t="shared" si="13"/>
        <v>4</v>
      </c>
      <c r="AJ103" s="41" t="str" cm="1">
        <f t="array" ref="AJ103">_xlfn.IFS(
$AG103=15,"Not Started",
$AI103&lt;15,"In Progress",
$AI103=15,"Completed",
SUM(AG103:AI103)&gt;15,"Error"
)</f>
        <v>In Progress</v>
      </c>
    </row>
    <row r="104" spans="1:36" ht="13" x14ac:dyDescent="0.25">
      <c r="A104" s="256"/>
      <c r="B104" s="286"/>
      <c r="C104" s="63" t="s">
        <v>1358</v>
      </c>
      <c r="D104" s="53" t="s">
        <v>9926</v>
      </c>
      <c r="E104" s="57" t="s">
        <v>9760</v>
      </c>
      <c r="F104" s="7" t="s">
        <v>47</v>
      </c>
      <c r="G104" s="7" t="s">
        <v>44</v>
      </c>
      <c r="H104" s="7" t="s">
        <v>9099</v>
      </c>
      <c r="I104" s="7" t="s">
        <v>9099</v>
      </c>
      <c r="J104" s="76">
        <v>29.815826000000001</v>
      </c>
      <c r="K104" s="77">
        <v>39.859005000000003</v>
      </c>
      <c r="L104" s="138" t="str">
        <f t="shared" si="10"/>
        <v>29.815826,39.859005</v>
      </c>
      <c r="M104" s="64" t="s">
        <v>10113</v>
      </c>
      <c r="N104" s="7">
        <v>10086683943</v>
      </c>
      <c r="O104" s="7"/>
      <c r="P104" s="201"/>
      <c r="Q104" s="28" t="s">
        <v>11</v>
      </c>
      <c r="R104" s="28" t="s">
        <v>11</v>
      </c>
      <c r="S104" s="28" t="s">
        <v>11</v>
      </c>
      <c r="T104" s="28" t="s">
        <v>11</v>
      </c>
      <c r="U104" s="28" t="s">
        <v>10</v>
      </c>
      <c r="V104" s="28" t="s">
        <v>9</v>
      </c>
      <c r="W104" s="28" t="s">
        <v>9</v>
      </c>
      <c r="X104" s="28" t="s">
        <v>9</v>
      </c>
      <c r="Y104" s="28" t="s">
        <v>9</v>
      </c>
      <c r="Z104" s="28" t="s">
        <v>9</v>
      </c>
      <c r="AA104" s="28" t="s">
        <v>9</v>
      </c>
      <c r="AB104" s="28" t="s">
        <v>9</v>
      </c>
      <c r="AC104" s="28" t="s">
        <v>9</v>
      </c>
      <c r="AD104" s="28" t="s">
        <v>9</v>
      </c>
      <c r="AE104" s="28" t="s">
        <v>9</v>
      </c>
      <c r="AF104" s="28" t="s">
        <v>10</v>
      </c>
      <c r="AG104" s="24">
        <f t="shared" si="11"/>
        <v>10</v>
      </c>
      <c r="AH104" s="24">
        <f t="shared" si="12"/>
        <v>1</v>
      </c>
      <c r="AI104" s="24">
        <f t="shared" si="13"/>
        <v>4</v>
      </c>
      <c r="AJ104" s="41" t="str" cm="1">
        <f t="array" ref="AJ104">_xlfn.IFS(
$AG104=15,"Not Started",
$AI104&lt;15,"In Progress",
$AI104=15,"Completed",
SUM(AG104:AI104)&gt;15,"Error"
)</f>
        <v>In Progress</v>
      </c>
    </row>
    <row r="105" spans="1:36" ht="13" x14ac:dyDescent="0.25">
      <c r="A105" s="256"/>
      <c r="B105" s="286"/>
      <c r="C105" s="64" t="s">
        <v>1359</v>
      </c>
      <c r="D105" s="53" t="s">
        <v>9927</v>
      </c>
      <c r="E105" s="57" t="s">
        <v>9761</v>
      </c>
      <c r="F105" s="7" t="s">
        <v>47</v>
      </c>
      <c r="G105" s="7" t="s">
        <v>44</v>
      </c>
      <c r="H105" s="7" t="s">
        <v>9099</v>
      </c>
      <c r="I105" s="7" t="s">
        <v>9099</v>
      </c>
      <c r="J105" s="76">
        <v>29.814094999999998</v>
      </c>
      <c r="K105" s="77">
        <v>39.843781</v>
      </c>
      <c r="L105" s="138" t="str">
        <f t="shared" si="10"/>
        <v>29.814095,39.843781</v>
      </c>
      <c r="M105" s="64" t="s">
        <v>10114</v>
      </c>
      <c r="N105" s="7">
        <v>10005974132</v>
      </c>
      <c r="O105" s="7"/>
      <c r="P105" s="201"/>
      <c r="Q105" s="28" t="s">
        <v>11</v>
      </c>
      <c r="R105" s="28" t="s">
        <v>11</v>
      </c>
      <c r="S105" s="28" t="s">
        <v>11</v>
      </c>
      <c r="T105" s="28" t="s">
        <v>11</v>
      </c>
      <c r="U105" s="28" t="s">
        <v>9</v>
      </c>
      <c r="V105" s="28" t="s">
        <v>9</v>
      </c>
      <c r="W105" s="28" t="s">
        <v>9</v>
      </c>
      <c r="X105" s="28" t="s">
        <v>9</v>
      </c>
      <c r="Y105" s="28" t="s">
        <v>9</v>
      </c>
      <c r="Z105" s="28" t="s">
        <v>9</v>
      </c>
      <c r="AA105" s="28" t="s">
        <v>9</v>
      </c>
      <c r="AB105" s="28" t="s">
        <v>9</v>
      </c>
      <c r="AC105" s="28" t="s">
        <v>9</v>
      </c>
      <c r="AD105" s="28" t="s">
        <v>9</v>
      </c>
      <c r="AE105" s="28" t="s">
        <v>9</v>
      </c>
      <c r="AF105" s="28" t="s">
        <v>10</v>
      </c>
      <c r="AG105" s="24">
        <f t="shared" si="11"/>
        <v>11</v>
      </c>
      <c r="AH105" s="24">
        <f t="shared" si="12"/>
        <v>0</v>
      </c>
      <c r="AI105" s="24">
        <f t="shared" si="13"/>
        <v>4</v>
      </c>
      <c r="AJ105" s="41" t="str" cm="1">
        <f t="array" ref="AJ105">_xlfn.IFS(
$AG105=15,"Not Started",
$AI105&lt;15,"In Progress",
$AI105=15,"Completed",
SUM(AG105:AI105)&gt;15,"Error"
)</f>
        <v>In Progress</v>
      </c>
    </row>
    <row r="106" spans="1:36" ht="13" x14ac:dyDescent="0.25">
      <c r="A106" s="256"/>
      <c r="B106" s="286"/>
      <c r="C106" s="63" t="s">
        <v>1360</v>
      </c>
      <c r="D106" s="53" t="s">
        <v>9928</v>
      </c>
      <c r="E106" s="57" t="s">
        <v>9762</v>
      </c>
      <c r="F106" s="7" t="s">
        <v>43</v>
      </c>
      <c r="G106" s="7" t="s">
        <v>44</v>
      </c>
      <c r="H106" s="7" t="s">
        <v>9099</v>
      </c>
      <c r="I106" s="7" t="s">
        <v>9099</v>
      </c>
      <c r="J106" s="76">
        <v>29.798224999999999</v>
      </c>
      <c r="K106" s="77">
        <v>39.876384999999999</v>
      </c>
      <c r="L106" s="138" t="str">
        <f t="shared" si="10"/>
        <v>29.798225,39.876385</v>
      </c>
      <c r="M106" s="64" t="s">
        <v>10115</v>
      </c>
      <c r="N106" s="7">
        <v>10006005041</v>
      </c>
      <c r="O106" s="7"/>
      <c r="P106" s="201">
        <v>46121</v>
      </c>
      <c r="Q106" s="28" t="s">
        <v>11</v>
      </c>
      <c r="R106" s="28" t="s">
        <v>11</v>
      </c>
      <c r="S106" s="28" t="s">
        <v>11</v>
      </c>
      <c r="T106" s="28" t="s">
        <v>11</v>
      </c>
      <c r="U106" s="28" t="s">
        <v>10</v>
      </c>
      <c r="V106" s="28" t="s">
        <v>9</v>
      </c>
      <c r="W106" s="28" t="s">
        <v>9</v>
      </c>
      <c r="X106" s="28" t="s">
        <v>9</v>
      </c>
      <c r="Y106" s="28" t="s">
        <v>9</v>
      </c>
      <c r="Z106" s="28" t="s">
        <v>9</v>
      </c>
      <c r="AA106" s="28" t="s">
        <v>9</v>
      </c>
      <c r="AB106" s="28" t="s">
        <v>9</v>
      </c>
      <c r="AC106" s="28" t="s">
        <v>9</v>
      </c>
      <c r="AD106" s="28" t="s">
        <v>9</v>
      </c>
      <c r="AE106" s="28" t="s">
        <v>9</v>
      </c>
      <c r="AF106" s="28" t="s">
        <v>10</v>
      </c>
      <c r="AG106" s="24">
        <f t="shared" si="11"/>
        <v>10</v>
      </c>
      <c r="AH106" s="24">
        <f t="shared" si="12"/>
        <v>1</v>
      </c>
      <c r="AI106" s="24">
        <f t="shared" si="13"/>
        <v>4</v>
      </c>
      <c r="AJ106" s="41" t="str" cm="1">
        <f t="array" ref="AJ106">_xlfn.IFS(
$AG106=15,"Not Started",
$AI106&lt;15,"In Progress",
$AI106=15,"Completed",
SUM(AG106:AI106)&gt;15,"Error"
)</f>
        <v>In Progress</v>
      </c>
    </row>
    <row r="107" spans="1:36" ht="13" x14ac:dyDescent="0.25">
      <c r="A107" s="256"/>
      <c r="B107" s="286"/>
      <c r="C107" s="64" t="s">
        <v>1361</v>
      </c>
      <c r="D107" s="53" t="s">
        <v>9929</v>
      </c>
      <c r="E107" s="57" t="s">
        <v>9763</v>
      </c>
      <c r="F107" s="7" t="s">
        <v>8887</v>
      </c>
      <c r="G107" s="7" t="s">
        <v>44</v>
      </c>
      <c r="H107" s="7" t="s">
        <v>9099</v>
      </c>
      <c r="I107" s="7" t="s">
        <v>9099</v>
      </c>
      <c r="J107" s="76">
        <v>29.806878999999999</v>
      </c>
      <c r="K107" s="77">
        <v>39.854712999999997</v>
      </c>
      <c r="L107" s="138" t="str">
        <f t="shared" si="10"/>
        <v>29.806879,39.854713</v>
      </c>
      <c r="M107" s="64" t="s">
        <v>10116</v>
      </c>
      <c r="N107" s="7">
        <v>10005985403</v>
      </c>
      <c r="O107" s="7"/>
      <c r="P107" s="201"/>
      <c r="Q107" s="28" t="s">
        <v>11</v>
      </c>
      <c r="R107" s="28" t="s">
        <v>11</v>
      </c>
      <c r="S107" s="28" t="s">
        <v>11</v>
      </c>
      <c r="T107" s="28" t="s">
        <v>11</v>
      </c>
      <c r="U107" s="28" t="s">
        <v>9</v>
      </c>
      <c r="V107" s="28" t="s">
        <v>9</v>
      </c>
      <c r="W107" s="28" t="s">
        <v>9</v>
      </c>
      <c r="X107" s="28" t="s">
        <v>9</v>
      </c>
      <c r="Y107" s="28" t="s">
        <v>9</v>
      </c>
      <c r="Z107" s="28" t="s">
        <v>9</v>
      </c>
      <c r="AA107" s="28" t="s">
        <v>9</v>
      </c>
      <c r="AB107" s="28" t="s">
        <v>9</v>
      </c>
      <c r="AC107" s="28" t="s">
        <v>9</v>
      </c>
      <c r="AD107" s="28" t="s">
        <v>9</v>
      </c>
      <c r="AE107" s="28" t="s">
        <v>9</v>
      </c>
      <c r="AF107" s="28" t="s">
        <v>10</v>
      </c>
      <c r="AG107" s="24">
        <f t="shared" si="11"/>
        <v>11</v>
      </c>
      <c r="AH107" s="24">
        <f t="shared" si="12"/>
        <v>0</v>
      </c>
      <c r="AI107" s="24">
        <f t="shared" si="13"/>
        <v>4</v>
      </c>
      <c r="AJ107" s="41" t="str" cm="1">
        <f t="array" ref="AJ107">_xlfn.IFS(
$AG107=15,"Not Started",
$AI107&lt;15,"In Progress",
$AI107=15,"Completed",
SUM(AG107:AI107)&gt;15,"Error"
)</f>
        <v>In Progress</v>
      </c>
    </row>
    <row r="108" spans="1:36" ht="13" x14ac:dyDescent="0.25">
      <c r="A108" s="256"/>
      <c r="B108" s="286"/>
      <c r="C108" s="63" t="s">
        <v>1362</v>
      </c>
      <c r="D108" s="53" t="s">
        <v>9930</v>
      </c>
      <c r="E108" s="57" t="s">
        <v>9764</v>
      </c>
      <c r="F108" s="48" t="s">
        <v>43</v>
      </c>
      <c r="G108" s="7" t="s">
        <v>44</v>
      </c>
      <c r="H108" s="7" t="s">
        <v>9099</v>
      </c>
      <c r="I108" s="7" t="s">
        <v>9099</v>
      </c>
      <c r="J108" s="76">
        <v>29.8278055</v>
      </c>
      <c r="K108" s="77">
        <v>39.8782286</v>
      </c>
      <c r="L108" s="138" t="str">
        <f t="shared" si="10"/>
        <v>29.8278055,39.8782286</v>
      </c>
      <c r="M108" s="64" t="s">
        <v>10117</v>
      </c>
      <c r="N108" s="7">
        <v>10006004984</v>
      </c>
      <c r="O108" s="7"/>
      <c r="P108" s="201">
        <v>46124</v>
      </c>
      <c r="Q108" s="28" t="s">
        <v>11</v>
      </c>
      <c r="R108" s="28" t="s">
        <v>11</v>
      </c>
      <c r="S108" s="28" t="s">
        <v>11</v>
      </c>
      <c r="T108" s="28" t="s">
        <v>11</v>
      </c>
      <c r="U108" s="28" t="s">
        <v>10</v>
      </c>
      <c r="V108" s="28" t="s">
        <v>9</v>
      </c>
      <c r="W108" s="28" t="s">
        <v>9</v>
      </c>
      <c r="X108" s="28" t="s">
        <v>9</v>
      </c>
      <c r="Y108" s="28" t="s">
        <v>9</v>
      </c>
      <c r="Z108" s="28" t="s">
        <v>9</v>
      </c>
      <c r="AA108" s="28" t="s">
        <v>9</v>
      </c>
      <c r="AB108" s="28" t="s">
        <v>9</v>
      </c>
      <c r="AC108" s="28" t="s">
        <v>9</v>
      </c>
      <c r="AD108" s="28" t="s">
        <v>9</v>
      </c>
      <c r="AE108" s="28" t="s">
        <v>9</v>
      </c>
      <c r="AF108" s="28" t="s">
        <v>10</v>
      </c>
      <c r="AG108" s="24">
        <f t="shared" si="11"/>
        <v>10</v>
      </c>
      <c r="AH108" s="24">
        <f t="shared" si="12"/>
        <v>1</v>
      </c>
      <c r="AI108" s="24">
        <f t="shared" si="13"/>
        <v>4</v>
      </c>
      <c r="AJ108" s="41" t="str" cm="1">
        <f t="array" ref="AJ108">_xlfn.IFS(
$AG108=15,"Not Started",
$AI108&lt;15,"In Progress",
$AI108=15,"Completed",
SUM(AG108:AI108)&gt;15,"Error"
)</f>
        <v>In Progress</v>
      </c>
    </row>
    <row r="109" spans="1:36" ht="13" x14ac:dyDescent="0.25">
      <c r="A109" s="256"/>
      <c r="B109" s="286"/>
      <c r="C109" s="64" t="s">
        <v>1363</v>
      </c>
      <c r="D109" s="53" t="s">
        <v>9931</v>
      </c>
      <c r="E109" s="57" t="s">
        <v>9765</v>
      </c>
      <c r="F109" s="7" t="s">
        <v>43</v>
      </c>
      <c r="G109" s="7" t="s">
        <v>44</v>
      </c>
      <c r="H109" s="7" t="s">
        <v>9099</v>
      </c>
      <c r="I109" s="7" t="s">
        <v>9099</v>
      </c>
      <c r="J109" s="76">
        <v>29.817039000000001</v>
      </c>
      <c r="K109" s="77">
        <v>39.855995</v>
      </c>
      <c r="L109" s="138" t="str">
        <f t="shared" si="10"/>
        <v>29.817039,39.855995</v>
      </c>
      <c r="M109" s="64" t="s">
        <v>10118</v>
      </c>
      <c r="N109" s="7">
        <v>10005985225</v>
      </c>
      <c r="O109" s="7"/>
      <c r="P109" s="201">
        <v>46126</v>
      </c>
      <c r="Q109" s="28" t="s">
        <v>11</v>
      </c>
      <c r="R109" s="28" t="s">
        <v>11</v>
      </c>
      <c r="S109" s="28" t="s">
        <v>11</v>
      </c>
      <c r="T109" s="28" t="s">
        <v>11</v>
      </c>
      <c r="U109" s="28" t="s">
        <v>10</v>
      </c>
      <c r="V109" s="28" t="s">
        <v>9</v>
      </c>
      <c r="W109" s="28" t="s">
        <v>9</v>
      </c>
      <c r="X109" s="28" t="s">
        <v>9</v>
      </c>
      <c r="Y109" s="28" t="s">
        <v>9</v>
      </c>
      <c r="Z109" s="28" t="s">
        <v>9</v>
      </c>
      <c r="AA109" s="28" t="s">
        <v>9</v>
      </c>
      <c r="AB109" s="28" t="s">
        <v>9</v>
      </c>
      <c r="AC109" s="28" t="s">
        <v>9</v>
      </c>
      <c r="AD109" s="28" t="s">
        <v>9</v>
      </c>
      <c r="AE109" s="28" t="s">
        <v>9</v>
      </c>
      <c r="AF109" s="28" t="s">
        <v>10</v>
      </c>
      <c r="AG109" s="24">
        <f t="shared" si="11"/>
        <v>10</v>
      </c>
      <c r="AH109" s="24">
        <f t="shared" si="12"/>
        <v>1</v>
      </c>
      <c r="AI109" s="24">
        <f t="shared" si="13"/>
        <v>4</v>
      </c>
      <c r="AJ109" s="41" t="str" cm="1">
        <f t="array" ref="AJ109">_xlfn.IFS(
$AG109=15,"Not Started",
$AI109&lt;15,"In Progress",
$AI109=15,"Completed",
SUM(AG109:AI109)&gt;15,"Error"
)</f>
        <v>In Progress</v>
      </c>
    </row>
    <row r="110" spans="1:36" ht="13" x14ac:dyDescent="0.25">
      <c r="A110" s="256"/>
      <c r="B110" s="286"/>
      <c r="C110" s="63" t="s">
        <v>1364</v>
      </c>
      <c r="D110" s="53" t="s">
        <v>9932</v>
      </c>
      <c r="E110" s="57" t="s">
        <v>9766</v>
      </c>
      <c r="F110" s="7" t="s">
        <v>9095</v>
      </c>
      <c r="G110" s="7" t="s">
        <v>44</v>
      </c>
      <c r="H110" s="7" t="s">
        <v>9099</v>
      </c>
      <c r="I110" s="7" t="s">
        <v>9099</v>
      </c>
      <c r="J110" s="76">
        <v>29.813165999999999</v>
      </c>
      <c r="K110" s="77">
        <v>39.853306000000003</v>
      </c>
      <c r="L110" s="138" t="str">
        <f t="shared" si="10"/>
        <v>29.813166,39.853306</v>
      </c>
      <c r="M110" s="64" t="s">
        <v>10119</v>
      </c>
      <c r="N110" s="7">
        <v>10085532846</v>
      </c>
      <c r="O110" s="7"/>
      <c r="P110" s="201">
        <v>46138</v>
      </c>
      <c r="Q110" s="28" t="s">
        <v>11</v>
      </c>
      <c r="R110" s="28" t="s">
        <v>11</v>
      </c>
      <c r="S110" s="28" t="s">
        <v>11</v>
      </c>
      <c r="T110" s="28" t="s">
        <v>11</v>
      </c>
      <c r="U110" s="28" t="s">
        <v>10</v>
      </c>
      <c r="V110" s="28" t="s">
        <v>9</v>
      </c>
      <c r="W110" s="28" t="s">
        <v>9</v>
      </c>
      <c r="X110" s="28" t="s">
        <v>9</v>
      </c>
      <c r="Y110" s="28" t="s">
        <v>9</v>
      </c>
      <c r="Z110" s="28" t="s">
        <v>9</v>
      </c>
      <c r="AA110" s="28" t="s">
        <v>9</v>
      </c>
      <c r="AB110" s="28" t="s">
        <v>9</v>
      </c>
      <c r="AC110" s="28" t="s">
        <v>9</v>
      </c>
      <c r="AD110" s="28" t="s">
        <v>9</v>
      </c>
      <c r="AE110" s="28" t="s">
        <v>9</v>
      </c>
      <c r="AF110" s="28" t="s">
        <v>10</v>
      </c>
      <c r="AG110" s="24">
        <f t="shared" si="11"/>
        <v>10</v>
      </c>
      <c r="AH110" s="24">
        <f t="shared" si="12"/>
        <v>1</v>
      </c>
      <c r="AI110" s="24">
        <f t="shared" si="13"/>
        <v>4</v>
      </c>
      <c r="AJ110" s="41" t="str" cm="1">
        <f t="array" ref="AJ110">_xlfn.IFS(
$AG110=15,"Not Started",
$AI110&lt;15,"In Progress",
$AI110=15,"Completed",
SUM(AG110:AI110)&gt;15,"Error"
)</f>
        <v>In Progress</v>
      </c>
    </row>
    <row r="111" spans="1:36" ht="13" x14ac:dyDescent="0.25">
      <c r="A111" s="256"/>
      <c r="B111" s="286"/>
      <c r="C111" s="64" t="s">
        <v>1365</v>
      </c>
      <c r="D111" s="53" t="s">
        <v>9933</v>
      </c>
      <c r="E111" s="57" t="s">
        <v>9767</v>
      </c>
      <c r="F111" s="7" t="s">
        <v>9092</v>
      </c>
      <c r="G111" s="7" t="s">
        <v>48</v>
      </c>
      <c r="H111" s="7" t="s">
        <v>9099</v>
      </c>
      <c r="I111" s="7" t="s">
        <v>9099</v>
      </c>
      <c r="J111" s="76">
        <v>29.80855</v>
      </c>
      <c r="K111" s="77">
        <v>39.846705999999998</v>
      </c>
      <c r="L111" s="138" t="str">
        <f t="shared" si="10"/>
        <v>29.80855,39.846706</v>
      </c>
      <c r="M111" s="64" t="s">
        <v>10120</v>
      </c>
      <c r="N111" s="7">
        <v>10006004349</v>
      </c>
      <c r="O111" s="7"/>
      <c r="P111" s="201"/>
      <c r="Q111" s="28" t="s">
        <v>11</v>
      </c>
      <c r="R111" s="28" t="s">
        <v>11</v>
      </c>
      <c r="S111" s="28" t="s">
        <v>11</v>
      </c>
      <c r="T111" s="28" t="s">
        <v>11</v>
      </c>
      <c r="U111" s="28" t="s">
        <v>10</v>
      </c>
      <c r="V111" s="28" t="s">
        <v>9</v>
      </c>
      <c r="W111" s="28" t="s">
        <v>9</v>
      </c>
      <c r="X111" s="28" t="s">
        <v>9</v>
      </c>
      <c r="Y111" s="28" t="s">
        <v>9</v>
      </c>
      <c r="Z111" s="28" t="s">
        <v>9</v>
      </c>
      <c r="AA111" s="28" t="s">
        <v>9</v>
      </c>
      <c r="AB111" s="28" t="s">
        <v>9</v>
      </c>
      <c r="AC111" s="28" t="s">
        <v>9</v>
      </c>
      <c r="AD111" s="28" t="s">
        <v>9</v>
      </c>
      <c r="AE111" s="28" t="s">
        <v>9</v>
      </c>
      <c r="AF111" s="28" t="s">
        <v>10</v>
      </c>
      <c r="AG111" s="24">
        <f t="shared" si="11"/>
        <v>10</v>
      </c>
      <c r="AH111" s="24">
        <f t="shared" si="12"/>
        <v>1</v>
      </c>
      <c r="AI111" s="24">
        <f t="shared" si="13"/>
        <v>4</v>
      </c>
      <c r="AJ111" s="41" t="str" cm="1">
        <f t="array" ref="AJ111">_xlfn.IFS(
$AG111=15,"Not Started",
$AI111&lt;15,"In Progress",
$AI111=15,"Completed",
SUM(AG111:AI111)&gt;15,"Error"
)</f>
        <v>In Progress</v>
      </c>
    </row>
    <row r="112" spans="1:36" ht="26" x14ac:dyDescent="0.25">
      <c r="A112" s="256"/>
      <c r="B112" s="286"/>
      <c r="C112" s="63" t="s">
        <v>1366</v>
      </c>
      <c r="D112" s="79" t="s">
        <v>10274</v>
      </c>
      <c r="E112" s="80" t="s">
        <v>10213</v>
      </c>
      <c r="F112" s="7" t="s">
        <v>47</v>
      </c>
      <c r="G112" s="7" t="s">
        <v>48</v>
      </c>
      <c r="H112" s="7" t="s">
        <v>9099</v>
      </c>
      <c r="I112" s="7" t="s">
        <v>9099</v>
      </c>
      <c r="J112" s="76">
        <v>29.795566999999998</v>
      </c>
      <c r="K112" s="77">
        <v>39.874415999999997</v>
      </c>
      <c r="L112" s="138" t="str">
        <f t="shared" si="10"/>
        <v>29.795567,39.874416</v>
      </c>
      <c r="M112" s="64" t="s">
        <v>10121</v>
      </c>
      <c r="N112" s="7">
        <v>10095708040</v>
      </c>
      <c r="O112" s="7"/>
      <c r="P112" s="201">
        <v>46127</v>
      </c>
      <c r="Q112" s="28" t="s">
        <v>11</v>
      </c>
      <c r="R112" s="28" t="s">
        <v>11</v>
      </c>
      <c r="S112" s="28" t="s">
        <v>11</v>
      </c>
      <c r="T112" s="28" t="s">
        <v>11</v>
      </c>
      <c r="U112" s="28" t="s">
        <v>10</v>
      </c>
      <c r="V112" s="28" t="s">
        <v>9</v>
      </c>
      <c r="W112" s="28" t="s">
        <v>9</v>
      </c>
      <c r="X112" s="28" t="s">
        <v>9</v>
      </c>
      <c r="Y112" s="28" t="s">
        <v>9</v>
      </c>
      <c r="Z112" s="28" t="s">
        <v>9</v>
      </c>
      <c r="AA112" s="28" t="s">
        <v>9</v>
      </c>
      <c r="AB112" s="28" t="s">
        <v>9</v>
      </c>
      <c r="AC112" s="28" t="s">
        <v>9</v>
      </c>
      <c r="AD112" s="28" t="s">
        <v>9</v>
      </c>
      <c r="AE112" s="28" t="s">
        <v>9</v>
      </c>
      <c r="AF112" s="28" t="s">
        <v>10</v>
      </c>
      <c r="AG112" s="24">
        <f t="shared" si="11"/>
        <v>10</v>
      </c>
      <c r="AH112" s="24">
        <f t="shared" si="12"/>
        <v>1</v>
      </c>
      <c r="AI112" s="24">
        <f t="shared" si="13"/>
        <v>4</v>
      </c>
      <c r="AJ112" s="41" t="str" cm="1">
        <f t="array" ref="AJ112">_xlfn.IFS(
$AG112=15,"Not Started",
$AI112&lt;15,"In Progress",
$AI112=15,"Completed",
SUM(AG112:AI112)&gt;15,"Error"
)</f>
        <v>In Progress</v>
      </c>
    </row>
    <row r="113" spans="1:36" ht="13" x14ac:dyDescent="0.25">
      <c r="A113" s="256"/>
      <c r="B113" s="286"/>
      <c r="C113" s="64" t="s">
        <v>1367</v>
      </c>
      <c r="D113" s="53" t="s">
        <v>9934</v>
      </c>
      <c r="E113" s="57" t="s">
        <v>9768</v>
      </c>
      <c r="F113" s="7" t="s">
        <v>9092</v>
      </c>
      <c r="G113" s="7" t="s">
        <v>44</v>
      </c>
      <c r="H113" s="7" t="s">
        <v>9099</v>
      </c>
      <c r="I113" s="7" t="s">
        <v>9099</v>
      </c>
      <c r="J113" s="76">
        <v>29.950285000000001</v>
      </c>
      <c r="K113" s="77">
        <v>40.197375999999998</v>
      </c>
      <c r="L113" s="138" t="str">
        <f t="shared" si="10"/>
        <v>29.950285,40.197376</v>
      </c>
      <c r="M113" s="64" t="s">
        <v>10122</v>
      </c>
      <c r="N113" s="7">
        <v>10005969821</v>
      </c>
      <c r="O113" s="7"/>
      <c r="P113" s="201"/>
      <c r="Q113" s="28" t="s">
        <v>11</v>
      </c>
      <c r="R113" s="28" t="s">
        <v>11</v>
      </c>
      <c r="S113" s="28" t="s">
        <v>11</v>
      </c>
      <c r="T113" s="28" t="s">
        <v>11</v>
      </c>
      <c r="U113" s="28" t="s">
        <v>10</v>
      </c>
      <c r="V113" s="28" t="s">
        <v>9</v>
      </c>
      <c r="W113" s="28" t="s">
        <v>9</v>
      </c>
      <c r="X113" s="28" t="s">
        <v>9</v>
      </c>
      <c r="Y113" s="28" t="s">
        <v>9</v>
      </c>
      <c r="Z113" s="28" t="s">
        <v>9</v>
      </c>
      <c r="AA113" s="28" t="s">
        <v>9</v>
      </c>
      <c r="AB113" s="28" t="s">
        <v>9</v>
      </c>
      <c r="AC113" s="28" t="s">
        <v>9</v>
      </c>
      <c r="AD113" s="28" t="s">
        <v>9</v>
      </c>
      <c r="AE113" s="28" t="s">
        <v>9</v>
      </c>
      <c r="AF113" s="28" t="s">
        <v>10</v>
      </c>
      <c r="AG113" s="24">
        <f t="shared" si="11"/>
        <v>10</v>
      </c>
      <c r="AH113" s="24">
        <f t="shared" si="12"/>
        <v>1</v>
      </c>
      <c r="AI113" s="24">
        <f t="shared" si="13"/>
        <v>4</v>
      </c>
      <c r="AJ113" s="41" t="str" cm="1">
        <f t="array" ref="AJ113">_xlfn.IFS(
$AG113=15,"Not Started",
$AI113&lt;15,"In Progress",
$AI113=15,"Completed",
SUM(AG113:AI113)&gt;15,"Error"
)</f>
        <v>In Progress</v>
      </c>
    </row>
    <row r="114" spans="1:36" ht="13" x14ac:dyDescent="0.25">
      <c r="A114" s="256"/>
      <c r="B114" s="286"/>
      <c r="C114" s="63" t="s">
        <v>1368</v>
      </c>
      <c r="D114" s="146" t="s">
        <v>10598</v>
      </c>
      <c r="E114" s="186" t="s">
        <v>10599</v>
      </c>
      <c r="F114" s="142" t="s">
        <v>47</v>
      </c>
      <c r="G114" s="142" t="s">
        <v>48</v>
      </c>
      <c r="H114" s="142" t="s">
        <v>9099</v>
      </c>
      <c r="I114" s="142" t="s">
        <v>9099</v>
      </c>
      <c r="J114" s="184">
        <v>29.9341191656329</v>
      </c>
      <c r="K114" s="185">
        <v>40.194388077068602</v>
      </c>
      <c r="L114" s="1" t="s">
        <v>10601</v>
      </c>
      <c r="M114" s="145" t="s">
        <v>10600</v>
      </c>
      <c r="N114" s="142">
        <v>10005986732</v>
      </c>
      <c r="O114" s="142"/>
      <c r="P114" s="201"/>
      <c r="Q114" s="28" t="s">
        <v>11</v>
      </c>
      <c r="R114" s="28" t="s">
        <v>11</v>
      </c>
      <c r="S114" s="28" t="s">
        <v>11</v>
      </c>
      <c r="T114" s="28" t="s">
        <v>11</v>
      </c>
      <c r="U114" s="28" t="s">
        <v>10</v>
      </c>
      <c r="V114" s="28" t="s">
        <v>9</v>
      </c>
      <c r="W114" s="28" t="s">
        <v>9</v>
      </c>
      <c r="X114" s="28" t="s">
        <v>9</v>
      </c>
      <c r="Y114" s="28" t="s">
        <v>9</v>
      </c>
      <c r="Z114" s="28" t="s">
        <v>9</v>
      </c>
      <c r="AA114" s="28" t="s">
        <v>9</v>
      </c>
      <c r="AB114" s="28" t="s">
        <v>9</v>
      </c>
      <c r="AC114" s="28" t="s">
        <v>9</v>
      </c>
      <c r="AD114" s="28" t="s">
        <v>9</v>
      </c>
      <c r="AE114" s="28" t="s">
        <v>9</v>
      </c>
      <c r="AF114" s="28" t="s">
        <v>10</v>
      </c>
      <c r="AG114" s="24">
        <f>COUNTIF(R114:AE114,$AG$2)</f>
        <v>10</v>
      </c>
      <c r="AH114" s="24">
        <f>COUNTIF(R114:AE114,$AH$2)</f>
        <v>1</v>
      </c>
      <c r="AI114" s="24">
        <f>COUNTIF(R114:AE114,$AI$2)</f>
        <v>3</v>
      </c>
      <c r="AJ114" s="41" t="str" cm="1">
        <f t="array" ref="AJ114">_xlfn.IFS(
$AG114=15,"Not Started",
$AI114&lt;15,"In Progress",
$AI114=15,"Completed",
SUM(AG114:AI114)&gt;15,"Error"
)</f>
        <v>In Progress</v>
      </c>
    </row>
    <row r="115" spans="1:36" ht="13" x14ac:dyDescent="0.25">
      <c r="A115" s="256"/>
      <c r="B115" s="286"/>
      <c r="C115" s="64" t="s">
        <v>1369</v>
      </c>
      <c r="D115" s="53" t="s">
        <v>9935</v>
      </c>
      <c r="E115" s="57" t="s">
        <v>9769</v>
      </c>
      <c r="F115" s="7" t="s">
        <v>51</v>
      </c>
      <c r="G115" s="7" t="s">
        <v>48</v>
      </c>
      <c r="H115" s="7" t="s">
        <v>9099</v>
      </c>
      <c r="I115" s="7" t="s">
        <v>9099</v>
      </c>
      <c r="J115" s="76">
        <v>30.1675029033775</v>
      </c>
      <c r="K115" s="77">
        <v>40.300577053543897</v>
      </c>
      <c r="L115" s="138" t="str">
        <f t="shared" si="10"/>
        <v>30.1675029033775,40.3005770535439</v>
      </c>
      <c r="M115" s="64" t="s">
        <v>10123</v>
      </c>
      <c r="N115" s="7">
        <v>10005996757</v>
      </c>
      <c r="O115" s="7"/>
      <c r="P115" s="201">
        <v>46126</v>
      </c>
      <c r="Q115" s="28" t="s">
        <v>11</v>
      </c>
      <c r="R115" s="28" t="s">
        <v>11</v>
      </c>
      <c r="S115" s="28" t="s">
        <v>11</v>
      </c>
      <c r="T115" s="28" t="s">
        <v>11</v>
      </c>
      <c r="U115" s="28" t="s">
        <v>10</v>
      </c>
      <c r="V115" s="28" t="s">
        <v>9</v>
      </c>
      <c r="W115" s="28" t="s">
        <v>9</v>
      </c>
      <c r="X115" s="28" t="s">
        <v>9</v>
      </c>
      <c r="Y115" s="28" t="s">
        <v>9</v>
      </c>
      <c r="Z115" s="28" t="s">
        <v>9</v>
      </c>
      <c r="AA115" s="28" t="s">
        <v>9</v>
      </c>
      <c r="AB115" s="28" t="s">
        <v>9</v>
      </c>
      <c r="AC115" s="28" t="s">
        <v>9</v>
      </c>
      <c r="AD115" s="28" t="s">
        <v>9</v>
      </c>
      <c r="AE115" s="28" t="s">
        <v>9</v>
      </c>
      <c r="AF115" s="28" t="s">
        <v>10</v>
      </c>
      <c r="AG115" s="24">
        <f t="shared" si="11"/>
        <v>10</v>
      </c>
      <c r="AH115" s="24">
        <f t="shared" si="12"/>
        <v>1</v>
      </c>
      <c r="AI115" s="24">
        <f t="shared" si="13"/>
        <v>4</v>
      </c>
      <c r="AJ115" s="41" t="str" cm="1">
        <f t="array" ref="AJ115">_xlfn.IFS(
$AG115=15,"Not Started",
$AI115&lt;15,"In Progress",
$AI115=15,"Completed",
SUM(AG115:AI115)&gt;15,"Error"
)</f>
        <v>In Progress</v>
      </c>
    </row>
    <row r="116" spans="1:36" ht="13" x14ac:dyDescent="0.25">
      <c r="A116" s="256"/>
      <c r="B116" s="286"/>
      <c r="C116" s="63" t="s">
        <v>1370</v>
      </c>
      <c r="D116" s="53" t="s">
        <v>9936</v>
      </c>
      <c r="E116" s="57" t="s">
        <v>9770</v>
      </c>
      <c r="F116" s="7" t="s">
        <v>43</v>
      </c>
      <c r="G116" s="7" t="s">
        <v>48</v>
      </c>
      <c r="H116" s="7" t="s">
        <v>9099</v>
      </c>
      <c r="I116" s="7" t="s">
        <v>9099</v>
      </c>
      <c r="J116" s="76">
        <v>29.888549999999999</v>
      </c>
      <c r="K116" s="77">
        <v>39.307231999999999</v>
      </c>
      <c r="L116" s="138" t="str">
        <f t="shared" si="10"/>
        <v>29.88855,39.307232</v>
      </c>
      <c r="M116" s="64" t="s">
        <v>10124</v>
      </c>
      <c r="N116" s="7">
        <v>10006007494</v>
      </c>
      <c r="O116" s="7"/>
      <c r="P116" s="202">
        <v>46144</v>
      </c>
      <c r="Q116" s="28" t="s">
        <v>11</v>
      </c>
      <c r="R116" s="28" t="s">
        <v>11</v>
      </c>
      <c r="S116" s="28" t="s">
        <v>11</v>
      </c>
      <c r="T116" s="28" t="s">
        <v>11</v>
      </c>
      <c r="U116" s="28" t="s">
        <v>10</v>
      </c>
      <c r="V116" s="28" t="s">
        <v>9</v>
      </c>
      <c r="W116" s="28" t="s">
        <v>9</v>
      </c>
      <c r="X116" s="28" t="s">
        <v>9</v>
      </c>
      <c r="Y116" s="28" t="s">
        <v>9</v>
      </c>
      <c r="Z116" s="28" t="s">
        <v>9</v>
      </c>
      <c r="AA116" s="28" t="s">
        <v>9</v>
      </c>
      <c r="AB116" s="28" t="s">
        <v>9</v>
      </c>
      <c r="AC116" s="28" t="s">
        <v>9</v>
      </c>
      <c r="AD116" s="28" t="s">
        <v>9</v>
      </c>
      <c r="AE116" s="28" t="s">
        <v>9</v>
      </c>
      <c r="AF116" s="28" t="s">
        <v>10</v>
      </c>
      <c r="AG116" s="24">
        <f t="shared" si="11"/>
        <v>10</v>
      </c>
      <c r="AH116" s="24">
        <f t="shared" si="12"/>
        <v>1</v>
      </c>
      <c r="AI116" s="24">
        <f t="shared" si="13"/>
        <v>4</v>
      </c>
      <c r="AJ116" s="41" t="str" cm="1">
        <f t="array" ref="AJ116">_xlfn.IFS(
$AG116=15,"Not Started",
$AI116&lt;15,"In Progress",
$AI116=15,"Completed",
SUM(AG116:AI116)&gt;15,"Error"
)</f>
        <v>In Progress</v>
      </c>
    </row>
    <row r="117" spans="1:36" ht="13" x14ac:dyDescent="0.25">
      <c r="A117" s="256"/>
      <c r="B117" s="286"/>
      <c r="C117" s="64" t="s">
        <v>1371</v>
      </c>
      <c r="D117" s="53" t="s">
        <v>9937</v>
      </c>
      <c r="E117" s="57" t="s">
        <v>9771</v>
      </c>
      <c r="F117" s="7" t="s">
        <v>43</v>
      </c>
      <c r="G117" s="7" t="s">
        <v>44</v>
      </c>
      <c r="H117" s="7" t="s">
        <v>9099</v>
      </c>
      <c r="I117" s="7" t="s">
        <v>9099</v>
      </c>
      <c r="J117" s="76">
        <v>29.250998584967</v>
      </c>
      <c r="K117" s="77">
        <v>41.442707148533302</v>
      </c>
      <c r="L117" s="138" t="str">
        <f t="shared" si="10"/>
        <v>29.250998584967,41.4427071485333</v>
      </c>
      <c r="M117" s="64" t="s">
        <v>10125</v>
      </c>
      <c r="N117" s="7">
        <v>10005961072</v>
      </c>
      <c r="O117" s="7"/>
      <c r="P117" s="201">
        <v>46116</v>
      </c>
      <c r="Q117" s="28" t="s">
        <v>11</v>
      </c>
      <c r="R117" s="28" t="s">
        <v>11</v>
      </c>
      <c r="S117" s="28" t="s">
        <v>11</v>
      </c>
      <c r="T117" s="28" t="s">
        <v>11</v>
      </c>
      <c r="U117" s="28" t="s">
        <v>10</v>
      </c>
      <c r="V117" s="28" t="s">
        <v>9</v>
      </c>
      <c r="W117" s="28" t="s">
        <v>9</v>
      </c>
      <c r="X117" s="28" t="s">
        <v>9</v>
      </c>
      <c r="Y117" s="28" t="s">
        <v>9</v>
      </c>
      <c r="Z117" s="28" t="s">
        <v>9</v>
      </c>
      <c r="AA117" s="28" t="s">
        <v>9</v>
      </c>
      <c r="AB117" s="28" t="s">
        <v>9</v>
      </c>
      <c r="AC117" s="28" t="s">
        <v>9</v>
      </c>
      <c r="AD117" s="28" t="s">
        <v>9</v>
      </c>
      <c r="AE117" s="28" t="s">
        <v>9</v>
      </c>
      <c r="AF117" s="28" t="s">
        <v>10</v>
      </c>
      <c r="AG117" s="24">
        <f t="shared" si="11"/>
        <v>10</v>
      </c>
      <c r="AH117" s="24">
        <f t="shared" si="12"/>
        <v>1</v>
      </c>
      <c r="AI117" s="24">
        <f t="shared" si="13"/>
        <v>4</v>
      </c>
      <c r="AJ117" s="41" t="str" cm="1">
        <f t="array" ref="AJ117">_xlfn.IFS(
$AG117=15,"Not Started",
$AI117&lt;15,"In Progress",
$AI117=15,"Completed",
SUM(AG117:AI117)&gt;15,"Error"
)</f>
        <v>In Progress</v>
      </c>
    </row>
    <row r="118" spans="1:36" ht="13" x14ac:dyDescent="0.25">
      <c r="A118" s="256"/>
      <c r="B118" s="286"/>
      <c r="C118" s="63" t="s">
        <v>1372</v>
      </c>
      <c r="D118" s="53" t="s">
        <v>9938</v>
      </c>
      <c r="E118" s="57" t="s">
        <v>9772</v>
      </c>
      <c r="F118" s="7" t="s">
        <v>43</v>
      </c>
      <c r="G118" s="7" t="s">
        <v>48</v>
      </c>
      <c r="H118" s="7" t="s">
        <v>9099</v>
      </c>
      <c r="I118" s="7" t="s">
        <v>9099</v>
      </c>
      <c r="J118" s="76">
        <v>30.500349</v>
      </c>
      <c r="K118" s="77">
        <v>38.223778000000003</v>
      </c>
      <c r="L118" s="138" t="str">
        <f t="shared" si="10"/>
        <v>30.500349,38.223778</v>
      </c>
      <c r="M118" s="64" t="s">
        <v>10126</v>
      </c>
      <c r="N118" s="7">
        <v>10006001534</v>
      </c>
      <c r="O118" s="7"/>
      <c r="P118" s="201"/>
      <c r="Q118" s="28" t="s">
        <v>9</v>
      </c>
      <c r="R118" s="28" t="s">
        <v>9</v>
      </c>
      <c r="S118" s="28" t="s">
        <v>9</v>
      </c>
      <c r="T118" s="28" t="s">
        <v>9</v>
      </c>
      <c r="U118" s="28" t="s">
        <v>9</v>
      </c>
      <c r="V118" s="28" t="s">
        <v>9</v>
      </c>
      <c r="W118" s="28" t="s">
        <v>9</v>
      </c>
      <c r="X118" s="28" t="s">
        <v>9</v>
      </c>
      <c r="Y118" s="28" t="s">
        <v>9</v>
      </c>
      <c r="Z118" s="28" t="s">
        <v>9</v>
      </c>
      <c r="AA118" s="28" t="s">
        <v>9</v>
      </c>
      <c r="AB118" s="28" t="s">
        <v>9</v>
      </c>
      <c r="AC118" s="28" t="s">
        <v>9</v>
      </c>
      <c r="AD118" s="28" t="s">
        <v>9</v>
      </c>
      <c r="AE118" s="28" t="s">
        <v>9</v>
      </c>
      <c r="AF118" s="28" t="s">
        <v>9</v>
      </c>
      <c r="AG118" s="24">
        <f t="shared" si="11"/>
        <v>15</v>
      </c>
      <c r="AH118" s="24">
        <f t="shared" si="12"/>
        <v>0</v>
      </c>
      <c r="AI118" s="24">
        <f t="shared" si="13"/>
        <v>0</v>
      </c>
      <c r="AJ118" s="41" t="str" cm="1">
        <f t="array" ref="AJ118">_xlfn.IFS(
$AG118=15,"Not Started",
$AI118&lt;15,"In Progress",
$AI118=15,"Completed",
SUM(AG118:AI118)&gt;15,"Error"
)</f>
        <v>Not Started</v>
      </c>
    </row>
    <row r="119" spans="1:36" ht="13" x14ac:dyDescent="0.25">
      <c r="A119" s="256"/>
      <c r="B119" s="286"/>
      <c r="C119" s="64" t="s">
        <v>1373</v>
      </c>
      <c r="D119" s="53" t="s">
        <v>9939</v>
      </c>
      <c r="E119" s="57" t="s">
        <v>9773</v>
      </c>
      <c r="F119" s="7" t="s">
        <v>43</v>
      </c>
      <c r="G119" s="7" t="s">
        <v>48</v>
      </c>
      <c r="H119" s="7" t="s">
        <v>9099</v>
      </c>
      <c r="I119" s="7" t="s">
        <v>9099</v>
      </c>
      <c r="J119" s="76">
        <v>29.883807185115302</v>
      </c>
      <c r="K119" s="77">
        <v>40.215135850508297</v>
      </c>
      <c r="L119" s="138" t="str">
        <f t="shared" si="10"/>
        <v>29.8838071851153,40.2151358505083</v>
      </c>
      <c r="M119" s="64" t="s">
        <v>10127</v>
      </c>
      <c r="N119" s="7">
        <v>10006043928</v>
      </c>
      <c r="O119" s="7"/>
      <c r="P119" s="201"/>
      <c r="Q119" s="28" t="s">
        <v>9</v>
      </c>
      <c r="R119" s="28" t="s">
        <v>9</v>
      </c>
      <c r="S119" s="28" t="s">
        <v>9</v>
      </c>
      <c r="T119" s="28" t="s">
        <v>9</v>
      </c>
      <c r="U119" s="28" t="s">
        <v>9</v>
      </c>
      <c r="V119" s="28" t="s">
        <v>9</v>
      </c>
      <c r="W119" s="28" t="s">
        <v>9</v>
      </c>
      <c r="X119" s="28" t="s">
        <v>9</v>
      </c>
      <c r="Y119" s="28" t="s">
        <v>9</v>
      </c>
      <c r="Z119" s="28" t="s">
        <v>9</v>
      </c>
      <c r="AA119" s="28" t="s">
        <v>9</v>
      </c>
      <c r="AB119" s="28" t="s">
        <v>9</v>
      </c>
      <c r="AC119" s="28" t="s">
        <v>9</v>
      </c>
      <c r="AD119" s="28" t="s">
        <v>9</v>
      </c>
      <c r="AE119" s="28" t="s">
        <v>9</v>
      </c>
      <c r="AF119" s="28" t="s">
        <v>9</v>
      </c>
      <c r="AG119" s="24">
        <f t="shared" si="11"/>
        <v>15</v>
      </c>
      <c r="AH119" s="24">
        <f t="shared" si="12"/>
        <v>0</v>
      </c>
      <c r="AI119" s="24">
        <f t="shared" si="13"/>
        <v>0</v>
      </c>
      <c r="AJ119" s="41" t="str" cm="1">
        <f t="array" ref="AJ119">_xlfn.IFS(
$AG119=15,"Not Started",
$AI119&lt;15,"In Progress",
$AI119=15,"Completed",
SUM(AG119:AI119)&gt;15,"Error"
)</f>
        <v>Not Started</v>
      </c>
    </row>
    <row r="120" spans="1:36" ht="13" x14ac:dyDescent="0.25">
      <c r="A120" s="256"/>
      <c r="B120" s="286"/>
      <c r="C120" s="63" t="s">
        <v>1374</v>
      </c>
      <c r="D120" s="53" t="s">
        <v>9940</v>
      </c>
      <c r="E120" s="57" t="s">
        <v>9774</v>
      </c>
      <c r="F120" s="7" t="s">
        <v>43</v>
      </c>
      <c r="G120" s="7" t="s">
        <v>44</v>
      </c>
      <c r="H120" s="7" t="s">
        <v>9099</v>
      </c>
      <c r="I120" s="7" t="s">
        <v>9099</v>
      </c>
      <c r="J120" s="76">
        <v>29.247078801656901</v>
      </c>
      <c r="K120" s="77">
        <v>41.445016211374799</v>
      </c>
      <c r="L120" s="138" t="str">
        <f t="shared" si="10"/>
        <v>29.2470788016569,41.4450162113748</v>
      </c>
      <c r="M120" s="64" t="s">
        <v>10128</v>
      </c>
      <c r="N120" s="7">
        <v>10092968724</v>
      </c>
      <c r="O120" s="7"/>
      <c r="P120" s="201"/>
      <c r="Q120" s="28" t="s">
        <v>11</v>
      </c>
      <c r="R120" s="28" t="s">
        <v>11</v>
      </c>
      <c r="S120" s="28" t="s">
        <v>11</v>
      </c>
      <c r="T120" s="28" t="s">
        <v>11</v>
      </c>
      <c r="U120" s="28" t="s">
        <v>10</v>
      </c>
      <c r="V120" s="28" t="s">
        <v>9</v>
      </c>
      <c r="W120" s="28" t="s">
        <v>9</v>
      </c>
      <c r="X120" s="28" t="s">
        <v>9</v>
      </c>
      <c r="Y120" s="28" t="s">
        <v>9</v>
      </c>
      <c r="Z120" s="28" t="s">
        <v>9</v>
      </c>
      <c r="AA120" s="28" t="s">
        <v>9</v>
      </c>
      <c r="AB120" s="28" t="s">
        <v>9</v>
      </c>
      <c r="AC120" s="28" t="s">
        <v>9</v>
      </c>
      <c r="AD120" s="28" t="s">
        <v>9</v>
      </c>
      <c r="AE120" s="28" t="s">
        <v>9</v>
      </c>
      <c r="AF120" s="28" t="s">
        <v>10</v>
      </c>
      <c r="AG120" s="24">
        <f t="shared" si="11"/>
        <v>10</v>
      </c>
      <c r="AH120" s="24">
        <f t="shared" si="12"/>
        <v>1</v>
      </c>
      <c r="AI120" s="24">
        <f t="shared" si="13"/>
        <v>4</v>
      </c>
      <c r="AJ120" s="41" t="str" cm="1">
        <f t="array" ref="AJ120">_xlfn.IFS(
$AG120=15,"Not Started",
$AI120&lt;15,"In Progress",
$AI120=15,"Completed",
SUM(AG120:AI120)&gt;15,"Error"
)</f>
        <v>In Progress</v>
      </c>
    </row>
    <row r="121" spans="1:36" ht="13" x14ac:dyDescent="0.25">
      <c r="A121" s="256"/>
      <c r="B121" s="286"/>
      <c r="C121" s="64" t="s">
        <v>1375</v>
      </c>
      <c r="D121" s="53" t="s">
        <v>9941</v>
      </c>
      <c r="E121" s="57" t="s">
        <v>9775</v>
      </c>
      <c r="F121" s="7" t="s">
        <v>47</v>
      </c>
      <c r="G121" s="7" t="s">
        <v>44</v>
      </c>
      <c r="H121" s="7" t="s">
        <v>9099</v>
      </c>
      <c r="I121" s="7" t="s">
        <v>9099</v>
      </c>
      <c r="J121" s="76">
        <v>29.947300571356902</v>
      </c>
      <c r="K121" s="77">
        <v>40.182637878286101</v>
      </c>
      <c r="L121" s="138" t="str">
        <f t="shared" si="10"/>
        <v>29.9473005713569,40.1826378782861</v>
      </c>
      <c r="M121" s="64" t="s">
        <v>10129</v>
      </c>
      <c r="N121" s="7">
        <v>10101207092</v>
      </c>
      <c r="O121" s="7"/>
      <c r="P121" s="201"/>
      <c r="Q121" s="28" t="s">
        <v>11</v>
      </c>
      <c r="R121" s="28" t="s">
        <v>11</v>
      </c>
      <c r="S121" s="28" t="s">
        <v>11</v>
      </c>
      <c r="T121" s="28" t="s">
        <v>11</v>
      </c>
      <c r="U121" s="28" t="s">
        <v>10</v>
      </c>
      <c r="V121" s="28" t="s">
        <v>9</v>
      </c>
      <c r="W121" s="28" t="s">
        <v>9</v>
      </c>
      <c r="X121" s="28" t="s">
        <v>9</v>
      </c>
      <c r="Y121" s="28" t="s">
        <v>9</v>
      </c>
      <c r="Z121" s="28" t="s">
        <v>9</v>
      </c>
      <c r="AA121" s="28" t="s">
        <v>9</v>
      </c>
      <c r="AB121" s="28" t="s">
        <v>9</v>
      </c>
      <c r="AC121" s="28" t="s">
        <v>9</v>
      </c>
      <c r="AD121" s="28" t="s">
        <v>9</v>
      </c>
      <c r="AE121" s="28" t="s">
        <v>9</v>
      </c>
      <c r="AF121" s="28" t="s">
        <v>10</v>
      </c>
      <c r="AG121" s="24">
        <f t="shared" si="11"/>
        <v>10</v>
      </c>
      <c r="AH121" s="24">
        <f t="shared" si="12"/>
        <v>1</v>
      </c>
      <c r="AI121" s="24">
        <f t="shared" si="13"/>
        <v>4</v>
      </c>
      <c r="AJ121" s="41" t="str" cm="1">
        <f t="array" ref="AJ121">_xlfn.IFS(
$AG121=15,"Not Started",
$AI121&lt;15,"In Progress",
$AI121=15,"Completed",
SUM(AG121:AI121)&gt;15,"Error"
)</f>
        <v>In Progress</v>
      </c>
    </row>
    <row r="122" spans="1:36" ht="13" x14ac:dyDescent="0.25">
      <c r="A122" s="256"/>
      <c r="B122" s="286"/>
      <c r="C122" s="63" t="s">
        <v>1376</v>
      </c>
      <c r="D122" s="146" t="s">
        <v>10902</v>
      </c>
      <c r="E122" s="144" t="s">
        <v>10903</v>
      </c>
      <c r="F122" s="7" t="s">
        <v>47</v>
      </c>
      <c r="G122" s="7" t="s">
        <v>48</v>
      </c>
      <c r="H122" s="7" t="s">
        <v>9099</v>
      </c>
      <c r="I122" s="7" t="s">
        <v>9099</v>
      </c>
      <c r="J122" s="76">
        <v>29.832840760921702</v>
      </c>
      <c r="K122" s="77">
        <v>39.869381062423003</v>
      </c>
      <c r="L122" s="64" t="s">
        <v>10904</v>
      </c>
      <c r="M122" s="7">
        <v>10006004859</v>
      </c>
      <c r="N122" s="7"/>
      <c r="O122" s="7"/>
      <c r="P122" s="201"/>
      <c r="Q122" s="28" t="s">
        <v>9</v>
      </c>
      <c r="R122" s="28" t="s">
        <v>9</v>
      </c>
      <c r="S122" s="28" t="s">
        <v>9</v>
      </c>
      <c r="T122" s="28" t="s">
        <v>9</v>
      </c>
      <c r="U122" s="28" t="s">
        <v>9</v>
      </c>
      <c r="V122" s="28" t="s">
        <v>9</v>
      </c>
      <c r="W122" s="28" t="s">
        <v>9</v>
      </c>
      <c r="X122" s="28" t="s">
        <v>9</v>
      </c>
      <c r="Y122" s="28" t="s">
        <v>9</v>
      </c>
      <c r="Z122" s="28" t="s">
        <v>9</v>
      </c>
      <c r="AA122" s="28" t="s">
        <v>9</v>
      </c>
      <c r="AB122" s="28" t="s">
        <v>9</v>
      </c>
      <c r="AC122" s="28" t="s">
        <v>9</v>
      </c>
      <c r="AD122" s="28" t="s">
        <v>9</v>
      </c>
      <c r="AE122" s="28" t="s">
        <v>9</v>
      </c>
      <c r="AF122" s="28" t="s">
        <v>9</v>
      </c>
      <c r="AG122" s="24">
        <f>COUNTIF(Q122:AD122,$AH$2)</f>
        <v>0</v>
      </c>
      <c r="AH122" s="24">
        <f>COUNTIF(Q122:AD122,$AI$2)</f>
        <v>0</v>
      </c>
      <c r="AI122" s="41" t="str" cm="1">
        <f t="array" aca="1" ref="AI122" ca="1">_xlfn.IFS(
$AG122=15,"Not Started",
$AI122&lt;15,"In Progress",
$AI122=15,"Completed",
SUM(AF122:AH122)&gt;15,"Error"
)</f>
        <v>In Progress</v>
      </c>
      <c r="AJ122" s="41" t="str" cm="1">
        <f t="array" aca="1" ref="AJ122" ca="1">_xlfn.IFS(
$AG122=15,"Not Started",
$AI122&lt;15,"In Progress",
$AI122=15,"Completed",
SUM(AG122:AI122)&gt;15,"Error"
)</f>
        <v>Not Started</v>
      </c>
    </row>
    <row r="123" spans="1:36" ht="13" x14ac:dyDescent="0.25">
      <c r="A123" s="256"/>
      <c r="B123" s="286"/>
      <c r="C123" s="64" t="s">
        <v>1377</v>
      </c>
      <c r="D123" s="53" t="s">
        <v>9942</v>
      </c>
      <c r="E123" s="57" t="s">
        <v>9776</v>
      </c>
      <c r="F123" s="7" t="s">
        <v>43</v>
      </c>
      <c r="G123" s="7" t="s">
        <v>48</v>
      </c>
      <c r="H123" s="7" t="s">
        <v>9099</v>
      </c>
      <c r="I123" s="7" t="s">
        <v>9099</v>
      </c>
      <c r="J123" s="76">
        <v>31.3247075065219</v>
      </c>
      <c r="K123" s="77">
        <v>37.3536136472949</v>
      </c>
      <c r="L123" s="138" t="str">
        <f t="shared" si="10"/>
        <v>31.3247075065219,37.3536136472949</v>
      </c>
      <c r="M123" s="64" t="s">
        <v>10130</v>
      </c>
      <c r="N123" s="7">
        <v>10006011316</v>
      </c>
      <c r="O123" s="7"/>
      <c r="P123" s="201">
        <v>46142</v>
      </c>
      <c r="Q123" s="28" t="s">
        <v>11</v>
      </c>
      <c r="R123" s="28" t="s">
        <v>11</v>
      </c>
      <c r="S123" s="28" t="s">
        <v>11</v>
      </c>
      <c r="T123" s="28" t="s">
        <v>11</v>
      </c>
      <c r="U123" s="28" t="s">
        <v>9</v>
      </c>
      <c r="V123" s="28" t="s">
        <v>9</v>
      </c>
      <c r="W123" s="28" t="s">
        <v>9</v>
      </c>
      <c r="X123" s="28" t="s">
        <v>9</v>
      </c>
      <c r="Y123" s="28" t="s">
        <v>9</v>
      </c>
      <c r="Z123" s="28" t="s">
        <v>9</v>
      </c>
      <c r="AA123" s="28" t="s">
        <v>9</v>
      </c>
      <c r="AB123" s="28" t="s">
        <v>9</v>
      </c>
      <c r="AC123" s="28" t="s">
        <v>9</v>
      </c>
      <c r="AD123" s="28" t="s">
        <v>9</v>
      </c>
      <c r="AE123" s="28" t="s">
        <v>9</v>
      </c>
      <c r="AF123" s="28" t="s">
        <v>10</v>
      </c>
      <c r="AG123" s="24">
        <f t="shared" si="11"/>
        <v>11</v>
      </c>
      <c r="AH123" s="24">
        <f t="shared" si="12"/>
        <v>0</v>
      </c>
      <c r="AI123" s="24">
        <f t="shared" si="13"/>
        <v>4</v>
      </c>
      <c r="AJ123" s="41" t="str" cm="1">
        <f t="array" ref="AJ123">_xlfn.IFS(
$AG123=15,"Not Started",
$AI123&lt;15,"In Progress",
$AI123=15,"Completed",
SUM(AG123:AI123)&gt;15,"Error"
)</f>
        <v>In Progress</v>
      </c>
    </row>
    <row r="124" spans="1:36" ht="13" x14ac:dyDescent="0.25">
      <c r="A124" s="256"/>
      <c r="B124" s="286"/>
      <c r="C124" s="63" t="s">
        <v>1378</v>
      </c>
      <c r="D124" s="53" t="s">
        <v>9943</v>
      </c>
      <c r="E124" s="57" t="s">
        <v>9777</v>
      </c>
      <c r="F124" s="7" t="s">
        <v>51</v>
      </c>
      <c r="G124" s="7" t="s">
        <v>48</v>
      </c>
      <c r="H124" s="7" t="s">
        <v>9099</v>
      </c>
      <c r="I124" s="7" t="s">
        <v>9099</v>
      </c>
      <c r="J124" s="76">
        <v>31.3381899567072</v>
      </c>
      <c r="K124" s="77">
        <v>37.324441385803198</v>
      </c>
      <c r="L124" s="138" t="str">
        <f t="shared" si="10"/>
        <v>31.3381899567072,37.3244413858032</v>
      </c>
      <c r="M124" s="64" t="s">
        <v>10131</v>
      </c>
      <c r="N124" s="7">
        <v>10005977107</v>
      </c>
      <c r="O124" s="7"/>
      <c r="P124" s="201">
        <v>46127</v>
      </c>
      <c r="Q124" s="28" t="s">
        <v>11</v>
      </c>
      <c r="R124" s="28" t="s">
        <v>11</v>
      </c>
      <c r="S124" s="28" t="s">
        <v>11</v>
      </c>
      <c r="T124" s="28" t="s">
        <v>11</v>
      </c>
      <c r="U124" s="28" t="s">
        <v>10</v>
      </c>
      <c r="V124" s="28" t="s">
        <v>9</v>
      </c>
      <c r="W124" s="28" t="s">
        <v>9</v>
      </c>
      <c r="X124" s="28" t="s">
        <v>9</v>
      </c>
      <c r="Y124" s="28" t="s">
        <v>9</v>
      </c>
      <c r="Z124" s="28" t="s">
        <v>9</v>
      </c>
      <c r="AA124" s="28" t="s">
        <v>9</v>
      </c>
      <c r="AB124" s="28" t="s">
        <v>9</v>
      </c>
      <c r="AC124" s="28" t="s">
        <v>9</v>
      </c>
      <c r="AD124" s="28" t="s">
        <v>9</v>
      </c>
      <c r="AE124" s="28" t="s">
        <v>9</v>
      </c>
      <c r="AF124" s="28" t="s">
        <v>10</v>
      </c>
      <c r="AG124" s="24">
        <f t="shared" si="11"/>
        <v>10</v>
      </c>
      <c r="AH124" s="24">
        <f t="shared" si="12"/>
        <v>1</v>
      </c>
      <c r="AI124" s="24">
        <f t="shared" si="13"/>
        <v>4</v>
      </c>
      <c r="AJ124" s="41" t="str" cm="1">
        <f t="array" ref="AJ124">_xlfn.IFS(
$AG124=15,"Not Started",
$AI124&lt;15,"In Progress",
$AI124=15,"Completed",
SUM(AG124:AI124)&gt;15,"Error"
)</f>
        <v>In Progress</v>
      </c>
    </row>
    <row r="125" spans="1:36" ht="13" x14ac:dyDescent="0.25">
      <c r="A125" s="256"/>
      <c r="B125" s="286"/>
      <c r="C125" s="64" t="s">
        <v>1379</v>
      </c>
      <c r="D125" s="53" t="s">
        <v>9944</v>
      </c>
      <c r="E125" s="57" t="s">
        <v>9778</v>
      </c>
      <c r="F125" s="7" t="s">
        <v>51</v>
      </c>
      <c r="G125" s="7" t="s">
        <v>48</v>
      </c>
      <c r="H125" s="7" t="s">
        <v>9099</v>
      </c>
      <c r="I125" s="7" t="s">
        <v>9099</v>
      </c>
      <c r="J125" s="76">
        <v>31.344873061164002</v>
      </c>
      <c r="K125" s="77">
        <v>37.346556804677597</v>
      </c>
      <c r="L125" s="138" t="str">
        <f t="shared" si="10"/>
        <v>31.344873061164,37.3465568046776</v>
      </c>
      <c r="M125" s="64" t="s">
        <v>10132</v>
      </c>
      <c r="N125" s="7">
        <v>10005979433</v>
      </c>
      <c r="O125" s="7"/>
      <c r="P125" s="201">
        <v>46142</v>
      </c>
      <c r="Q125" s="28" t="s">
        <v>11</v>
      </c>
      <c r="R125" s="28" t="s">
        <v>11</v>
      </c>
      <c r="S125" s="28" t="s">
        <v>11</v>
      </c>
      <c r="T125" s="28" t="s">
        <v>11</v>
      </c>
      <c r="U125" s="28" t="s">
        <v>10</v>
      </c>
      <c r="V125" s="28" t="s">
        <v>9</v>
      </c>
      <c r="W125" s="28" t="s">
        <v>9</v>
      </c>
      <c r="X125" s="28" t="s">
        <v>9</v>
      </c>
      <c r="Y125" s="28" t="s">
        <v>9</v>
      </c>
      <c r="Z125" s="28" t="s">
        <v>9</v>
      </c>
      <c r="AA125" s="28" t="s">
        <v>9</v>
      </c>
      <c r="AB125" s="28" t="s">
        <v>9</v>
      </c>
      <c r="AC125" s="28" t="s">
        <v>9</v>
      </c>
      <c r="AD125" s="28" t="s">
        <v>9</v>
      </c>
      <c r="AE125" s="28" t="s">
        <v>9</v>
      </c>
      <c r="AF125" s="28" t="s">
        <v>10</v>
      </c>
      <c r="AG125" s="24">
        <f t="shared" si="11"/>
        <v>10</v>
      </c>
      <c r="AH125" s="24">
        <f t="shared" si="12"/>
        <v>1</v>
      </c>
      <c r="AI125" s="24">
        <f t="shared" si="13"/>
        <v>4</v>
      </c>
      <c r="AJ125" s="41" t="str" cm="1">
        <f t="array" ref="AJ125">_xlfn.IFS(
$AG125=15,"Not Started",
$AI125&lt;15,"In Progress",
$AI125=15,"Completed",
SUM(AG125:AI125)&gt;15,"Error"
)</f>
        <v>In Progress</v>
      </c>
    </row>
    <row r="126" spans="1:36" ht="13" x14ac:dyDescent="0.25">
      <c r="A126" s="256"/>
      <c r="B126" s="286"/>
      <c r="C126" s="63" t="s">
        <v>1380</v>
      </c>
      <c r="D126" s="53" t="s">
        <v>9945</v>
      </c>
      <c r="E126" s="57" t="s">
        <v>5827</v>
      </c>
      <c r="F126" s="7" t="s">
        <v>47</v>
      </c>
      <c r="G126" s="7" t="s">
        <v>48</v>
      </c>
      <c r="H126" s="7" t="s">
        <v>9099</v>
      </c>
      <c r="I126" s="7" t="s">
        <v>9099</v>
      </c>
      <c r="J126" s="76">
        <v>31.342353999298801</v>
      </c>
      <c r="K126" s="77">
        <v>37.348077938637502</v>
      </c>
      <c r="L126" s="138" t="str">
        <f t="shared" si="10"/>
        <v>31.3423539992988,37.3480779386375</v>
      </c>
      <c r="M126" s="64" t="s">
        <v>10133</v>
      </c>
      <c r="N126" s="7">
        <v>10005979255</v>
      </c>
      <c r="O126" s="7"/>
      <c r="P126" s="202">
        <v>46145</v>
      </c>
      <c r="Q126" s="28" t="s">
        <v>11</v>
      </c>
      <c r="R126" s="28" t="s">
        <v>11</v>
      </c>
      <c r="S126" s="28" t="s">
        <v>11</v>
      </c>
      <c r="T126" s="28" t="s">
        <v>11</v>
      </c>
      <c r="U126" s="28" t="s">
        <v>10</v>
      </c>
      <c r="V126" s="28" t="s">
        <v>9</v>
      </c>
      <c r="W126" s="28" t="s">
        <v>9</v>
      </c>
      <c r="X126" s="28" t="s">
        <v>9</v>
      </c>
      <c r="Y126" s="28" t="s">
        <v>9</v>
      </c>
      <c r="Z126" s="28" t="s">
        <v>9</v>
      </c>
      <c r="AA126" s="28" t="s">
        <v>9</v>
      </c>
      <c r="AB126" s="28" t="s">
        <v>9</v>
      </c>
      <c r="AC126" s="28" t="s">
        <v>9</v>
      </c>
      <c r="AD126" s="28" t="s">
        <v>9</v>
      </c>
      <c r="AE126" s="28" t="s">
        <v>9</v>
      </c>
      <c r="AF126" s="28" t="s">
        <v>10</v>
      </c>
      <c r="AG126" s="24">
        <f t="shared" si="11"/>
        <v>10</v>
      </c>
      <c r="AH126" s="24">
        <f t="shared" si="12"/>
        <v>1</v>
      </c>
      <c r="AI126" s="24">
        <f t="shared" si="13"/>
        <v>4</v>
      </c>
      <c r="AJ126" s="41" t="str" cm="1">
        <f t="array" ref="AJ126">_xlfn.IFS(
$AG126=15,"Not Started",
$AI126&lt;15,"In Progress",
$AI126=15,"Completed",
SUM(AG126:AI126)&gt;15,"Error"
)</f>
        <v>In Progress</v>
      </c>
    </row>
    <row r="127" spans="1:36" ht="13" x14ac:dyDescent="0.25">
      <c r="A127" s="256"/>
      <c r="B127" s="286"/>
      <c r="C127" s="64" t="s">
        <v>1381</v>
      </c>
      <c r="D127" s="53" t="s">
        <v>9946</v>
      </c>
      <c r="E127" s="57" t="s">
        <v>9779</v>
      </c>
      <c r="F127" s="7" t="s">
        <v>43</v>
      </c>
      <c r="G127" s="7" t="s">
        <v>48</v>
      </c>
      <c r="H127" s="7" t="s">
        <v>9099</v>
      </c>
      <c r="I127" s="7" t="s">
        <v>9099</v>
      </c>
      <c r="J127" s="76">
        <v>31.342108158030101</v>
      </c>
      <c r="K127" s="77">
        <v>37.339405274277702</v>
      </c>
      <c r="L127" s="138" t="str">
        <f t="shared" si="10"/>
        <v>31.3421081580301,37.3394052742777</v>
      </c>
      <c r="M127" s="64" t="s">
        <v>10134</v>
      </c>
      <c r="N127" s="7">
        <v>10006009480</v>
      </c>
      <c r="O127" s="7"/>
      <c r="P127" s="201"/>
      <c r="Q127" s="28" t="s">
        <v>9</v>
      </c>
      <c r="R127" s="28" t="s">
        <v>9</v>
      </c>
      <c r="S127" s="28" t="s">
        <v>9</v>
      </c>
      <c r="T127" s="28" t="s">
        <v>9</v>
      </c>
      <c r="U127" s="28" t="s">
        <v>9</v>
      </c>
      <c r="V127" s="28" t="s">
        <v>9</v>
      </c>
      <c r="W127" s="28" t="s">
        <v>9</v>
      </c>
      <c r="X127" s="28" t="s">
        <v>9</v>
      </c>
      <c r="Y127" s="28" t="s">
        <v>9</v>
      </c>
      <c r="Z127" s="28" t="s">
        <v>9</v>
      </c>
      <c r="AA127" s="28" t="s">
        <v>9</v>
      </c>
      <c r="AB127" s="28" t="s">
        <v>9</v>
      </c>
      <c r="AC127" s="28" t="s">
        <v>9</v>
      </c>
      <c r="AD127" s="28" t="s">
        <v>9</v>
      </c>
      <c r="AE127" s="28" t="s">
        <v>9</v>
      </c>
      <c r="AF127" s="28" t="s">
        <v>9</v>
      </c>
      <c r="AG127" s="24">
        <f t="shared" si="11"/>
        <v>15</v>
      </c>
      <c r="AH127" s="24">
        <f t="shared" si="12"/>
        <v>0</v>
      </c>
      <c r="AI127" s="24">
        <f t="shared" si="13"/>
        <v>0</v>
      </c>
      <c r="AJ127" s="41" t="str" cm="1">
        <f t="array" ref="AJ127">_xlfn.IFS(
$AG127=15,"Not Started",
$AI127&lt;15,"In Progress",
$AI127=15,"Completed",
SUM(AG127:AI127)&gt;15,"Error"
)</f>
        <v>Not Started</v>
      </c>
    </row>
    <row r="128" spans="1:36" ht="13" x14ac:dyDescent="0.25">
      <c r="A128" s="256"/>
      <c r="B128" s="286"/>
      <c r="C128" s="63" t="s">
        <v>1382</v>
      </c>
      <c r="D128" s="53" t="s">
        <v>9947</v>
      </c>
      <c r="E128" s="57" t="s">
        <v>9780</v>
      </c>
      <c r="F128" s="7" t="s">
        <v>43</v>
      </c>
      <c r="G128" s="7" t="s">
        <v>48</v>
      </c>
      <c r="H128" s="7" t="s">
        <v>9099</v>
      </c>
      <c r="I128" s="7" t="s">
        <v>9099</v>
      </c>
      <c r="J128" s="76">
        <v>31.3376028924908</v>
      </c>
      <c r="K128" s="77">
        <v>37.323996588579902</v>
      </c>
      <c r="L128" s="138" t="str">
        <f t="shared" si="10"/>
        <v>31.3376028924908,37.3239965885799</v>
      </c>
      <c r="M128" s="64" t="s">
        <v>10135</v>
      </c>
      <c r="N128" s="7">
        <v>10018876101</v>
      </c>
      <c r="O128" s="7"/>
      <c r="P128" s="201"/>
      <c r="Q128" s="28" t="s">
        <v>9</v>
      </c>
      <c r="R128" s="28" t="s">
        <v>9</v>
      </c>
      <c r="S128" s="28" t="s">
        <v>9</v>
      </c>
      <c r="T128" s="28" t="s">
        <v>9</v>
      </c>
      <c r="U128" s="28" t="s">
        <v>9</v>
      </c>
      <c r="V128" s="28" t="s">
        <v>9</v>
      </c>
      <c r="W128" s="28" t="s">
        <v>9</v>
      </c>
      <c r="X128" s="28" t="s">
        <v>9</v>
      </c>
      <c r="Y128" s="28" t="s">
        <v>9</v>
      </c>
      <c r="Z128" s="28" t="s">
        <v>9</v>
      </c>
      <c r="AA128" s="28" t="s">
        <v>9</v>
      </c>
      <c r="AB128" s="28" t="s">
        <v>9</v>
      </c>
      <c r="AC128" s="28" t="s">
        <v>9</v>
      </c>
      <c r="AD128" s="28" t="s">
        <v>9</v>
      </c>
      <c r="AE128" s="28" t="s">
        <v>9</v>
      </c>
      <c r="AF128" s="28" t="s">
        <v>9</v>
      </c>
      <c r="AG128" s="24">
        <f t="shared" si="11"/>
        <v>15</v>
      </c>
      <c r="AH128" s="24">
        <f t="shared" si="12"/>
        <v>0</v>
      </c>
      <c r="AI128" s="24">
        <f t="shared" si="13"/>
        <v>0</v>
      </c>
      <c r="AJ128" s="41" t="str" cm="1">
        <f t="array" ref="AJ128">_xlfn.IFS(
$AG128=15,"Not Started",
$AI128&lt;15,"In Progress",
$AI128=15,"Completed",
SUM(AG128:AI128)&gt;15,"Error"
)</f>
        <v>Not Started</v>
      </c>
    </row>
    <row r="129" spans="1:36" ht="13" x14ac:dyDescent="0.25">
      <c r="A129" s="256"/>
      <c r="B129" s="286"/>
      <c r="C129" s="64" t="s">
        <v>1383</v>
      </c>
      <c r="D129" s="53" t="s">
        <v>9948</v>
      </c>
      <c r="E129" s="57" t="s">
        <v>9781</v>
      </c>
      <c r="F129" s="7" t="s">
        <v>47</v>
      </c>
      <c r="G129" s="7" t="s">
        <v>48</v>
      </c>
      <c r="H129" s="7" t="s">
        <v>9099</v>
      </c>
      <c r="I129" s="7" t="s">
        <v>9099</v>
      </c>
      <c r="J129" s="76">
        <v>31.3181958164311</v>
      </c>
      <c r="K129" s="77">
        <v>37.347411910439398</v>
      </c>
      <c r="L129" s="138" t="str">
        <f t="shared" si="10"/>
        <v>31.3181958164311,37.3474119104394</v>
      </c>
      <c r="M129" s="64" t="s">
        <v>10136</v>
      </c>
      <c r="N129" s="7">
        <v>10005977582</v>
      </c>
      <c r="O129" s="7"/>
      <c r="P129" s="201"/>
      <c r="Q129" s="28" t="s">
        <v>9</v>
      </c>
      <c r="R129" s="28" t="s">
        <v>9</v>
      </c>
      <c r="S129" s="28" t="s">
        <v>9</v>
      </c>
      <c r="T129" s="28" t="s">
        <v>9</v>
      </c>
      <c r="U129" s="28" t="s">
        <v>9</v>
      </c>
      <c r="V129" s="28" t="s">
        <v>9</v>
      </c>
      <c r="W129" s="28" t="s">
        <v>9</v>
      </c>
      <c r="X129" s="28" t="s">
        <v>9</v>
      </c>
      <c r="Y129" s="28" t="s">
        <v>9</v>
      </c>
      <c r="Z129" s="28" t="s">
        <v>9</v>
      </c>
      <c r="AA129" s="28" t="s">
        <v>9</v>
      </c>
      <c r="AB129" s="28" t="s">
        <v>9</v>
      </c>
      <c r="AC129" s="28" t="s">
        <v>9</v>
      </c>
      <c r="AD129" s="28" t="s">
        <v>9</v>
      </c>
      <c r="AE129" s="28" t="s">
        <v>9</v>
      </c>
      <c r="AF129" s="28" t="s">
        <v>9</v>
      </c>
      <c r="AG129" s="24">
        <f t="shared" si="11"/>
        <v>15</v>
      </c>
      <c r="AH129" s="24">
        <f t="shared" si="12"/>
        <v>0</v>
      </c>
      <c r="AI129" s="24">
        <f t="shared" si="13"/>
        <v>0</v>
      </c>
      <c r="AJ129" s="41" t="str" cm="1">
        <f t="array" ref="AJ129">_xlfn.IFS(
$AG129=15,"Not Started",
$AI129&lt;15,"In Progress",
$AI129=15,"Completed",
SUM(AG129:AI129)&gt;15,"Error"
)</f>
        <v>Not Started</v>
      </c>
    </row>
    <row r="130" spans="1:36" ht="13" x14ac:dyDescent="0.25">
      <c r="A130" s="256"/>
      <c r="B130" s="286"/>
      <c r="C130" s="63" t="s">
        <v>1384</v>
      </c>
      <c r="D130" s="53" t="s">
        <v>9949</v>
      </c>
      <c r="E130" s="57" t="s">
        <v>9782</v>
      </c>
      <c r="F130" s="7" t="s">
        <v>10217</v>
      </c>
      <c r="G130" s="7" t="s">
        <v>44</v>
      </c>
      <c r="H130" s="7" t="s">
        <v>9099</v>
      </c>
      <c r="I130" s="7" t="s">
        <v>9099</v>
      </c>
      <c r="J130" s="76">
        <v>31.297489667390298</v>
      </c>
      <c r="K130" s="77">
        <v>37.337196841653999</v>
      </c>
      <c r="L130" s="138" t="str">
        <f t="shared" si="10"/>
        <v>31.2974896673903,37.337196841654</v>
      </c>
      <c r="M130" s="64" t="s">
        <v>10137</v>
      </c>
      <c r="N130" s="7">
        <v>10005979891</v>
      </c>
      <c r="O130" s="7"/>
      <c r="P130" s="201"/>
      <c r="Q130" s="28" t="s">
        <v>9</v>
      </c>
      <c r="R130" s="28" t="s">
        <v>9</v>
      </c>
      <c r="S130" s="28" t="s">
        <v>9</v>
      </c>
      <c r="T130" s="28" t="s">
        <v>9</v>
      </c>
      <c r="U130" s="28" t="s">
        <v>9</v>
      </c>
      <c r="V130" s="28" t="s">
        <v>9</v>
      </c>
      <c r="W130" s="28" t="s">
        <v>9</v>
      </c>
      <c r="X130" s="28" t="s">
        <v>9</v>
      </c>
      <c r="Y130" s="28" t="s">
        <v>9</v>
      </c>
      <c r="Z130" s="28" t="s">
        <v>9</v>
      </c>
      <c r="AA130" s="28" t="s">
        <v>9</v>
      </c>
      <c r="AB130" s="28" t="s">
        <v>9</v>
      </c>
      <c r="AC130" s="28" t="s">
        <v>9</v>
      </c>
      <c r="AD130" s="28" t="s">
        <v>9</v>
      </c>
      <c r="AE130" s="28" t="s">
        <v>9</v>
      </c>
      <c r="AF130" s="28" t="s">
        <v>9</v>
      </c>
      <c r="AG130" s="24">
        <f t="shared" si="11"/>
        <v>15</v>
      </c>
      <c r="AH130" s="24">
        <f t="shared" si="12"/>
        <v>0</v>
      </c>
      <c r="AI130" s="24">
        <f t="shared" si="13"/>
        <v>0</v>
      </c>
      <c r="AJ130" s="41" t="str" cm="1">
        <f t="array" ref="AJ130">_xlfn.IFS(
$AG130=15,"Not Started",
$AI130&lt;15,"In Progress",
$AI130=15,"Completed",
SUM(AG130:AI130)&gt;15,"Error"
)</f>
        <v>Not Started</v>
      </c>
    </row>
    <row r="131" spans="1:36" ht="13" x14ac:dyDescent="0.25">
      <c r="A131" s="256"/>
      <c r="B131" s="286"/>
      <c r="C131" s="64" t="s">
        <v>1385</v>
      </c>
      <c r="D131" s="53" t="s">
        <v>9950</v>
      </c>
      <c r="E131" s="57" t="s">
        <v>9783</v>
      </c>
      <c r="F131" s="7" t="s">
        <v>43</v>
      </c>
      <c r="G131" s="7" t="s">
        <v>48</v>
      </c>
      <c r="H131" s="7" t="s">
        <v>9099</v>
      </c>
      <c r="I131" s="7" t="s">
        <v>9099</v>
      </c>
      <c r="J131" s="76">
        <v>31.331027252054501</v>
      </c>
      <c r="K131" s="77">
        <v>37.356042301703397</v>
      </c>
      <c r="L131" s="138" t="str">
        <f t="shared" si="10"/>
        <v>31.3310272520545,37.3560423017034</v>
      </c>
      <c r="M131" s="64" t="s">
        <v>10138</v>
      </c>
      <c r="N131" s="7">
        <v>10005979166</v>
      </c>
      <c r="O131" s="7"/>
      <c r="P131" s="201"/>
      <c r="Q131" s="28" t="s">
        <v>9</v>
      </c>
      <c r="R131" s="28" t="s">
        <v>9</v>
      </c>
      <c r="S131" s="28" t="s">
        <v>9</v>
      </c>
      <c r="T131" s="28" t="s">
        <v>9</v>
      </c>
      <c r="U131" s="28" t="s">
        <v>9</v>
      </c>
      <c r="V131" s="28" t="s">
        <v>9</v>
      </c>
      <c r="W131" s="28" t="s">
        <v>9</v>
      </c>
      <c r="X131" s="28" t="s">
        <v>9</v>
      </c>
      <c r="Y131" s="28" t="s">
        <v>9</v>
      </c>
      <c r="Z131" s="28" t="s">
        <v>9</v>
      </c>
      <c r="AA131" s="28" t="s">
        <v>9</v>
      </c>
      <c r="AB131" s="28" t="s">
        <v>9</v>
      </c>
      <c r="AC131" s="28" t="s">
        <v>9</v>
      </c>
      <c r="AD131" s="28" t="s">
        <v>9</v>
      </c>
      <c r="AE131" s="28" t="s">
        <v>9</v>
      </c>
      <c r="AF131" s="28" t="s">
        <v>9</v>
      </c>
      <c r="AG131" s="24">
        <f t="shared" si="11"/>
        <v>15</v>
      </c>
      <c r="AH131" s="24">
        <f t="shared" si="12"/>
        <v>0</v>
      </c>
      <c r="AI131" s="24">
        <f t="shared" si="13"/>
        <v>0</v>
      </c>
      <c r="AJ131" s="41" t="str" cm="1">
        <f t="array" ref="AJ131">_xlfn.IFS(
$AG131=15,"Not Started",
$AI131&lt;15,"In Progress",
$AI131=15,"Completed",
SUM(AG131:AI131)&gt;15,"Error"
)</f>
        <v>Not Started</v>
      </c>
    </row>
    <row r="132" spans="1:36" ht="13" x14ac:dyDescent="0.25">
      <c r="A132" s="256"/>
      <c r="B132" s="286"/>
      <c r="C132" s="63" t="s">
        <v>1386</v>
      </c>
      <c r="D132" s="53" t="s">
        <v>9951</v>
      </c>
      <c r="E132" s="57" t="s">
        <v>4753</v>
      </c>
      <c r="F132" s="7" t="s">
        <v>43</v>
      </c>
      <c r="G132" s="7" t="s">
        <v>44</v>
      </c>
      <c r="H132" s="7" t="s">
        <v>9099</v>
      </c>
      <c r="I132" s="7" t="s">
        <v>9099</v>
      </c>
      <c r="J132" s="76">
        <v>31.327858964720999</v>
      </c>
      <c r="K132" s="77">
        <v>37.377299202371198</v>
      </c>
      <c r="L132" s="138" t="str">
        <f t="shared" si="10"/>
        <v>31.327858964721,37.3772992023712</v>
      </c>
      <c r="M132" s="64" t="s">
        <v>10139</v>
      </c>
      <c r="N132" s="7">
        <v>10005978211</v>
      </c>
      <c r="O132" s="7"/>
      <c r="P132" s="201">
        <v>46139</v>
      </c>
      <c r="Q132" s="28" t="s">
        <v>11</v>
      </c>
      <c r="R132" s="28" t="s">
        <v>11</v>
      </c>
      <c r="S132" s="28" t="s">
        <v>11</v>
      </c>
      <c r="T132" s="28" t="s">
        <v>11</v>
      </c>
      <c r="U132" s="28" t="s">
        <v>10</v>
      </c>
      <c r="V132" s="28" t="s">
        <v>9</v>
      </c>
      <c r="W132" s="28" t="s">
        <v>9</v>
      </c>
      <c r="X132" s="28" t="s">
        <v>9</v>
      </c>
      <c r="Y132" s="28" t="s">
        <v>9</v>
      </c>
      <c r="Z132" s="28" t="s">
        <v>9</v>
      </c>
      <c r="AA132" s="28" t="s">
        <v>9</v>
      </c>
      <c r="AB132" s="28" t="s">
        <v>9</v>
      </c>
      <c r="AC132" s="28" t="s">
        <v>9</v>
      </c>
      <c r="AD132" s="28" t="s">
        <v>9</v>
      </c>
      <c r="AE132" s="28" t="s">
        <v>9</v>
      </c>
      <c r="AF132" s="28" t="s">
        <v>10</v>
      </c>
      <c r="AG132" s="24">
        <f t="shared" ref="AG132:AG163" si="14">COUNTIF(Q132:AE132,$AG$2)</f>
        <v>10</v>
      </c>
      <c r="AH132" s="24">
        <f t="shared" ref="AH132:AH163" si="15">COUNTIF(Q132:AE132,$AH$2)</f>
        <v>1</v>
      </c>
      <c r="AI132" s="24">
        <f t="shared" ref="AI132:AI163" si="16">COUNTIF(Q132:AE132,$AI$2)</f>
        <v>4</v>
      </c>
      <c r="AJ132" s="41" t="str" cm="1">
        <f t="array" ref="AJ132">_xlfn.IFS(
$AG132=15,"Not Started",
$AI132&lt;15,"In Progress",
$AI132=15,"Completed",
SUM(AG132:AI132)&gt;15,"Error"
)</f>
        <v>In Progress</v>
      </c>
    </row>
    <row r="133" spans="1:36" ht="13" x14ac:dyDescent="0.25">
      <c r="A133" s="256"/>
      <c r="B133" s="286"/>
      <c r="C133" s="64" t="s">
        <v>1387</v>
      </c>
      <c r="D133" s="53" t="s">
        <v>9952</v>
      </c>
      <c r="E133" s="57" t="s">
        <v>9784</v>
      </c>
      <c r="F133" s="7" t="s">
        <v>51</v>
      </c>
      <c r="G133" s="7" t="s">
        <v>48</v>
      </c>
      <c r="H133" s="7" t="s">
        <v>9099</v>
      </c>
      <c r="I133" s="7" t="s">
        <v>9099</v>
      </c>
      <c r="J133" s="76">
        <v>31.326575506758701</v>
      </c>
      <c r="K133" s="77">
        <v>37.3290459956254</v>
      </c>
      <c r="L133" s="138" t="str">
        <f t="shared" ref="L133:L196" si="17">_xlfn.CONCAT(J133,",",K133)</f>
        <v>31.3265755067587,37.3290459956254</v>
      </c>
      <c r="M133" s="64" t="s">
        <v>10140</v>
      </c>
      <c r="N133" s="7">
        <v>10006043721</v>
      </c>
      <c r="O133" s="7"/>
      <c r="P133" s="201"/>
      <c r="Q133" s="28" t="s">
        <v>9</v>
      </c>
      <c r="R133" s="28" t="s">
        <v>9</v>
      </c>
      <c r="S133" s="28" t="s">
        <v>9</v>
      </c>
      <c r="T133" s="28" t="s">
        <v>9</v>
      </c>
      <c r="U133" s="28" t="s">
        <v>9</v>
      </c>
      <c r="V133" s="28" t="s">
        <v>9</v>
      </c>
      <c r="W133" s="28" t="s">
        <v>9</v>
      </c>
      <c r="X133" s="28" t="s">
        <v>9</v>
      </c>
      <c r="Y133" s="28" t="s">
        <v>9</v>
      </c>
      <c r="Z133" s="28" t="s">
        <v>9</v>
      </c>
      <c r="AA133" s="28" t="s">
        <v>9</v>
      </c>
      <c r="AB133" s="28" t="s">
        <v>9</v>
      </c>
      <c r="AC133" s="28" t="s">
        <v>9</v>
      </c>
      <c r="AD133" s="28" t="s">
        <v>9</v>
      </c>
      <c r="AE133" s="28" t="s">
        <v>9</v>
      </c>
      <c r="AF133" s="28" t="s">
        <v>9</v>
      </c>
      <c r="AG133" s="24">
        <f t="shared" si="14"/>
        <v>15</v>
      </c>
      <c r="AH133" s="24">
        <f t="shared" si="15"/>
        <v>0</v>
      </c>
      <c r="AI133" s="24">
        <f t="shared" si="16"/>
        <v>0</v>
      </c>
      <c r="AJ133" s="41" t="str" cm="1">
        <f t="array" ref="AJ133">_xlfn.IFS(
$AG133=15,"Not Started",
$AI133&lt;15,"In Progress",
$AI133=15,"Completed",
SUM(AG133:AI133)&gt;15,"Error"
)</f>
        <v>Not Started</v>
      </c>
    </row>
    <row r="134" spans="1:36" ht="13" x14ac:dyDescent="0.25">
      <c r="A134" s="256"/>
      <c r="B134" s="286"/>
      <c r="C134" s="63" t="s">
        <v>1388</v>
      </c>
      <c r="D134" s="53" t="s">
        <v>9953</v>
      </c>
      <c r="E134" s="57" t="s">
        <v>9785</v>
      </c>
      <c r="F134" s="7" t="s">
        <v>47</v>
      </c>
      <c r="G134" s="7" t="s">
        <v>48</v>
      </c>
      <c r="H134" s="7" t="s">
        <v>9099</v>
      </c>
      <c r="I134" s="7" t="s">
        <v>9099</v>
      </c>
      <c r="J134" s="76">
        <v>31.338058745572202</v>
      </c>
      <c r="K134" s="77">
        <v>37.324983057033201</v>
      </c>
      <c r="L134" s="138" t="str">
        <f t="shared" si="17"/>
        <v>31.3380587455722,37.3249830570332</v>
      </c>
      <c r="M134" s="64" t="s">
        <v>10141</v>
      </c>
      <c r="N134" s="7">
        <v>10005977116</v>
      </c>
      <c r="O134" s="7"/>
      <c r="P134" s="201"/>
      <c r="Q134" s="28" t="s">
        <v>9</v>
      </c>
      <c r="R134" s="28" t="s">
        <v>9</v>
      </c>
      <c r="S134" s="28" t="s">
        <v>9</v>
      </c>
      <c r="T134" s="28" t="s">
        <v>9</v>
      </c>
      <c r="U134" s="28" t="s">
        <v>9</v>
      </c>
      <c r="V134" s="28" t="s">
        <v>9</v>
      </c>
      <c r="W134" s="28" t="s">
        <v>9</v>
      </c>
      <c r="X134" s="28" t="s">
        <v>9</v>
      </c>
      <c r="Y134" s="28" t="s">
        <v>9</v>
      </c>
      <c r="Z134" s="28" t="s">
        <v>9</v>
      </c>
      <c r="AA134" s="28" t="s">
        <v>9</v>
      </c>
      <c r="AB134" s="28" t="s">
        <v>9</v>
      </c>
      <c r="AC134" s="28" t="s">
        <v>9</v>
      </c>
      <c r="AD134" s="28" t="s">
        <v>9</v>
      </c>
      <c r="AE134" s="28" t="s">
        <v>9</v>
      </c>
      <c r="AF134" s="28" t="s">
        <v>9</v>
      </c>
      <c r="AG134" s="24">
        <f t="shared" si="14"/>
        <v>15</v>
      </c>
      <c r="AH134" s="24">
        <f t="shared" si="15"/>
        <v>0</v>
      </c>
      <c r="AI134" s="24">
        <f t="shared" si="16"/>
        <v>0</v>
      </c>
      <c r="AJ134" s="41" t="str" cm="1">
        <f t="array" ref="AJ134">_xlfn.IFS(
$AG134=15,"Not Started",
$AI134&lt;15,"In Progress",
$AI134=15,"Completed",
SUM(AG134:AI134)&gt;15,"Error"
)</f>
        <v>Not Started</v>
      </c>
    </row>
    <row r="135" spans="1:36" ht="13" x14ac:dyDescent="0.25">
      <c r="A135" s="256"/>
      <c r="B135" s="286"/>
      <c r="C135" s="64" t="s">
        <v>1389</v>
      </c>
      <c r="D135" s="53" t="s">
        <v>9954</v>
      </c>
      <c r="E135" s="57" t="s">
        <v>3744</v>
      </c>
      <c r="F135" s="7" t="s">
        <v>47</v>
      </c>
      <c r="G135" s="7" t="s">
        <v>48</v>
      </c>
      <c r="H135" s="7" t="s">
        <v>9099</v>
      </c>
      <c r="I135" s="7" t="s">
        <v>9099</v>
      </c>
      <c r="J135" s="76">
        <v>31.306067507040801</v>
      </c>
      <c r="K135" s="77">
        <v>37.345462233736299</v>
      </c>
      <c r="L135" s="138" t="str">
        <f t="shared" si="17"/>
        <v>31.3060675070408,37.3454622337363</v>
      </c>
      <c r="M135" s="64" t="s">
        <v>10142</v>
      </c>
      <c r="N135" s="7">
        <v>10006043104</v>
      </c>
      <c r="O135" s="7"/>
      <c r="P135" s="201"/>
      <c r="Q135" s="28" t="s">
        <v>9</v>
      </c>
      <c r="R135" s="28" t="s">
        <v>9</v>
      </c>
      <c r="S135" s="28" t="s">
        <v>9</v>
      </c>
      <c r="T135" s="28" t="s">
        <v>9</v>
      </c>
      <c r="U135" s="28" t="s">
        <v>9</v>
      </c>
      <c r="V135" s="28" t="s">
        <v>9</v>
      </c>
      <c r="W135" s="28" t="s">
        <v>9</v>
      </c>
      <c r="X135" s="28" t="s">
        <v>9</v>
      </c>
      <c r="Y135" s="28" t="s">
        <v>9</v>
      </c>
      <c r="Z135" s="28" t="s">
        <v>9</v>
      </c>
      <c r="AA135" s="28" t="s">
        <v>9</v>
      </c>
      <c r="AB135" s="28" t="s">
        <v>9</v>
      </c>
      <c r="AC135" s="28" t="s">
        <v>9</v>
      </c>
      <c r="AD135" s="28" t="s">
        <v>9</v>
      </c>
      <c r="AE135" s="28" t="s">
        <v>9</v>
      </c>
      <c r="AF135" s="28" t="s">
        <v>9</v>
      </c>
      <c r="AG135" s="24">
        <f t="shared" si="14"/>
        <v>15</v>
      </c>
      <c r="AH135" s="24">
        <f t="shared" si="15"/>
        <v>0</v>
      </c>
      <c r="AI135" s="24">
        <f t="shared" si="16"/>
        <v>0</v>
      </c>
      <c r="AJ135" s="41" t="str" cm="1">
        <f t="array" ref="AJ135">_xlfn.IFS(
$AG135=15,"Not Started",
$AI135&lt;15,"In Progress",
$AI135=15,"Completed",
SUM(AG135:AI135)&gt;15,"Error"
)</f>
        <v>Not Started</v>
      </c>
    </row>
    <row r="136" spans="1:36" ht="13" x14ac:dyDescent="0.25">
      <c r="A136" s="256"/>
      <c r="B136" s="286"/>
      <c r="C136" s="63" t="s">
        <v>1390</v>
      </c>
      <c r="D136" s="53" t="s">
        <v>9955</v>
      </c>
      <c r="E136" s="57" t="s">
        <v>9786</v>
      </c>
      <c r="F136" s="7" t="s">
        <v>47</v>
      </c>
      <c r="G136" s="7" t="s">
        <v>48</v>
      </c>
      <c r="H136" s="7" t="s">
        <v>9099</v>
      </c>
      <c r="I136" s="7" t="s">
        <v>9099</v>
      </c>
      <c r="J136" s="76">
        <v>31.3259788606386</v>
      </c>
      <c r="K136" s="77">
        <v>37.329386263750301</v>
      </c>
      <c r="L136" s="138" t="str">
        <f t="shared" si="17"/>
        <v>31.3259788606386,37.3293862637503</v>
      </c>
      <c r="M136" s="64" t="s">
        <v>10143</v>
      </c>
      <c r="N136" s="7">
        <v>10006009819</v>
      </c>
      <c r="O136" s="7"/>
      <c r="P136" s="201"/>
      <c r="Q136" s="28" t="s">
        <v>9</v>
      </c>
      <c r="R136" s="28" t="s">
        <v>9</v>
      </c>
      <c r="S136" s="28" t="s">
        <v>9</v>
      </c>
      <c r="T136" s="28" t="s">
        <v>9</v>
      </c>
      <c r="U136" s="28" t="s">
        <v>9</v>
      </c>
      <c r="V136" s="28" t="s">
        <v>9</v>
      </c>
      <c r="W136" s="28" t="s">
        <v>9</v>
      </c>
      <c r="X136" s="28" t="s">
        <v>9</v>
      </c>
      <c r="Y136" s="28" t="s">
        <v>9</v>
      </c>
      <c r="Z136" s="28" t="s">
        <v>9</v>
      </c>
      <c r="AA136" s="28" t="s">
        <v>9</v>
      </c>
      <c r="AB136" s="28" t="s">
        <v>9</v>
      </c>
      <c r="AC136" s="28" t="s">
        <v>9</v>
      </c>
      <c r="AD136" s="28" t="s">
        <v>9</v>
      </c>
      <c r="AE136" s="28" t="s">
        <v>9</v>
      </c>
      <c r="AF136" s="28" t="s">
        <v>9</v>
      </c>
      <c r="AG136" s="24">
        <f t="shared" si="14"/>
        <v>15</v>
      </c>
      <c r="AH136" s="24">
        <f t="shared" si="15"/>
        <v>0</v>
      </c>
      <c r="AI136" s="24">
        <f t="shared" si="16"/>
        <v>0</v>
      </c>
      <c r="AJ136" s="41" t="str" cm="1">
        <f t="array" ref="AJ136">_xlfn.IFS(
$AG136=15,"Not Started",
$AI136&lt;15,"In Progress",
$AI136=15,"Completed",
SUM(AG136:AI136)&gt;15,"Error"
)</f>
        <v>Not Started</v>
      </c>
    </row>
    <row r="137" spans="1:36" ht="13" x14ac:dyDescent="0.25">
      <c r="A137" s="256"/>
      <c r="B137" s="286"/>
      <c r="C137" s="64" t="s">
        <v>1391</v>
      </c>
      <c r="D137" s="53" t="s">
        <v>9956</v>
      </c>
      <c r="E137" s="57" t="s">
        <v>9787</v>
      </c>
      <c r="F137" s="7" t="s">
        <v>51</v>
      </c>
      <c r="G137" s="7" t="s">
        <v>44</v>
      </c>
      <c r="H137" s="7" t="s">
        <v>9099</v>
      </c>
      <c r="I137" s="7" t="s">
        <v>9099</v>
      </c>
      <c r="J137" s="76">
        <v>30.293980000000001</v>
      </c>
      <c r="K137" s="77">
        <v>38.701571999999999</v>
      </c>
      <c r="L137" s="138" t="str">
        <f t="shared" si="17"/>
        <v>30.29398,38.701572</v>
      </c>
      <c r="M137" s="64" t="s">
        <v>10144</v>
      </c>
      <c r="N137" s="7">
        <v>10006028609</v>
      </c>
      <c r="O137" s="7"/>
      <c r="P137" s="201"/>
      <c r="Q137" s="28" t="s">
        <v>9</v>
      </c>
      <c r="R137" s="28" t="s">
        <v>9</v>
      </c>
      <c r="S137" s="28" t="s">
        <v>9</v>
      </c>
      <c r="T137" s="28" t="s">
        <v>9</v>
      </c>
      <c r="U137" s="28" t="s">
        <v>9</v>
      </c>
      <c r="V137" s="28" t="s">
        <v>9</v>
      </c>
      <c r="W137" s="28" t="s">
        <v>9</v>
      </c>
      <c r="X137" s="28" t="s">
        <v>9</v>
      </c>
      <c r="Y137" s="28" t="s">
        <v>9</v>
      </c>
      <c r="Z137" s="28" t="s">
        <v>9</v>
      </c>
      <c r="AA137" s="28" t="s">
        <v>9</v>
      </c>
      <c r="AB137" s="28" t="s">
        <v>9</v>
      </c>
      <c r="AC137" s="28" t="s">
        <v>9</v>
      </c>
      <c r="AD137" s="28" t="s">
        <v>9</v>
      </c>
      <c r="AE137" s="28" t="s">
        <v>9</v>
      </c>
      <c r="AF137" s="28" t="s">
        <v>9</v>
      </c>
      <c r="AG137" s="24">
        <f t="shared" si="14"/>
        <v>15</v>
      </c>
      <c r="AH137" s="24">
        <f t="shared" si="15"/>
        <v>0</v>
      </c>
      <c r="AI137" s="24">
        <f t="shared" si="16"/>
        <v>0</v>
      </c>
      <c r="AJ137" s="41" t="str" cm="1">
        <f t="array" ref="AJ137">_xlfn.IFS(
$AG137=15,"Not Started",
$AI137&lt;15,"In Progress",
$AI137=15,"Completed",
SUM(AG137:AI137)&gt;15,"Error"
)</f>
        <v>Not Started</v>
      </c>
    </row>
    <row r="138" spans="1:36" ht="13" x14ac:dyDescent="0.25">
      <c r="A138" s="256"/>
      <c r="B138" s="286"/>
      <c r="C138" s="63" t="s">
        <v>1392</v>
      </c>
      <c r="D138" s="53" t="s">
        <v>9957</v>
      </c>
      <c r="E138" s="57" t="s">
        <v>9788</v>
      </c>
      <c r="F138" s="7" t="s">
        <v>43</v>
      </c>
      <c r="G138" s="7" t="s">
        <v>48</v>
      </c>
      <c r="H138" s="7" t="s">
        <v>9099</v>
      </c>
      <c r="I138" s="7" t="s">
        <v>9099</v>
      </c>
      <c r="J138" s="76">
        <v>30.4988501131817</v>
      </c>
      <c r="K138" s="77">
        <v>38.2134742964029</v>
      </c>
      <c r="L138" s="138" t="str">
        <f t="shared" si="17"/>
        <v>30.4988501131817,38.2134742964029</v>
      </c>
      <c r="M138" s="64" t="s">
        <v>10145</v>
      </c>
      <c r="N138" s="7">
        <v>10006026730</v>
      </c>
      <c r="O138" s="7"/>
      <c r="P138" s="201"/>
      <c r="Q138" s="28" t="s">
        <v>9</v>
      </c>
      <c r="R138" s="28" t="s">
        <v>9</v>
      </c>
      <c r="S138" s="28" t="s">
        <v>9</v>
      </c>
      <c r="T138" s="28" t="s">
        <v>9</v>
      </c>
      <c r="U138" s="28" t="s">
        <v>9</v>
      </c>
      <c r="V138" s="28" t="s">
        <v>9</v>
      </c>
      <c r="W138" s="28" t="s">
        <v>9</v>
      </c>
      <c r="X138" s="28" t="s">
        <v>9</v>
      </c>
      <c r="Y138" s="28" t="s">
        <v>9</v>
      </c>
      <c r="Z138" s="28" t="s">
        <v>9</v>
      </c>
      <c r="AA138" s="28" t="s">
        <v>9</v>
      </c>
      <c r="AB138" s="28" t="s">
        <v>9</v>
      </c>
      <c r="AC138" s="28" t="s">
        <v>9</v>
      </c>
      <c r="AD138" s="28" t="s">
        <v>9</v>
      </c>
      <c r="AE138" s="28" t="s">
        <v>9</v>
      </c>
      <c r="AF138" s="28" t="s">
        <v>9</v>
      </c>
      <c r="AG138" s="24">
        <f t="shared" si="14"/>
        <v>15</v>
      </c>
      <c r="AH138" s="24">
        <f t="shared" si="15"/>
        <v>0</v>
      </c>
      <c r="AI138" s="24">
        <f t="shared" si="16"/>
        <v>0</v>
      </c>
      <c r="AJ138" s="41" t="str" cm="1">
        <f t="array" ref="AJ138">_xlfn.IFS(
$AG138=15,"Not Started",
$AI138&lt;15,"In Progress",
$AI138=15,"Completed",
SUM(AG138:AI138)&gt;15,"Error"
)</f>
        <v>Not Started</v>
      </c>
    </row>
    <row r="139" spans="1:36" ht="13" x14ac:dyDescent="0.25">
      <c r="A139" s="256"/>
      <c r="B139" s="286"/>
      <c r="C139" s="64" t="s">
        <v>1393</v>
      </c>
      <c r="D139" s="53" t="s">
        <v>5823</v>
      </c>
      <c r="E139" s="57" t="s">
        <v>9789</v>
      </c>
      <c r="F139" s="7" t="s">
        <v>47</v>
      </c>
      <c r="G139" s="7" t="s">
        <v>48</v>
      </c>
      <c r="H139" s="7" t="s">
        <v>9099</v>
      </c>
      <c r="I139" s="7" t="s">
        <v>9099</v>
      </c>
      <c r="J139" s="76">
        <v>30.499578</v>
      </c>
      <c r="K139" s="77">
        <v>38.210566999999998</v>
      </c>
      <c r="L139" s="138" t="str">
        <f t="shared" si="17"/>
        <v>30.499578,38.210567</v>
      </c>
      <c r="M139" s="64" t="s">
        <v>10146</v>
      </c>
      <c r="N139" s="7">
        <v>10006027361</v>
      </c>
      <c r="O139" s="7"/>
      <c r="P139" s="201"/>
      <c r="Q139" s="28" t="s">
        <v>9</v>
      </c>
      <c r="R139" s="28" t="s">
        <v>9</v>
      </c>
      <c r="S139" s="28" t="s">
        <v>9</v>
      </c>
      <c r="T139" s="28" t="s">
        <v>9</v>
      </c>
      <c r="U139" s="28" t="s">
        <v>9</v>
      </c>
      <c r="V139" s="28" t="s">
        <v>9</v>
      </c>
      <c r="W139" s="28" t="s">
        <v>9</v>
      </c>
      <c r="X139" s="28" t="s">
        <v>9</v>
      </c>
      <c r="Y139" s="28" t="s">
        <v>9</v>
      </c>
      <c r="Z139" s="28" t="s">
        <v>9</v>
      </c>
      <c r="AA139" s="28" t="s">
        <v>9</v>
      </c>
      <c r="AB139" s="28" t="s">
        <v>9</v>
      </c>
      <c r="AC139" s="28" t="s">
        <v>9</v>
      </c>
      <c r="AD139" s="28" t="s">
        <v>9</v>
      </c>
      <c r="AE139" s="28" t="s">
        <v>9</v>
      </c>
      <c r="AF139" s="28" t="s">
        <v>9</v>
      </c>
      <c r="AG139" s="24">
        <f t="shared" si="14"/>
        <v>15</v>
      </c>
      <c r="AH139" s="24">
        <f t="shared" si="15"/>
        <v>0</v>
      </c>
      <c r="AI139" s="24">
        <f t="shared" si="16"/>
        <v>0</v>
      </c>
      <c r="AJ139" s="41" t="str" cm="1">
        <f t="array" ref="AJ139">_xlfn.IFS(
$AG139=15,"Not Started",
$AI139&lt;15,"In Progress",
$AI139=15,"Completed",
SUM(AG139:AI139)&gt;15,"Error"
)</f>
        <v>Not Started</v>
      </c>
    </row>
    <row r="140" spans="1:36" ht="26" x14ac:dyDescent="0.25">
      <c r="A140" s="256"/>
      <c r="B140" s="286"/>
      <c r="C140" s="63" t="s">
        <v>1394</v>
      </c>
      <c r="D140" s="53" t="s">
        <v>9958</v>
      </c>
      <c r="E140" s="80" t="s">
        <v>10262</v>
      </c>
      <c r="F140" s="7" t="s">
        <v>43</v>
      </c>
      <c r="G140" s="7" t="s">
        <v>48</v>
      </c>
      <c r="H140" s="7" t="s">
        <v>9099</v>
      </c>
      <c r="I140" s="7" t="s">
        <v>9099</v>
      </c>
      <c r="J140" s="76">
        <v>30.498439000000001</v>
      </c>
      <c r="K140" s="77">
        <v>38.213434100000001</v>
      </c>
      <c r="L140" s="138" t="str">
        <f t="shared" si="17"/>
        <v>30.498439,38.2134341</v>
      </c>
      <c r="M140" s="64" t="s">
        <v>10147</v>
      </c>
      <c r="N140" s="7">
        <v>10087907601</v>
      </c>
      <c r="O140" s="7"/>
      <c r="P140" s="202">
        <v>46149</v>
      </c>
      <c r="Q140" s="28" t="s">
        <v>11</v>
      </c>
      <c r="R140" s="28" t="s">
        <v>11</v>
      </c>
      <c r="S140" s="28" t="s">
        <v>11</v>
      </c>
      <c r="T140" s="28" t="s">
        <v>11</v>
      </c>
      <c r="U140" s="28" t="s">
        <v>9</v>
      </c>
      <c r="V140" s="28" t="s">
        <v>9</v>
      </c>
      <c r="W140" s="28" t="s">
        <v>9</v>
      </c>
      <c r="X140" s="28" t="s">
        <v>9</v>
      </c>
      <c r="Y140" s="28" t="s">
        <v>9</v>
      </c>
      <c r="Z140" s="28" t="s">
        <v>9</v>
      </c>
      <c r="AA140" s="28" t="s">
        <v>9</v>
      </c>
      <c r="AB140" s="28" t="s">
        <v>9</v>
      </c>
      <c r="AC140" s="28" t="s">
        <v>9</v>
      </c>
      <c r="AD140" s="28" t="s">
        <v>9</v>
      </c>
      <c r="AE140" s="28" t="s">
        <v>9</v>
      </c>
      <c r="AF140" s="28" t="s">
        <v>10</v>
      </c>
      <c r="AG140" s="24">
        <f t="shared" si="14"/>
        <v>11</v>
      </c>
      <c r="AH140" s="24">
        <f t="shared" si="15"/>
        <v>0</v>
      </c>
      <c r="AI140" s="24">
        <f t="shared" si="16"/>
        <v>4</v>
      </c>
      <c r="AJ140" s="41" t="str" cm="1">
        <f t="array" ref="AJ140">_xlfn.IFS(
$AG140=15,"Not Started",
$AI140&lt;15,"In Progress",
$AI140=15,"Completed",
SUM(AG140:AI140)&gt;15,"Error"
)</f>
        <v>In Progress</v>
      </c>
    </row>
    <row r="141" spans="1:36" ht="13" x14ac:dyDescent="0.25">
      <c r="A141" s="256"/>
      <c r="B141" s="286"/>
      <c r="C141" s="64" t="s">
        <v>1395</v>
      </c>
      <c r="D141" s="53" t="s">
        <v>9959</v>
      </c>
      <c r="E141" s="57" t="s">
        <v>9790</v>
      </c>
      <c r="F141" s="7" t="s">
        <v>43</v>
      </c>
      <c r="G141" s="7" t="s">
        <v>44</v>
      </c>
      <c r="H141" s="7" t="s">
        <v>9099</v>
      </c>
      <c r="I141" s="7" t="s">
        <v>9099</v>
      </c>
      <c r="J141" s="76">
        <v>30.496922590713201</v>
      </c>
      <c r="K141" s="77">
        <v>38.203652883711598</v>
      </c>
      <c r="L141" s="138" t="str">
        <f t="shared" si="17"/>
        <v>30.4969225907132,38.2036528837116</v>
      </c>
      <c r="M141" s="64" t="s">
        <v>10148</v>
      </c>
      <c r="N141" s="7">
        <v>10006042199</v>
      </c>
      <c r="O141" s="7"/>
      <c r="P141" s="202">
        <v>46149</v>
      </c>
      <c r="Q141" s="28" t="s">
        <v>11</v>
      </c>
      <c r="R141" s="28" t="s">
        <v>11</v>
      </c>
      <c r="S141" s="28" t="s">
        <v>11</v>
      </c>
      <c r="T141" s="28" t="s">
        <v>11</v>
      </c>
      <c r="U141" s="28" t="s">
        <v>10</v>
      </c>
      <c r="V141" s="28" t="s">
        <v>9</v>
      </c>
      <c r="W141" s="28" t="s">
        <v>9</v>
      </c>
      <c r="X141" s="28" t="s">
        <v>9</v>
      </c>
      <c r="Y141" s="28" t="s">
        <v>9</v>
      </c>
      <c r="Z141" s="28" t="s">
        <v>9</v>
      </c>
      <c r="AA141" s="28" t="s">
        <v>9</v>
      </c>
      <c r="AB141" s="28" t="s">
        <v>9</v>
      </c>
      <c r="AC141" s="28" t="s">
        <v>9</v>
      </c>
      <c r="AD141" s="28" t="s">
        <v>9</v>
      </c>
      <c r="AE141" s="28" t="s">
        <v>9</v>
      </c>
      <c r="AF141" s="28" t="s">
        <v>10</v>
      </c>
      <c r="AG141" s="24">
        <f t="shared" si="14"/>
        <v>10</v>
      </c>
      <c r="AH141" s="24">
        <f t="shared" si="15"/>
        <v>1</v>
      </c>
      <c r="AI141" s="24">
        <f t="shared" si="16"/>
        <v>4</v>
      </c>
      <c r="AJ141" s="41" t="str" cm="1">
        <f t="array" ref="AJ141">_xlfn.IFS(
$AG141=15,"Not Started",
$AI141&lt;15,"In Progress",
$AI141=15,"Completed",
SUM(AG141:AI141)&gt;15,"Error"
)</f>
        <v>In Progress</v>
      </c>
    </row>
    <row r="142" spans="1:36" ht="13" x14ac:dyDescent="0.25">
      <c r="A142" s="256"/>
      <c r="B142" s="286"/>
      <c r="C142" s="63" t="s">
        <v>1396</v>
      </c>
      <c r="D142" s="53" t="s">
        <v>9960</v>
      </c>
      <c r="E142" s="57" t="s">
        <v>9791</v>
      </c>
      <c r="F142" s="7" t="s">
        <v>43</v>
      </c>
      <c r="G142" s="7" t="s">
        <v>44</v>
      </c>
      <c r="H142" s="7" t="s">
        <v>9099</v>
      </c>
      <c r="I142" s="7" t="s">
        <v>9099</v>
      </c>
      <c r="J142" s="76">
        <v>30.497865258141299</v>
      </c>
      <c r="K142" s="77">
        <v>38.2032633771842</v>
      </c>
      <c r="L142" s="138" t="str">
        <f t="shared" si="17"/>
        <v>30.4978652581413,38.2032633771842</v>
      </c>
      <c r="M142" s="64" t="s">
        <v>10149</v>
      </c>
      <c r="N142" s="7">
        <v>10006042180</v>
      </c>
      <c r="O142" s="7"/>
      <c r="P142" s="202">
        <v>46151</v>
      </c>
      <c r="Q142" s="28" t="s">
        <v>11</v>
      </c>
      <c r="R142" s="28" t="s">
        <v>11</v>
      </c>
      <c r="S142" s="28" t="s">
        <v>11</v>
      </c>
      <c r="T142" s="28" t="s">
        <v>11</v>
      </c>
      <c r="U142" s="28" t="s">
        <v>10</v>
      </c>
      <c r="V142" s="28" t="s">
        <v>9</v>
      </c>
      <c r="W142" s="28" t="s">
        <v>9</v>
      </c>
      <c r="X142" s="28" t="s">
        <v>9</v>
      </c>
      <c r="Y142" s="28" t="s">
        <v>9</v>
      </c>
      <c r="Z142" s="28" t="s">
        <v>9</v>
      </c>
      <c r="AA142" s="28" t="s">
        <v>9</v>
      </c>
      <c r="AB142" s="28" t="s">
        <v>9</v>
      </c>
      <c r="AC142" s="28" t="s">
        <v>9</v>
      </c>
      <c r="AD142" s="28" t="s">
        <v>9</v>
      </c>
      <c r="AE142" s="28" t="s">
        <v>9</v>
      </c>
      <c r="AF142" s="28" t="s">
        <v>10</v>
      </c>
      <c r="AG142" s="24">
        <f t="shared" si="14"/>
        <v>10</v>
      </c>
      <c r="AH142" s="24">
        <f t="shared" si="15"/>
        <v>1</v>
      </c>
      <c r="AI142" s="24">
        <f t="shared" si="16"/>
        <v>4</v>
      </c>
      <c r="AJ142" s="41" t="str" cm="1">
        <f t="array" ref="AJ142">_xlfn.IFS(
$AG142=15,"Not Started",
$AI142&lt;15,"In Progress",
$AI142=15,"Completed",
SUM(AG142:AI142)&gt;15,"Error"
)</f>
        <v>In Progress</v>
      </c>
    </row>
    <row r="143" spans="1:36" ht="13" x14ac:dyDescent="0.25">
      <c r="A143" s="256"/>
      <c r="B143" s="286"/>
      <c r="C143" s="64" t="s">
        <v>1397</v>
      </c>
      <c r="D143" s="53" t="s">
        <v>9961</v>
      </c>
      <c r="E143" s="57" t="s">
        <v>9792</v>
      </c>
      <c r="F143" s="7" t="s">
        <v>43</v>
      </c>
      <c r="G143" s="7" t="s">
        <v>44</v>
      </c>
      <c r="H143" s="7" t="s">
        <v>9099</v>
      </c>
      <c r="I143" s="7" t="s">
        <v>9099</v>
      </c>
      <c r="J143" s="76">
        <v>30.476054585341501</v>
      </c>
      <c r="K143" s="77">
        <v>38.2125684973605</v>
      </c>
      <c r="L143" s="138" t="str">
        <f t="shared" si="17"/>
        <v>30.4760545853415,38.2125684973605</v>
      </c>
      <c r="M143" s="64" t="s">
        <v>10150</v>
      </c>
      <c r="N143" s="7">
        <v>10006043866</v>
      </c>
      <c r="O143" s="7"/>
      <c r="P143" s="202"/>
      <c r="Q143" s="28" t="s">
        <v>9</v>
      </c>
      <c r="R143" s="28" t="s">
        <v>9</v>
      </c>
      <c r="S143" s="28" t="s">
        <v>9</v>
      </c>
      <c r="T143" s="28" t="s">
        <v>9</v>
      </c>
      <c r="U143" s="28" t="s">
        <v>9</v>
      </c>
      <c r="V143" s="28" t="s">
        <v>9</v>
      </c>
      <c r="W143" s="28" t="s">
        <v>9</v>
      </c>
      <c r="X143" s="28" t="s">
        <v>9</v>
      </c>
      <c r="Y143" s="28" t="s">
        <v>9</v>
      </c>
      <c r="Z143" s="28" t="s">
        <v>9</v>
      </c>
      <c r="AA143" s="28" t="s">
        <v>9</v>
      </c>
      <c r="AB143" s="28" t="s">
        <v>9</v>
      </c>
      <c r="AC143" s="28" t="s">
        <v>9</v>
      </c>
      <c r="AD143" s="28" t="s">
        <v>9</v>
      </c>
      <c r="AE143" s="28" t="s">
        <v>9</v>
      </c>
      <c r="AF143" s="28" t="s">
        <v>9</v>
      </c>
      <c r="AG143" s="24">
        <f t="shared" si="14"/>
        <v>15</v>
      </c>
      <c r="AH143" s="24">
        <f t="shared" si="15"/>
        <v>0</v>
      </c>
      <c r="AI143" s="24">
        <f t="shared" si="16"/>
        <v>0</v>
      </c>
      <c r="AJ143" s="41" t="str" cm="1">
        <f t="array" ref="AJ143">_xlfn.IFS(
$AG143=15,"Not Started",
$AI143&lt;15,"In Progress",
$AI143=15,"Completed",
SUM(AG143:AI143)&gt;15,"Error"
)</f>
        <v>Not Started</v>
      </c>
    </row>
    <row r="144" spans="1:36" ht="13" x14ac:dyDescent="0.25">
      <c r="A144" s="256"/>
      <c r="B144" s="286"/>
      <c r="C144" s="63" t="s">
        <v>1398</v>
      </c>
      <c r="D144" s="53" t="s">
        <v>9962</v>
      </c>
      <c r="E144" s="57" t="s">
        <v>9793</v>
      </c>
      <c r="F144" s="7" t="s">
        <v>43</v>
      </c>
      <c r="G144" s="7" t="s">
        <v>44</v>
      </c>
      <c r="H144" s="7" t="s">
        <v>9099</v>
      </c>
      <c r="I144" s="7" t="s">
        <v>9099</v>
      </c>
      <c r="J144" s="76">
        <v>30.500239720573099</v>
      </c>
      <c r="K144" s="77">
        <v>38.194609894124802</v>
      </c>
      <c r="L144" s="138" t="str">
        <f t="shared" si="17"/>
        <v>30.5002397205731,38.1946098941248</v>
      </c>
      <c r="M144" s="64" t="s">
        <v>10151</v>
      </c>
      <c r="N144" s="7">
        <v>10006027343</v>
      </c>
      <c r="O144" s="7"/>
      <c r="P144" s="202">
        <v>46151</v>
      </c>
      <c r="Q144" s="28" t="s">
        <v>11</v>
      </c>
      <c r="R144" s="28" t="s">
        <v>11</v>
      </c>
      <c r="S144" s="28" t="s">
        <v>11</v>
      </c>
      <c r="T144" s="28" t="s">
        <v>11</v>
      </c>
      <c r="U144" s="28" t="s">
        <v>10</v>
      </c>
      <c r="V144" s="28" t="s">
        <v>9</v>
      </c>
      <c r="W144" s="28" t="s">
        <v>9</v>
      </c>
      <c r="X144" s="28" t="s">
        <v>9</v>
      </c>
      <c r="Y144" s="28" t="s">
        <v>9</v>
      </c>
      <c r="Z144" s="28" t="s">
        <v>9</v>
      </c>
      <c r="AA144" s="28" t="s">
        <v>9</v>
      </c>
      <c r="AB144" s="28" t="s">
        <v>9</v>
      </c>
      <c r="AC144" s="28" t="s">
        <v>9</v>
      </c>
      <c r="AD144" s="28" t="s">
        <v>9</v>
      </c>
      <c r="AE144" s="28" t="s">
        <v>9</v>
      </c>
      <c r="AF144" s="28" t="s">
        <v>10</v>
      </c>
      <c r="AG144" s="24">
        <f t="shared" si="14"/>
        <v>10</v>
      </c>
      <c r="AH144" s="24">
        <f t="shared" si="15"/>
        <v>1</v>
      </c>
      <c r="AI144" s="24">
        <f t="shared" si="16"/>
        <v>4</v>
      </c>
      <c r="AJ144" s="41" t="str" cm="1">
        <f t="array" ref="AJ144">_xlfn.IFS(
$AG144=15,"Not Started",
$AI144&lt;15,"In Progress",
$AI144=15,"Completed",
SUM(AG144:AI144)&gt;15,"Error"
)</f>
        <v>In Progress</v>
      </c>
    </row>
    <row r="145" spans="1:36" ht="13" x14ac:dyDescent="0.25">
      <c r="A145" s="256"/>
      <c r="B145" s="286"/>
      <c r="C145" s="64" t="s">
        <v>1399</v>
      </c>
      <c r="D145" s="53" t="s">
        <v>9963</v>
      </c>
      <c r="E145" s="57" t="s">
        <v>3726</v>
      </c>
      <c r="F145" s="7" t="s">
        <v>51</v>
      </c>
      <c r="G145" s="7" t="s">
        <v>48</v>
      </c>
      <c r="H145" s="7" t="s">
        <v>9099</v>
      </c>
      <c r="I145" s="7" t="s">
        <v>9099</v>
      </c>
      <c r="J145" s="76">
        <v>30.497223613206501</v>
      </c>
      <c r="K145" s="77">
        <v>38.2019311465938</v>
      </c>
      <c r="L145" s="138" t="str">
        <f t="shared" si="17"/>
        <v>30.4972236132065,38.2019311465938</v>
      </c>
      <c r="M145" s="64" t="s">
        <v>10152</v>
      </c>
      <c r="N145" s="7">
        <v>10104196822</v>
      </c>
      <c r="O145" s="7"/>
      <c r="P145" s="201"/>
      <c r="Q145" s="28" t="s">
        <v>9</v>
      </c>
      <c r="R145" s="28" t="s">
        <v>9</v>
      </c>
      <c r="S145" s="28" t="s">
        <v>9</v>
      </c>
      <c r="T145" s="28" t="s">
        <v>9</v>
      </c>
      <c r="U145" s="28" t="s">
        <v>9</v>
      </c>
      <c r="V145" s="28" t="s">
        <v>9</v>
      </c>
      <c r="W145" s="28" t="s">
        <v>9</v>
      </c>
      <c r="X145" s="28" t="s">
        <v>9</v>
      </c>
      <c r="Y145" s="28" t="s">
        <v>9</v>
      </c>
      <c r="Z145" s="28" t="s">
        <v>9</v>
      </c>
      <c r="AA145" s="28" t="s">
        <v>9</v>
      </c>
      <c r="AB145" s="28" t="s">
        <v>9</v>
      </c>
      <c r="AC145" s="28" t="s">
        <v>9</v>
      </c>
      <c r="AD145" s="28" t="s">
        <v>9</v>
      </c>
      <c r="AE145" s="28" t="s">
        <v>9</v>
      </c>
      <c r="AF145" s="28" t="s">
        <v>9</v>
      </c>
      <c r="AG145" s="24">
        <f t="shared" si="14"/>
        <v>15</v>
      </c>
      <c r="AH145" s="24">
        <f t="shared" si="15"/>
        <v>0</v>
      </c>
      <c r="AI145" s="24">
        <f t="shared" si="16"/>
        <v>0</v>
      </c>
      <c r="AJ145" s="41" t="str" cm="1">
        <f t="array" ref="AJ145">_xlfn.IFS(
$AG145=15,"Not Started",
$AI145&lt;15,"In Progress",
$AI145=15,"Completed",
SUM(AG145:AI145)&gt;15,"Error"
)</f>
        <v>Not Started</v>
      </c>
    </row>
    <row r="146" spans="1:36" ht="26" x14ac:dyDescent="0.25">
      <c r="A146" s="256"/>
      <c r="B146" s="286"/>
      <c r="C146" s="63" t="s">
        <v>1400</v>
      </c>
      <c r="D146" s="53" t="s">
        <v>9964</v>
      </c>
      <c r="E146" s="80" t="s">
        <v>10263</v>
      </c>
      <c r="F146" s="7" t="s">
        <v>47</v>
      </c>
      <c r="G146" s="7" t="s">
        <v>44</v>
      </c>
      <c r="H146" s="7" t="s">
        <v>9099</v>
      </c>
      <c r="I146" s="7" t="s">
        <v>9099</v>
      </c>
      <c r="J146" s="76">
        <v>30.487041490706901</v>
      </c>
      <c r="K146" s="77">
        <v>38.2555634883431</v>
      </c>
      <c r="L146" s="138" t="str">
        <f t="shared" si="17"/>
        <v>30.4870414907069,38.2555634883431</v>
      </c>
      <c r="M146" s="64" t="s">
        <v>10153</v>
      </c>
      <c r="N146" s="7">
        <v>10006011460</v>
      </c>
      <c r="O146" s="7"/>
      <c r="P146" s="201"/>
      <c r="Q146" s="28" t="s">
        <v>9</v>
      </c>
      <c r="R146" s="28" t="s">
        <v>9</v>
      </c>
      <c r="S146" s="28" t="s">
        <v>9</v>
      </c>
      <c r="T146" s="28" t="s">
        <v>9</v>
      </c>
      <c r="U146" s="28" t="s">
        <v>9</v>
      </c>
      <c r="V146" s="28" t="s">
        <v>9</v>
      </c>
      <c r="W146" s="28" t="s">
        <v>9</v>
      </c>
      <c r="X146" s="28" t="s">
        <v>9</v>
      </c>
      <c r="Y146" s="28" t="s">
        <v>9</v>
      </c>
      <c r="Z146" s="28" t="s">
        <v>9</v>
      </c>
      <c r="AA146" s="28" t="s">
        <v>9</v>
      </c>
      <c r="AB146" s="28" t="s">
        <v>9</v>
      </c>
      <c r="AC146" s="28" t="s">
        <v>9</v>
      </c>
      <c r="AD146" s="28" t="s">
        <v>9</v>
      </c>
      <c r="AE146" s="28" t="s">
        <v>9</v>
      </c>
      <c r="AF146" s="28" t="s">
        <v>9</v>
      </c>
      <c r="AG146" s="24">
        <f t="shared" si="14"/>
        <v>15</v>
      </c>
      <c r="AH146" s="24">
        <f t="shared" si="15"/>
        <v>0</v>
      </c>
      <c r="AI146" s="24">
        <f t="shared" si="16"/>
        <v>0</v>
      </c>
      <c r="AJ146" s="41" t="str" cm="1">
        <f t="array" ref="AJ146">_xlfn.IFS(
$AG146=15,"Not Started",
$AI146&lt;15,"In Progress",
$AI146=15,"Completed",
SUM(AG146:AI146)&gt;15,"Error"
)</f>
        <v>Not Started</v>
      </c>
    </row>
    <row r="147" spans="1:36" ht="13" x14ac:dyDescent="0.25">
      <c r="A147" s="256"/>
      <c r="B147" s="286"/>
      <c r="C147" s="64" t="s">
        <v>1401</v>
      </c>
      <c r="D147" s="53" t="s">
        <v>9965</v>
      </c>
      <c r="E147" s="57" t="s">
        <v>9794</v>
      </c>
      <c r="F147" s="7" t="s">
        <v>51</v>
      </c>
      <c r="G147" s="7" t="s">
        <v>44</v>
      </c>
      <c r="H147" s="7" t="s">
        <v>9099</v>
      </c>
      <c r="I147" s="7" t="s">
        <v>9099</v>
      </c>
      <c r="J147" s="76">
        <v>30.4869958431849</v>
      </c>
      <c r="K147" s="77">
        <v>38.255584846702099</v>
      </c>
      <c r="L147" s="138" t="str">
        <f t="shared" si="17"/>
        <v>30.4869958431849,38.2555848467021</v>
      </c>
      <c r="M147" s="64" t="s">
        <v>10154</v>
      </c>
      <c r="N147" s="7">
        <v>10086056701</v>
      </c>
      <c r="O147" s="7"/>
      <c r="P147" s="201"/>
      <c r="Q147" s="28" t="s">
        <v>9</v>
      </c>
      <c r="R147" s="28" t="s">
        <v>9</v>
      </c>
      <c r="S147" s="28" t="s">
        <v>9</v>
      </c>
      <c r="T147" s="28" t="s">
        <v>9</v>
      </c>
      <c r="U147" s="28" t="s">
        <v>9</v>
      </c>
      <c r="V147" s="28" t="s">
        <v>9</v>
      </c>
      <c r="W147" s="28" t="s">
        <v>9</v>
      </c>
      <c r="X147" s="28" t="s">
        <v>9</v>
      </c>
      <c r="Y147" s="28" t="s">
        <v>9</v>
      </c>
      <c r="Z147" s="28" t="s">
        <v>9</v>
      </c>
      <c r="AA147" s="28" t="s">
        <v>9</v>
      </c>
      <c r="AB147" s="28" t="s">
        <v>9</v>
      </c>
      <c r="AC147" s="28" t="s">
        <v>9</v>
      </c>
      <c r="AD147" s="28" t="s">
        <v>9</v>
      </c>
      <c r="AE147" s="28" t="s">
        <v>9</v>
      </c>
      <c r="AF147" s="28" t="s">
        <v>9</v>
      </c>
      <c r="AG147" s="24">
        <f t="shared" si="14"/>
        <v>15</v>
      </c>
      <c r="AH147" s="24">
        <f t="shared" si="15"/>
        <v>0</v>
      </c>
      <c r="AI147" s="24">
        <f t="shared" si="16"/>
        <v>0</v>
      </c>
      <c r="AJ147" s="41" t="str" cm="1">
        <f t="array" ref="AJ147">_xlfn.IFS(
$AG147=15,"Not Started",
$AI147&lt;15,"In Progress",
$AI147=15,"Completed",
SUM(AG147:AI147)&gt;15,"Error"
)</f>
        <v>Not Started</v>
      </c>
    </row>
    <row r="148" spans="1:36" ht="13" x14ac:dyDescent="0.25">
      <c r="A148" s="256"/>
      <c r="B148" s="286"/>
      <c r="C148" s="63" t="s">
        <v>1402</v>
      </c>
      <c r="D148" s="53" t="s">
        <v>9966</v>
      </c>
      <c r="E148" s="57" t="s">
        <v>9795</v>
      </c>
      <c r="F148" s="7" t="s">
        <v>43</v>
      </c>
      <c r="G148" s="7" t="s">
        <v>44</v>
      </c>
      <c r="H148" s="7" t="s">
        <v>9099</v>
      </c>
      <c r="I148" s="7" t="s">
        <v>9099</v>
      </c>
      <c r="J148" s="76">
        <v>30.503709985878402</v>
      </c>
      <c r="K148" s="77">
        <v>38.221368524478002</v>
      </c>
      <c r="L148" s="138" t="str">
        <f t="shared" si="17"/>
        <v>30.5037099858784,38.221368524478</v>
      </c>
      <c r="M148" s="64" t="s">
        <v>10155</v>
      </c>
      <c r="N148" s="7">
        <v>10093190001</v>
      </c>
      <c r="O148" s="7"/>
      <c r="P148" s="201"/>
      <c r="Q148" s="28" t="s">
        <v>9</v>
      </c>
      <c r="R148" s="28" t="s">
        <v>9</v>
      </c>
      <c r="S148" s="28" t="s">
        <v>9</v>
      </c>
      <c r="T148" s="28" t="s">
        <v>9</v>
      </c>
      <c r="U148" s="28" t="s">
        <v>9</v>
      </c>
      <c r="V148" s="28" t="s">
        <v>9</v>
      </c>
      <c r="W148" s="28" t="s">
        <v>9</v>
      </c>
      <c r="X148" s="28" t="s">
        <v>9</v>
      </c>
      <c r="Y148" s="28" t="s">
        <v>9</v>
      </c>
      <c r="Z148" s="28" t="s">
        <v>9</v>
      </c>
      <c r="AA148" s="28" t="s">
        <v>9</v>
      </c>
      <c r="AB148" s="28" t="s">
        <v>9</v>
      </c>
      <c r="AC148" s="28" t="s">
        <v>9</v>
      </c>
      <c r="AD148" s="28" t="s">
        <v>9</v>
      </c>
      <c r="AE148" s="28" t="s">
        <v>9</v>
      </c>
      <c r="AF148" s="28" t="s">
        <v>9</v>
      </c>
      <c r="AG148" s="24">
        <f t="shared" si="14"/>
        <v>15</v>
      </c>
      <c r="AH148" s="24">
        <f t="shared" si="15"/>
        <v>0</v>
      </c>
      <c r="AI148" s="24">
        <f t="shared" si="16"/>
        <v>0</v>
      </c>
      <c r="AJ148" s="41" t="str" cm="1">
        <f t="array" ref="AJ148">_xlfn.IFS(
$AG148=15,"Not Started",
$AI148&lt;15,"In Progress",
$AI148=15,"Completed",
SUM(AG148:AI148)&gt;15,"Error"
)</f>
        <v>Not Started</v>
      </c>
    </row>
    <row r="149" spans="1:36" ht="13" x14ac:dyDescent="0.25">
      <c r="A149" s="256"/>
      <c r="B149" s="286"/>
      <c r="C149" s="64" t="s">
        <v>1403</v>
      </c>
      <c r="D149" s="53" t="s">
        <v>9967</v>
      </c>
      <c r="E149" s="57" t="s">
        <v>9796</v>
      </c>
      <c r="F149" s="7" t="s">
        <v>43</v>
      </c>
      <c r="G149" s="7" t="s">
        <v>44</v>
      </c>
      <c r="H149" s="7" t="s">
        <v>9099</v>
      </c>
      <c r="I149" s="7" t="s">
        <v>9099</v>
      </c>
      <c r="J149" s="76">
        <v>30.487041490706901</v>
      </c>
      <c r="K149" s="77">
        <v>38.2555634883431</v>
      </c>
      <c r="L149" s="138" t="str">
        <f t="shared" si="17"/>
        <v>30.4870414907069,38.2555634883431</v>
      </c>
      <c r="M149" s="64" t="s">
        <v>10156</v>
      </c>
      <c r="N149" s="7">
        <v>10006026776</v>
      </c>
      <c r="O149" s="7"/>
      <c r="P149" s="202">
        <v>46149</v>
      </c>
      <c r="Q149" s="28" t="s">
        <v>11</v>
      </c>
      <c r="R149" s="28" t="s">
        <v>11</v>
      </c>
      <c r="S149" s="28" t="s">
        <v>11</v>
      </c>
      <c r="T149" s="28" t="s">
        <v>11</v>
      </c>
      <c r="U149" s="28" t="s">
        <v>10</v>
      </c>
      <c r="V149" s="28" t="s">
        <v>9</v>
      </c>
      <c r="W149" s="28" t="s">
        <v>9</v>
      </c>
      <c r="X149" s="28" t="s">
        <v>9</v>
      </c>
      <c r="Y149" s="28" t="s">
        <v>9</v>
      </c>
      <c r="Z149" s="28" t="s">
        <v>9</v>
      </c>
      <c r="AA149" s="28" t="s">
        <v>9</v>
      </c>
      <c r="AB149" s="28" t="s">
        <v>9</v>
      </c>
      <c r="AC149" s="28" t="s">
        <v>9</v>
      </c>
      <c r="AD149" s="28" t="s">
        <v>9</v>
      </c>
      <c r="AE149" s="28" t="s">
        <v>9</v>
      </c>
      <c r="AF149" s="28" t="s">
        <v>10</v>
      </c>
      <c r="AG149" s="24">
        <f t="shared" si="14"/>
        <v>10</v>
      </c>
      <c r="AH149" s="24">
        <f t="shared" si="15"/>
        <v>1</v>
      </c>
      <c r="AI149" s="24">
        <f t="shared" si="16"/>
        <v>4</v>
      </c>
      <c r="AJ149" s="41" t="str" cm="1">
        <f t="array" ref="AJ149">_xlfn.IFS(
$AG149=15,"Not Started",
$AI149&lt;15,"In Progress",
$AI149=15,"Completed",
SUM(AG149:AI149)&gt;15,"Error"
)</f>
        <v>In Progress</v>
      </c>
    </row>
    <row r="150" spans="1:36" ht="13" x14ac:dyDescent="0.25">
      <c r="A150" s="256"/>
      <c r="B150" s="286"/>
      <c r="C150" s="63" t="s">
        <v>1404</v>
      </c>
      <c r="D150" s="53" t="s">
        <v>9968</v>
      </c>
      <c r="E150" s="57" t="s">
        <v>9797</v>
      </c>
      <c r="F150" s="7" t="s">
        <v>43</v>
      </c>
      <c r="G150" s="7" t="s">
        <v>44</v>
      </c>
      <c r="H150" s="7" t="s">
        <v>9099</v>
      </c>
      <c r="I150" s="7" t="s">
        <v>9099</v>
      </c>
      <c r="J150" s="76">
        <v>30.4869958431849</v>
      </c>
      <c r="K150" s="77">
        <v>38.255584846702099</v>
      </c>
      <c r="L150" s="138" t="str">
        <f t="shared" si="17"/>
        <v>30.4869958431849,38.2555848467021</v>
      </c>
      <c r="M150" s="64" t="s">
        <v>10157</v>
      </c>
      <c r="N150" s="7">
        <v>10006042635</v>
      </c>
      <c r="O150" s="7"/>
      <c r="P150" s="201"/>
      <c r="Q150" s="28" t="s">
        <v>9</v>
      </c>
      <c r="R150" s="28" t="s">
        <v>9</v>
      </c>
      <c r="S150" s="28" t="s">
        <v>9</v>
      </c>
      <c r="T150" s="28" t="s">
        <v>9</v>
      </c>
      <c r="U150" s="28" t="s">
        <v>9</v>
      </c>
      <c r="V150" s="28" t="s">
        <v>9</v>
      </c>
      <c r="W150" s="28" t="s">
        <v>9</v>
      </c>
      <c r="X150" s="28" t="s">
        <v>9</v>
      </c>
      <c r="Y150" s="28" t="s">
        <v>9</v>
      </c>
      <c r="Z150" s="28" t="s">
        <v>9</v>
      </c>
      <c r="AA150" s="28" t="s">
        <v>9</v>
      </c>
      <c r="AB150" s="28" t="s">
        <v>9</v>
      </c>
      <c r="AC150" s="28" t="s">
        <v>9</v>
      </c>
      <c r="AD150" s="28" t="s">
        <v>9</v>
      </c>
      <c r="AE150" s="28" t="s">
        <v>9</v>
      </c>
      <c r="AF150" s="28" t="s">
        <v>9</v>
      </c>
      <c r="AG150" s="24">
        <f t="shared" si="14"/>
        <v>15</v>
      </c>
      <c r="AH150" s="24">
        <f t="shared" si="15"/>
        <v>0</v>
      </c>
      <c r="AI150" s="24">
        <f t="shared" si="16"/>
        <v>0</v>
      </c>
      <c r="AJ150" s="41" t="str" cm="1">
        <f t="array" ref="AJ150">_xlfn.IFS(
$AG150=15,"Not Started",
$AI150&lt;15,"In Progress",
$AI150=15,"Completed",
SUM(AG150:AI150)&gt;15,"Error"
)</f>
        <v>Not Started</v>
      </c>
    </row>
    <row r="151" spans="1:36" ht="13" x14ac:dyDescent="0.25">
      <c r="A151" s="256"/>
      <c r="B151" s="286"/>
      <c r="C151" s="64" t="s">
        <v>1405</v>
      </c>
      <c r="D151" s="53" t="s">
        <v>9969</v>
      </c>
      <c r="E151" s="57" t="s">
        <v>9798</v>
      </c>
      <c r="F151" s="7" t="s">
        <v>43</v>
      </c>
      <c r="G151" s="7" t="s">
        <v>44</v>
      </c>
      <c r="H151" s="7" t="s">
        <v>9099</v>
      </c>
      <c r="I151" s="7" t="s">
        <v>9099</v>
      </c>
      <c r="J151" s="76">
        <v>30.503709985878402</v>
      </c>
      <c r="K151" s="77">
        <v>38.221368524478002</v>
      </c>
      <c r="L151" s="138" t="str">
        <f t="shared" si="17"/>
        <v>30.5037099858784,38.221368524478</v>
      </c>
      <c r="M151" s="64" t="s">
        <v>10158</v>
      </c>
      <c r="N151" s="7">
        <v>10084703681</v>
      </c>
      <c r="O151" s="7"/>
      <c r="P151" s="201"/>
      <c r="Q151" s="28" t="s">
        <v>9</v>
      </c>
      <c r="R151" s="28" t="s">
        <v>9</v>
      </c>
      <c r="S151" s="28" t="s">
        <v>9</v>
      </c>
      <c r="T151" s="28" t="s">
        <v>9</v>
      </c>
      <c r="U151" s="28" t="s">
        <v>9</v>
      </c>
      <c r="V151" s="28" t="s">
        <v>9</v>
      </c>
      <c r="W151" s="28" t="s">
        <v>9</v>
      </c>
      <c r="X151" s="28" t="s">
        <v>9</v>
      </c>
      <c r="Y151" s="28" t="s">
        <v>9</v>
      </c>
      <c r="Z151" s="28" t="s">
        <v>9</v>
      </c>
      <c r="AA151" s="28" t="s">
        <v>9</v>
      </c>
      <c r="AB151" s="28" t="s">
        <v>9</v>
      </c>
      <c r="AC151" s="28" t="s">
        <v>9</v>
      </c>
      <c r="AD151" s="28" t="s">
        <v>9</v>
      </c>
      <c r="AE151" s="28" t="s">
        <v>9</v>
      </c>
      <c r="AF151" s="28" t="s">
        <v>9</v>
      </c>
      <c r="AG151" s="24">
        <f t="shared" si="14"/>
        <v>15</v>
      </c>
      <c r="AH151" s="24">
        <f t="shared" si="15"/>
        <v>0</v>
      </c>
      <c r="AI151" s="24">
        <f t="shared" si="16"/>
        <v>0</v>
      </c>
      <c r="AJ151" s="41" t="str" cm="1">
        <f t="array" ref="AJ151">_xlfn.IFS(
$AG151=15,"Not Started",
$AI151&lt;15,"In Progress",
$AI151=15,"Completed",
SUM(AG151:AI151)&gt;15,"Error"
)</f>
        <v>Not Started</v>
      </c>
    </row>
    <row r="152" spans="1:36" ht="13" x14ac:dyDescent="0.25">
      <c r="A152" s="256"/>
      <c r="B152" s="286"/>
      <c r="C152" s="63" t="s">
        <v>1406</v>
      </c>
      <c r="D152" s="53" t="s">
        <v>9970</v>
      </c>
      <c r="E152" s="57" t="s">
        <v>9799</v>
      </c>
      <c r="F152" s="7" t="s">
        <v>43</v>
      </c>
      <c r="G152" s="7" t="s">
        <v>44</v>
      </c>
      <c r="H152" s="7" t="s">
        <v>9099</v>
      </c>
      <c r="I152" s="7" t="s">
        <v>9099</v>
      </c>
      <c r="J152" s="76">
        <v>30.433763500000001</v>
      </c>
      <c r="K152" s="77">
        <v>38.4009182</v>
      </c>
      <c r="L152" s="138" t="str">
        <f t="shared" si="17"/>
        <v>30.4337635,38.4009182</v>
      </c>
      <c r="M152" s="64" t="s">
        <v>10159</v>
      </c>
      <c r="N152" s="7">
        <v>10006011147</v>
      </c>
      <c r="O152" s="7"/>
      <c r="P152" s="201"/>
      <c r="Q152" s="28" t="s">
        <v>9</v>
      </c>
      <c r="R152" s="28" t="s">
        <v>9</v>
      </c>
      <c r="S152" s="28" t="s">
        <v>9</v>
      </c>
      <c r="T152" s="28" t="s">
        <v>9</v>
      </c>
      <c r="U152" s="28" t="s">
        <v>9</v>
      </c>
      <c r="V152" s="28" t="s">
        <v>9</v>
      </c>
      <c r="W152" s="28" t="s">
        <v>9</v>
      </c>
      <c r="X152" s="28" t="s">
        <v>9</v>
      </c>
      <c r="Y152" s="28" t="s">
        <v>9</v>
      </c>
      <c r="Z152" s="28" t="s">
        <v>9</v>
      </c>
      <c r="AA152" s="28" t="s">
        <v>9</v>
      </c>
      <c r="AB152" s="28" t="s">
        <v>9</v>
      </c>
      <c r="AC152" s="28" t="s">
        <v>9</v>
      </c>
      <c r="AD152" s="28" t="s">
        <v>9</v>
      </c>
      <c r="AE152" s="28" t="s">
        <v>9</v>
      </c>
      <c r="AF152" s="28" t="s">
        <v>9</v>
      </c>
      <c r="AG152" s="24">
        <f t="shared" si="14"/>
        <v>15</v>
      </c>
      <c r="AH152" s="24">
        <f t="shared" si="15"/>
        <v>0</v>
      </c>
      <c r="AI152" s="24">
        <f t="shared" si="16"/>
        <v>0</v>
      </c>
      <c r="AJ152" s="41" t="str" cm="1">
        <f t="array" ref="AJ152">_xlfn.IFS(
$AG152=15,"Not Started",
$AI152&lt;15,"In Progress",
$AI152=15,"Completed",
SUM(AG152:AI152)&gt;15,"Error"
)</f>
        <v>Not Started</v>
      </c>
    </row>
    <row r="153" spans="1:36" ht="13" x14ac:dyDescent="0.25">
      <c r="A153" s="256"/>
      <c r="B153" s="286"/>
      <c r="C153" s="64" t="s">
        <v>1407</v>
      </c>
      <c r="D153" s="53" t="s">
        <v>9971</v>
      </c>
      <c r="E153" s="57" t="s">
        <v>5828</v>
      </c>
      <c r="F153" s="7" t="s">
        <v>43</v>
      </c>
      <c r="G153" s="7" t="s">
        <v>48</v>
      </c>
      <c r="H153" s="7" t="s">
        <v>9099</v>
      </c>
      <c r="I153" s="7" t="s">
        <v>9099</v>
      </c>
      <c r="J153" s="76">
        <v>30.473895521129901</v>
      </c>
      <c r="K153" s="77">
        <v>38.234544819945498</v>
      </c>
      <c r="L153" s="138" t="str">
        <f t="shared" si="17"/>
        <v>30.4738955211299,38.2345448199455</v>
      </c>
      <c r="M153" s="64" t="s">
        <v>10160</v>
      </c>
      <c r="N153" s="7">
        <v>10006042214</v>
      </c>
      <c r="O153" s="7"/>
      <c r="P153" s="201"/>
      <c r="Q153" s="28" t="s">
        <v>9</v>
      </c>
      <c r="R153" s="28" t="s">
        <v>9</v>
      </c>
      <c r="S153" s="28" t="s">
        <v>9</v>
      </c>
      <c r="T153" s="28" t="s">
        <v>9</v>
      </c>
      <c r="U153" s="28" t="s">
        <v>9</v>
      </c>
      <c r="V153" s="28" t="s">
        <v>9</v>
      </c>
      <c r="W153" s="28" t="s">
        <v>9</v>
      </c>
      <c r="X153" s="28" t="s">
        <v>9</v>
      </c>
      <c r="Y153" s="28" t="s">
        <v>9</v>
      </c>
      <c r="Z153" s="28" t="s">
        <v>9</v>
      </c>
      <c r="AA153" s="28" t="s">
        <v>9</v>
      </c>
      <c r="AB153" s="28" t="s">
        <v>9</v>
      </c>
      <c r="AC153" s="28" t="s">
        <v>9</v>
      </c>
      <c r="AD153" s="28" t="s">
        <v>9</v>
      </c>
      <c r="AE153" s="28" t="s">
        <v>9</v>
      </c>
      <c r="AF153" s="28" t="s">
        <v>9</v>
      </c>
      <c r="AG153" s="24">
        <f t="shared" si="14"/>
        <v>15</v>
      </c>
      <c r="AH153" s="24">
        <f t="shared" si="15"/>
        <v>0</v>
      </c>
      <c r="AI153" s="24">
        <f t="shared" si="16"/>
        <v>0</v>
      </c>
      <c r="AJ153" s="41" t="str" cm="1">
        <f t="array" ref="AJ153">_xlfn.IFS(
$AG153=15,"Not Started",
$AI153&lt;15,"In Progress",
$AI153=15,"Completed",
SUM(AG153:AI153)&gt;15,"Error"
)</f>
        <v>Not Started</v>
      </c>
    </row>
    <row r="154" spans="1:36" ht="13" x14ac:dyDescent="0.25">
      <c r="A154" s="256"/>
      <c r="B154" s="286"/>
      <c r="C154" s="63" t="s">
        <v>1408</v>
      </c>
      <c r="D154" s="53" t="s">
        <v>9972</v>
      </c>
      <c r="E154" s="57" t="s">
        <v>5829</v>
      </c>
      <c r="F154" s="7" t="s">
        <v>43</v>
      </c>
      <c r="G154" s="7" t="s">
        <v>48</v>
      </c>
      <c r="H154" s="7" t="s">
        <v>9099</v>
      </c>
      <c r="I154" s="7" t="s">
        <v>9099</v>
      </c>
      <c r="J154" s="76">
        <v>30.492264967913702</v>
      </c>
      <c r="K154" s="77">
        <v>38.252987484666903</v>
      </c>
      <c r="L154" s="138" t="str">
        <f t="shared" si="17"/>
        <v>30.4922649679137,38.2529874846669</v>
      </c>
      <c r="M154" s="64" t="s">
        <v>10161</v>
      </c>
      <c r="N154" s="7">
        <v>10006043392</v>
      </c>
      <c r="O154" s="7"/>
      <c r="P154" s="201"/>
      <c r="Q154" s="28" t="s">
        <v>9</v>
      </c>
      <c r="R154" s="28" t="s">
        <v>9</v>
      </c>
      <c r="S154" s="28" t="s">
        <v>9</v>
      </c>
      <c r="T154" s="28" t="s">
        <v>9</v>
      </c>
      <c r="U154" s="28" t="s">
        <v>9</v>
      </c>
      <c r="V154" s="28" t="s">
        <v>9</v>
      </c>
      <c r="W154" s="28" t="s">
        <v>9</v>
      </c>
      <c r="X154" s="28" t="s">
        <v>9</v>
      </c>
      <c r="Y154" s="28" t="s">
        <v>9</v>
      </c>
      <c r="Z154" s="28" t="s">
        <v>9</v>
      </c>
      <c r="AA154" s="28" t="s">
        <v>9</v>
      </c>
      <c r="AB154" s="28" t="s">
        <v>9</v>
      </c>
      <c r="AC154" s="28" t="s">
        <v>9</v>
      </c>
      <c r="AD154" s="28" t="s">
        <v>9</v>
      </c>
      <c r="AE154" s="28" t="s">
        <v>9</v>
      </c>
      <c r="AF154" s="28" t="s">
        <v>9</v>
      </c>
      <c r="AG154" s="24">
        <f t="shared" si="14"/>
        <v>15</v>
      </c>
      <c r="AH154" s="24">
        <f t="shared" si="15"/>
        <v>0</v>
      </c>
      <c r="AI154" s="24">
        <f t="shared" si="16"/>
        <v>0</v>
      </c>
      <c r="AJ154" s="41" t="str" cm="1">
        <f t="array" ref="AJ154">_xlfn.IFS(
$AG154=15,"Not Started",
$AI154&lt;15,"In Progress",
$AI154=15,"Completed",
SUM(AG154:AI154)&gt;15,"Error"
)</f>
        <v>Not Started</v>
      </c>
    </row>
    <row r="155" spans="1:36" ht="13" x14ac:dyDescent="0.25">
      <c r="A155" s="256"/>
      <c r="B155" s="286"/>
      <c r="C155" s="64" t="s">
        <v>1409</v>
      </c>
      <c r="D155" s="94" t="s">
        <v>9973</v>
      </c>
      <c r="E155" s="95" t="s">
        <v>9800</v>
      </c>
      <c r="F155" s="7" t="s">
        <v>43</v>
      </c>
      <c r="G155" s="7" t="s">
        <v>44</v>
      </c>
      <c r="H155" s="7" t="s">
        <v>9099</v>
      </c>
      <c r="I155" s="7" t="s">
        <v>9099</v>
      </c>
      <c r="J155" s="76">
        <v>29.816628999999999</v>
      </c>
      <c r="K155" s="77">
        <v>38.915646000000002</v>
      </c>
      <c r="L155" s="138" t="str">
        <f t="shared" si="17"/>
        <v>29.816629,38.915646</v>
      </c>
      <c r="M155" s="64" t="s">
        <v>10162</v>
      </c>
      <c r="N155" s="7">
        <v>10005973322</v>
      </c>
      <c r="O155" s="7"/>
      <c r="P155" s="201"/>
      <c r="Q155" s="28" t="s">
        <v>9</v>
      </c>
      <c r="R155" s="28" t="s">
        <v>9</v>
      </c>
      <c r="S155" s="28" t="s">
        <v>9</v>
      </c>
      <c r="T155" s="28" t="s">
        <v>9</v>
      </c>
      <c r="U155" s="28" t="s">
        <v>9</v>
      </c>
      <c r="V155" s="28" t="s">
        <v>9</v>
      </c>
      <c r="W155" s="28" t="s">
        <v>9</v>
      </c>
      <c r="X155" s="28" t="s">
        <v>9</v>
      </c>
      <c r="Y155" s="28" t="s">
        <v>9</v>
      </c>
      <c r="Z155" s="28" t="s">
        <v>9</v>
      </c>
      <c r="AA155" s="28" t="s">
        <v>9</v>
      </c>
      <c r="AB155" s="28" t="s">
        <v>9</v>
      </c>
      <c r="AC155" s="28" t="s">
        <v>9</v>
      </c>
      <c r="AD155" s="28" t="s">
        <v>9</v>
      </c>
      <c r="AE155" s="28" t="s">
        <v>9</v>
      </c>
      <c r="AF155" s="28" t="s">
        <v>9</v>
      </c>
      <c r="AG155" s="24">
        <f t="shared" si="14"/>
        <v>15</v>
      </c>
      <c r="AH155" s="24">
        <f t="shared" si="15"/>
        <v>0</v>
      </c>
      <c r="AI155" s="24">
        <f t="shared" si="16"/>
        <v>0</v>
      </c>
      <c r="AJ155" s="41" t="str" cm="1">
        <f t="array" ref="AJ155">_xlfn.IFS(
$AG155=15,"Not Started",
$AI155&lt;15,"In Progress",
$AI155=15,"Completed",
SUM(AG155:AI155)&gt;15,"Error"
)</f>
        <v>Not Started</v>
      </c>
    </row>
    <row r="156" spans="1:36" ht="26" x14ac:dyDescent="0.25">
      <c r="A156" s="256"/>
      <c r="B156" s="286"/>
      <c r="C156" s="63" t="s">
        <v>1410</v>
      </c>
      <c r="D156" s="53" t="s">
        <v>9974</v>
      </c>
      <c r="E156" s="80" t="s">
        <v>10264</v>
      </c>
      <c r="F156" s="7" t="s">
        <v>47</v>
      </c>
      <c r="G156" s="7" t="s">
        <v>44</v>
      </c>
      <c r="H156" s="7" t="s">
        <v>9099</v>
      </c>
      <c r="I156" s="7" t="s">
        <v>9099</v>
      </c>
      <c r="J156" s="76">
        <v>29.814423000000001</v>
      </c>
      <c r="K156" s="77">
        <v>38.912457000000003</v>
      </c>
      <c r="L156" s="138" t="str">
        <f t="shared" si="17"/>
        <v>29.814423,38.912457</v>
      </c>
      <c r="M156" s="64" t="s">
        <v>10163</v>
      </c>
      <c r="N156" s="7">
        <v>10006006085</v>
      </c>
      <c r="O156" s="7"/>
      <c r="P156" s="202">
        <v>46148</v>
      </c>
      <c r="Q156" s="28" t="s">
        <v>11</v>
      </c>
      <c r="R156" s="28" t="s">
        <v>11</v>
      </c>
      <c r="S156" s="28" t="s">
        <v>11</v>
      </c>
      <c r="T156" s="28" t="s">
        <v>11</v>
      </c>
      <c r="U156" s="28" t="s">
        <v>10</v>
      </c>
      <c r="V156" s="28" t="s">
        <v>9</v>
      </c>
      <c r="W156" s="28" t="s">
        <v>9</v>
      </c>
      <c r="X156" s="28" t="s">
        <v>9</v>
      </c>
      <c r="Y156" s="28" t="s">
        <v>9</v>
      </c>
      <c r="Z156" s="28" t="s">
        <v>9</v>
      </c>
      <c r="AA156" s="28" t="s">
        <v>9</v>
      </c>
      <c r="AB156" s="28" t="s">
        <v>9</v>
      </c>
      <c r="AC156" s="28" t="s">
        <v>9</v>
      </c>
      <c r="AD156" s="28" t="s">
        <v>9</v>
      </c>
      <c r="AE156" s="28" t="s">
        <v>9</v>
      </c>
      <c r="AF156" s="28" t="s">
        <v>10</v>
      </c>
      <c r="AG156" s="24">
        <f t="shared" si="14"/>
        <v>10</v>
      </c>
      <c r="AH156" s="24">
        <f t="shared" si="15"/>
        <v>1</v>
      </c>
      <c r="AI156" s="24">
        <f t="shared" si="16"/>
        <v>4</v>
      </c>
      <c r="AJ156" s="41" t="str" cm="1">
        <f t="array" ref="AJ156">_xlfn.IFS(
$AG156=15,"Not Started",
$AI156&lt;15,"In Progress",
$AI156=15,"Completed",
SUM(AG156:AI156)&gt;15,"Error"
)</f>
        <v>In Progress</v>
      </c>
    </row>
    <row r="157" spans="1:36" ht="13" x14ac:dyDescent="0.25">
      <c r="A157" s="256"/>
      <c r="B157" s="286"/>
      <c r="C157" s="64" t="s">
        <v>1411</v>
      </c>
      <c r="D157" s="53" t="s">
        <v>9975</v>
      </c>
      <c r="E157" s="57" t="s">
        <v>9801</v>
      </c>
      <c r="F157" s="7" t="s">
        <v>43</v>
      </c>
      <c r="G157" s="7" t="s">
        <v>48</v>
      </c>
      <c r="H157" s="7" t="s">
        <v>9099</v>
      </c>
      <c r="I157" s="7" t="s">
        <v>9099</v>
      </c>
      <c r="J157" s="76">
        <v>29.667193999999999</v>
      </c>
      <c r="K157" s="77">
        <v>39.667053000000003</v>
      </c>
      <c r="L157" s="138" t="str">
        <f t="shared" si="17"/>
        <v>29.667194,39.667053</v>
      </c>
      <c r="M157" s="64" t="s">
        <v>10164</v>
      </c>
      <c r="N157" s="7">
        <v>10006004447</v>
      </c>
      <c r="O157" s="7"/>
      <c r="P157" s="201">
        <v>46138</v>
      </c>
      <c r="Q157" s="28" t="s">
        <v>11</v>
      </c>
      <c r="R157" s="28" t="s">
        <v>11</v>
      </c>
      <c r="S157" s="28" t="s">
        <v>11</v>
      </c>
      <c r="T157" s="28" t="s">
        <v>11</v>
      </c>
      <c r="U157" s="28" t="s">
        <v>10</v>
      </c>
      <c r="V157" s="28" t="s">
        <v>9</v>
      </c>
      <c r="W157" s="28" t="s">
        <v>9</v>
      </c>
      <c r="X157" s="28" t="s">
        <v>9</v>
      </c>
      <c r="Y157" s="28" t="s">
        <v>9</v>
      </c>
      <c r="Z157" s="28" t="s">
        <v>9</v>
      </c>
      <c r="AA157" s="28" t="s">
        <v>9</v>
      </c>
      <c r="AB157" s="28" t="s">
        <v>9</v>
      </c>
      <c r="AC157" s="28" t="s">
        <v>9</v>
      </c>
      <c r="AD157" s="28" t="s">
        <v>9</v>
      </c>
      <c r="AE157" s="28" t="s">
        <v>9</v>
      </c>
      <c r="AF157" s="28" t="s">
        <v>10</v>
      </c>
      <c r="AG157" s="24">
        <f t="shared" si="14"/>
        <v>10</v>
      </c>
      <c r="AH157" s="24">
        <f t="shared" si="15"/>
        <v>1</v>
      </c>
      <c r="AI157" s="24">
        <f t="shared" si="16"/>
        <v>4</v>
      </c>
      <c r="AJ157" s="41" t="str" cm="1">
        <f t="array" ref="AJ157">_xlfn.IFS(
$AG157=15,"Not Started",
$AI157&lt;15,"In Progress",
$AI157=15,"Completed",
SUM(AG157:AI157)&gt;15,"Error"
)</f>
        <v>In Progress</v>
      </c>
    </row>
    <row r="158" spans="1:36" ht="13" x14ac:dyDescent="0.25">
      <c r="A158" s="256"/>
      <c r="B158" s="286"/>
      <c r="C158" s="63" t="s">
        <v>1412</v>
      </c>
      <c r="D158" s="146" t="s">
        <v>10583</v>
      </c>
      <c r="E158" s="144" t="s">
        <v>10584</v>
      </c>
      <c r="F158" s="142" t="s">
        <v>43</v>
      </c>
      <c r="G158" s="142" t="s">
        <v>48</v>
      </c>
      <c r="H158" s="142" t="s">
        <v>9099</v>
      </c>
      <c r="I158" s="142" t="s">
        <v>9099</v>
      </c>
      <c r="J158" s="174">
        <v>29.9889243898008</v>
      </c>
      <c r="K158" s="149">
        <v>40.208471637359303</v>
      </c>
      <c r="L158" s="1" t="s">
        <v>10585</v>
      </c>
      <c r="M158" s="145" t="s">
        <v>10586</v>
      </c>
      <c r="N158" s="142">
        <v>10005968636</v>
      </c>
      <c r="O158" s="142"/>
      <c r="P158" s="201"/>
      <c r="Q158" s="28" t="s">
        <v>11</v>
      </c>
      <c r="R158" s="28" t="s">
        <v>11</v>
      </c>
      <c r="S158" s="28" t="s">
        <v>11</v>
      </c>
      <c r="T158" s="28" t="s">
        <v>11</v>
      </c>
      <c r="U158" s="28" t="s">
        <v>10</v>
      </c>
      <c r="V158" s="28" t="s">
        <v>9</v>
      </c>
      <c r="W158" s="28" t="s">
        <v>9</v>
      </c>
      <c r="X158" s="28" t="s">
        <v>9</v>
      </c>
      <c r="Y158" s="28" t="s">
        <v>9</v>
      </c>
      <c r="Z158" s="28" t="s">
        <v>9</v>
      </c>
      <c r="AA158" s="28" t="s">
        <v>9</v>
      </c>
      <c r="AB158" s="28" t="s">
        <v>9</v>
      </c>
      <c r="AC158" s="28" t="s">
        <v>9</v>
      </c>
      <c r="AD158" s="28" t="s">
        <v>9</v>
      </c>
      <c r="AE158" s="28" t="s">
        <v>9</v>
      </c>
      <c r="AF158" s="28" t="s">
        <v>10</v>
      </c>
      <c r="AG158" s="24">
        <f t="shared" si="14"/>
        <v>10</v>
      </c>
      <c r="AH158" s="24">
        <f t="shared" si="15"/>
        <v>1</v>
      </c>
      <c r="AI158" s="24">
        <f t="shared" si="16"/>
        <v>4</v>
      </c>
      <c r="AJ158" s="41" t="str" cm="1">
        <f t="array" ref="AJ158">_xlfn.IFS(
$AG158=15,"Not Started",
$AI158&lt;15,"In Progress",
$AI158=15,"Completed",
SUM(AG158:AI158)&gt;15,"Error"
)</f>
        <v>In Progress</v>
      </c>
    </row>
    <row r="159" spans="1:36" ht="26" x14ac:dyDescent="0.25">
      <c r="A159" s="256"/>
      <c r="B159" s="286"/>
      <c r="C159" s="64" t="s">
        <v>1413</v>
      </c>
      <c r="D159" s="79" t="s">
        <v>10273</v>
      </c>
      <c r="E159" s="80" t="s">
        <v>10265</v>
      </c>
      <c r="F159" s="7" t="s">
        <v>43</v>
      </c>
      <c r="G159" s="7" t="s">
        <v>48</v>
      </c>
      <c r="H159" s="7" t="s">
        <v>9099</v>
      </c>
      <c r="I159" s="7" t="s">
        <v>9099</v>
      </c>
      <c r="J159" s="76">
        <v>29.805440999999998</v>
      </c>
      <c r="K159" s="77">
        <v>39.861313000000003</v>
      </c>
      <c r="L159" s="138" t="str">
        <f t="shared" si="17"/>
        <v>29.805441,39.861313</v>
      </c>
      <c r="M159" s="64" t="s">
        <v>10165</v>
      </c>
      <c r="N159" s="7">
        <v>10005984729</v>
      </c>
      <c r="O159" s="7"/>
      <c r="P159" s="201"/>
      <c r="Q159" s="28" t="s">
        <v>11</v>
      </c>
      <c r="R159" s="28" t="s">
        <v>11</v>
      </c>
      <c r="S159" s="28" t="s">
        <v>11</v>
      </c>
      <c r="T159" s="28" t="s">
        <v>11</v>
      </c>
      <c r="U159" s="28" t="s">
        <v>10</v>
      </c>
      <c r="V159" s="28" t="s">
        <v>9</v>
      </c>
      <c r="W159" s="28" t="s">
        <v>9</v>
      </c>
      <c r="X159" s="28" t="s">
        <v>9</v>
      </c>
      <c r="Y159" s="28" t="s">
        <v>9</v>
      </c>
      <c r="Z159" s="28" t="s">
        <v>9</v>
      </c>
      <c r="AA159" s="28" t="s">
        <v>9</v>
      </c>
      <c r="AB159" s="28" t="s">
        <v>9</v>
      </c>
      <c r="AC159" s="28" t="s">
        <v>9</v>
      </c>
      <c r="AD159" s="28" t="s">
        <v>9</v>
      </c>
      <c r="AE159" s="28" t="s">
        <v>9</v>
      </c>
      <c r="AF159" s="28" t="s">
        <v>10</v>
      </c>
      <c r="AG159" s="24">
        <f t="shared" si="14"/>
        <v>10</v>
      </c>
      <c r="AH159" s="24">
        <f t="shared" si="15"/>
        <v>1</v>
      </c>
      <c r="AI159" s="24">
        <f t="shared" si="16"/>
        <v>4</v>
      </c>
      <c r="AJ159" s="41" t="str" cm="1">
        <f t="array" ref="AJ159">_xlfn.IFS(
$AG159=15,"Not Started",
$AI159&lt;15,"In Progress",
$AI159=15,"Completed",
SUM(AG159:AI159)&gt;15,"Error"
)</f>
        <v>In Progress</v>
      </c>
    </row>
    <row r="160" spans="1:36" ht="13" x14ac:dyDescent="0.25">
      <c r="A160" s="256"/>
      <c r="B160" s="286"/>
      <c r="C160" s="63" t="s">
        <v>1414</v>
      </c>
      <c r="D160" s="53" t="s">
        <v>9976</v>
      </c>
      <c r="E160" s="57" t="s">
        <v>10218</v>
      </c>
      <c r="F160" s="7" t="s">
        <v>51</v>
      </c>
      <c r="G160" s="7" t="s">
        <v>48</v>
      </c>
      <c r="H160" s="7" t="s">
        <v>9099</v>
      </c>
      <c r="I160" s="7" t="s">
        <v>9099</v>
      </c>
      <c r="J160" s="76">
        <v>29.300968000000001</v>
      </c>
      <c r="K160" s="77">
        <v>39.916156999999998</v>
      </c>
      <c r="L160" s="138" t="str">
        <f t="shared" si="17"/>
        <v>29.300968,39.916157</v>
      </c>
      <c r="M160" s="64" t="s">
        <v>10166</v>
      </c>
      <c r="N160" s="7">
        <v>10006003922</v>
      </c>
      <c r="O160" s="7"/>
      <c r="P160" s="202">
        <v>46148</v>
      </c>
      <c r="Q160" s="28" t="s">
        <v>11</v>
      </c>
      <c r="R160" s="28" t="s">
        <v>11</v>
      </c>
      <c r="S160" s="28" t="s">
        <v>11</v>
      </c>
      <c r="T160" s="28" t="s">
        <v>11</v>
      </c>
      <c r="U160" s="28" t="s">
        <v>10</v>
      </c>
      <c r="V160" s="28" t="s">
        <v>9</v>
      </c>
      <c r="W160" s="28" t="s">
        <v>9</v>
      </c>
      <c r="X160" s="28" t="s">
        <v>9</v>
      </c>
      <c r="Y160" s="28" t="s">
        <v>9</v>
      </c>
      <c r="Z160" s="28" t="s">
        <v>9</v>
      </c>
      <c r="AA160" s="28" t="s">
        <v>9</v>
      </c>
      <c r="AB160" s="28" t="s">
        <v>9</v>
      </c>
      <c r="AC160" s="28" t="s">
        <v>9</v>
      </c>
      <c r="AD160" s="28" t="s">
        <v>9</v>
      </c>
      <c r="AE160" s="28" t="s">
        <v>9</v>
      </c>
      <c r="AF160" s="28" t="s">
        <v>10</v>
      </c>
      <c r="AG160" s="24">
        <f t="shared" si="14"/>
        <v>10</v>
      </c>
      <c r="AH160" s="24">
        <f t="shared" si="15"/>
        <v>1</v>
      </c>
      <c r="AI160" s="24">
        <f t="shared" si="16"/>
        <v>4</v>
      </c>
      <c r="AJ160" s="41" t="str" cm="1">
        <f t="array" ref="AJ160">_xlfn.IFS(
$AG160=15,"Not Started",
$AI160&lt;15,"In Progress",
$AI160=15,"Completed",
SUM(AG160:AI160)&gt;15,"Error"
)</f>
        <v>In Progress</v>
      </c>
    </row>
    <row r="161" spans="1:36" ht="13" x14ac:dyDescent="0.25">
      <c r="A161" s="256"/>
      <c r="B161" s="286"/>
      <c r="C161" s="64" t="s">
        <v>1415</v>
      </c>
      <c r="D161" s="53" t="s">
        <v>9977</v>
      </c>
      <c r="E161" s="57" t="s">
        <v>9802</v>
      </c>
      <c r="F161" s="7" t="s">
        <v>47</v>
      </c>
      <c r="G161" s="7" t="s">
        <v>44</v>
      </c>
      <c r="H161" s="7" t="s">
        <v>9099</v>
      </c>
      <c r="I161" s="7" t="s">
        <v>9099</v>
      </c>
      <c r="J161" s="76">
        <v>30.593657</v>
      </c>
      <c r="K161" s="77">
        <v>38.107697000000002</v>
      </c>
      <c r="L161" s="138" t="str">
        <f t="shared" si="17"/>
        <v>30.593657,38.107697</v>
      </c>
      <c r="M161" s="64" t="s">
        <v>10167</v>
      </c>
      <c r="N161" s="7">
        <v>10006027245</v>
      </c>
      <c r="O161" s="7"/>
      <c r="P161" s="201"/>
      <c r="Q161" s="28" t="s">
        <v>9</v>
      </c>
      <c r="R161" s="28" t="s">
        <v>9</v>
      </c>
      <c r="S161" s="28" t="s">
        <v>9</v>
      </c>
      <c r="T161" s="28" t="s">
        <v>9</v>
      </c>
      <c r="U161" s="28" t="s">
        <v>9</v>
      </c>
      <c r="V161" s="28" t="s">
        <v>9</v>
      </c>
      <c r="W161" s="28" t="s">
        <v>9</v>
      </c>
      <c r="X161" s="28" t="s">
        <v>9</v>
      </c>
      <c r="Y161" s="28" t="s">
        <v>9</v>
      </c>
      <c r="Z161" s="28" t="s">
        <v>9</v>
      </c>
      <c r="AA161" s="28" t="s">
        <v>9</v>
      </c>
      <c r="AB161" s="28" t="s">
        <v>9</v>
      </c>
      <c r="AC161" s="28" t="s">
        <v>9</v>
      </c>
      <c r="AD161" s="28" t="s">
        <v>9</v>
      </c>
      <c r="AE161" s="28" t="s">
        <v>9</v>
      </c>
      <c r="AF161" s="28" t="s">
        <v>9</v>
      </c>
      <c r="AG161" s="24">
        <f t="shared" si="14"/>
        <v>15</v>
      </c>
      <c r="AH161" s="24">
        <f t="shared" si="15"/>
        <v>0</v>
      </c>
      <c r="AI161" s="24">
        <f t="shared" si="16"/>
        <v>0</v>
      </c>
      <c r="AJ161" s="41" t="str" cm="1">
        <f t="array" ref="AJ161">_xlfn.IFS(
$AG161=15,"Not Started",
$AI161&lt;15,"In Progress",
$AI161=15,"Completed",
SUM(AG161:AI161)&gt;15,"Error"
)</f>
        <v>Not Started</v>
      </c>
    </row>
    <row r="162" spans="1:36" ht="13" x14ac:dyDescent="0.25">
      <c r="A162" s="256"/>
      <c r="B162" s="286"/>
      <c r="C162" s="63" t="s">
        <v>1416</v>
      </c>
      <c r="D162" s="53" t="s">
        <v>9978</v>
      </c>
      <c r="E162" s="57" t="s">
        <v>9803</v>
      </c>
      <c r="F162" s="7" t="s">
        <v>43</v>
      </c>
      <c r="G162" s="7" t="s">
        <v>44</v>
      </c>
      <c r="H162" s="7" t="s">
        <v>9099</v>
      </c>
      <c r="I162" s="7" t="s">
        <v>9099</v>
      </c>
      <c r="J162" s="76">
        <v>30.5930684</v>
      </c>
      <c r="K162" s="77">
        <v>38.107928700000002</v>
      </c>
      <c r="L162" s="138" t="str">
        <f t="shared" si="17"/>
        <v>30.5930684,38.1079287</v>
      </c>
      <c r="M162" s="64" t="s">
        <v>10168</v>
      </c>
      <c r="N162" s="7">
        <v>10006042045</v>
      </c>
      <c r="O162" s="7"/>
      <c r="P162" s="201"/>
      <c r="Q162" s="28" t="s">
        <v>9</v>
      </c>
      <c r="R162" s="28" t="s">
        <v>9</v>
      </c>
      <c r="S162" s="28" t="s">
        <v>9</v>
      </c>
      <c r="T162" s="28" t="s">
        <v>9</v>
      </c>
      <c r="U162" s="28" t="s">
        <v>9</v>
      </c>
      <c r="V162" s="28" t="s">
        <v>9</v>
      </c>
      <c r="W162" s="28" t="s">
        <v>9</v>
      </c>
      <c r="X162" s="28" t="s">
        <v>9</v>
      </c>
      <c r="Y162" s="28" t="s">
        <v>9</v>
      </c>
      <c r="Z162" s="28" t="s">
        <v>9</v>
      </c>
      <c r="AA162" s="28" t="s">
        <v>9</v>
      </c>
      <c r="AB162" s="28" t="s">
        <v>9</v>
      </c>
      <c r="AC162" s="28" t="s">
        <v>9</v>
      </c>
      <c r="AD162" s="28" t="s">
        <v>9</v>
      </c>
      <c r="AE162" s="28" t="s">
        <v>9</v>
      </c>
      <c r="AF162" s="28" t="s">
        <v>9</v>
      </c>
      <c r="AG162" s="24">
        <f t="shared" si="14"/>
        <v>15</v>
      </c>
      <c r="AH162" s="24">
        <f t="shared" si="15"/>
        <v>0</v>
      </c>
      <c r="AI162" s="24">
        <f t="shared" si="16"/>
        <v>0</v>
      </c>
      <c r="AJ162" s="41" t="str" cm="1">
        <f t="array" ref="AJ162">_xlfn.IFS(
$AG162=15,"Not Started",
$AI162&lt;15,"In Progress",
$AI162=15,"Completed",
SUM(AG162:AI162)&gt;15,"Error"
)</f>
        <v>Not Started</v>
      </c>
    </row>
    <row r="163" spans="1:36" ht="13" x14ac:dyDescent="0.25">
      <c r="A163" s="256"/>
      <c r="B163" s="286"/>
      <c r="C163" s="64" t="s">
        <v>1417</v>
      </c>
      <c r="D163" s="53" t="s">
        <v>9979</v>
      </c>
      <c r="E163" s="57" t="s">
        <v>9804</v>
      </c>
      <c r="F163" s="7" t="s">
        <v>43</v>
      </c>
      <c r="G163" s="7" t="s">
        <v>44</v>
      </c>
      <c r="H163" s="7" t="s">
        <v>9099</v>
      </c>
      <c r="I163" s="7" t="s">
        <v>9099</v>
      </c>
      <c r="J163" s="76">
        <v>30.590986000000001</v>
      </c>
      <c r="K163" s="77">
        <v>38.107261999999999</v>
      </c>
      <c r="L163" s="138" t="str">
        <f t="shared" si="17"/>
        <v>30.590986,38.107262</v>
      </c>
      <c r="M163" s="64" t="s">
        <v>10169</v>
      </c>
      <c r="N163" s="7">
        <v>10100288882</v>
      </c>
      <c r="O163" s="7"/>
      <c r="P163" s="201"/>
      <c r="Q163" s="28" t="s">
        <v>9</v>
      </c>
      <c r="R163" s="28" t="s">
        <v>9</v>
      </c>
      <c r="S163" s="28" t="s">
        <v>9</v>
      </c>
      <c r="T163" s="28" t="s">
        <v>9</v>
      </c>
      <c r="U163" s="28" t="s">
        <v>9</v>
      </c>
      <c r="V163" s="28" t="s">
        <v>9</v>
      </c>
      <c r="W163" s="28" t="s">
        <v>9</v>
      </c>
      <c r="X163" s="28" t="s">
        <v>9</v>
      </c>
      <c r="Y163" s="28" t="s">
        <v>9</v>
      </c>
      <c r="Z163" s="28" t="s">
        <v>9</v>
      </c>
      <c r="AA163" s="28" t="s">
        <v>9</v>
      </c>
      <c r="AB163" s="28" t="s">
        <v>9</v>
      </c>
      <c r="AC163" s="28" t="s">
        <v>9</v>
      </c>
      <c r="AD163" s="28" t="s">
        <v>9</v>
      </c>
      <c r="AE163" s="28" t="s">
        <v>9</v>
      </c>
      <c r="AF163" s="28" t="s">
        <v>9</v>
      </c>
      <c r="AG163" s="24">
        <f t="shared" si="14"/>
        <v>15</v>
      </c>
      <c r="AH163" s="24">
        <f t="shared" si="15"/>
        <v>0</v>
      </c>
      <c r="AI163" s="24">
        <f t="shared" si="16"/>
        <v>0</v>
      </c>
      <c r="AJ163" s="41" t="str" cm="1">
        <f t="array" ref="AJ163">_xlfn.IFS(
$AG163=15,"Not Started",
$AI163&lt;15,"In Progress",
$AI163=15,"Completed",
SUM(AG163:AI163)&gt;15,"Error"
)</f>
        <v>Not Started</v>
      </c>
    </row>
    <row r="164" spans="1:36" ht="13" x14ac:dyDescent="0.25">
      <c r="A164" s="256"/>
      <c r="B164" s="286"/>
      <c r="C164" s="63" t="s">
        <v>1418</v>
      </c>
      <c r="D164" s="53" t="s">
        <v>9980</v>
      </c>
      <c r="E164" s="57" t="s">
        <v>9805</v>
      </c>
      <c r="F164" s="7" t="s">
        <v>51</v>
      </c>
      <c r="G164" s="7" t="s">
        <v>44</v>
      </c>
      <c r="H164" s="7" t="s">
        <v>9099</v>
      </c>
      <c r="I164" s="7" t="s">
        <v>9099</v>
      </c>
      <c r="J164" s="76">
        <v>29.666988</v>
      </c>
      <c r="K164" s="77">
        <v>39.671790999999999</v>
      </c>
      <c r="L164" s="138" t="str">
        <f t="shared" si="17"/>
        <v>29.666988,39.671791</v>
      </c>
      <c r="M164" s="64" t="s">
        <v>10170</v>
      </c>
      <c r="N164" s="7">
        <v>10006006989</v>
      </c>
      <c r="O164" s="7"/>
      <c r="P164" s="201">
        <v>46139</v>
      </c>
      <c r="Q164" s="28" t="s">
        <v>11</v>
      </c>
      <c r="R164" s="28" t="s">
        <v>11</v>
      </c>
      <c r="S164" s="28" t="s">
        <v>11</v>
      </c>
      <c r="T164" s="28" t="s">
        <v>11</v>
      </c>
      <c r="U164" s="28" t="s">
        <v>10</v>
      </c>
      <c r="V164" s="28" t="s">
        <v>9</v>
      </c>
      <c r="W164" s="28" t="s">
        <v>9</v>
      </c>
      <c r="X164" s="28" t="s">
        <v>9</v>
      </c>
      <c r="Y164" s="28" t="s">
        <v>9</v>
      </c>
      <c r="Z164" s="28" t="s">
        <v>9</v>
      </c>
      <c r="AA164" s="28" t="s">
        <v>9</v>
      </c>
      <c r="AB164" s="28" t="s">
        <v>9</v>
      </c>
      <c r="AC164" s="28" t="s">
        <v>9</v>
      </c>
      <c r="AD164" s="28" t="s">
        <v>9</v>
      </c>
      <c r="AE164" s="28" t="s">
        <v>9</v>
      </c>
      <c r="AF164" s="28" t="s">
        <v>10</v>
      </c>
      <c r="AG164" s="24">
        <f t="shared" ref="AG164:AG195" si="18">COUNTIF(Q164:AE164,$AG$2)</f>
        <v>10</v>
      </c>
      <c r="AH164" s="24">
        <f t="shared" ref="AH164:AH195" si="19">COUNTIF(Q164:AE164,$AH$2)</f>
        <v>1</v>
      </c>
      <c r="AI164" s="24">
        <f t="shared" ref="AI164:AI195" si="20">COUNTIF(Q164:AE164,$AI$2)</f>
        <v>4</v>
      </c>
      <c r="AJ164" s="41" t="str" cm="1">
        <f t="array" ref="AJ164">_xlfn.IFS(
$AG164=15,"Not Started",
$AI164&lt;15,"In Progress",
$AI164=15,"Completed",
SUM(AG164:AI164)&gt;15,"Error"
)</f>
        <v>In Progress</v>
      </c>
    </row>
    <row r="165" spans="1:36" ht="13" x14ac:dyDescent="0.25">
      <c r="A165" s="256"/>
      <c r="B165" s="286"/>
      <c r="C165" s="64" t="s">
        <v>1419</v>
      </c>
      <c r="D165" s="53" t="s">
        <v>9981</v>
      </c>
      <c r="E165" s="57" t="s">
        <v>9806</v>
      </c>
      <c r="F165" s="7" t="s">
        <v>43</v>
      </c>
      <c r="G165" s="7" t="s">
        <v>48</v>
      </c>
      <c r="H165" s="7" t="s">
        <v>9099</v>
      </c>
      <c r="I165" s="7" t="s">
        <v>9099</v>
      </c>
      <c r="J165" s="76">
        <v>30.520271000000001</v>
      </c>
      <c r="K165" s="77">
        <v>38.203251000000002</v>
      </c>
      <c r="L165" s="138" t="str">
        <f t="shared" si="17"/>
        <v>30.520271,38.203251</v>
      </c>
      <c r="M165" s="64" t="s">
        <v>10171</v>
      </c>
      <c r="N165" s="7">
        <v>10006042018</v>
      </c>
      <c r="O165" s="7"/>
      <c r="P165" s="201"/>
      <c r="Q165" s="28" t="s">
        <v>9</v>
      </c>
      <c r="R165" s="28" t="s">
        <v>9</v>
      </c>
      <c r="S165" s="28" t="s">
        <v>9</v>
      </c>
      <c r="T165" s="28" t="s">
        <v>9</v>
      </c>
      <c r="U165" s="28" t="s">
        <v>9</v>
      </c>
      <c r="V165" s="28" t="s">
        <v>9</v>
      </c>
      <c r="W165" s="28" t="s">
        <v>9</v>
      </c>
      <c r="X165" s="28" t="s">
        <v>9</v>
      </c>
      <c r="Y165" s="28" t="s">
        <v>9</v>
      </c>
      <c r="Z165" s="28" t="s">
        <v>9</v>
      </c>
      <c r="AA165" s="28" t="s">
        <v>9</v>
      </c>
      <c r="AB165" s="28" t="s">
        <v>9</v>
      </c>
      <c r="AC165" s="28" t="s">
        <v>9</v>
      </c>
      <c r="AD165" s="28" t="s">
        <v>9</v>
      </c>
      <c r="AE165" s="28" t="s">
        <v>9</v>
      </c>
      <c r="AF165" s="28" t="s">
        <v>9</v>
      </c>
      <c r="AG165" s="24">
        <f t="shared" si="18"/>
        <v>15</v>
      </c>
      <c r="AH165" s="24">
        <f t="shared" si="19"/>
        <v>0</v>
      </c>
      <c r="AI165" s="24">
        <f t="shared" si="20"/>
        <v>0</v>
      </c>
      <c r="AJ165" s="41" t="str" cm="1">
        <f t="array" ref="AJ165">_xlfn.IFS(
$AG165=15,"Not Started",
$AI165&lt;15,"In Progress",
$AI165=15,"Completed",
SUM(AG165:AI165)&gt;15,"Error"
)</f>
        <v>Not Started</v>
      </c>
    </row>
    <row r="166" spans="1:36" ht="13" x14ac:dyDescent="0.25">
      <c r="A166" s="256"/>
      <c r="B166" s="286"/>
      <c r="C166" s="63" t="s">
        <v>1420</v>
      </c>
      <c r="D166" s="53" t="s">
        <v>9982</v>
      </c>
      <c r="E166" s="57" t="s">
        <v>9807</v>
      </c>
      <c r="F166" s="7" t="s">
        <v>43</v>
      </c>
      <c r="G166" s="7" t="s">
        <v>48</v>
      </c>
      <c r="H166" s="7" t="s">
        <v>9099</v>
      </c>
      <c r="I166" s="7" t="s">
        <v>9099</v>
      </c>
      <c r="J166" s="76">
        <v>30.521122699999999</v>
      </c>
      <c r="K166" s="77">
        <v>38.204341100000001</v>
      </c>
      <c r="L166" s="138" t="str">
        <f t="shared" si="17"/>
        <v>30.5211227,38.2043411</v>
      </c>
      <c r="M166" s="64" t="s">
        <v>10172</v>
      </c>
      <c r="N166" s="7">
        <v>10006011998</v>
      </c>
      <c r="O166" s="7"/>
      <c r="P166" s="201"/>
      <c r="Q166" s="28" t="s">
        <v>9</v>
      </c>
      <c r="R166" s="28" t="s">
        <v>9</v>
      </c>
      <c r="S166" s="28" t="s">
        <v>9</v>
      </c>
      <c r="T166" s="28" t="s">
        <v>9</v>
      </c>
      <c r="U166" s="28" t="s">
        <v>9</v>
      </c>
      <c r="V166" s="28" t="s">
        <v>9</v>
      </c>
      <c r="W166" s="28" t="s">
        <v>9</v>
      </c>
      <c r="X166" s="28" t="s">
        <v>9</v>
      </c>
      <c r="Y166" s="28" t="s">
        <v>9</v>
      </c>
      <c r="Z166" s="28" t="s">
        <v>9</v>
      </c>
      <c r="AA166" s="28" t="s">
        <v>9</v>
      </c>
      <c r="AB166" s="28" t="s">
        <v>9</v>
      </c>
      <c r="AC166" s="28" t="s">
        <v>9</v>
      </c>
      <c r="AD166" s="28" t="s">
        <v>9</v>
      </c>
      <c r="AE166" s="28" t="s">
        <v>9</v>
      </c>
      <c r="AF166" s="28" t="s">
        <v>9</v>
      </c>
      <c r="AG166" s="24">
        <f t="shared" si="18"/>
        <v>15</v>
      </c>
      <c r="AH166" s="24">
        <f t="shared" si="19"/>
        <v>0</v>
      </c>
      <c r="AI166" s="24">
        <f t="shared" si="20"/>
        <v>0</v>
      </c>
      <c r="AJ166" s="41" t="str" cm="1">
        <f t="array" ref="AJ166">_xlfn.IFS(
$AG166=15,"Not Started",
$AI166&lt;15,"In Progress",
$AI166=15,"Completed",
SUM(AG166:AI166)&gt;15,"Error"
)</f>
        <v>Not Started</v>
      </c>
    </row>
    <row r="167" spans="1:36" ht="13" x14ac:dyDescent="0.25">
      <c r="A167" s="256"/>
      <c r="B167" s="286"/>
      <c r="C167" s="64" t="s">
        <v>1421</v>
      </c>
      <c r="D167" s="53" t="s">
        <v>9983</v>
      </c>
      <c r="E167" s="57" t="s">
        <v>9808</v>
      </c>
      <c r="F167" s="7" t="s">
        <v>47</v>
      </c>
      <c r="G167" s="7" t="s">
        <v>48</v>
      </c>
      <c r="H167" s="7" t="s">
        <v>9099</v>
      </c>
      <c r="I167" s="7" t="s">
        <v>9099</v>
      </c>
      <c r="J167" s="76">
        <v>30.490133</v>
      </c>
      <c r="K167" s="77">
        <v>38.253315000000001</v>
      </c>
      <c r="L167" s="138" t="str">
        <f t="shared" si="17"/>
        <v>30.490133,38.253315</v>
      </c>
      <c r="M167" s="64" t="s">
        <v>10173</v>
      </c>
      <c r="N167" s="7">
        <v>10006043418</v>
      </c>
      <c r="O167" s="7"/>
      <c r="P167" s="201"/>
      <c r="Q167" s="28" t="s">
        <v>9</v>
      </c>
      <c r="R167" s="28" t="s">
        <v>9</v>
      </c>
      <c r="S167" s="28" t="s">
        <v>9</v>
      </c>
      <c r="T167" s="28" t="s">
        <v>9</v>
      </c>
      <c r="U167" s="28" t="s">
        <v>9</v>
      </c>
      <c r="V167" s="28" t="s">
        <v>9</v>
      </c>
      <c r="W167" s="28" t="s">
        <v>9</v>
      </c>
      <c r="X167" s="28" t="s">
        <v>9</v>
      </c>
      <c r="Y167" s="28" t="s">
        <v>9</v>
      </c>
      <c r="Z167" s="28" t="s">
        <v>9</v>
      </c>
      <c r="AA167" s="28" t="s">
        <v>9</v>
      </c>
      <c r="AB167" s="28" t="s">
        <v>9</v>
      </c>
      <c r="AC167" s="28" t="s">
        <v>9</v>
      </c>
      <c r="AD167" s="28" t="s">
        <v>9</v>
      </c>
      <c r="AE167" s="28" t="s">
        <v>9</v>
      </c>
      <c r="AF167" s="28" t="s">
        <v>9</v>
      </c>
      <c r="AG167" s="24">
        <f t="shared" si="18"/>
        <v>15</v>
      </c>
      <c r="AH167" s="24">
        <f t="shared" si="19"/>
        <v>0</v>
      </c>
      <c r="AI167" s="24">
        <f t="shared" si="20"/>
        <v>0</v>
      </c>
      <c r="AJ167" s="41" t="str" cm="1">
        <f t="array" ref="AJ167">_xlfn.IFS(
$AG167=15,"Not Started",
$AI167&lt;15,"In Progress",
$AI167=15,"Completed",
SUM(AG167:AI167)&gt;15,"Error"
)</f>
        <v>Not Started</v>
      </c>
    </row>
    <row r="168" spans="1:36" ht="20" customHeight="1" x14ac:dyDescent="0.25">
      <c r="A168" s="256"/>
      <c r="B168" s="286"/>
      <c r="C168" s="63" t="s">
        <v>1422</v>
      </c>
      <c r="D168" s="79" t="s">
        <v>10288</v>
      </c>
      <c r="E168" s="80" t="s">
        <v>10212</v>
      </c>
      <c r="F168" s="7" t="s">
        <v>43</v>
      </c>
      <c r="G168" s="7" t="s">
        <v>48</v>
      </c>
      <c r="H168" s="7" t="s">
        <v>9099</v>
      </c>
      <c r="I168" s="7" t="s">
        <v>9099</v>
      </c>
      <c r="J168" s="76">
        <v>30.474215999999998</v>
      </c>
      <c r="K168" s="77">
        <v>38.240597000000001</v>
      </c>
      <c r="L168" s="138" t="str">
        <f t="shared" si="17"/>
        <v>30.474216,38.240597</v>
      </c>
      <c r="M168" s="64" t="s">
        <v>10174</v>
      </c>
      <c r="N168" s="7">
        <v>10084707321</v>
      </c>
      <c r="O168" s="7"/>
      <c r="P168" s="201"/>
      <c r="Q168" s="28" t="s">
        <v>9</v>
      </c>
      <c r="R168" s="28" t="s">
        <v>9</v>
      </c>
      <c r="S168" s="28" t="s">
        <v>9</v>
      </c>
      <c r="T168" s="28" t="s">
        <v>9</v>
      </c>
      <c r="U168" s="28" t="s">
        <v>9</v>
      </c>
      <c r="V168" s="28" t="s">
        <v>9</v>
      </c>
      <c r="W168" s="28" t="s">
        <v>9</v>
      </c>
      <c r="X168" s="28" t="s">
        <v>9</v>
      </c>
      <c r="Y168" s="28" t="s">
        <v>9</v>
      </c>
      <c r="Z168" s="28" t="s">
        <v>9</v>
      </c>
      <c r="AA168" s="28" t="s">
        <v>9</v>
      </c>
      <c r="AB168" s="28" t="s">
        <v>9</v>
      </c>
      <c r="AC168" s="28" t="s">
        <v>9</v>
      </c>
      <c r="AD168" s="28" t="s">
        <v>9</v>
      </c>
      <c r="AE168" s="28" t="s">
        <v>9</v>
      </c>
      <c r="AF168" s="28" t="s">
        <v>9</v>
      </c>
      <c r="AG168" s="24">
        <f t="shared" si="18"/>
        <v>15</v>
      </c>
      <c r="AH168" s="24">
        <f t="shared" si="19"/>
        <v>0</v>
      </c>
      <c r="AI168" s="24">
        <f t="shared" si="20"/>
        <v>0</v>
      </c>
      <c r="AJ168" s="41" t="str" cm="1">
        <f t="array" ref="AJ168">_xlfn.IFS(
$AG168=15,"Not Started",
$AI168&lt;15,"In Progress",
$AI168=15,"Completed",
SUM(AG168:AI168)&gt;15,"Error"
)</f>
        <v>Not Started</v>
      </c>
    </row>
    <row r="169" spans="1:36" ht="13" x14ac:dyDescent="0.25">
      <c r="A169" s="256"/>
      <c r="B169" s="286"/>
      <c r="C169" s="64" t="s">
        <v>1423</v>
      </c>
      <c r="D169" s="53" t="s">
        <v>9984</v>
      </c>
      <c r="E169" s="57" t="s">
        <v>9809</v>
      </c>
      <c r="F169" s="7" t="s">
        <v>51</v>
      </c>
      <c r="G169" s="7" t="s">
        <v>48</v>
      </c>
      <c r="H169" s="7" t="s">
        <v>9099</v>
      </c>
      <c r="I169" s="7" t="s">
        <v>9099</v>
      </c>
      <c r="J169" s="76">
        <v>30.501121012864498</v>
      </c>
      <c r="K169" s="77">
        <v>38.223296304202002</v>
      </c>
      <c r="L169" s="138" t="str">
        <f t="shared" si="17"/>
        <v>30.5011210128645,38.223296304202</v>
      </c>
      <c r="M169" s="64" t="s">
        <v>10175</v>
      </c>
      <c r="N169" s="7">
        <v>10006043919</v>
      </c>
      <c r="O169" s="7"/>
      <c r="P169" s="201"/>
      <c r="Q169" s="28" t="s">
        <v>9</v>
      </c>
      <c r="R169" s="28" t="s">
        <v>9</v>
      </c>
      <c r="S169" s="28" t="s">
        <v>9</v>
      </c>
      <c r="T169" s="28" t="s">
        <v>9</v>
      </c>
      <c r="U169" s="28" t="s">
        <v>9</v>
      </c>
      <c r="V169" s="28" t="s">
        <v>9</v>
      </c>
      <c r="W169" s="28" t="s">
        <v>9</v>
      </c>
      <c r="X169" s="28" t="s">
        <v>9</v>
      </c>
      <c r="Y169" s="28" t="s">
        <v>9</v>
      </c>
      <c r="Z169" s="28" t="s">
        <v>9</v>
      </c>
      <c r="AA169" s="28" t="s">
        <v>9</v>
      </c>
      <c r="AB169" s="28" t="s">
        <v>9</v>
      </c>
      <c r="AC169" s="28" t="s">
        <v>9</v>
      </c>
      <c r="AD169" s="28" t="s">
        <v>9</v>
      </c>
      <c r="AE169" s="28" t="s">
        <v>9</v>
      </c>
      <c r="AF169" s="28" t="s">
        <v>9</v>
      </c>
      <c r="AG169" s="24">
        <f t="shared" si="18"/>
        <v>15</v>
      </c>
      <c r="AH169" s="24">
        <f t="shared" si="19"/>
        <v>0</v>
      </c>
      <c r="AI169" s="24">
        <f t="shared" si="20"/>
        <v>0</v>
      </c>
      <c r="AJ169" s="41" t="str" cm="1">
        <f t="array" ref="AJ169">_xlfn.IFS(
$AG169=15,"Not Started",
$AI169&lt;15,"In Progress",
$AI169=15,"Completed",
SUM(AG169:AI169)&gt;15,"Error"
)</f>
        <v>Not Started</v>
      </c>
    </row>
    <row r="170" spans="1:36" ht="13" x14ac:dyDescent="0.25">
      <c r="A170" s="256"/>
      <c r="B170" s="286"/>
      <c r="C170" s="63" t="s">
        <v>1424</v>
      </c>
      <c r="D170" s="53" t="s">
        <v>9985</v>
      </c>
      <c r="E170" s="57" t="s">
        <v>9810</v>
      </c>
      <c r="F170" s="7" t="s">
        <v>43</v>
      </c>
      <c r="G170" s="7" t="s">
        <v>48</v>
      </c>
      <c r="H170" s="7" t="s">
        <v>9099</v>
      </c>
      <c r="I170" s="7" t="s">
        <v>9099</v>
      </c>
      <c r="J170" s="76">
        <v>29.891836000000001</v>
      </c>
      <c r="K170" s="77">
        <v>39.305968999999997</v>
      </c>
      <c r="L170" s="138" t="str">
        <f t="shared" si="17"/>
        <v>29.891836,39.305969</v>
      </c>
      <c r="M170" s="64" t="s">
        <v>10176</v>
      </c>
      <c r="N170" s="7">
        <v>10006005177</v>
      </c>
      <c r="O170" s="7"/>
      <c r="P170" s="201"/>
      <c r="Q170" s="28" t="s">
        <v>11</v>
      </c>
      <c r="R170" s="28" t="s">
        <v>11</v>
      </c>
      <c r="S170" s="28" t="s">
        <v>11</v>
      </c>
      <c r="T170" s="28" t="s">
        <v>11</v>
      </c>
      <c r="U170" s="28" t="s">
        <v>9</v>
      </c>
      <c r="V170" s="28" t="s">
        <v>9</v>
      </c>
      <c r="W170" s="28" t="s">
        <v>9</v>
      </c>
      <c r="X170" s="28" t="s">
        <v>9</v>
      </c>
      <c r="Y170" s="28" t="s">
        <v>9</v>
      </c>
      <c r="Z170" s="28" t="s">
        <v>9</v>
      </c>
      <c r="AA170" s="28" t="s">
        <v>9</v>
      </c>
      <c r="AB170" s="28" t="s">
        <v>9</v>
      </c>
      <c r="AC170" s="28" t="s">
        <v>9</v>
      </c>
      <c r="AD170" s="28" t="s">
        <v>9</v>
      </c>
      <c r="AE170" s="28" t="s">
        <v>9</v>
      </c>
      <c r="AF170" s="28" t="s">
        <v>10</v>
      </c>
      <c r="AG170" s="24">
        <f t="shared" si="18"/>
        <v>11</v>
      </c>
      <c r="AH170" s="24">
        <f t="shared" si="19"/>
        <v>0</v>
      </c>
      <c r="AI170" s="24">
        <f t="shared" si="20"/>
        <v>4</v>
      </c>
      <c r="AJ170" s="41" t="str" cm="1">
        <f t="array" ref="AJ170">_xlfn.IFS(
$AG170=15,"Not Started",
$AI170&lt;15,"In Progress",
$AI170=15,"Completed",
SUM(AG170:AI170)&gt;15,"Error"
)</f>
        <v>In Progress</v>
      </c>
    </row>
    <row r="171" spans="1:36" ht="13" x14ac:dyDescent="0.25">
      <c r="A171" s="256"/>
      <c r="B171" s="286"/>
      <c r="C171" s="64" t="s">
        <v>1425</v>
      </c>
      <c r="D171" s="53" t="s">
        <v>9986</v>
      </c>
      <c r="E171" s="57" t="s">
        <v>9811</v>
      </c>
      <c r="F171" s="7" t="s">
        <v>47</v>
      </c>
      <c r="G171" s="7" t="s">
        <v>44</v>
      </c>
      <c r="H171" s="7" t="s">
        <v>9099</v>
      </c>
      <c r="I171" s="7" t="s">
        <v>9099</v>
      </c>
      <c r="J171" s="76">
        <v>29.892126000000001</v>
      </c>
      <c r="K171" s="77">
        <v>39.305599000000001</v>
      </c>
      <c r="L171" s="138" t="str">
        <f t="shared" si="17"/>
        <v>29.892126,39.305599</v>
      </c>
      <c r="M171" s="64" t="s">
        <v>10177</v>
      </c>
      <c r="N171" s="7">
        <v>10005989261</v>
      </c>
      <c r="O171" s="7"/>
      <c r="P171" s="201"/>
      <c r="Q171" s="28" t="s">
        <v>11</v>
      </c>
      <c r="R171" s="28" t="s">
        <v>11</v>
      </c>
      <c r="S171" s="28" t="s">
        <v>11</v>
      </c>
      <c r="T171" s="28" t="s">
        <v>11</v>
      </c>
      <c r="U171" s="28" t="s">
        <v>9</v>
      </c>
      <c r="V171" s="28" t="s">
        <v>9</v>
      </c>
      <c r="W171" s="28" t="s">
        <v>9</v>
      </c>
      <c r="X171" s="28" t="s">
        <v>9</v>
      </c>
      <c r="Y171" s="28" t="s">
        <v>9</v>
      </c>
      <c r="Z171" s="28" t="s">
        <v>9</v>
      </c>
      <c r="AA171" s="28" t="s">
        <v>9</v>
      </c>
      <c r="AB171" s="28" t="s">
        <v>9</v>
      </c>
      <c r="AC171" s="28" t="s">
        <v>9</v>
      </c>
      <c r="AD171" s="28" t="s">
        <v>9</v>
      </c>
      <c r="AE171" s="28" t="s">
        <v>9</v>
      </c>
      <c r="AF171" s="28" t="s">
        <v>10</v>
      </c>
      <c r="AG171" s="24">
        <f t="shared" si="18"/>
        <v>11</v>
      </c>
      <c r="AH171" s="24">
        <f t="shared" si="19"/>
        <v>0</v>
      </c>
      <c r="AI171" s="24">
        <f t="shared" si="20"/>
        <v>4</v>
      </c>
      <c r="AJ171" s="41" t="str" cm="1">
        <f t="array" ref="AJ171">_xlfn.IFS(
$AG171=15,"Not Started",
$AI171&lt;15,"In Progress",
$AI171=15,"Completed",
SUM(AG171:AI171)&gt;15,"Error"
)</f>
        <v>In Progress</v>
      </c>
    </row>
    <row r="172" spans="1:36" ht="13" x14ac:dyDescent="0.25">
      <c r="A172" s="256"/>
      <c r="B172" s="286"/>
      <c r="C172" s="63" t="s">
        <v>1426</v>
      </c>
      <c r="D172" s="53" t="s">
        <v>9987</v>
      </c>
      <c r="E172" s="57" t="s">
        <v>9812</v>
      </c>
      <c r="F172" s="7" t="s">
        <v>47</v>
      </c>
      <c r="G172" s="7" t="s">
        <v>48</v>
      </c>
      <c r="H172" s="7" t="s">
        <v>9099</v>
      </c>
      <c r="I172" s="7" t="s">
        <v>9099</v>
      </c>
      <c r="J172" s="76">
        <v>30.5067794983064</v>
      </c>
      <c r="K172" s="77">
        <v>38.216047209633501</v>
      </c>
      <c r="L172" s="138" t="str">
        <f t="shared" si="17"/>
        <v>30.5067794983064,38.2160472096335</v>
      </c>
      <c r="M172" s="64" t="s">
        <v>10178</v>
      </c>
      <c r="N172" s="7">
        <v>10006027853</v>
      </c>
      <c r="O172" s="7"/>
      <c r="P172" s="202">
        <v>46147</v>
      </c>
      <c r="Q172" s="28" t="s">
        <v>11</v>
      </c>
      <c r="R172" s="28" t="s">
        <v>11</v>
      </c>
      <c r="S172" s="28" t="s">
        <v>11</v>
      </c>
      <c r="T172" s="28" t="s">
        <v>11</v>
      </c>
      <c r="U172" s="28" t="s">
        <v>10</v>
      </c>
      <c r="V172" s="28" t="s">
        <v>9</v>
      </c>
      <c r="W172" s="28" t="s">
        <v>9</v>
      </c>
      <c r="X172" s="28" t="s">
        <v>9</v>
      </c>
      <c r="Y172" s="28" t="s">
        <v>9</v>
      </c>
      <c r="Z172" s="28" t="s">
        <v>9</v>
      </c>
      <c r="AA172" s="28" t="s">
        <v>9</v>
      </c>
      <c r="AB172" s="28" t="s">
        <v>9</v>
      </c>
      <c r="AC172" s="28" t="s">
        <v>9</v>
      </c>
      <c r="AD172" s="28" t="s">
        <v>9</v>
      </c>
      <c r="AE172" s="28" t="s">
        <v>9</v>
      </c>
      <c r="AF172" s="28" t="s">
        <v>10</v>
      </c>
      <c r="AG172" s="24">
        <f t="shared" si="18"/>
        <v>10</v>
      </c>
      <c r="AH172" s="24">
        <f t="shared" si="19"/>
        <v>1</v>
      </c>
      <c r="AI172" s="24">
        <f t="shared" si="20"/>
        <v>4</v>
      </c>
      <c r="AJ172" s="41" t="str" cm="1">
        <f t="array" ref="AJ172">_xlfn.IFS(
$AG172=15,"Not Started",
$AI172&lt;15,"In Progress",
$AI172=15,"Completed",
SUM(AG172:AI172)&gt;15,"Error"
)</f>
        <v>In Progress</v>
      </c>
    </row>
    <row r="173" spans="1:36" ht="13" x14ac:dyDescent="0.25">
      <c r="A173" s="256"/>
      <c r="B173" s="286"/>
      <c r="C173" s="64" t="s">
        <v>1427</v>
      </c>
      <c r="D173" s="53" t="s">
        <v>9988</v>
      </c>
      <c r="E173" s="57" t="s">
        <v>9813</v>
      </c>
      <c r="F173" s="7" t="s">
        <v>51</v>
      </c>
      <c r="G173" s="7" t="s">
        <v>48</v>
      </c>
      <c r="H173" s="7" t="s">
        <v>9099</v>
      </c>
      <c r="I173" s="7" t="s">
        <v>9099</v>
      </c>
      <c r="J173" s="76">
        <v>30.590699999999998</v>
      </c>
      <c r="K173" s="77">
        <v>38.106490999999998</v>
      </c>
      <c r="L173" s="138" t="str">
        <f t="shared" si="17"/>
        <v>30.5907,38.106491</v>
      </c>
      <c r="M173" s="64" t="s">
        <v>10179</v>
      </c>
      <c r="N173" s="7">
        <v>10006029025</v>
      </c>
      <c r="O173" s="7"/>
      <c r="P173" s="202"/>
      <c r="Q173" s="28" t="s">
        <v>9</v>
      </c>
      <c r="R173" s="28" t="s">
        <v>9</v>
      </c>
      <c r="S173" s="28" t="s">
        <v>9</v>
      </c>
      <c r="T173" s="28" t="s">
        <v>9</v>
      </c>
      <c r="U173" s="28" t="s">
        <v>9</v>
      </c>
      <c r="V173" s="28" t="s">
        <v>9</v>
      </c>
      <c r="W173" s="28" t="s">
        <v>9</v>
      </c>
      <c r="X173" s="28" t="s">
        <v>9</v>
      </c>
      <c r="Y173" s="28" t="s">
        <v>9</v>
      </c>
      <c r="Z173" s="28" t="s">
        <v>9</v>
      </c>
      <c r="AA173" s="28" t="s">
        <v>9</v>
      </c>
      <c r="AB173" s="28" t="s">
        <v>9</v>
      </c>
      <c r="AC173" s="28" t="s">
        <v>9</v>
      </c>
      <c r="AD173" s="28" t="s">
        <v>9</v>
      </c>
      <c r="AE173" s="28" t="s">
        <v>9</v>
      </c>
      <c r="AF173" s="28" t="s">
        <v>9</v>
      </c>
      <c r="AG173" s="24">
        <f t="shared" si="18"/>
        <v>15</v>
      </c>
      <c r="AH173" s="24">
        <f t="shared" si="19"/>
        <v>0</v>
      </c>
      <c r="AI173" s="24">
        <f t="shared" si="20"/>
        <v>0</v>
      </c>
      <c r="AJ173" s="41" t="str" cm="1">
        <f t="array" ref="AJ173">_xlfn.IFS(
$AG173=15,"Not Started",
$AI173&lt;15,"In Progress",
$AI173=15,"Completed",
SUM(AG173:AI173)&gt;15,"Error"
)</f>
        <v>Not Started</v>
      </c>
    </row>
    <row r="174" spans="1:36" ht="13" x14ac:dyDescent="0.25">
      <c r="A174" s="256"/>
      <c r="B174" s="286"/>
      <c r="C174" s="63" t="s">
        <v>1428</v>
      </c>
      <c r="D174" s="53" t="s">
        <v>9989</v>
      </c>
      <c r="E174" s="57" t="s">
        <v>9814</v>
      </c>
      <c r="F174" s="7" t="s">
        <v>43</v>
      </c>
      <c r="G174" s="7" t="s">
        <v>48</v>
      </c>
      <c r="H174" s="7" t="s">
        <v>9099</v>
      </c>
      <c r="I174" s="7" t="s">
        <v>9099</v>
      </c>
      <c r="J174" s="76">
        <v>30.506640080027299</v>
      </c>
      <c r="K174" s="77">
        <v>38.216797558256602</v>
      </c>
      <c r="L174" s="138" t="str">
        <f t="shared" si="17"/>
        <v>30.5066400800273,38.2167975582566</v>
      </c>
      <c r="M174" s="64" t="s">
        <v>10180</v>
      </c>
      <c r="N174" s="7">
        <v>10006027817</v>
      </c>
      <c r="O174" s="7"/>
      <c r="P174" s="202">
        <v>46146</v>
      </c>
      <c r="Q174" s="28" t="s">
        <v>11</v>
      </c>
      <c r="R174" s="28" t="s">
        <v>11</v>
      </c>
      <c r="S174" s="28" t="s">
        <v>11</v>
      </c>
      <c r="T174" s="28" t="s">
        <v>11</v>
      </c>
      <c r="U174" s="28" t="s">
        <v>10</v>
      </c>
      <c r="V174" s="28" t="s">
        <v>9</v>
      </c>
      <c r="W174" s="28" t="s">
        <v>9</v>
      </c>
      <c r="X174" s="28" t="s">
        <v>9</v>
      </c>
      <c r="Y174" s="28" t="s">
        <v>9</v>
      </c>
      <c r="Z174" s="28" t="s">
        <v>9</v>
      </c>
      <c r="AA174" s="28" t="s">
        <v>9</v>
      </c>
      <c r="AB174" s="28" t="s">
        <v>9</v>
      </c>
      <c r="AC174" s="28" t="s">
        <v>9</v>
      </c>
      <c r="AD174" s="28" t="s">
        <v>9</v>
      </c>
      <c r="AE174" s="28" t="s">
        <v>9</v>
      </c>
      <c r="AF174" s="28" t="s">
        <v>10</v>
      </c>
      <c r="AG174" s="24">
        <f t="shared" si="18"/>
        <v>10</v>
      </c>
      <c r="AH174" s="24">
        <f t="shared" si="19"/>
        <v>1</v>
      </c>
      <c r="AI174" s="24">
        <f t="shared" si="20"/>
        <v>4</v>
      </c>
      <c r="AJ174" s="41" t="str" cm="1">
        <f t="array" ref="AJ174">_xlfn.IFS(
$AG174=15,"Not Started",
$AI174&lt;15,"In Progress",
$AI174=15,"Completed",
SUM(AG174:AI174)&gt;15,"Error"
)</f>
        <v>In Progress</v>
      </c>
    </row>
    <row r="175" spans="1:36" ht="13" x14ac:dyDescent="0.25">
      <c r="A175" s="256"/>
      <c r="B175" s="286"/>
      <c r="C175" s="64" t="s">
        <v>1429</v>
      </c>
      <c r="D175" s="53" t="s">
        <v>9990</v>
      </c>
      <c r="E175" s="57" t="s">
        <v>9815</v>
      </c>
      <c r="F175" s="7" t="s">
        <v>47</v>
      </c>
      <c r="G175" s="7" t="s">
        <v>44</v>
      </c>
      <c r="H175" s="7" t="s">
        <v>9099</v>
      </c>
      <c r="I175" s="7" t="s">
        <v>9099</v>
      </c>
      <c r="J175" s="76">
        <v>29.888781000000002</v>
      </c>
      <c r="K175" s="77">
        <v>39.308838000000002</v>
      </c>
      <c r="L175" s="138" t="str">
        <f t="shared" si="17"/>
        <v>29.888781,39.308838</v>
      </c>
      <c r="M175" s="64" t="s">
        <v>10181</v>
      </c>
      <c r="N175" s="7">
        <v>10006007028</v>
      </c>
      <c r="O175" s="7"/>
      <c r="P175" s="202"/>
      <c r="Q175" s="28" t="s">
        <v>11</v>
      </c>
      <c r="R175" s="28" t="s">
        <v>11</v>
      </c>
      <c r="S175" s="28" t="s">
        <v>11</v>
      </c>
      <c r="T175" s="28" t="s">
        <v>11</v>
      </c>
      <c r="U175" s="28" t="s">
        <v>10</v>
      </c>
      <c r="V175" s="28" t="s">
        <v>9</v>
      </c>
      <c r="W175" s="28" t="s">
        <v>9</v>
      </c>
      <c r="X175" s="28" t="s">
        <v>9</v>
      </c>
      <c r="Y175" s="28" t="s">
        <v>9</v>
      </c>
      <c r="Z175" s="28" t="s">
        <v>9</v>
      </c>
      <c r="AA175" s="28" t="s">
        <v>9</v>
      </c>
      <c r="AB175" s="28" t="s">
        <v>9</v>
      </c>
      <c r="AC175" s="28" t="s">
        <v>9</v>
      </c>
      <c r="AD175" s="28" t="s">
        <v>9</v>
      </c>
      <c r="AE175" s="28" t="s">
        <v>9</v>
      </c>
      <c r="AF175" s="28" t="s">
        <v>10</v>
      </c>
      <c r="AG175" s="24">
        <f t="shared" si="18"/>
        <v>10</v>
      </c>
      <c r="AH175" s="24">
        <f t="shared" si="19"/>
        <v>1</v>
      </c>
      <c r="AI175" s="24">
        <f t="shared" si="20"/>
        <v>4</v>
      </c>
      <c r="AJ175" s="41" t="str" cm="1">
        <f t="array" ref="AJ175">_xlfn.IFS(
$AG175=15,"Not Started",
$AI175&lt;15,"In Progress",
$AI175=15,"Completed",
SUM(AG175:AI175)&gt;15,"Error"
)</f>
        <v>In Progress</v>
      </c>
    </row>
    <row r="176" spans="1:36" ht="13" x14ac:dyDescent="0.25">
      <c r="A176" s="256"/>
      <c r="B176" s="286"/>
      <c r="C176" s="63" t="s">
        <v>1430</v>
      </c>
      <c r="D176" s="53" t="s">
        <v>9991</v>
      </c>
      <c r="E176" s="57" t="s">
        <v>9816</v>
      </c>
      <c r="F176" s="7" t="s">
        <v>43</v>
      </c>
      <c r="G176" s="7" t="s">
        <v>48</v>
      </c>
      <c r="H176" s="7" t="s">
        <v>9099</v>
      </c>
      <c r="I176" s="7" t="s">
        <v>9099</v>
      </c>
      <c r="J176" s="76">
        <v>29.890004999999999</v>
      </c>
      <c r="K176" s="77">
        <v>39.302146999999998</v>
      </c>
      <c r="L176" s="138" t="str">
        <f t="shared" si="17"/>
        <v>29.890005,39.302147</v>
      </c>
      <c r="M176" s="64" t="s">
        <v>10182</v>
      </c>
      <c r="N176" s="7">
        <v>10006003637</v>
      </c>
      <c r="O176" s="7"/>
      <c r="P176" s="202">
        <v>46151</v>
      </c>
      <c r="Q176" s="28" t="s">
        <v>11</v>
      </c>
      <c r="R176" s="28" t="s">
        <v>11</v>
      </c>
      <c r="S176" s="28" t="s">
        <v>11</v>
      </c>
      <c r="T176" s="28" t="s">
        <v>11</v>
      </c>
      <c r="U176" s="28" t="s">
        <v>10</v>
      </c>
      <c r="V176" s="28" t="s">
        <v>9</v>
      </c>
      <c r="W176" s="28" t="s">
        <v>9</v>
      </c>
      <c r="X176" s="28" t="s">
        <v>9</v>
      </c>
      <c r="Y176" s="28" t="s">
        <v>9</v>
      </c>
      <c r="Z176" s="28" t="s">
        <v>9</v>
      </c>
      <c r="AA176" s="28" t="s">
        <v>9</v>
      </c>
      <c r="AB176" s="28" t="s">
        <v>9</v>
      </c>
      <c r="AC176" s="28" t="s">
        <v>9</v>
      </c>
      <c r="AD176" s="28" t="s">
        <v>9</v>
      </c>
      <c r="AE176" s="28" t="s">
        <v>9</v>
      </c>
      <c r="AF176" s="28" t="s">
        <v>10</v>
      </c>
      <c r="AG176" s="24">
        <f t="shared" si="18"/>
        <v>10</v>
      </c>
      <c r="AH176" s="24">
        <f t="shared" si="19"/>
        <v>1</v>
      </c>
      <c r="AI176" s="24">
        <f t="shared" si="20"/>
        <v>4</v>
      </c>
      <c r="AJ176" s="41" t="str" cm="1">
        <f t="array" ref="AJ176">_xlfn.IFS(
$AG176=15,"Not Started",
$AI176&lt;15,"In Progress",
$AI176=15,"Completed",
SUM(AG176:AI176)&gt;15,"Error"
)</f>
        <v>In Progress</v>
      </c>
    </row>
    <row r="177" spans="1:36" ht="13" x14ac:dyDescent="0.25">
      <c r="A177" s="256"/>
      <c r="B177" s="286"/>
      <c r="C177" s="64" t="s">
        <v>1431</v>
      </c>
      <c r="D177" s="53" t="s">
        <v>9992</v>
      </c>
      <c r="E177" s="57" t="s">
        <v>9817</v>
      </c>
      <c r="F177" s="7" t="s">
        <v>43</v>
      </c>
      <c r="G177" s="7" t="s">
        <v>48</v>
      </c>
      <c r="H177" s="7" t="s">
        <v>9099</v>
      </c>
      <c r="I177" s="7" t="s">
        <v>9099</v>
      </c>
      <c r="J177" s="76">
        <v>30.505224829638198</v>
      </c>
      <c r="K177" s="77">
        <v>38.232818384873603</v>
      </c>
      <c r="L177" s="138" t="str">
        <f t="shared" si="17"/>
        <v>30.5052248296382,38.2328183848736</v>
      </c>
      <c r="M177" s="64" t="s">
        <v>10183</v>
      </c>
      <c r="N177" s="7">
        <v>10006043884</v>
      </c>
      <c r="O177" s="7"/>
      <c r="P177" s="201"/>
      <c r="Q177" s="28" t="s">
        <v>9</v>
      </c>
      <c r="R177" s="28" t="s">
        <v>9</v>
      </c>
      <c r="S177" s="28" t="s">
        <v>9</v>
      </c>
      <c r="T177" s="28" t="s">
        <v>9</v>
      </c>
      <c r="U177" s="28" t="s">
        <v>9</v>
      </c>
      <c r="V177" s="28" t="s">
        <v>9</v>
      </c>
      <c r="W177" s="28" t="s">
        <v>9</v>
      </c>
      <c r="X177" s="28" t="s">
        <v>9</v>
      </c>
      <c r="Y177" s="28" t="s">
        <v>9</v>
      </c>
      <c r="Z177" s="28" t="s">
        <v>9</v>
      </c>
      <c r="AA177" s="28" t="s">
        <v>9</v>
      </c>
      <c r="AB177" s="28" t="s">
        <v>9</v>
      </c>
      <c r="AC177" s="28" t="s">
        <v>9</v>
      </c>
      <c r="AD177" s="28" t="s">
        <v>9</v>
      </c>
      <c r="AE177" s="28" t="s">
        <v>9</v>
      </c>
      <c r="AF177" s="28" t="s">
        <v>9</v>
      </c>
      <c r="AG177" s="24">
        <f t="shared" si="18"/>
        <v>15</v>
      </c>
      <c r="AH177" s="24">
        <f t="shared" si="19"/>
        <v>0</v>
      </c>
      <c r="AI177" s="24">
        <f t="shared" si="20"/>
        <v>0</v>
      </c>
      <c r="AJ177" s="41" t="str" cm="1">
        <f t="array" ref="AJ177">_xlfn.IFS(
$AG177=15,"Not Started",
$AI177&lt;15,"In Progress",
$AI177=15,"Completed",
SUM(AG177:AI177)&gt;15,"Error"
)</f>
        <v>Not Started</v>
      </c>
    </row>
    <row r="178" spans="1:36" ht="26" x14ac:dyDescent="0.25">
      <c r="A178" s="256"/>
      <c r="B178" s="286"/>
      <c r="C178" s="63" t="s">
        <v>1432</v>
      </c>
      <c r="D178" s="53" t="s">
        <v>9993</v>
      </c>
      <c r="E178" s="80" t="s">
        <v>10266</v>
      </c>
      <c r="F178" s="7" t="s">
        <v>9671</v>
      </c>
      <c r="G178" s="7" t="s">
        <v>48</v>
      </c>
      <c r="H178" s="7" t="s">
        <v>9099</v>
      </c>
      <c r="I178" s="7" t="s">
        <v>9099</v>
      </c>
      <c r="J178" s="76">
        <v>30.480692867296199</v>
      </c>
      <c r="K178" s="77">
        <v>38.2161349942903</v>
      </c>
      <c r="L178" s="138" t="str">
        <f t="shared" si="17"/>
        <v>30.4806928672962,38.2161349942903</v>
      </c>
      <c r="M178" s="64" t="s">
        <v>10184</v>
      </c>
      <c r="N178" s="7">
        <v>10084328122</v>
      </c>
      <c r="O178" s="7"/>
      <c r="P178" s="201"/>
      <c r="Q178" s="28" t="s">
        <v>9</v>
      </c>
      <c r="R178" s="28" t="s">
        <v>9</v>
      </c>
      <c r="S178" s="28" t="s">
        <v>9</v>
      </c>
      <c r="T178" s="28" t="s">
        <v>9</v>
      </c>
      <c r="U178" s="28" t="s">
        <v>9</v>
      </c>
      <c r="V178" s="28" t="s">
        <v>9</v>
      </c>
      <c r="W178" s="28" t="s">
        <v>9</v>
      </c>
      <c r="X178" s="28" t="s">
        <v>9</v>
      </c>
      <c r="Y178" s="28" t="s">
        <v>9</v>
      </c>
      <c r="Z178" s="28" t="s">
        <v>9</v>
      </c>
      <c r="AA178" s="28" t="s">
        <v>9</v>
      </c>
      <c r="AB178" s="28" t="s">
        <v>9</v>
      </c>
      <c r="AC178" s="28" t="s">
        <v>9</v>
      </c>
      <c r="AD178" s="28" t="s">
        <v>9</v>
      </c>
      <c r="AE178" s="28" t="s">
        <v>9</v>
      </c>
      <c r="AF178" s="28" t="s">
        <v>9</v>
      </c>
      <c r="AG178" s="24">
        <f t="shared" si="18"/>
        <v>15</v>
      </c>
      <c r="AH178" s="24">
        <f t="shared" si="19"/>
        <v>0</v>
      </c>
      <c r="AI178" s="24">
        <f t="shared" si="20"/>
        <v>0</v>
      </c>
      <c r="AJ178" s="41" t="str" cm="1">
        <f t="array" ref="AJ178">_xlfn.IFS(
$AG178=15,"Not Started",
$AI178&lt;15,"In Progress",
$AI178=15,"Completed",
SUM(AG178:AI178)&gt;15,"Error"
)</f>
        <v>Not Started</v>
      </c>
    </row>
    <row r="179" spans="1:36" ht="13" x14ac:dyDescent="0.25">
      <c r="A179" s="256"/>
      <c r="B179" s="286"/>
      <c r="C179" s="64" t="s">
        <v>1433</v>
      </c>
      <c r="D179" s="53" t="s">
        <v>9994</v>
      </c>
      <c r="E179" s="57" t="s">
        <v>9818</v>
      </c>
      <c r="F179" s="7" t="s">
        <v>43</v>
      </c>
      <c r="G179" s="7" t="s">
        <v>48</v>
      </c>
      <c r="H179" s="7" t="s">
        <v>9099</v>
      </c>
      <c r="I179" s="7" t="s">
        <v>9099</v>
      </c>
      <c r="J179" s="76">
        <v>30.5023030403562</v>
      </c>
      <c r="K179" s="77">
        <v>38.2025270783435</v>
      </c>
      <c r="L179" s="138" t="str">
        <f t="shared" si="17"/>
        <v>30.5023030403562,38.2025270783435</v>
      </c>
      <c r="M179" s="64" t="s">
        <v>10185</v>
      </c>
      <c r="N179" s="7">
        <v>10006043964</v>
      </c>
      <c r="O179" s="7"/>
      <c r="P179" s="201"/>
      <c r="Q179" s="28" t="s">
        <v>9</v>
      </c>
      <c r="R179" s="28" t="s">
        <v>9</v>
      </c>
      <c r="S179" s="28" t="s">
        <v>9</v>
      </c>
      <c r="T179" s="28" t="s">
        <v>9</v>
      </c>
      <c r="U179" s="28" t="s">
        <v>9</v>
      </c>
      <c r="V179" s="28" t="s">
        <v>9</v>
      </c>
      <c r="W179" s="28" t="s">
        <v>9</v>
      </c>
      <c r="X179" s="28" t="s">
        <v>9</v>
      </c>
      <c r="Y179" s="28" t="s">
        <v>9</v>
      </c>
      <c r="Z179" s="28" t="s">
        <v>9</v>
      </c>
      <c r="AA179" s="28" t="s">
        <v>9</v>
      </c>
      <c r="AB179" s="28" t="s">
        <v>9</v>
      </c>
      <c r="AC179" s="28" t="s">
        <v>9</v>
      </c>
      <c r="AD179" s="28" t="s">
        <v>9</v>
      </c>
      <c r="AE179" s="28" t="s">
        <v>9</v>
      </c>
      <c r="AF179" s="28" t="s">
        <v>9</v>
      </c>
      <c r="AG179" s="24">
        <f t="shared" si="18"/>
        <v>15</v>
      </c>
      <c r="AH179" s="24">
        <f t="shared" si="19"/>
        <v>0</v>
      </c>
      <c r="AI179" s="24">
        <f t="shared" si="20"/>
        <v>0</v>
      </c>
      <c r="AJ179" s="41" t="str" cm="1">
        <f t="array" ref="AJ179">_xlfn.IFS(
$AG179=15,"Not Started",
$AI179&lt;15,"In Progress",
$AI179=15,"Completed",
SUM(AG179:AI179)&gt;15,"Error"
)</f>
        <v>Not Started</v>
      </c>
    </row>
    <row r="180" spans="1:36" ht="26" x14ac:dyDescent="0.25">
      <c r="A180" s="256"/>
      <c r="B180" s="286"/>
      <c r="C180" s="63" t="s">
        <v>1434</v>
      </c>
      <c r="D180" s="79" t="s">
        <v>10211</v>
      </c>
      <c r="E180" s="80" t="s">
        <v>10267</v>
      </c>
      <c r="F180" s="7" t="s">
        <v>43</v>
      </c>
      <c r="G180" s="7" t="s">
        <v>48</v>
      </c>
      <c r="H180" s="7" t="s">
        <v>9099</v>
      </c>
      <c r="I180" s="7" t="s">
        <v>9099</v>
      </c>
      <c r="J180" s="76">
        <v>29.794996000000001</v>
      </c>
      <c r="K180" s="77">
        <v>39.873927999999999</v>
      </c>
      <c r="L180" s="138" t="str">
        <f t="shared" si="17"/>
        <v>29.794996,39.873928</v>
      </c>
      <c r="M180" s="64" t="s">
        <v>10186</v>
      </c>
      <c r="N180" s="7">
        <v>10005984943</v>
      </c>
      <c r="O180" s="7"/>
      <c r="P180" s="201">
        <v>46128</v>
      </c>
      <c r="Q180" s="28" t="s">
        <v>11</v>
      </c>
      <c r="R180" s="28" t="s">
        <v>11</v>
      </c>
      <c r="S180" s="28" t="s">
        <v>11</v>
      </c>
      <c r="T180" s="28" t="s">
        <v>11</v>
      </c>
      <c r="U180" s="28" t="s">
        <v>9</v>
      </c>
      <c r="V180" s="28" t="s">
        <v>9</v>
      </c>
      <c r="W180" s="28" t="s">
        <v>9</v>
      </c>
      <c r="X180" s="28" t="s">
        <v>9</v>
      </c>
      <c r="Y180" s="28" t="s">
        <v>9</v>
      </c>
      <c r="Z180" s="28" t="s">
        <v>9</v>
      </c>
      <c r="AA180" s="28" t="s">
        <v>9</v>
      </c>
      <c r="AB180" s="28" t="s">
        <v>9</v>
      </c>
      <c r="AC180" s="28" t="s">
        <v>9</v>
      </c>
      <c r="AD180" s="28" t="s">
        <v>9</v>
      </c>
      <c r="AE180" s="28" t="s">
        <v>9</v>
      </c>
      <c r="AF180" s="28" t="s">
        <v>10</v>
      </c>
      <c r="AG180" s="24">
        <f t="shared" si="18"/>
        <v>11</v>
      </c>
      <c r="AH180" s="24">
        <f t="shared" si="19"/>
        <v>0</v>
      </c>
      <c r="AI180" s="24">
        <f t="shared" si="20"/>
        <v>4</v>
      </c>
      <c r="AJ180" s="41" t="str" cm="1">
        <f t="array" ref="AJ180">_xlfn.IFS(
$AG180=15,"Not Started",
$AI180&lt;15,"In Progress",
$AI180=15,"Completed",
SUM(AG180:AI180)&gt;15,"Error"
)</f>
        <v>In Progress</v>
      </c>
    </row>
    <row r="181" spans="1:36" ht="26" x14ac:dyDescent="0.25">
      <c r="A181" s="256"/>
      <c r="B181" s="286"/>
      <c r="C181" s="64" t="s">
        <v>1435</v>
      </c>
      <c r="D181" s="53" t="s">
        <v>9995</v>
      </c>
      <c r="E181" s="80" t="s">
        <v>10268</v>
      </c>
      <c r="F181" s="7" t="s">
        <v>47</v>
      </c>
      <c r="G181" s="7" t="s">
        <v>48</v>
      </c>
      <c r="H181" s="7" t="s">
        <v>9099</v>
      </c>
      <c r="I181" s="7" t="s">
        <v>9099</v>
      </c>
      <c r="J181" s="76">
        <v>30.5136897</v>
      </c>
      <c r="K181" s="77">
        <v>38.213367499999997</v>
      </c>
      <c r="L181" s="138" t="str">
        <f t="shared" si="17"/>
        <v>30.5136897,38.2133675</v>
      </c>
      <c r="M181" s="64" t="s">
        <v>10187</v>
      </c>
      <c r="N181" s="7">
        <v>10006043875</v>
      </c>
      <c r="O181" s="7"/>
      <c r="P181" s="201"/>
      <c r="Q181" s="28" t="s">
        <v>9</v>
      </c>
      <c r="R181" s="28" t="s">
        <v>9</v>
      </c>
      <c r="S181" s="28" t="s">
        <v>9</v>
      </c>
      <c r="T181" s="28" t="s">
        <v>9</v>
      </c>
      <c r="U181" s="28" t="s">
        <v>9</v>
      </c>
      <c r="V181" s="28" t="s">
        <v>9</v>
      </c>
      <c r="W181" s="28" t="s">
        <v>9</v>
      </c>
      <c r="X181" s="28" t="s">
        <v>9</v>
      </c>
      <c r="Y181" s="28" t="s">
        <v>9</v>
      </c>
      <c r="Z181" s="28" t="s">
        <v>9</v>
      </c>
      <c r="AA181" s="28" t="s">
        <v>9</v>
      </c>
      <c r="AB181" s="28" t="s">
        <v>9</v>
      </c>
      <c r="AC181" s="28" t="s">
        <v>9</v>
      </c>
      <c r="AD181" s="28" t="s">
        <v>9</v>
      </c>
      <c r="AE181" s="28" t="s">
        <v>9</v>
      </c>
      <c r="AF181" s="28" t="s">
        <v>9</v>
      </c>
      <c r="AG181" s="24">
        <f t="shared" si="18"/>
        <v>15</v>
      </c>
      <c r="AH181" s="24">
        <f t="shared" si="19"/>
        <v>0</v>
      </c>
      <c r="AI181" s="24">
        <f t="shared" si="20"/>
        <v>0</v>
      </c>
      <c r="AJ181" s="41" t="str" cm="1">
        <f t="array" ref="AJ181">_xlfn.IFS(
$AG181=15,"Not Started",
$AI181&lt;15,"In Progress",
$AI181=15,"Completed",
SUM(AG181:AI181)&gt;15,"Error"
)</f>
        <v>Not Started</v>
      </c>
    </row>
    <row r="182" spans="1:36" ht="13" x14ac:dyDescent="0.25">
      <c r="A182" s="256"/>
      <c r="B182" s="286"/>
      <c r="C182" s="63" t="s">
        <v>1436</v>
      </c>
      <c r="D182" s="53" t="s">
        <v>9996</v>
      </c>
      <c r="E182" s="57" t="s">
        <v>9819</v>
      </c>
      <c r="F182" s="7" t="s">
        <v>47</v>
      </c>
      <c r="G182" s="7" t="s">
        <v>44</v>
      </c>
      <c r="H182" s="7" t="s">
        <v>9099</v>
      </c>
      <c r="I182" s="7" t="s">
        <v>9099</v>
      </c>
      <c r="J182" s="76">
        <v>29.801853000000001</v>
      </c>
      <c r="K182" s="77">
        <v>39.851734</v>
      </c>
      <c r="L182" s="138" t="str">
        <f t="shared" si="17"/>
        <v>29.801853,39.851734</v>
      </c>
      <c r="M182" s="64" t="s">
        <v>10188</v>
      </c>
      <c r="N182" s="7">
        <v>10006004527</v>
      </c>
      <c r="O182" s="7"/>
      <c r="P182" s="201">
        <v>46121</v>
      </c>
      <c r="Q182" s="28" t="s">
        <v>11</v>
      </c>
      <c r="R182" s="28" t="s">
        <v>11</v>
      </c>
      <c r="S182" s="28" t="s">
        <v>11</v>
      </c>
      <c r="T182" s="28" t="s">
        <v>11</v>
      </c>
      <c r="U182" s="28" t="s">
        <v>9</v>
      </c>
      <c r="V182" s="28" t="s">
        <v>9</v>
      </c>
      <c r="W182" s="28" t="s">
        <v>9</v>
      </c>
      <c r="X182" s="28" t="s">
        <v>9</v>
      </c>
      <c r="Y182" s="28" t="s">
        <v>9</v>
      </c>
      <c r="Z182" s="28" t="s">
        <v>9</v>
      </c>
      <c r="AA182" s="28" t="s">
        <v>9</v>
      </c>
      <c r="AB182" s="28" t="s">
        <v>9</v>
      </c>
      <c r="AC182" s="28" t="s">
        <v>9</v>
      </c>
      <c r="AD182" s="28" t="s">
        <v>9</v>
      </c>
      <c r="AE182" s="28" t="s">
        <v>9</v>
      </c>
      <c r="AF182" s="28" t="s">
        <v>10</v>
      </c>
      <c r="AG182" s="24">
        <f t="shared" si="18"/>
        <v>11</v>
      </c>
      <c r="AH182" s="24">
        <f t="shared" si="19"/>
        <v>0</v>
      </c>
      <c r="AI182" s="24">
        <f t="shared" si="20"/>
        <v>4</v>
      </c>
      <c r="AJ182" s="41" t="str" cm="1">
        <f t="array" ref="AJ182">_xlfn.IFS(
$AG182=15,"Not Started",
$AI182&lt;15,"In Progress",
$AI182=15,"Completed",
SUM(AG182:AI182)&gt;15,"Error"
)</f>
        <v>In Progress</v>
      </c>
    </row>
    <row r="183" spans="1:36" ht="13" x14ac:dyDescent="0.25">
      <c r="A183" s="256"/>
      <c r="B183" s="286"/>
      <c r="C183" s="64" t="s">
        <v>1437</v>
      </c>
      <c r="D183" s="53" t="s">
        <v>9997</v>
      </c>
      <c r="E183" s="57" t="s">
        <v>9820</v>
      </c>
      <c r="F183" s="7" t="s">
        <v>43</v>
      </c>
      <c r="G183" s="7" t="s">
        <v>48</v>
      </c>
      <c r="H183" s="7" t="s">
        <v>9099</v>
      </c>
      <c r="I183" s="7" t="s">
        <v>9099</v>
      </c>
      <c r="J183" s="76">
        <v>29.808693000000002</v>
      </c>
      <c r="K183" s="77">
        <v>39.847805000000001</v>
      </c>
      <c r="L183" s="138" t="str">
        <f t="shared" si="17"/>
        <v>29.808693,39.847805</v>
      </c>
      <c r="M183" s="64" t="s">
        <v>10189</v>
      </c>
      <c r="N183" s="7">
        <v>10006004321</v>
      </c>
      <c r="O183" s="7"/>
      <c r="P183" s="201"/>
      <c r="Q183" s="28" t="s">
        <v>11</v>
      </c>
      <c r="R183" s="28" t="s">
        <v>11</v>
      </c>
      <c r="S183" s="28" t="s">
        <v>11</v>
      </c>
      <c r="T183" s="28" t="s">
        <v>11</v>
      </c>
      <c r="U183" s="28" t="s">
        <v>9</v>
      </c>
      <c r="V183" s="28" t="s">
        <v>9</v>
      </c>
      <c r="W183" s="28" t="s">
        <v>9</v>
      </c>
      <c r="X183" s="28" t="s">
        <v>9</v>
      </c>
      <c r="Y183" s="28" t="s">
        <v>9</v>
      </c>
      <c r="Z183" s="28" t="s">
        <v>9</v>
      </c>
      <c r="AA183" s="28" t="s">
        <v>9</v>
      </c>
      <c r="AB183" s="28" t="s">
        <v>9</v>
      </c>
      <c r="AC183" s="28" t="s">
        <v>9</v>
      </c>
      <c r="AD183" s="28" t="s">
        <v>9</v>
      </c>
      <c r="AE183" s="28" t="s">
        <v>9</v>
      </c>
      <c r="AF183" s="28" t="s">
        <v>10</v>
      </c>
      <c r="AG183" s="24">
        <f t="shared" si="18"/>
        <v>11</v>
      </c>
      <c r="AH183" s="24">
        <f t="shared" si="19"/>
        <v>0</v>
      </c>
      <c r="AI183" s="24">
        <f t="shared" si="20"/>
        <v>4</v>
      </c>
      <c r="AJ183" s="41" t="str" cm="1">
        <f t="array" ref="AJ183">_xlfn.IFS(
$AG183=15,"Not Started",
$AI183&lt;15,"In Progress",
$AI183=15,"Completed",
SUM(AG183:AI183)&gt;15,"Error"
)</f>
        <v>In Progress</v>
      </c>
    </row>
    <row r="184" spans="1:36" ht="13" x14ac:dyDescent="0.25">
      <c r="A184" s="256"/>
      <c r="B184" s="286"/>
      <c r="C184" s="63" t="s">
        <v>1438</v>
      </c>
      <c r="D184" s="53" t="s">
        <v>9998</v>
      </c>
      <c r="E184" s="57" t="s">
        <v>9821</v>
      </c>
      <c r="F184" s="7" t="s">
        <v>9672</v>
      </c>
      <c r="G184" s="7" t="s">
        <v>48</v>
      </c>
      <c r="H184" s="7" t="s">
        <v>9099</v>
      </c>
      <c r="I184" s="7" t="s">
        <v>9099</v>
      </c>
      <c r="J184" s="76">
        <v>30.505400000000002</v>
      </c>
      <c r="K184" s="77">
        <v>38.216540999999999</v>
      </c>
      <c r="L184" s="138" t="str">
        <f t="shared" si="17"/>
        <v>30.5054,38.216541</v>
      </c>
      <c r="M184" s="64" t="s">
        <v>10190</v>
      </c>
      <c r="N184" s="7">
        <v>10006027835</v>
      </c>
      <c r="O184" s="7"/>
      <c r="P184" s="202">
        <v>46145</v>
      </c>
      <c r="Q184" s="28" t="s">
        <v>11</v>
      </c>
      <c r="R184" s="28" t="s">
        <v>11</v>
      </c>
      <c r="S184" s="28" t="s">
        <v>11</v>
      </c>
      <c r="T184" s="28" t="s">
        <v>11</v>
      </c>
      <c r="U184" s="28" t="s">
        <v>10</v>
      </c>
      <c r="V184" s="28" t="s">
        <v>9</v>
      </c>
      <c r="W184" s="28" t="s">
        <v>9</v>
      </c>
      <c r="X184" s="28" t="s">
        <v>9</v>
      </c>
      <c r="Y184" s="28" t="s">
        <v>9</v>
      </c>
      <c r="Z184" s="28" t="s">
        <v>9</v>
      </c>
      <c r="AA184" s="28" t="s">
        <v>9</v>
      </c>
      <c r="AB184" s="28" t="s">
        <v>9</v>
      </c>
      <c r="AC184" s="28" t="s">
        <v>9</v>
      </c>
      <c r="AD184" s="28" t="s">
        <v>9</v>
      </c>
      <c r="AE184" s="28" t="s">
        <v>9</v>
      </c>
      <c r="AF184" s="28" t="s">
        <v>10</v>
      </c>
      <c r="AG184" s="24">
        <f t="shared" si="18"/>
        <v>10</v>
      </c>
      <c r="AH184" s="24">
        <f t="shared" si="19"/>
        <v>1</v>
      </c>
      <c r="AI184" s="24">
        <f t="shared" si="20"/>
        <v>4</v>
      </c>
      <c r="AJ184" s="41" t="str" cm="1">
        <f t="array" ref="AJ184">_xlfn.IFS(
$AG184=15,"Not Started",
$AI184&lt;15,"In Progress",
$AI184=15,"Completed",
SUM(AG184:AI184)&gt;15,"Error"
)</f>
        <v>In Progress</v>
      </c>
    </row>
    <row r="185" spans="1:36" ht="13" x14ac:dyDescent="0.25">
      <c r="A185" s="256"/>
      <c r="B185" s="286"/>
      <c r="C185" s="64" t="s">
        <v>1439</v>
      </c>
      <c r="D185" s="53" t="s">
        <v>9999</v>
      </c>
      <c r="E185" s="57" t="s">
        <v>9822</v>
      </c>
      <c r="F185" s="7" t="s">
        <v>51</v>
      </c>
      <c r="G185" s="7" t="s">
        <v>48</v>
      </c>
      <c r="H185" s="7" t="s">
        <v>9099</v>
      </c>
      <c r="I185" s="7" t="s">
        <v>9099</v>
      </c>
      <c r="J185" s="76">
        <v>31.3187984832071</v>
      </c>
      <c r="K185" s="77">
        <v>37.347177152066898</v>
      </c>
      <c r="L185" s="138" t="str">
        <f t="shared" si="17"/>
        <v>31.3187984832071,37.3471771520669</v>
      </c>
      <c r="M185" s="64" t="s">
        <v>10191</v>
      </c>
      <c r="N185" s="7">
        <v>10006043285</v>
      </c>
      <c r="O185" s="7"/>
      <c r="P185" s="201">
        <v>46138</v>
      </c>
      <c r="Q185" s="28" t="s">
        <v>11</v>
      </c>
      <c r="R185" s="28" t="s">
        <v>11</v>
      </c>
      <c r="S185" s="28" t="s">
        <v>11</v>
      </c>
      <c r="T185" s="28" t="s">
        <v>11</v>
      </c>
      <c r="U185" s="28" t="s">
        <v>10</v>
      </c>
      <c r="V185" s="28" t="s">
        <v>9</v>
      </c>
      <c r="W185" s="28" t="s">
        <v>9</v>
      </c>
      <c r="X185" s="28" t="s">
        <v>9</v>
      </c>
      <c r="Y185" s="28" t="s">
        <v>9</v>
      </c>
      <c r="Z185" s="28" t="s">
        <v>9</v>
      </c>
      <c r="AA185" s="28" t="s">
        <v>9</v>
      </c>
      <c r="AB185" s="28" t="s">
        <v>9</v>
      </c>
      <c r="AC185" s="28" t="s">
        <v>9</v>
      </c>
      <c r="AD185" s="28" t="s">
        <v>9</v>
      </c>
      <c r="AE185" s="28" t="s">
        <v>9</v>
      </c>
      <c r="AF185" s="28" t="s">
        <v>10</v>
      </c>
      <c r="AG185" s="24">
        <f t="shared" si="18"/>
        <v>10</v>
      </c>
      <c r="AH185" s="24">
        <f t="shared" si="19"/>
        <v>1</v>
      </c>
      <c r="AI185" s="24">
        <f t="shared" si="20"/>
        <v>4</v>
      </c>
      <c r="AJ185" s="41" t="str" cm="1">
        <f t="array" ref="AJ185">_xlfn.IFS(
$AG185=15,"Not Started",
$AI185&lt;15,"In Progress",
$AI185=15,"Completed",
SUM(AG185:AI185)&gt;15,"Error"
)</f>
        <v>In Progress</v>
      </c>
    </row>
    <row r="186" spans="1:36" ht="13" x14ac:dyDescent="0.25">
      <c r="A186" s="256"/>
      <c r="B186" s="286"/>
      <c r="C186" s="63" t="s">
        <v>1440</v>
      </c>
      <c r="D186" s="53" t="s">
        <v>10000</v>
      </c>
      <c r="E186" s="57" t="s">
        <v>9823</v>
      </c>
      <c r="F186" s="7" t="s">
        <v>51</v>
      </c>
      <c r="G186" s="7" t="s">
        <v>48</v>
      </c>
      <c r="H186" s="7" t="s">
        <v>9099</v>
      </c>
      <c r="I186" s="7" t="s">
        <v>9099</v>
      </c>
      <c r="J186" s="76">
        <v>30.506171999999999</v>
      </c>
      <c r="K186" s="77">
        <v>38.215912000000003</v>
      </c>
      <c r="L186" s="138" t="str">
        <f t="shared" si="17"/>
        <v>30.506172,38.215912</v>
      </c>
      <c r="M186" s="64" t="s">
        <v>10192</v>
      </c>
      <c r="N186" s="7">
        <v>10006027871</v>
      </c>
      <c r="O186" s="7"/>
      <c r="P186" s="202">
        <v>46146</v>
      </c>
      <c r="Q186" s="28" t="s">
        <v>11</v>
      </c>
      <c r="R186" s="28" t="s">
        <v>11</v>
      </c>
      <c r="S186" s="28" t="s">
        <v>11</v>
      </c>
      <c r="T186" s="28" t="s">
        <v>11</v>
      </c>
      <c r="U186" s="28" t="s">
        <v>10</v>
      </c>
      <c r="V186" s="28" t="s">
        <v>9</v>
      </c>
      <c r="W186" s="28" t="s">
        <v>9</v>
      </c>
      <c r="X186" s="28" t="s">
        <v>9</v>
      </c>
      <c r="Y186" s="28" t="s">
        <v>9</v>
      </c>
      <c r="Z186" s="28" t="s">
        <v>9</v>
      </c>
      <c r="AA186" s="28" t="s">
        <v>9</v>
      </c>
      <c r="AB186" s="28" t="s">
        <v>9</v>
      </c>
      <c r="AC186" s="28" t="s">
        <v>9</v>
      </c>
      <c r="AD186" s="28" t="s">
        <v>9</v>
      </c>
      <c r="AE186" s="28" t="s">
        <v>9</v>
      </c>
      <c r="AF186" s="28" t="s">
        <v>10</v>
      </c>
      <c r="AG186" s="24">
        <f t="shared" si="18"/>
        <v>10</v>
      </c>
      <c r="AH186" s="24">
        <f t="shared" si="19"/>
        <v>1</v>
      </c>
      <c r="AI186" s="24">
        <f t="shared" si="20"/>
        <v>4</v>
      </c>
      <c r="AJ186" s="41" t="str" cm="1">
        <f t="array" ref="AJ186">_xlfn.IFS(
$AG186=15,"Not Started",
$AI186&lt;15,"In Progress",
$AI186=15,"Completed",
SUM(AG186:AI186)&gt;15,"Error"
)</f>
        <v>In Progress</v>
      </c>
    </row>
    <row r="187" spans="1:36" ht="26" x14ac:dyDescent="0.25">
      <c r="A187" s="256"/>
      <c r="B187" s="286"/>
      <c r="C187" s="64" t="s">
        <v>1441</v>
      </c>
      <c r="D187" s="53" t="s">
        <v>10001</v>
      </c>
      <c r="E187" s="80" t="s">
        <v>10269</v>
      </c>
      <c r="F187" s="7" t="s">
        <v>43</v>
      </c>
      <c r="G187" s="7" t="s">
        <v>48</v>
      </c>
      <c r="H187" s="7" t="s">
        <v>9099</v>
      </c>
      <c r="I187" s="7" t="s">
        <v>9099</v>
      </c>
      <c r="J187" s="76">
        <v>30.498165</v>
      </c>
      <c r="K187" s="77">
        <v>38.208548999999998</v>
      </c>
      <c r="L187" s="138" t="str">
        <f t="shared" si="17"/>
        <v>30.498165,38.208549</v>
      </c>
      <c r="M187" s="64" t="s">
        <v>10193</v>
      </c>
      <c r="N187" s="7">
        <v>10006011049</v>
      </c>
      <c r="O187" s="7"/>
      <c r="P187" s="201"/>
      <c r="Q187" s="28" t="s">
        <v>9</v>
      </c>
      <c r="R187" s="28" t="s">
        <v>9</v>
      </c>
      <c r="S187" s="28" t="s">
        <v>9</v>
      </c>
      <c r="T187" s="28" t="s">
        <v>9</v>
      </c>
      <c r="U187" s="28" t="s">
        <v>9</v>
      </c>
      <c r="V187" s="28" t="s">
        <v>9</v>
      </c>
      <c r="W187" s="28" t="s">
        <v>9</v>
      </c>
      <c r="X187" s="28" t="s">
        <v>9</v>
      </c>
      <c r="Y187" s="28" t="s">
        <v>9</v>
      </c>
      <c r="Z187" s="28" t="s">
        <v>9</v>
      </c>
      <c r="AA187" s="28" t="s">
        <v>9</v>
      </c>
      <c r="AB187" s="28" t="s">
        <v>9</v>
      </c>
      <c r="AC187" s="28" t="s">
        <v>9</v>
      </c>
      <c r="AD187" s="28" t="s">
        <v>9</v>
      </c>
      <c r="AE187" s="28" t="s">
        <v>9</v>
      </c>
      <c r="AF187" s="28" t="s">
        <v>9</v>
      </c>
      <c r="AG187" s="24">
        <f t="shared" si="18"/>
        <v>15</v>
      </c>
      <c r="AH187" s="24">
        <f t="shared" si="19"/>
        <v>0</v>
      </c>
      <c r="AI187" s="24">
        <f t="shared" si="20"/>
        <v>0</v>
      </c>
      <c r="AJ187" s="41" t="str" cm="1">
        <f t="array" ref="AJ187">_xlfn.IFS(
$AG187=15,"Not Started",
$AI187&lt;15,"In Progress",
$AI187=15,"Completed",
SUM(AG187:AI187)&gt;15,"Error"
)</f>
        <v>Not Started</v>
      </c>
    </row>
    <row r="188" spans="1:36" ht="26" x14ac:dyDescent="0.25">
      <c r="A188" s="256"/>
      <c r="B188" s="286"/>
      <c r="C188" s="63" t="s">
        <v>1442</v>
      </c>
      <c r="D188" s="79" t="s">
        <v>10289</v>
      </c>
      <c r="E188" s="80" t="s">
        <v>10270</v>
      </c>
      <c r="F188" s="7" t="s">
        <v>43</v>
      </c>
      <c r="G188" s="7" t="s">
        <v>48</v>
      </c>
      <c r="H188" s="7" t="s">
        <v>9099</v>
      </c>
      <c r="I188" s="7" t="s">
        <v>9099</v>
      </c>
      <c r="J188" s="76">
        <v>30.504570000000001</v>
      </c>
      <c r="K188" s="77">
        <v>38.212868</v>
      </c>
      <c r="L188" s="138" t="str">
        <f t="shared" si="17"/>
        <v>30.50457,38.212868</v>
      </c>
      <c r="M188" s="64" t="s">
        <v>10194</v>
      </c>
      <c r="N188" s="7">
        <v>10006013867</v>
      </c>
      <c r="O188" s="7"/>
      <c r="P188" s="202">
        <v>46147</v>
      </c>
      <c r="Q188" s="28" t="s">
        <v>11</v>
      </c>
      <c r="R188" s="28" t="s">
        <v>11</v>
      </c>
      <c r="S188" s="28" t="s">
        <v>11</v>
      </c>
      <c r="T188" s="28" t="s">
        <v>11</v>
      </c>
      <c r="U188" s="28" t="s">
        <v>10</v>
      </c>
      <c r="V188" s="28" t="s">
        <v>9</v>
      </c>
      <c r="W188" s="28" t="s">
        <v>9</v>
      </c>
      <c r="X188" s="28" t="s">
        <v>9</v>
      </c>
      <c r="Y188" s="28" t="s">
        <v>9</v>
      </c>
      <c r="Z188" s="28" t="s">
        <v>9</v>
      </c>
      <c r="AA188" s="28" t="s">
        <v>9</v>
      </c>
      <c r="AB188" s="28" t="s">
        <v>9</v>
      </c>
      <c r="AC188" s="28" t="s">
        <v>9</v>
      </c>
      <c r="AD188" s="28" t="s">
        <v>9</v>
      </c>
      <c r="AE188" s="28" t="s">
        <v>9</v>
      </c>
      <c r="AF188" s="28" t="s">
        <v>10</v>
      </c>
      <c r="AG188" s="24">
        <f t="shared" si="18"/>
        <v>10</v>
      </c>
      <c r="AH188" s="24">
        <f t="shared" si="19"/>
        <v>1</v>
      </c>
      <c r="AI188" s="24">
        <f t="shared" si="20"/>
        <v>4</v>
      </c>
      <c r="AJ188" s="41" t="str" cm="1">
        <f t="array" ref="AJ188">_xlfn.IFS(
$AG188=15,"Not Started",
$AI188&lt;15,"In Progress",
$AI188=15,"Completed",
SUM(AG188:AI188)&gt;15,"Error"
)</f>
        <v>In Progress</v>
      </c>
    </row>
    <row r="189" spans="1:36" ht="39" x14ac:dyDescent="0.25">
      <c r="A189" s="256"/>
      <c r="B189" s="286"/>
      <c r="C189" s="64" t="s">
        <v>1443</v>
      </c>
      <c r="D189" s="79" t="s">
        <v>10210</v>
      </c>
      <c r="E189" s="80" t="s">
        <v>10271</v>
      </c>
      <c r="F189" s="7" t="s">
        <v>43</v>
      </c>
      <c r="G189" s="7" t="s">
        <v>44</v>
      </c>
      <c r="H189" s="7" t="s">
        <v>9099</v>
      </c>
      <c r="I189" s="7" t="s">
        <v>9099</v>
      </c>
      <c r="J189" s="76">
        <v>30.292684999999999</v>
      </c>
      <c r="K189" s="77">
        <v>38.702396</v>
      </c>
      <c r="L189" s="138" t="str">
        <f t="shared" si="17"/>
        <v>30.292685,38.702396</v>
      </c>
      <c r="M189" s="64" t="s">
        <v>10195</v>
      </c>
      <c r="N189" s="7">
        <v>10006001365</v>
      </c>
      <c r="O189" s="7"/>
      <c r="P189" s="201"/>
      <c r="Q189" s="28" t="s">
        <v>9</v>
      </c>
      <c r="R189" s="28" t="s">
        <v>9</v>
      </c>
      <c r="S189" s="28" t="s">
        <v>9</v>
      </c>
      <c r="T189" s="28" t="s">
        <v>9</v>
      </c>
      <c r="U189" s="28" t="s">
        <v>9</v>
      </c>
      <c r="V189" s="28" t="s">
        <v>9</v>
      </c>
      <c r="W189" s="28" t="s">
        <v>9</v>
      </c>
      <c r="X189" s="28" t="s">
        <v>9</v>
      </c>
      <c r="Y189" s="28" t="s">
        <v>9</v>
      </c>
      <c r="Z189" s="28" t="s">
        <v>9</v>
      </c>
      <c r="AA189" s="28" t="s">
        <v>9</v>
      </c>
      <c r="AB189" s="28" t="s">
        <v>9</v>
      </c>
      <c r="AC189" s="28" t="s">
        <v>9</v>
      </c>
      <c r="AD189" s="28" t="s">
        <v>9</v>
      </c>
      <c r="AE189" s="28" t="s">
        <v>9</v>
      </c>
      <c r="AF189" s="28" t="s">
        <v>9</v>
      </c>
      <c r="AG189" s="24">
        <f t="shared" si="18"/>
        <v>15</v>
      </c>
      <c r="AH189" s="24">
        <f t="shared" si="19"/>
        <v>0</v>
      </c>
      <c r="AI189" s="24">
        <f t="shared" si="20"/>
        <v>0</v>
      </c>
      <c r="AJ189" s="41" t="str" cm="1">
        <f t="array" ref="AJ189">_xlfn.IFS(
$AG189=15,"Not Started",
$AI189&lt;15,"In Progress",
$AI189=15,"Completed",
SUM(AG189:AI189)&gt;15,"Error"
)</f>
        <v>Not Started</v>
      </c>
    </row>
    <row r="190" spans="1:36" ht="26" x14ac:dyDescent="0.25">
      <c r="A190" s="256"/>
      <c r="B190" s="286"/>
      <c r="C190" s="63" t="s">
        <v>1444</v>
      </c>
      <c r="D190" s="53" t="s">
        <v>10002</v>
      </c>
      <c r="E190" s="80" t="s">
        <v>10272</v>
      </c>
      <c r="F190" s="7" t="s">
        <v>51</v>
      </c>
      <c r="G190" s="7" t="s">
        <v>48</v>
      </c>
      <c r="H190" s="7" t="s">
        <v>9099</v>
      </c>
      <c r="I190" s="7" t="s">
        <v>9099</v>
      </c>
      <c r="J190" s="76">
        <v>31.330587000000001</v>
      </c>
      <c r="K190" s="77">
        <v>37.356392</v>
      </c>
      <c r="L190" s="138" t="str">
        <f t="shared" si="17"/>
        <v>31.330587,37.356392</v>
      </c>
      <c r="M190" s="64" t="s">
        <v>10196</v>
      </c>
      <c r="N190" s="7">
        <v>10005978472</v>
      </c>
      <c r="O190" s="7"/>
      <c r="P190" s="201"/>
      <c r="Q190" s="28" t="s">
        <v>9</v>
      </c>
      <c r="R190" s="28" t="s">
        <v>9</v>
      </c>
      <c r="S190" s="28" t="s">
        <v>9</v>
      </c>
      <c r="T190" s="28" t="s">
        <v>9</v>
      </c>
      <c r="U190" s="28" t="s">
        <v>9</v>
      </c>
      <c r="V190" s="28" t="s">
        <v>9</v>
      </c>
      <c r="W190" s="28" t="s">
        <v>9</v>
      </c>
      <c r="X190" s="28" t="s">
        <v>9</v>
      </c>
      <c r="Y190" s="28" t="s">
        <v>9</v>
      </c>
      <c r="Z190" s="28" t="s">
        <v>9</v>
      </c>
      <c r="AA190" s="28" t="s">
        <v>9</v>
      </c>
      <c r="AB190" s="28" t="s">
        <v>9</v>
      </c>
      <c r="AC190" s="28" t="s">
        <v>9</v>
      </c>
      <c r="AD190" s="28" t="s">
        <v>9</v>
      </c>
      <c r="AE190" s="28" t="s">
        <v>9</v>
      </c>
      <c r="AF190" s="28" t="s">
        <v>9</v>
      </c>
      <c r="AG190" s="24">
        <f t="shared" si="18"/>
        <v>15</v>
      </c>
      <c r="AH190" s="24">
        <f t="shared" si="19"/>
        <v>0</v>
      </c>
      <c r="AI190" s="24">
        <f t="shared" si="20"/>
        <v>0</v>
      </c>
      <c r="AJ190" s="41" t="str" cm="1">
        <f t="array" ref="AJ190">_xlfn.IFS(
$AG190=15,"Not Started",
$AI190&lt;15,"In Progress",
$AI190=15,"Completed",
SUM(AG190:AI190)&gt;15,"Error"
)</f>
        <v>Not Started</v>
      </c>
    </row>
    <row r="191" spans="1:36" ht="13" x14ac:dyDescent="0.25">
      <c r="A191" s="256"/>
      <c r="B191" s="286"/>
      <c r="C191" s="64" t="s">
        <v>1445</v>
      </c>
      <c r="D191" s="53" t="s">
        <v>10003</v>
      </c>
      <c r="E191" s="57" t="s">
        <v>9824</v>
      </c>
      <c r="F191" s="7" t="s">
        <v>43</v>
      </c>
      <c r="G191" s="7" t="s">
        <v>48</v>
      </c>
      <c r="H191" s="7" t="s">
        <v>9099</v>
      </c>
      <c r="I191" s="7" t="s">
        <v>9099</v>
      </c>
      <c r="J191" s="76">
        <v>31.300081569569102</v>
      </c>
      <c r="K191" s="77">
        <v>37.338393499407204</v>
      </c>
      <c r="L191" s="138" t="str">
        <f t="shared" si="17"/>
        <v>31.3000815695691,37.3383934994072</v>
      </c>
      <c r="M191" s="64" t="s">
        <v>10197</v>
      </c>
      <c r="N191" s="7">
        <v>10006042724</v>
      </c>
      <c r="O191" s="7"/>
      <c r="P191" s="202">
        <v>45779</v>
      </c>
      <c r="Q191" s="28" t="s">
        <v>11</v>
      </c>
      <c r="R191" s="28" t="s">
        <v>11</v>
      </c>
      <c r="S191" s="28" t="s">
        <v>11</v>
      </c>
      <c r="T191" s="28" t="s">
        <v>11</v>
      </c>
      <c r="U191" s="28" t="s">
        <v>10</v>
      </c>
      <c r="V191" s="28" t="s">
        <v>9</v>
      </c>
      <c r="W191" s="28" t="s">
        <v>9</v>
      </c>
      <c r="X191" s="28" t="s">
        <v>9</v>
      </c>
      <c r="Y191" s="28" t="s">
        <v>9</v>
      </c>
      <c r="Z191" s="28" t="s">
        <v>9</v>
      </c>
      <c r="AA191" s="28" t="s">
        <v>9</v>
      </c>
      <c r="AB191" s="28" t="s">
        <v>9</v>
      </c>
      <c r="AC191" s="28" t="s">
        <v>9</v>
      </c>
      <c r="AD191" s="28" t="s">
        <v>9</v>
      </c>
      <c r="AE191" s="28" t="s">
        <v>9</v>
      </c>
      <c r="AF191" s="28" t="s">
        <v>10</v>
      </c>
      <c r="AG191" s="24">
        <f t="shared" si="18"/>
        <v>10</v>
      </c>
      <c r="AH191" s="24">
        <f t="shared" si="19"/>
        <v>1</v>
      </c>
      <c r="AI191" s="24">
        <f t="shared" si="20"/>
        <v>4</v>
      </c>
      <c r="AJ191" s="41" t="str" cm="1">
        <f t="array" ref="AJ191">_xlfn.IFS(
$AG191=15,"Not Started",
$AI191&lt;15,"In Progress",
$AI191=15,"Completed",
SUM(AG191:AI191)&gt;15,"Error"
)</f>
        <v>In Progress</v>
      </c>
    </row>
    <row r="192" spans="1:36" ht="13" x14ac:dyDescent="0.25">
      <c r="A192" s="256"/>
      <c r="B192" s="286"/>
      <c r="C192" s="63" t="s">
        <v>1446</v>
      </c>
      <c r="D192" s="53" t="s">
        <v>10004</v>
      </c>
      <c r="E192" s="57" t="s">
        <v>9825</v>
      </c>
      <c r="F192" s="7" t="s">
        <v>51</v>
      </c>
      <c r="G192" s="7" t="s">
        <v>48</v>
      </c>
      <c r="H192" s="7" t="s">
        <v>9099</v>
      </c>
      <c r="I192" s="7" t="s">
        <v>9099</v>
      </c>
      <c r="J192" s="76">
        <v>31.3466584258551</v>
      </c>
      <c r="K192" s="77">
        <v>37.336123428835101</v>
      </c>
      <c r="L192" s="138" t="str">
        <f t="shared" si="17"/>
        <v>31.3466584258551,37.3361234288351</v>
      </c>
      <c r="M192" s="64" t="s">
        <v>10198</v>
      </c>
      <c r="N192" s="7">
        <v>10006042134</v>
      </c>
      <c r="O192" s="7"/>
      <c r="P192" s="201"/>
      <c r="Q192" s="28" t="s">
        <v>9</v>
      </c>
      <c r="R192" s="28" t="s">
        <v>9</v>
      </c>
      <c r="S192" s="28" t="s">
        <v>9</v>
      </c>
      <c r="T192" s="28" t="s">
        <v>9</v>
      </c>
      <c r="U192" s="28" t="s">
        <v>9</v>
      </c>
      <c r="V192" s="28" t="s">
        <v>9</v>
      </c>
      <c r="W192" s="28" t="s">
        <v>9</v>
      </c>
      <c r="X192" s="28" t="s">
        <v>9</v>
      </c>
      <c r="Y192" s="28" t="s">
        <v>9</v>
      </c>
      <c r="Z192" s="28" t="s">
        <v>9</v>
      </c>
      <c r="AA192" s="28" t="s">
        <v>9</v>
      </c>
      <c r="AB192" s="28" t="s">
        <v>9</v>
      </c>
      <c r="AC192" s="28" t="s">
        <v>9</v>
      </c>
      <c r="AD192" s="28" t="s">
        <v>9</v>
      </c>
      <c r="AE192" s="28" t="s">
        <v>9</v>
      </c>
      <c r="AF192" s="28" t="s">
        <v>10</v>
      </c>
      <c r="AG192" s="24">
        <f t="shared" si="18"/>
        <v>15</v>
      </c>
      <c r="AH192" s="24">
        <f t="shared" si="19"/>
        <v>0</v>
      </c>
      <c r="AI192" s="24">
        <f t="shared" si="20"/>
        <v>0</v>
      </c>
      <c r="AJ192" s="41" t="str" cm="1">
        <f t="array" ref="AJ192">_xlfn.IFS(
$AG192=15,"Not Started",
$AI192&lt;15,"In Progress",
$AI192=15,"Completed",
SUM(AG192:AI192)&gt;15,"Error"
)</f>
        <v>Not Started</v>
      </c>
    </row>
    <row r="193" spans="1:36" ht="13" x14ac:dyDescent="0.25">
      <c r="A193" s="256"/>
      <c r="B193" s="286"/>
      <c r="C193" s="64" t="s">
        <v>1447</v>
      </c>
      <c r="D193" s="53" t="s">
        <v>5824</v>
      </c>
      <c r="E193" s="57" t="s">
        <v>9826</v>
      </c>
      <c r="F193" s="7" t="s">
        <v>47</v>
      </c>
      <c r="G193" s="7" t="s">
        <v>48</v>
      </c>
      <c r="H193" s="7" t="s">
        <v>9099</v>
      </c>
      <c r="I193" s="7" t="s">
        <v>9099</v>
      </c>
      <c r="J193" s="76">
        <v>29.80855</v>
      </c>
      <c r="K193" s="77">
        <v>39.846705999999998</v>
      </c>
      <c r="L193" s="138" t="str">
        <f t="shared" si="17"/>
        <v>29.80855,39.846706</v>
      </c>
      <c r="M193" s="64" t="s">
        <v>10199</v>
      </c>
      <c r="N193" s="7">
        <v>10006011961</v>
      </c>
      <c r="O193" s="7"/>
      <c r="P193" s="201"/>
      <c r="Q193" s="28" t="s">
        <v>9</v>
      </c>
      <c r="R193" s="28" t="s">
        <v>9</v>
      </c>
      <c r="S193" s="28" t="s">
        <v>9</v>
      </c>
      <c r="T193" s="28" t="s">
        <v>9</v>
      </c>
      <c r="U193" s="28" t="s">
        <v>9</v>
      </c>
      <c r="V193" s="28" t="s">
        <v>9</v>
      </c>
      <c r="W193" s="28" t="s">
        <v>9</v>
      </c>
      <c r="X193" s="28" t="s">
        <v>9</v>
      </c>
      <c r="Y193" s="28" t="s">
        <v>9</v>
      </c>
      <c r="Z193" s="28" t="s">
        <v>9</v>
      </c>
      <c r="AA193" s="28" t="s">
        <v>9</v>
      </c>
      <c r="AB193" s="28" t="s">
        <v>9</v>
      </c>
      <c r="AC193" s="28" t="s">
        <v>9</v>
      </c>
      <c r="AD193" s="28" t="s">
        <v>9</v>
      </c>
      <c r="AE193" s="28" t="s">
        <v>9</v>
      </c>
      <c r="AF193" s="28" t="s">
        <v>10</v>
      </c>
      <c r="AG193" s="24">
        <f t="shared" si="18"/>
        <v>15</v>
      </c>
      <c r="AH193" s="24">
        <f t="shared" si="19"/>
        <v>0</v>
      </c>
      <c r="AI193" s="24">
        <f t="shared" si="20"/>
        <v>0</v>
      </c>
      <c r="AJ193" s="41" t="str" cm="1">
        <f t="array" ref="AJ193">_xlfn.IFS(
$AG193=15,"Not Started",
$AI193&lt;15,"In Progress",
$AI193=15,"Completed",
SUM(AG193:AI193)&gt;15,"Error"
)</f>
        <v>Not Started</v>
      </c>
    </row>
    <row r="194" spans="1:36" ht="13" x14ac:dyDescent="0.25">
      <c r="A194" s="256"/>
      <c r="B194" s="286"/>
      <c r="C194" s="63" t="s">
        <v>1448</v>
      </c>
      <c r="D194" s="53" t="s">
        <v>10005</v>
      </c>
      <c r="E194" s="57" t="s">
        <v>9827</v>
      </c>
      <c r="F194" s="7" t="s">
        <v>9671</v>
      </c>
      <c r="G194" s="7" t="s">
        <v>48</v>
      </c>
      <c r="H194" s="7" t="s">
        <v>9099</v>
      </c>
      <c r="I194" s="7" t="s">
        <v>9099</v>
      </c>
      <c r="J194" s="76">
        <v>31.306472200000002</v>
      </c>
      <c r="K194" s="77">
        <v>37.345583300000001</v>
      </c>
      <c r="L194" s="138" t="str">
        <f t="shared" si="17"/>
        <v>31.3064722,37.3455833</v>
      </c>
      <c r="M194" s="64" t="s">
        <v>10200</v>
      </c>
      <c r="N194" s="7">
        <v>10006043061</v>
      </c>
      <c r="O194" s="7"/>
      <c r="P194" s="201"/>
      <c r="Q194" s="28" t="s">
        <v>9</v>
      </c>
      <c r="R194" s="28" t="s">
        <v>9</v>
      </c>
      <c r="S194" s="28" t="s">
        <v>9</v>
      </c>
      <c r="T194" s="28" t="s">
        <v>9</v>
      </c>
      <c r="U194" s="28" t="s">
        <v>9</v>
      </c>
      <c r="V194" s="28" t="s">
        <v>9</v>
      </c>
      <c r="W194" s="28" t="s">
        <v>9</v>
      </c>
      <c r="X194" s="28" t="s">
        <v>9</v>
      </c>
      <c r="Y194" s="28" t="s">
        <v>9</v>
      </c>
      <c r="Z194" s="28" t="s">
        <v>9</v>
      </c>
      <c r="AA194" s="28" t="s">
        <v>9</v>
      </c>
      <c r="AB194" s="28" t="s">
        <v>9</v>
      </c>
      <c r="AC194" s="28" t="s">
        <v>9</v>
      </c>
      <c r="AD194" s="28" t="s">
        <v>9</v>
      </c>
      <c r="AE194" s="28" t="s">
        <v>9</v>
      </c>
      <c r="AF194" s="28" t="s">
        <v>9</v>
      </c>
      <c r="AG194" s="24">
        <f t="shared" si="18"/>
        <v>15</v>
      </c>
      <c r="AH194" s="24">
        <f t="shared" si="19"/>
        <v>0</v>
      </c>
      <c r="AI194" s="24">
        <f t="shared" si="20"/>
        <v>0</v>
      </c>
      <c r="AJ194" s="41" t="str" cm="1">
        <f t="array" ref="AJ194">_xlfn.IFS(
$AG194=15,"Not Started",
$AI194&lt;15,"In Progress",
$AI194=15,"Completed",
SUM(AG194:AI194)&gt;15,"Error"
)</f>
        <v>Not Started</v>
      </c>
    </row>
    <row r="195" spans="1:36" ht="13" x14ac:dyDescent="0.25">
      <c r="A195" s="256"/>
      <c r="B195" s="286"/>
      <c r="C195" s="64" t="s">
        <v>1449</v>
      </c>
      <c r="D195" s="53" t="s">
        <v>10006</v>
      </c>
      <c r="E195" s="57" t="s">
        <v>9828</v>
      </c>
      <c r="F195" s="7" t="s">
        <v>43</v>
      </c>
      <c r="G195" s="7" t="s">
        <v>44</v>
      </c>
      <c r="H195" s="7" t="s">
        <v>9099</v>
      </c>
      <c r="I195" s="7" t="s">
        <v>9099</v>
      </c>
      <c r="J195" s="76">
        <v>29.872505</v>
      </c>
      <c r="K195" s="77">
        <v>40.222515000000001</v>
      </c>
      <c r="L195" s="138" t="str">
        <f t="shared" si="17"/>
        <v>29.872505,40.222515</v>
      </c>
      <c r="M195" s="64" t="s">
        <v>10201</v>
      </c>
      <c r="N195" s="7">
        <v>10005980229</v>
      </c>
      <c r="O195" s="7"/>
      <c r="P195" s="201"/>
      <c r="Q195" s="28" t="s">
        <v>11</v>
      </c>
      <c r="R195" s="28" t="s">
        <v>11</v>
      </c>
      <c r="S195" s="28" t="s">
        <v>11</v>
      </c>
      <c r="T195" s="28" t="s">
        <v>11</v>
      </c>
      <c r="U195" s="28" t="s">
        <v>10</v>
      </c>
      <c r="V195" s="28" t="s">
        <v>9</v>
      </c>
      <c r="W195" s="28" t="s">
        <v>9</v>
      </c>
      <c r="X195" s="28" t="s">
        <v>9</v>
      </c>
      <c r="Y195" s="28" t="s">
        <v>9</v>
      </c>
      <c r="Z195" s="28" t="s">
        <v>9</v>
      </c>
      <c r="AA195" s="28" t="s">
        <v>9</v>
      </c>
      <c r="AB195" s="28" t="s">
        <v>9</v>
      </c>
      <c r="AC195" s="28" t="s">
        <v>9</v>
      </c>
      <c r="AD195" s="28" t="s">
        <v>9</v>
      </c>
      <c r="AE195" s="28" t="s">
        <v>9</v>
      </c>
      <c r="AF195" s="28" t="s">
        <v>10</v>
      </c>
      <c r="AG195" s="24">
        <f t="shared" si="18"/>
        <v>10</v>
      </c>
      <c r="AH195" s="24">
        <f t="shared" si="19"/>
        <v>1</v>
      </c>
      <c r="AI195" s="24">
        <f t="shared" si="20"/>
        <v>4</v>
      </c>
      <c r="AJ195" s="41" t="str" cm="1">
        <f t="array" ref="AJ195">_xlfn.IFS(
$AG195=15,"Not Started",
$AI195&lt;15,"In Progress",
$AI195=15,"Completed",
SUM(AG195:AI195)&gt;15,"Error"
)</f>
        <v>In Progress</v>
      </c>
    </row>
    <row r="196" spans="1:36" ht="13" x14ac:dyDescent="0.25">
      <c r="A196" s="256"/>
      <c r="B196" s="286"/>
      <c r="C196" s="63" t="s">
        <v>1450</v>
      </c>
      <c r="D196" s="53" t="s">
        <v>10007</v>
      </c>
      <c r="E196" s="57" t="s">
        <v>9829</v>
      </c>
      <c r="F196" s="7" t="s">
        <v>43</v>
      </c>
      <c r="G196" s="7" t="s">
        <v>44</v>
      </c>
      <c r="H196" s="7" t="s">
        <v>9099</v>
      </c>
      <c r="I196" s="7" t="s">
        <v>9099</v>
      </c>
      <c r="J196" s="76">
        <v>30.1318465353351</v>
      </c>
      <c r="K196" s="77">
        <v>40.376441989920203</v>
      </c>
      <c r="L196" s="138" t="str">
        <f t="shared" si="17"/>
        <v>30.1318465353351,40.3764419899202</v>
      </c>
      <c r="M196" s="64" t="s">
        <v>10202</v>
      </c>
      <c r="N196" s="7">
        <v>10005996424</v>
      </c>
      <c r="O196" s="7"/>
      <c r="P196" s="201"/>
      <c r="Q196" s="28" t="s">
        <v>11</v>
      </c>
      <c r="R196" s="28" t="s">
        <v>11</v>
      </c>
      <c r="S196" s="28" t="s">
        <v>11</v>
      </c>
      <c r="T196" s="28" t="s">
        <v>11</v>
      </c>
      <c r="U196" s="28" t="s">
        <v>10</v>
      </c>
      <c r="V196" s="28" t="s">
        <v>9</v>
      </c>
      <c r="W196" s="28" t="s">
        <v>9</v>
      </c>
      <c r="X196" s="28" t="s">
        <v>9</v>
      </c>
      <c r="Y196" s="28" t="s">
        <v>9</v>
      </c>
      <c r="Z196" s="28" t="s">
        <v>9</v>
      </c>
      <c r="AA196" s="28" t="s">
        <v>9</v>
      </c>
      <c r="AB196" s="28" t="s">
        <v>9</v>
      </c>
      <c r="AC196" s="28" t="s">
        <v>9</v>
      </c>
      <c r="AD196" s="28" t="s">
        <v>9</v>
      </c>
      <c r="AE196" s="28" t="s">
        <v>9</v>
      </c>
      <c r="AF196" s="28" t="s">
        <v>10</v>
      </c>
      <c r="AG196" s="24">
        <f t="shared" ref="AG196:AG203" si="21">COUNTIF(Q196:AE196,$AG$2)</f>
        <v>10</v>
      </c>
      <c r="AH196" s="24">
        <f t="shared" ref="AH196:AH203" si="22">COUNTIF(Q196:AE196,$AH$2)</f>
        <v>1</v>
      </c>
      <c r="AI196" s="24">
        <f t="shared" ref="AI196:AI203" si="23">COUNTIF(Q196:AE196,$AI$2)</f>
        <v>4</v>
      </c>
      <c r="AJ196" s="41" t="str" cm="1">
        <f t="array" ref="AJ196">_xlfn.IFS(
$AG196=15,"Not Started",
$AI196&lt;15,"In Progress",
$AI196=15,"Completed",
SUM(AG196:AI196)&gt;15,"Error"
)</f>
        <v>In Progress</v>
      </c>
    </row>
    <row r="197" spans="1:36" ht="13" x14ac:dyDescent="0.25">
      <c r="A197" s="256"/>
      <c r="B197" s="286"/>
      <c r="C197" s="64" t="s">
        <v>1451</v>
      </c>
      <c r="D197" s="53" t="s">
        <v>10008</v>
      </c>
      <c r="E197" s="57" t="s">
        <v>9830</v>
      </c>
      <c r="F197" s="7" t="s">
        <v>43</v>
      </c>
      <c r="G197" s="7" t="s">
        <v>44</v>
      </c>
      <c r="H197" s="7" t="s">
        <v>9099</v>
      </c>
      <c r="I197" s="7" t="s">
        <v>9099</v>
      </c>
      <c r="J197" s="76">
        <v>30.118429983542999</v>
      </c>
      <c r="K197" s="77">
        <v>40.389229569892301</v>
      </c>
      <c r="L197" s="138" t="str">
        <f t="shared" ref="L197:L203" si="24">_xlfn.CONCAT(J197,",",K197)</f>
        <v>30.118429983543,40.3892295698923</v>
      </c>
      <c r="M197" s="64" t="s">
        <v>10203</v>
      </c>
      <c r="N197" s="7">
        <v>10005993989</v>
      </c>
      <c r="O197" s="7"/>
      <c r="P197" s="201"/>
      <c r="Q197" s="28" t="s">
        <v>11</v>
      </c>
      <c r="R197" s="28" t="s">
        <v>11</v>
      </c>
      <c r="S197" s="28" t="s">
        <v>11</v>
      </c>
      <c r="T197" s="28" t="s">
        <v>11</v>
      </c>
      <c r="U197" s="28" t="s">
        <v>10</v>
      </c>
      <c r="V197" s="28" t="s">
        <v>9</v>
      </c>
      <c r="W197" s="28" t="s">
        <v>9</v>
      </c>
      <c r="X197" s="28" t="s">
        <v>9</v>
      </c>
      <c r="Y197" s="28" t="s">
        <v>9</v>
      </c>
      <c r="Z197" s="28" t="s">
        <v>9</v>
      </c>
      <c r="AA197" s="28" t="s">
        <v>9</v>
      </c>
      <c r="AB197" s="28" t="s">
        <v>9</v>
      </c>
      <c r="AC197" s="28" t="s">
        <v>9</v>
      </c>
      <c r="AD197" s="28" t="s">
        <v>9</v>
      </c>
      <c r="AE197" s="28" t="s">
        <v>9</v>
      </c>
      <c r="AF197" s="28" t="s">
        <v>10</v>
      </c>
      <c r="AG197" s="24">
        <f t="shared" si="21"/>
        <v>10</v>
      </c>
      <c r="AH197" s="24">
        <f t="shared" si="22"/>
        <v>1</v>
      </c>
      <c r="AI197" s="24">
        <f t="shared" si="23"/>
        <v>4</v>
      </c>
      <c r="AJ197" s="41" t="str" cm="1">
        <f t="array" ref="AJ197">_xlfn.IFS(
$AG197=15,"Not Started",
$AI197&lt;15,"In Progress",
$AI197=15,"Completed",
SUM(AG197:AI197)&gt;15,"Error"
)</f>
        <v>In Progress</v>
      </c>
    </row>
    <row r="198" spans="1:36" ht="13" x14ac:dyDescent="0.25">
      <c r="A198" s="256"/>
      <c r="B198" s="286"/>
      <c r="C198" s="63" t="s">
        <v>1452</v>
      </c>
      <c r="D198" s="53" t="s">
        <v>10009</v>
      </c>
      <c r="E198" s="57" t="s">
        <v>9831</v>
      </c>
      <c r="F198" s="7" t="s">
        <v>43</v>
      </c>
      <c r="G198" s="7" t="s">
        <v>48</v>
      </c>
      <c r="H198" s="7" t="s">
        <v>9099</v>
      </c>
      <c r="I198" s="7" t="s">
        <v>9099</v>
      </c>
      <c r="J198" s="76">
        <v>30.063729582354501</v>
      </c>
      <c r="K198" s="77">
        <v>40.393639360144398</v>
      </c>
      <c r="L198" s="138" t="str">
        <f t="shared" si="24"/>
        <v>30.0637295823545,40.3936393601444</v>
      </c>
      <c r="M198" s="64" t="s">
        <v>10204</v>
      </c>
      <c r="N198" s="7">
        <v>10005967890</v>
      </c>
      <c r="O198" s="7"/>
      <c r="P198" s="201"/>
      <c r="Q198" s="28" t="s">
        <v>11</v>
      </c>
      <c r="R198" s="28" t="s">
        <v>11</v>
      </c>
      <c r="S198" s="28" t="s">
        <v>11</v>
      </c>
      <c r="T198" s="28" t="s">
        <v>11</v>
      </c>
      <c r="U198" s="28" t="s">
        <v>10</v>
      </c>
      <c r="V198" s="28" t="s">
        <v>9</v>
      </c>
      <c r="W198" s="28" t="s">
        <v>9</v>
      </c>
      <c r="X198" s="28" t="s">
        <v>9</v>
      </c>
      <c r="Y198" s="28" t="s">
        <v>9</v>
      </c>
      <c r="Z198" s="28" t="s">
        <v>9</v>
      </c>
      <c r="AA198" s="28" t="s">
        <v>9</v>
      </c>
      <c r="AB198" s="28" t="s">
        <v>9</v>
      </c>
      <c r="AC198" s="28" t="s">
        <v>9</v>
      </c>
      <c r="AD198" s="28" t="s">
        <v>9</v>
      </c>
      <c r="AE198" s="28" t="s">
        <v>9</v>
      </c>
      <c r="AF198" s="28" t="s">
        <v>10</v>
      </c>
      <c r="AG198" s="24">
        <f t="shared" si="21"/>
        <v>10</v>
      </c>
      <c r="AH198" s="24">
        <f t="shared" si="22"/>
        <v>1</v>
      </c>
      <c r="AI198" s="24">
        <f t="shared" si="23"/>
        <v>4</v>
      </c>
      <c r="AJ198" s="41" t="str" cm="1">
        <f t="array" ref="AJ198">_xlfn.IFS(
$AG198=15,"Not Started",
$AI198&lt;15,"In Progress",
$AI198=15,"Completed",
SUM(AG198:AI198)&gt;15,"Error"
)</f>
        <v>In Progress</v>
      </c>
    </row>
    <row r="199" spans="1:36" ht="13" x14ac:dyDescent="0.25">
      <c r="A199" s="256"/>
      <c r="B199" s="286"/>
      <c r="C199" s="64" t="s">
        <v>1453</v>
      </c>
      <c r="D199" s="53" t="s">
        <v>10010</v>
      </c>
      <c r="E199" s="57" t="s">
        <v>9832</v>
      </c>
      <c r="F199" s="7" t="s">
        <v>51</v>
      </c>
      <c r="G199" s="7" t="s">
        <v>44</v>
      </c>
      <c r="H199" s="7" t="s">
        <v>9099</v>
      </c>
      <c r="I199" s="7" t="s">
        <v>9099</v>
      </c>
      <c r="J199" s="76">
        <v>29.9788733435757</v>
      </c>
      <c r="K199" s="77">
        <v>40.206312505270397</v>
      </c>
      <c r="L199" s="138" t="str">
        <f t="shared" si="24"/>
        <v>29.9788733435757,40.2063125052704</v>
      </c>
      <c r="M199" s="64" t="s">
        <v>10205</v>
      </c>
      <c r="N199" s="7">
        <v>10005970634</v>
      </c>
      <c r="O199" s="7"/>
      <c r="P199" s="201"/>
      <c r="Q199" s="28" t="s">
        <v>11</v>
      </c>
      <c r="R199" s="28" t="s">
        <v>11</v>
      </c>
      <c r="S199" s="28" t="s">
        <v>11</v>
      </c>
      <c r="T199" s="28" t="s">
        <v>11</v>
      </c>
      <c r="U199" s="28" t="s">
        <v>9</v>
      </c>
      <c r="V199" s="28" t="s">
        <v>9</v>
      </c>
      <c r="W199" s="28" t="s">
        <v>9</v>
      </c>
      <c r="X199" s="28" t="s">
        <v>9</v>
      </c>
      <c r="Y199" s="28" t="s">
        <v>9</v>
      </c>
      <c r="Z199" s="28" t="s">
        <v>9</v>
      </c>
      <c r="AA199" s="28" t="s">
        <v>9</v>
      </c>
      <c r="AB199" s="28" t="s">
        <v>9</v>
      </c>
      <c r="AC199" s="28" t="s">
        <v>9</v>
      </c>
      <c r="AD199" s="28" t="s">
        <v>9</v>
      </c>
      <c r="AE199" s="28" t="s">
        <v>9</v>
      </c>
      <c r="AF199" s="28" t="s">
        <v>10</v>
      </c>
      <c r="AG199" s="24">
        <f t="shared" si="21"/>
        <v>11</v>
      </c>
      <c r="AH199" s="24">
        <f t="shared" si="22"/>
        <v>0</v>
      </c>
      <c r="AI199" s="24">
        <f t="shared" si="23"/>
        <v>4</v>
      </c>
      <c r="AJ199" s="41" t="str" cm="1">
        <f t="array" ref="AJ199">_xlfn.IFS(
$AG199=15,"Not Started",
$AI199&lt;15,"In Progress",
$AI199=15,"Completed",
SUM(AG199:AI199)&gt;15,"Error"
)</f>
        <v>In Progress</v>
      </c>
    </row>
    <row r="200" spans="1:36" ht="13" x14ac:dyDescent="0.25">
      <c r="A200" s="256"/>
      <c r="B200" s="286"/>
      <c r="C200" s="63" t="s">
        <v>1454</v>
      </c>
      <c r="D200" s="53" t="s">
        <v>10011</v>
      </c>
      <c r="E200" s="57" t="s">
        <v>9833</v>
      </c>
      <c r="F200" s="7" t="s">
        <v>51</v>
      </c>
      <c r="G200" s="7" t="s">
        <v>44</v>
      </c>
      <c r="H200" s="7" t="s">
        <v>9099</v>
      </c>
      <c r="I200" s="7" t="s">
        <v>9099</v>
      </c>
      <c r="J200" s="76">
        <v>29.8614942574922</v>
      </c>
      <c r="K200" s="77">
        <v>40.217351751304498</v>
      </c>
      <c r="L200" s="138" t="str">
        <f t="shared" si="24"/>
        <v>29.8614942574922,40.2173517513045</v>
      </c>
      <c r="M200" s="64" t="s">
        <v>10206</v>
      </c>
      <c r="N200" s="7">
        <v>10005998608</v>
      </c>
      <c r="O200" s="7"/>
      <c r="P200" s="201"/>
      <c r="Q200" s="28" t="s">
        <v>11</v>
      </c>
      <c r="R200" s="28" t="s">
        <v>11</v>
      </c>
      <c r="S200" s="28" t="s">
        <v>11</v>
      </c>
      <c r="T200" s="28" t="s">
        <v>11</v>
      </c>
      <c r="U200" s="28" t="s">
        <v>10</v>
      </c>
      <c r="V200" s="28" t="s">
        <v>9</v>
      </c>
      <c r="W200" s="28" t="s">
        <v>9</v>
      </c>
      <c r="X200" s="28" t="s">
        <v>9</v>
      </c>
      <c r="Y200" s="28" t="s">
        <v>9</v>
      </c>
      <c r="Z200" s="28" t="s">
        <v>9</v>
      </c>
      <c r="AA200" s="28" t="s">
        <v>9</v>
      </c>
      <c r="AB200" s="28" t="s">
        <v>9</v>
      </c>
      <c r="AC200" s="28" t="s">
        <v>9</v>
      </c>
      <c r="AD200" s="28" t="s">
        <v>9</v>
      </c>
      <c r="AE200" s="28" t="s">
        <v>9</v>
      </c>
      <c r="AF200" s="28" t="s">
        <v>10</v>
      </c>
      <c r="AG200" s="24">
        <f t="shared" si="21"/>
        <v>10</v>
      </c>
      <c r="AH200" s="24">
        <f t="shared" si="22"/>
        <v>1</v>
      </c>
      <c r="AI200" s="24">
        <f t="shared" si="23"/>
        <v>4</v>
      </c>
      <c r="AJ200" s="41" t="str" cm="1">
        <f t="array" ref="AJ200">_xlfn.IFS(
$AG200=15,"Not Started",
$AI200&lt;15,"In Progress",
$AI200=15,"Completed",
SUM(AG200:AI200)&gt;15,"Error"
)</f>
        <v>In Progress</v>
      </c>
    </row>
    <row r="201" spans="1:36" ht="13" x14ac:dyDescent="0.25">
      <c r="A201" s="256"/>
      <c r="B201" s="286"/>
      <c r="C201" s="64" t="s">
        <v>1455</v>
      </c>
      <c r="D201" s="53" t="s">
        <v>10012</v>
      </c>
      <c r="E201" s="57" t="s">
        <v>9834</v>
      </c>
      <c r="F201" s="7" t="s">
        <v>43</v>
      </c>
      <c r="G201" s="7" t="s">
        <v>44</v>
      </c>
      <c r="H201" s="7" t="s">
        <v>9099</v>
      </c>
      <c r="I201" s="7" t="s">
        <v>9099</v>
      </c>
      <c r="J201" s="76">
        <v>29.933919456017499</v>
      </c>
      <c r="K201" s="77">
        <v>40.197923210822502</v>
      </c>
      <c r="L201" s="138" t="str">
        <f t="shared" si="24"/>
        <v>29.9339194560175,40.1979232108225</v>
      </c>
      <c r="M201" s="64" t="s">
        <v>10207</v>
      </c>
      <c r="N201" s="7">
        <v>10005940706</v>
      </c>
      <c r="O201" s="7"/>
      <c r="P201" s="201"/>
      <c r="Q201" s="28" t="s">
        <v>11</v>
      </c>
      <c r="R201" s="28" t="s">
        <v>11</v>
      </c>
      <c r="S201" s="28" t="s">
        <v>11</v>
      </c>
      <c r="T201" s="28" t="s">
        <v>11</v>
      </c>
      <c r="U201" s="28" t="s">
        <v>10</v>
      </c>
      <c r="V201" s="28" t="s">
        <v>9</v>
      </c>
      <c r="W201" s="28" t="s">
        <v>9</v>
      </c>
      <c r="X201" s="28" t="s">
        <v>9</v>
      </c>
      <c r="Y201" s="28" t="s">
        <v>9</v>
      </c>
      <c r="Z201" s="28" t="s">
        <v>9</v>
      </c>
      <c r="AA201" s="28" t="s">
        <v>9</v>
      </c>
      <c r="AB201" s="28" t="s">
        <v>9</v>
      </c>
      <c r="AC201" s="28" t="s">
        <v>9</v>
      </c>
      <c r="AD201" s="28" t="s">
        <v>9</v>
      </c>
      <c r="AE201" s="28" t="s">
        <v>9</v>
      </c>
      <c r="AF201" s="28" t="s">
        <v>10</v>
      </c>
      <c r="AG201" s="24">
        <f t="shared" si="21"/>
        <v>10</v>
      </c>
      <c r="AH201" s="24">
        <f t="shared" si="22"/>
        <v>1</v>
      </c>
      <c r="AI201" s="24">
        <f t="shared" si="23"/>
        <v>4</v>
      </c>
      <c r="AJ201" s="41" t="str" cm="1">
        <f t="array" ref="AJ201">_xlfn.IFS(
$AG201=15,"Not Started",
$AI201&lt;15,"In Progress",
$AI201=15,"Completed",
SUM(AG201:AI201)&gt;15,"Error"
)</f>
        <v>In Progress</v>
      </c>
    </row>
    <row r="202" spans="1:36" ht="13" x14ac:dyDescent="0.25">
      <c r="A202" s="256"/>
      <c r="B202" s="286"/>
      <c r="C202" s="63" t="s">
        <v>1456</v>
      </c>
      <c r="D202" s="53" t="s">
        <v>10013</v>
      </c>
      <c r="E202" s="57" t="s">
        <v>9835</v>
      </c>
      <c r="F202" s="7" t="s">
        <v>43</v>
      </c>
      <c r="G202" s="7" t="s">
        <v>48</v>
      </c>
      <c r="H202" s="7" t="s">
        <v>9099</v>
      </c>
      <c r="I202" s="7" t="s">
        <v>9099</v>
      </c>
      <c r="J202" s="76">
        <v>30.073068196958399</v>
      </c>
      <c r="K202" s="77">
        <v>40.354824282251599</v>
      </c>
      <c r="L202" s="138" t="str">
        <f t="shared" si="24"/>
        <v>30.0730681969584,40.3548242822516</v>
      </c>
      <c r="M202" s="64" t="s">
        <v>10208</v>
      </c>
      <c r="N202" s="7">
        <v>10005988076</v>
      </c>
      <c r="O202" s="7"/>
      <c r="P202" s="201"/>
      <c r="Q202" s="28" t="s">
        <v>11</v>
      </c>
      <c r="R202" s="28" t="s">
        <v>11</v>
      </c>
      <c r="S202" s="28" t="s">
        <v>11</v>
      </c>
      <c r="T202" s="28" t="s">
        <v>11</v>
      </c>
      <c r="U202" s="28" t="s">
        <v>10</v>
      </c>
      <c r="V202" s="28" t="s">
        <v>9</v>
      </c>
      <c r="W202" s="28" t="s">
        <v>9</v>
      </c>
      <c r="X202" s="28" t="s">
        <v>9</v>
      </c>
      <c r="Y202" s="28" t="s">
        <v>9</v>
      </c>
      <c r="Z202" s="28" t="s">
        <v>9</v>
      </c>
      <c r="AA202" s="28" t="s">
        <v>9</v>
      </c>
      <c r="AB202" s="28" t="s">
        <v>9</v>
      </c>
      <c r="AC202" s="28" t="s">
        <v>9</v>
      </c>
      <c r="AD202" s="28" t="s">
        <v>9</v>
      </c>
      <c r="AE202" s="28" t="s">
        <v>9</v>
      </c>
      <c r="AF202" s="28" t="s">
        <v>10</v>
      </c>
      <c r="AG202" s="24">
        <f t="shared" si="21"/>
        <v>10</v>
      </c>
      <c r="AH202" s="24">
        <f t="shared" si="22"/>
        <v>1</v>
      </c>
      <c r="AI202" s="24">
        <f t="shared" si="23"/>
        <v>4</v>
      </c>
      <c r="AJ202" s="41" t="str" cm="1">
        <f t="array" ref="AJ202">_xlfn.IFS(
$AG202=15,"Not Started",
$AI202&lt;15,"In Progress",
$AI202=15,"Completed",
SUM(AG202:AI202)&gt;15,"Error"
)</f>
        <v>In Progress</v>
      </c>
    </row>
    <row r="203" spans="1:36" ht="26" x14ac:dyDescent="0.25">
      <c r="A203" s="276"/>
      <c r="B203" s="287"/>
      <c r="C203" s="64" t="s">
        <v>1457</v>
      </c>
      <c r="D203" s="53" t="s">
        <v>10014</v>
      </c>
      <c r="E203" s="80" t="s">
        <v>10226</v>
      </c>
      <c r="F203" s="7" t="s">
        <v>47</v>
      </c>
      <c r="G203" s="7" t="s">
        <v>48</v>
      </c>
      <c r="H203" s="7" t="s">
        <v>9099</v>
      </c>
      <c r="I203" s="7" t="s">
        <v>9099</v>
      </c>
      <c r="J203" s="76">
        <v>30.072765</v>
      </c>
      <c r="K203" s="77">
        <v>40.354590999999999</v>
      </c>
      <c r="L203" s="138" t="str">
        <f t="shared" si="24"/>
        <v>30.072765,40.354591</v>
      </c>
      <c r="M203" s="64" t="s">
        <v>10209</v>
      </c>
      <c r="N203" s="7">
        <v>10005996327</v>
      </c>
      <c r="O203" s="7"/>
      <c r="P203" s="201"/>
      <c r="Q203" s="28" t="s">
        <v>11</v>
      </c>
      <c r="R203" s="28" t="s">
        <v>11</v>
      </c>
      <c r="S203" s="28" t="s">
        <v>11</v>
      </c>
      <c r="T203" s="28" t="s">
        <v>11</v>
      </c>
      <c r="U203" s="28" t="s">
        <v>10</v>
      </c>
      <c r="V203" s="28" t="s">
        <v>9</v>
      </c>
      <c r="W203" s="28" t="s">
        <v>9</v>
      </c>
      <c r="X203" s="28" t="s">
        <v>9</v>
      </c>
      <c r="Y203" s="28" t="s">
        <v>9</v>
      </c>
      <c r="Z203" s="28" t="s">
        <v>9</v>
      </c>
      <c r="AA203" s="28" t="s">
        <v>9</v>
      </c>
      <c r="AB203" s="28" t="s">
        <v>9</v>
      </c>
      <c r="AC203" s="28" t="s">
        <v>9</v>
      </c>
      <c r="AD203" s="28" t="s">
        <v>9</v>
      </c>
      <c r="AE203" s="28" t="s">
        <v>9</v>
      </c>
      <c r="AF203" s="28" t="s">
        <v>10</v>
      </c>
      <c r="AG203" s="24">
        <f t="shared" si="21"/>
        <v>10</v>
      </c>
      <c r="AH203" s="24">
        <f t="shared" si="22"/>
        <v>1</v>
      </c>
      <c r="AI203" s="24">
        <f t="shared" si="23"/>
        <v>4</v>
      </c>
      <c r="AJ203" s="41" t="str" cm="1">
        <f t="array" ref="AJ203">_xlfn.IFS(
$AG203=15,"Not Started",
$AI203&lt;15,"In Progress",
$AI203=15,"Completed",
SUM(AG203:AI203)&gt;15,"Error"
)</f>
        <v>In Progress</v>
      </c>
    </row>
    <row r="204" spans="1:36" ht="15.75" customHeight="1" x14ac:dyDescent="0.25">
      <c r="C204" s="68"/>
      <c r="D204" s="68"/>
      <c r="E204" s="68"/>
      <c r="F204" s="68"/>
      <c r="G204" s="68"/>
      <c r="H204" s="68"/>
      <c r="I204" s="68"/>
      <c r="J204" s="68"/>
      <c r="K204" s="68"/>
      <c r="L204" s="104"/>
      <c r="M204" s="68"/>
      <c r="N204" s="250"/>
      <c r="O204" s="250" t="s">
        <v>251</v>
      </c>
      <c r="P204" s="67" t="s">
        <v>11</v>
      </c>
      <c r="Q204" s="72">
        <f t="shared" ref="Q204:AF204" si="25">COUNTIF(Q$3:Q$203,"Completed")</f>
        <v>154</v>
      </c>
      <c r="R204" s="72">
        <f t="shared" si="25"/>
        <v>154</v>
      </c>
      <c r="S204" s="72">
        <f t="shared" si="25"/>
        <v>154</v>
      </c>
      <c r="T204" s="72">
        <f t="shared" si="25"/>
        <v>154</v>
      </c>
      <c r="U204" s="72">
        <f t="shared" si="25"/>
        <v>1</v>
      </c>
      <c r="V204" s="72">
        <f t="shared" si="25"/>
        <v>1</v>
      </c>
      <c r="W204" s="72">
        <f t="shared" si="25"/>
        <v>1</v>
      </c>
      <c r="X204" s="72">
        <f t="shared" si="25"/>
        <v>1</v>
      </c>
      <c r="Y204" s="72">
        <f t="shared" si="25"/>
        <v>1</v>
      </c>
      <c r="Z204" s="72">
        <f t="shared" si="25"/>
        <v>1</v>
      </c>
      <c r="AA204" s="72">
        <f t="shared" si="25"/>
        <v>1</v>
      </c>
      <c r="AB204" s="72">
        <f t="shared" si="25"/>
        <v>1</v>
      </c>
      <c r="AC204" s="72">
        <f t="shared" si="25"/>
        <v>1</v>
      </c>
      <c r="AD204" s="72">
        <f t="shared" si="25"/>
        <v>1</v>
      </c>
      <c r="AE204" s="72">
        <f t="shared" si="25"/>
        <v>1</v>
      </c>
      <c r="AF204" s="72">
        <f t="shared" si="25"/>
        <v>1</v>
      </c>
      <c r="AG204" s="70">
        <f>COUNTIF(Q204:AE204,$AG$2)</f>
        <v>0</v>
      </c>
      <c r="AH204" s="70">
        <f>COUNTIF(Q204:AE204,$AH$2)</f>
        <v>0</v>
      </c>
      <c r="AI204" s="70">
        <f>COUNTIF(Q204:AE204,$AI$2)</f>
        <v>0</v>
      </c>
      <c r="AJ204" s="71" cm="1">
        <f t="array" ref="AJ204">SUM(Q204:AE204/15)</f>
        <v>41.80000000000004</v>
      </c>
    </row>
    <row r="205" spans="1:36" ht="15.75" customHeight="1" x14ac:dyDescent="0.25">
      <c r="C205" s="69"/>
      <c r="D205" s="69"/>
      <c r="E205" s="69"/>
      <c r="F205" s="69"/>
      <c r="G205" s="69"/>
      <c r="H205" s="69"/>
      <c r="I205" s="69"/>
      <c r="J205" s="69"/>
      <c r="K205" s="69"/>
      <c r="L205" s="104"/>
      <c r="M205" s="69"/>
      <c r="N205" s="250"/>
      <c r="O205" s="250"/>
      <c r="P205" s="67" t="s">
        <v>10</v>
      </c>
      <c r="Q205" s="73">
        <f t="shared" ref="Q205:AF205" si="26">COUNTIF(Q$3:Q$203,"In Progress")</f>
        <v>0</v>
      </c>
      <c r="R205" s="73">
        <f t="shared" si="26"/>
        <v>0</v>
      </c>
      <c r="S205" s="73">
        <f t="shared" si="26"/>
        <v>0</v>
      </c>
      <c r="T205" s="73">
        <f t="shared" si="26"/>
        <v>0</v>
      </c>
      <c r="U205" s="73">
        <f t="shared" si="26"/>
        <v>127</v>
      </c>
      <c r="V205" s="73">
        <f t="shared" si="26"/>
        <v>0</v>
      </c>
      <c r="W205" s="73">
        <f t="shared" si="26"/>
        <v>0</v>
      </c>
      <c r="X205" s="73">
        <f t="shared" si="26"/>
        <v>0</v>
      </c>
      <c r="Y205" s="73">
        <f t="shared" si="26"/>
        <v>0</v>
      </c>
      <c r="Z205" s="73">
        <f t="shared" si="26"/>
        <v>0</v>
      </c>
      <c r="AA205" s="73">
        <f t="shared" si="26"/>
        <v>0</v>
      </c>
      <c r="AB205" s="73">
        <f t="shared" si="26"/>
        <v>0</v>
      </c>
      <c r="AC205" s="73">
        <f t="shared" si="26"/>
        <v>0</v>
      </c>
      <c r="AD205" s="73">
        <f t="shared" si="26"/>
        <v>0</v>
      </c>
      <c r="AE205" s="73">
        <f t="shared" si="26"/>
        <v>0</v>
      </c>
      <c r="AF205" s="73">
        <f t="shared" si="26"/>
        <v>154</v>
      </c>
      <c r="AG205" s="3"/>
      <c r="AH205" s="3"/>
      <c r="AI205" s="3"/>
      <c r="AJ205" s="3"/>
    </row>
    <row r="206" spans="1:36" ht="15.75" customHeight="1" x14ac:dyDescent="0.25">
      <c r="C206" s="69"/>
      <c r="D206" s="69"/>
      <c r="E206" s="69"/>
      <c r="F206" s="69"/>
      <c r="G206" s="69"/>
      <c r="H206" s="69"/>
      <c r="I206" s="69"/>
      <c r="J206" s="69"/>
      <c r="K206" s="69"/>
      <c r="L206" s="104"/>
      <c r="M206" s="69"/>
      <c r="N206" s="250"/>
      <c r="O206" s="250"/>
      <c r="P206" s="67" t="s">
        <v>9</v>
      </c>
      <c r="Q206" s="74">
        <f t="shared" ref="Q206:AF206" si="27">COUNTIF(Q$3:Q$203,"Not Started")</f>
        <v>46</v>
      </c>
      <c r="R206" s="74">
        <f t="shared" si="27"/>
        <v>46</v>
      </c>
      <c r="S206" s="74">
        <f t="shared" si="27"/>
        <v>46</v>
      </c>
      <c r="T206" s="74">
        <f t="shared" si="27"/>
        <v>46</v>
      </c>
      <c r="U206" s="74">
        <f t="shared" si="27"/>
        <v>72</v>
      </c>
      <c r="V206" s="74">
        <f t="shared" si="27"/>
        <v>199</v>
      </c>
      <c r="W206" s="74">
        <f t="shared" si="27"/>
        <v>199</v>
      </c>
      <c r="X206" s="74">
        <f t="shared" si="27"/>
        <v>199</v>
      </c>
      <c r="Y206" s="74">
        <f t="shared" si="27"/>
        <v>199</v>
      </c>
      <c r="Z206" s="74">
        <f t="shared" si="27"/>
        <v>199</v>
      </c>
      <c r="AA206" s="74">
        <f t="shared" si="27"/>
        <v>199</v>
      </c>
      <c r="AB206" s="74">
        <f t="shared" si="27"/>
        <v>199</v>
      </c>
      <c r="AC206" s="74">
        <f t="shared" si="27"/>
        <v>199</v>
      </c>
      <c r="AD206" s="74">
        <f t="shared" si="27"/>
        <v>199</v>
      </c>
      <c r="AE206" s="74">
        <f t="shared" si="27"/>
        <v>199</v>
      </c>
      <c r="AF206" s="74">
        <f t="shared" si="27"/>
        <v>45</v>
      </c>
      <c r="AG206" s="3"/>
      <c r="AH206" s="3"/>
      <c r="AI206" s="3"/>
      <c r="AJ206" s="3"/>
    </row>
  </sheetData>
  <sheetProtection formatCells="0" formatColumns="0" formatRows="0" insertColumns="0" insertRows="0" insertHyperlinks="0" deleteColumns="0" deleteRows="0" sort="0" autoFilter="0" pivotTables="0"/>
  <protectedRanges>
    <protectedRange sqref="D18:K18 M18:O18" name="Range1_10"/>
    <protectedRange sqref="D40:I40" name="Range1"/>
    <protectedRange sqref="M40:O40" name="Range1_3"/>
    <protectedRange sqref="C122:O122" name="Range1_7"/>
    <protectedRange sqref="P31:P74 Q31:AF203 P4:AF30 P76:P203" name="Range1_1"/>
  </protectedRanges>
  <autoFilter ref="A3:AN206" xr:uid="{66783AFC-01FD-4C0C-9D02-679210A7EC77}">
    <filterColumn colId="8" showButton="0"/>
  </autoFilter>
  <mergeCells count="18">
    <mergeCell ref="AH2:AH3"/>
    <mergeCell ref="AI2:AI3"/>
    <mergeCell ref="AJ2:AJ3"/>
    <mergeCell ref="A2:A3"/>
    <mergeCell ref="C2:O2"/>
    <mergeCell ref="P2:P3"/>
    <mergeCell ref="Q2:T2"/>
    <mergeCell ref="U2:AC2"/>
    <mergeCell ref="AD2:AD3"/>
    <mergeCell ref="J3:K3"/>
    <mergeCell ref="A4:A203"/>
    <mergeCell ref="AE2:AE3"/>
    <mergeCell ref="AF2:AF3"/>
    <mergeCell ref="AG2:AG3"/>
    <mergeCell ref="O204:O206"/>
    <mergeCell ref="B2:B3"/>
    <mergeCell ref="B4:B203"/>
    <mergeCell ref="N204:N206"/>
  </mergeCells>
  <phoneticPr fontId="14" type="noConversion"/>
  <conditionalFormatting sqref="C4:C121 AG4:AI121 E4:O17 M159:O203 L159:L206 E158:K203 M158:N158 E115:O121 F114:K114 M114:O114 E19:O39 E18:K18 M18:O18 E41:O113 J40:L40 E123:O157 AG123:AI204 C123:C203 F122:O122 AG122:AH122">
    <cfRule type="cellIs" dxfId="597" priority="132" operator="equal">
      <formula>"In Progress"</formula>
    </cfRule>
    <cfRule type="cellIs" dxfId="596" priority="133" operator="equal">
      <formula>"Completed"</formula>
    </cfRule>
  </conditionalFormatting>
  <conditionalFormatting sqref="AJ4:AJ203">
    <cfRule type="cellIs" dxfId="595" priority="129" operator="equal">
      <formula>"In Progress"</formula>
    </cfRule>
    <cfRule type="cellIs" dxfId="594" priority="130" operator="equal">
      <formula>"Completed"</formula>
    </cfRule>
    <cfRule type="cellIs" dxfId="593" priority="131" operator="equal">
      <formula>"Not Started"</formula>
    </cfRule>
  </conditionalFormatting>
  <conditionalFormatting sqref="D4:D17 D159:D203 D115:D121 D19:D39 D41:D113 D123:D157">
    <cfRule type="cellIs" dxfId="592" priority="117" operator="equal">
      <formula>"In Progress"</formula>
    </cfRule>
    <cfRule type="cellIs" dxfId="591" priority="118" operator="equal">
      <formula>"Completed"</formula>
    </cfRule>
  </conditionalFormatting>
  <conditionalFormatting sqref="G4:G17 G159:G203 G115:G121 G19:G39 G41:G113 G123:G157">
    <cfRule type="containsText" dxfId="590" priority="113" operator="containsText" text="Boys">
      <formula>NOT(ISERROR(SEARCH("Boys",G4)))</formula>
    </cfRule>
    <cfRule type="containsText" dxfId="589" priority="114" operator="containsText" text="Girls">
      <formula>NOT(ISERROR(SEARCH("Girls",G4)))</formula>
    </cfRule>
  </conditionalFormatting>
  <conditionalFormatting sqref="G158">
    <cfRule type="containsText" dxfId="588" priority="95" operator="containsText" text="Boys">
      <formula>NOT(ISERROR(SEARCH("Boys",G158)))</formula>
    </cfRule>
    <cfRule type="containsText" dxfId="587" priority="96" operator="containsText" text="Girls">
      <formula>NOT(ISERROR(SEARCH("Girls",G158)))</formula>
    </cfRule>
  </conditionalFormatting>
  <conditionalFormatting sqref="O158 D158">
    <cfRule type="cellIs" dxfId="586" priority="97" operator="equal">
      <formula>"In Progress"</formula>
    </cfRule>
    <cfRule type="cellIs" dxfId="585" priority="98" operator="equal">
      <formula>"Completed"</formula>
    </cfRule>
  </conditionalFormatting>
  <conditionalFormatting sqref="D114">
    <cfRule type="cellIs" dxfId="584" priority="87" operator="equal">
      <formula>"In Progress"</formula>
    </cfRule>
    <cfRule type="cellIs" dxfId="583" priority="88" operator="equal">
      <formula>"Completed"</formula>
    </cfRule>
  </conditionalFormatting>
  <conditionalFormatting sqref="G114">
    <cfRule type="containsText" dxfId="582" priority="85" operator="containsText" text="Boys">
      <formula>NOT(ISERROR(SEARCH("Boys",G114)))</formula>
    </cfRule>
    <cfRule type="containsText" dxfId="581" priority="86" operator="containsText" text="Girls">
      <formula>NOT(ISERROR(SEARCH("Girls",G114)))</formula>
    </cfRule>
  </conditionalFormatting>
  <conditionalFormatting sqref="E114">
    <cfRule type="cellIs" dxfId="580" priority="83" operator="equal">
      <formula>"In Progress"</formula>
    </cfRule>
    <cfRule type="cellIs" dxfId="579" priority="84" operator="equal">
      <formula>"Completed"</formula>
    </cfRule>
  </conditionalFormatting>
  <conditionalFormatting sqref="D18">
    <cfRule type="cellIs" dxfId="578" priority="75" operator="equal">
      <formula>"In Progress"</formula>
    </cfRule>
    <cfRule type="cellIs" dxfId="577" priority="76" operator="equal">
      <formula>"Completed"</formula>
    </cfRule>
  </conditionalFormatting>
  <conditionalFormatting sqref="G18">
    <cfRule type="containsText" dxfId="576" priority="73" operator="containsText" text="Boys">
      <formula>NOT(ISERROR(SEARCH("Boys",G18)))</formula>
    </cfRule>
    <cfRule type="containsText" dxfId="575" priority="74" operator="containsText" text="Girls">
      <formula>NOT(ISERROR(SEARCH("Girls",G18)))</formula>
    </cfRule>
  </conditionalFormatting>
  <conditionalFormatting sqref="E40:I40">
    <cfRule type="cellIs" dxfId="574" priority="71" operator="equal">
      <formula>"In Progress"</formula>
    </cfRule>
    <cfRule type="cellIs" dxfId="573" priority="72" operator="equal">
      <formula>"Completed"</formula>
    </cfRule>
  </conditionalFormatting>
  <conditionalFormatting sqref="D40">
    <cfRule type="cellIs" dxfId="572" priority="69" operator="equal">
      <formula>"In Progress"</formula>
    </cfRule>
    <cfRule type="cellIs" dxfId="571" priority="70" operator="equal">
      <formula>"Completed"</formula>
    </cfRule>
  </conditionalFormatting>
  <conditionalFormatting sqref="G40">
    <cfRule type="containsText" dxfId="570" priority="67" operator="containsText" text="Boys">
      <formula>NOT(ISERROR(SEARCH("Boys",G40)))</formula>
    </cfRule>
    <cfRule type="containsText" dxfId="569" priority="68" operator="containsText" text="Girls">
      <formula>NOT(ISERROR(SEARCH("Girls",G40)))</formula>
    </cfRule>
  </conditionalFormatting>
  <conditionalFormatting sqref="M40:O40">
    <cfRule type="cellIs" dxfId="568" priority="65" operator="equal">
      <formula>"In Progress"</formula>
    </cfRule>
    <cfRule type="cellIs" dxfId="567" priority="66" operator="equal">
      <formula>"Completed"</formula>
    </cfRule>
  </conditionalFormatting>
  <conditionalFormatting sqref="D122">
    <cfRule type="cellIs" dxfId="566" priority="40" operator="equal">
      <formula>"In Progress"</formula>
    </cfRule>
    <cfRule type="cellIs" dxfId="565" priority="41" operator="equal">
      <formula>"Completed"</formula>
    </cfRule>
  </conditionalFormatting>
  <conditionalFormatting sqref="C122">
    <cfRule type="cellIs" dxfId="564" priority="50" operator="equal">
      <formula>"In Progress"</formula>
    </cfRule>
    <cfRule type="cellIs" dxfId="563" priority="51" operator="equal">
      <formula>"Completed"</formula>
    </cfRule>
  </conditionalFormatting>
  <conditionalFormatting sqref="AI122">
    <cfRule type="cellIs" dxfId="562" priority="47" operator="equal">
      <formula>"In Progress"</formula>
    </cfRule>
    <cfRule type="cellIs" dxfId="561" priority="48" operator="equal">
      <formula>"Completed"</formula>
    </cfRule>
    <cfRule type="cellIs" dxfId="560" priority="49" operator="equal">
      <formula>"Not Started"</formula>
    </cfRule>
  </conditionalFormatting>
  <conditionalFormatting sqref="G122">
    <cfRule type="containsText" dxfId="559" priority="44" operator="containsText" text="Boys">
      <formula>NOT(ISERROR(SEARCH("Boys",G122)))</formula>
    </cfRule>
    <cfRule type="containsText" dxfId="558" priority="45" operator="containsText" text="Girls">
      <formula>NOT(ISERROR(SEARCH("Girls",G122)))</formula>
    </cfRule>
  </conditionalFormatting>
  <conditionalFormatting sqref="E122">
    <cfRule type="cellIs" dxfId="557" priority="42" operator="equal">
      <formula>"In Progress"</formula>
    </cfRule>
    <cfRule type="cellIs" dxfId="556" priority="43" operator="equal">
      <formula>"Completed"</formula>
    </cfRule>
  </conditionalFormatting>
  <conditionalFormatting sqref="P38:P85 P193:P203 P87:P191 Q4:AF203">
    <cfRule type="cellIs" dxfId="68" priority="22" operator="equal">
      <formula>"In Progress"</formula>
    </cfRule>
    <cfRule type="cellIs" dxfId="67" priority="23" operator="equal">
      <formula>"Completed"</formula>
    </cfRule>
  </conditionalFormatting>
  <conditionalFormatting sqref="Q4:AF203">
    <cfRule type="cellIs" dxfId="66" priority="21" operator="equal">
      <formula>"Not Started"</formula>
    </cfRule>
  </conditionalFormatting>
  <conditionalFormatting sqref="P4:P11 P31:P37 P13:P29">
    <cfRule type="cellIs" dxfId="65" priority="19" operator="equal">
      <formula>"In Progress"</formula>
    </cfRule>
    <cfRule type="cellIs" dxfId="64" priority="20" operator="equal">
      <formula>"Completed"</formula>
    </cfRule>
  </conditionalFormatting>
  <conditionalFormatting sqref="P4:P11 P31:P37 P13:P29">
    <cfRule type="cellIs" dxfId="63" priority="17" operator="equal">
      <formula>"In Progress"</formula>
    </cfRule>
    <cfRule type="cellIs" dxfId="62" priority="18" operator="equal">
      <formula>"Completed"</formula>
    </cfRule>
  </conditionalFormatting>
  <conditionalFormatting sqref="P4:P11 P31:P37 P13:P29">
    <cfRule type="cellIs" dxfId="61" priority="15" operator="equal">
      <formula>"In Progress"</formula>
    </cfRule>
    <cfRule type="cellIs" dxfId="60" priority="16" operator="equal">
      <formula>"Completed"</formula>
    </cfRule>
  </conditionalFormatting>
  <conditionalFormatting sqref="P86">
    <cfRule type="cellIs" dxfId="59" priority="13" operator="equal">
      <formula>"In Progress"</formula>
    </cfRule>
    <cfRule type="cellIs" dxfId="58" priority="14" operator="equal">
      <formula>"Completed"</formula>
    </cfRule>
  </conditionalFormatting>
  <conditionalFormatting sqref="P86">
    <cfRule type="cellIs" dxfId="57" priority="11" operator="equal">
      <formula>"In Progress"</formula>
    </cfRule>
    <cfRule type="cellIs" dxfId="56" priority="12" operator="equal">
      <formula>"Completed"</formula>
    </cfRule>
  </conditionalFormatting>
  <conditionalFormatting sqref="P86">
    <cfRule type="cellIs" dxfId="55" priority="9" operator="equal">
      <formula>"In Progress"</formula>
    </cfRule>
    <cfRule type="cellIs" dxfId="54" priority="10" operator="equal">
      <formula>"Completed"</formula>
    </cfRule>
  </conditionalFormatting>
  <conditionalFormatting sqref="P30">
    <cfRule type="cellIs" dxfId="53" priority="7" operator="equal">
      <formula>"In Progress"</formula>
    </cfRule>
    <cfRule type="cellIs" dxfId="52" priority="8" operator="equal">
      <formula>"Completed"</formula>
    </cfRule>
  </conditionalFormatting>
  <conditionalFormatting sqref="P192">
    <cfRule type="cellIs" dxfId="51" priority="5" operator="equal">
      <formula>"In Progress"</formula>
    </cfRule>
    <cfRule type="cellIs" dxfId="50" priority="6" operator="equal">
      <formula>"Completed"</formula>
    </cfRule>
  </conditionalFormatting>
  <conditionalFormatting sqref="P130">
    <cfRule type="cellIs" dxfId="49" priority="3" operator="equal">
      <formula>"In Progress"</formula>
    </cfRule>
    <cfRule type="cellIs" dxfId="48" priority="4" operator="equal">
      <formula>"Completed"</formula>
    </cfRule>
  </conditionalFormatting>
  <conditionalFormatting sqref="P12">
    <cfRule type="cellIs" dxfId="47" priority="1" operator="equal">
      <formula>"In Progress"</formula>
    </cfRule>
    <cfRule type="cellIs" dxfId="46" priority="2" operator="equal">
      <formula>"Completed"</formula>
    </cfRule>
  </conditionalFormatting>
  <dataValidations count="5">
    <dataValidation type="list" allowBlank="1" showInputMessage="1" showErrorMessage="1" sqref="F159:F203 F4:F157" xr:uid="{C716A67E-B83B-4B02-8CD1-132184AD57C5}">
      <formula1>$AM$4:$AM$9</formula1>
    </dataValidation>
    <dataValidation type="list" allowBlank="1" showInputMessage="1" showErrorMessage="1" sqref="G159:G203 G4:G157" xr:uid="{193ECFF3-A5E6-4006-ADB1-B835E269F6B0}">
      <formula1>$AN$4:$AN$6</formula1>
    </dataValidation>
    <dataValidation type="list" allowBlank="1" showInputMessage="1" showErrorMessage="1" sqref="G158" xr:uid="{AFFB2655-A635-40AA-89FE-A45B05C5B66E}">
      <formula1>$AM$4:$AM$6</formula1>
    </dataValidation>
    <dataValidation type="list" allowBlank="1" showInputMessage="1" showErrorMessage="1" sqref="F158" xr:uid="{458C7731-22A6-40EB-B6E0-30D62B51EF8E}">
      <formula1>$AL$4:$AL$9</formula1>
    </dataValidation>
    <dataValidation type="list" allowBlank="1" showInputMessage="1" showErrorMessage="1" sqref="Q4:AF203" xr:uid="{AC0C33E0-FE9A-4A49-84A5-8412A9C733B6}">
      <formula1>$AO$4:$AO$9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43C2-14D6-4D55-B1F1-91BBB8D990AD}">
  <sheetPr>
    <outlinePr summaryBelow="0" summaryRight="0"/>
  </sheetPr>
  <dimension ref="A1:AO207"/>
  <sheetViews>
    <sheetView showGridLines="0" zoomScale="53" zoomScaleNormal="53" workbookViewId="0">
      <selection activeCell="F19" sqref="F19"/>
    </sheetView>
  </sheetViews>
  <sheetFormatPr defaultColWidth="12.54296875" defaultRowHeight="15.75" customHeight="1" x14ac:dyDescent="0.25"/>
  <cols>
    <col min="1" max="1" width="6.1796875" style="1" bestFit="1" customWidth="1"/>
    <col min="2" max="2" width="12.54296875" style="1"/>
    <col min="3" max="3" width="19" style="1" bestFit="1" customWidth="1"/>
    <col min="4" max="4" width="35" style="54" customWidth="1"/>
    <col min="5" max="5" width="42.90625" style="62" bestFit="1" customWidth="1"/>
    <col min="6" max="6" width="32.453125" style="58" customWidth="1"/>
    <col min="7" max="7" width="16.453125" style="1" bestFit="1" customWidth="1"/>
    <col min="8" max="8" width="8.1796875" style="1" customWidth="1"/>
    <col min="9" max="9" width="7.81640625" style="1" customWidth="1"/>
    <col min="10" max="10" width="14.6328125" style="1" hidden="1" customWidth="1"/>
    <col min="11" max="11" width="15.36328125" style="1" hidden="1" customWidth="1"/>
    <col min="12" max="12" width="29.90625" style="1" bestFit="1" customWidth="1"/>
    <col min="13" max="13" width="17.81640625" style="1" customWidth="1"/>
    <col min="14" max="14" width="18.54296875" style="1" customWidth="1"/>
    <col min="15" max="19" width="12.54296875" style="1"/>
    <col min="20" max="20" width="14.81640625" style="1" customWidth="1"/>
    <col min="21" max="21" width="14.7265625" style="1" customWidth="1"/>
    <col min="22" max="22" width="12.54296875" style="1"/>
    <col min="23" max="23" width="15.81640625" style="1" customWidth="1"/>
    <col min="24" max="24" width="20.1796875" style="1" customWidth="1"/>
    <col min="25" max="38" width="12.54296875" style="1"/>
    <col min="39" max="39" width="37.81640625" style="1" hidden="1" customWidth="1"/>
    <col min="40" max="40" width="18.453125" style="1" hidden="1" customWidth="1"/>
    <col min="41" max="41" width="12.54296875" style="1" hidden="1" customWidth="1"/>
    <col min="42" max="16384" width="12.54296875" style="1"/>
  </cols>
  <sheetData>
    <row r="1" spans="1:41" ht="37" customHeight="1" x14ac:dyDescent="0.25">
      <c r="C1" s="84"/>
      <c r="D1" s="90" t="s">
        <v>0</v>
      </c>
      <c r="E1" s="59">
        <v>46152</v>
      </c>
      <c r="G1" s="85"/>
    </row>
    <row r="2" spans="1:41" ht="13" customHeight="1" x14ac:dyDescent="0.25">
      <c r="A2" s="89"/>
      <c r="B2" s="88"/>
      <c r="C2" s="293" t="s">
        <v>2</v>
      </c>
      <c r="D2" s="293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53" t="s">
        <v>3</v>
      </c>
      <c r="Q2" s="241" t="s">
        <v>4</v>
      </c>
      <c r="R2" s="242"/>
      <c r="S2" s="242"/>
      <c r="T2" s="242"/>
      <c r="U2" s="243" t="s">
        <v>5</v>
      </c>
      <c r="V2" s="243"/>
      <c r="W2" s="243"/>
      <c r="X2" s="243"/>
      <c r="Y2" s="243"/>
      <c r="Z2" s="243"/>
      <c r="AA2" s="243"/>
      <c r="AB2" s="243"/>
      <c r="AC2" s="243"/>
      <c r="AD2" s="289" t="s">
        <v>6</v>
      </c>
      <c r="AE2" s="277" t="s">
        <v>7</v>
      </c>
      <c r="AF2" s="279" t="s">
        <v>8</v>
      </c>
      <c r="AG2" s="281" t="s">
        <v>9</v>
      </c>
      <c r="AH2" s="281" t="s">
        <v>10</v>
      </c>
      <c r="AI2" s="281" t="s">
        <v>11</v>
      </c>
      <c r="AJ2" s="281" t="s">
        <v>12</v>
      </c>
    </row>
    <row r="3" spans="1:41" s="2" customFormat="1" ht="39" x14ac:dyDescent="0.25">
      <c r="A3" s="87" t="s">
        <v>1</v>
      </c>
      <c r="B3" s="23" t="s">
        <v>9669</v>
      </c>
      <c r="C3" s="23" t="s">
        <v>13</v>
      </c>
      <c r="D3" s="52" t="s">
        <v>14</v>
      </c>
      <c r="E3" s="60" t="s">
        <v>15</v>
      </c>
      <c r="F3" s="56" t="s">
        <v>16</v>
      </c>
      <c r="G3" s="23" t="s">
        <v>17</v>
      </c>
      <c r="H3" s="23" t="s">
        <v>18</v>
      </c>
      <c r="I3" s="23" t="s">
        <v>19</v>
      </c>
      <c r="J3" s="245" t="s">
        <v>20</v>
      </c>
      <c r="K3" s="246"/>
      <c r="L3" s="135" t="s">
        <v>20</v>
      </c>
      <c r="M3" s="23" t="s">
        <v>21</v>
      </c>
      <c r="N3" s="23" t="s">
        <v>22</v>
      </c>
      <c r="O3" s="23" t="s">
        <v>23</v>
      </c>
      <c r="P3" s="254"/>
      <c r="Q3" s="42" t="s">
        <v>24</v>
      </c>
      <c r="R3" s="42" t="s">
        <v>25</v>
      </c>
      <c r="S3" s="42" t="s">
        <v>26</v>
      </c>
      <c r="T3" s="42" t="s">
        <v>27</v>
      </c>
      <c r="U3" s="43" t="s">
        <v>28</v>
      </c>
      <c r="V3" s="43" t="s">
        <v>29</v>
      </c>
      <c r="W3" s="43" t="s">
        <v>30</v>
      </c>
      <c r="X3" s="43" t="s">
        <v>31</v>
      </c>
      <c r="Y3" s="43" t="s">
        <v>32</v>
      </c>
      <c r="Z3" s="43" t="s">
        <v>33</v>
      </c>
      <c r="AA3" s="43" t="s">
        <v>34</v>
      </c>
      <c r="AB3" s="43" t="s">
        <v>35</v>
      </c>
      <c r="AC3" s="43" t="s">
        <v>36</v>
      </c>
      <c r="AD3" s="290"/>
      <c r="AE3" s="278"/>
      <c r="AF3" s="280"/>
      <c r="AG3" s="282"/>
      <c r="AH3" s="282"/>
      <c r="AI3" s="282"/>
      <c r="AJ3" s="282"/>
      <c r="AM3" s="5" t="s">
        <v>16</v>
      </c>
      <c r="AN3" s="5" t="s">
        <v>17</v>
      </c>
      <c r="AO3" s="5" t="s">
        <v>37</v>
      </c>
    </row>
    <row r="4" spans="1:41" ht="15.75" customHeight="1" x14ac:dyDescent="0.25">
      <c r="A4" s="291" t="s">
        <v>10216</v>
      </c>
      <c r="B4" s="86">
        <v>1</v>
      </c>
      <c r="C4" s="14" t="s">
        <v>1458</v>
      </c>
      <c r="D4" s="53" t="s">
        <v>8039</v>
      </c>
      <c r="E4" s="61" t="s">
        <v>8038</v>
      </c>
      <c r="F4" s="57" t="s">
        <v>43</v>
      </c>
      <c r="G4" s="10" t="s">
        <v>44</v>
      </c>
      <c r="H4" s="7" t="s">
        <v>5975</v>
      </c>
      <c r="I4" s="7" t="s">
        <v>5975</v>
      </c>
      <c r="J4" s="7">
        <v>27.494706000000001</v>
      </c>
      <c r="K4" s="7">
        <v>41.672457000000001</v>
      </c>
      <c r="L4" s="7" t="str">
        <f>_xlfn.CONCAT(J4,",",K4)</f>
        <v>27.494706,41.672457</v>
      </c>
      <c r="M4" s="7" t="s">
        <v>8311</v>
      </c>
      <c r="N4" s="7">
        <v>10041878778</v>
      </c>
      <c r="O4" s="7"/>
      <c r="P4" s="201"/>
      <c r="Q4" s="28" t="s">
        <v>11</v>
      </c>
      <c r="R4" s="28" t="s">
        <v>11</v>
      </c>
      <c r="S4" s="28" t="s">
        <v>11</v>
      </c>
      <c r="T4" s="28" t="s">
        <v>11</v>
      </c>
      <c r="U4" s="28" t="s">
        <v>9</v>
      </c>
      <c r="V4" s="28" t="s">
        <v>9</v>
      </c>
      <c r="W4" s="28" t="s">
        <v>9</v>
      </c>
      <c r="X4" s="28" t="s">
        <v>9</v>
      </c>
      <c r="Y4" s="28" t="s">
        <v>9</v>
      </c>
      <c r="Z4" s="28" t="s">
        <v>9</v>
      </c>
      <c r="AA4" s="28" t="s">
        <v>9</v>
      </c>
      <c r="AB4" s="28" t="s">
        <v>9</v>
      </c>
      <c r="AC4" s="28" t="s">
        <v>9</v>
      </c>
      <c r="AD4" s="28" t="s">
        <v>9</v>
      </c>
      <c r="AE4" s="28" t="s">
        <v>9</v>
      </c>
      <c r="AF4" s="28" t="s">
        <v>10</v>
      </c>
      <c r="AG4" s="24">
        <f>COUNTIF(Q4:AE4,$AG$2)</f>
        <v>11</v>
      </c>
      <c r="AH4" s="24">
        <f>COUNTIF(Q4:AE4,$AH$2)</f>
        <v>0</v>
      </c>
      <c r="AI4" s="24">
        <f>COUNTIF(Q4:AE4,$AI$2)</f>
        <v>4</v>
      </c>
      <c r="AJ4" s="41" t="str" cm="1">
        <f t="array" ref="AJ4">_xlfn.IFS(
$AG4=15,"Not Started",
$AI4&lt;15,"In Progress",
$AI4=15,"Completed",
SUM(AG4:AI4)&gt;15,"Error"
)</f>
        <v>In Progress</v>
      </c>
      <c r="AM4" s="3" t="s">
        <v>43</v>
      </c>
      <c r="AN4" s="3" t="s">
        <v>44</v>
      </c>
      <c r="AO4" s="3" t="s">
        <v>9</v>
      </c>
    </row>
    <row r="5" spans="1:41" ht="13" x14ac:dyDescent="0.25">
      <c r="A5" s="291"/>
      <c r="B5" s="64">
        <v>2</v>
      </c>
      <c r="C5" s="7" t="s">
        <v>1459</v>
      </c>
      <c r="D5" s="53" t="s">
        <v>8041</v>
      </c>
      <c r="E5" s="61" t="s">
        <v>8040</v>
      </c>
      <c r="F5" s="57" t="s">
        <v>47</v>
      </c>
      <c r="G5" s="10" t="s">
        <v>44</v>
      </c>
      <c r="H5" s="7" t="s">
        <v>5975</v>
      </c>
      <c r="I5" s="7" t="s">
        <v>5975</v>
      </c>
      <c r="J5" s="7">
        <v>27.488437999999999</v>
      </c>
      <c r="K5" s="7">
        <v>41.688206999999998</v>
      </c>
      <c r="L5" s="7" t="str">
        <f t="shared" ref="L5:L68" si="0">_xlfn.CONCAT(J5,",",K5)</f>
        <v>27.488438,41.688207</v>
      </c>
      <c r="M5" s="7" t="s">
        <v>8312</v>
      </c>
      <c r="N5" s="7">
        <v>10041719459</v>
      </c>
      <c r="O5" s="7"/>
      <c r="P5" s="201"/>
      <c r="Q5" s="28" t="s">
        <v>11</v>
      </c>
      <c r="R5" s="28" t="s">
        <v>11</v>
      </c>
      <c r="S5" s="28" t="s">
        <v>11</v>
      </c>
      <c r="T5" s="28" t="s">
        <v>11</v>
      </c>
      <c r="U5" s="28" t="s">
        <v>9</v>
      </c>
      <c r="V5" s="28" t="s">
        <v>9</v>
      </c>
      <c r="W5" s="28" t="s">
        <v>9</v>
      </c>
      <c r="X5" s="28" t="s">
        <v>9</v>
      </c>
      <c r="Y5" s="28" t="s">
        <v>9</v>
      </c>
      <c r="Z5" s="28" t="s">
        <v>9</v>
      </c>
      <c r="AA5" s="28" t="s">
        <v>9</v>
      </c>
      <c r="AB5" s="28" t="s">
        <v>9</v>
      </c>
      <c r="AC5" s="28" t="s">
        <v>9</v>
      </c>
      <c r="AD5" s="28" t="s">
        <v>9</v>
      </c>
      <c r="AE5" s="28" t="s">
        <v>9</v>
      </c>
      <c r="AF5" s="28" t="s">
        <v>10</v>
      </c>
      <c r="AG5" s="24">
        <f>COUNTIF(Q5:AE5,$AG$2)</f>
        <v>11</v>
      </c>
      <c r="AH5" s="24">
        <f>COUNTIF(Q5:AE5,$AH$2)</f>
        <v>0</v>
      </c>
      <c r="AI5" s="24">
        <f t="shared" ref="AI5:AI68" si="1">COUNTIF(Q5:AE5,$AI$2)</f>
        <v>4</v>
      </c>
      <c r="AJ5" s="41" t="str" cm="1">
        <f t="array" ref="AJ5">_xlfn.IFS(
$AG5=15,"Not Started",
$AI5&lt;15,"In Progress",
$AI5=15,"Completed",
SUM(AG5:AI5)&gt;15,"Error"
)</f>
        <v>In Progress</v>
      </c>
      <c r="AM5" s="3" t="s">
        <v>47</v>
      </c>
      <c r="AN5" s="3" t="s">
        <v>48</v>
      </c>
      <c r="AO5" s="3" t="s">
        <v>10</v>
      </c>
    </row>
    <row r="6" spans="1:41" ht="13" x14ac:dyDescent="0.25">
      <c r="A6" s="291"/>
      <c r="B6" s="86">
        <v>3</v>
      </c>
      <c r="C6" s="14" t="s">
        <v>1460</v>
      </c>
      <c r="D6" s="53" t="s">
        <v>8043</v>
      </c>
      <c r="E6" s="61" t="s">
        <v>8042</v>
      </c>
      <c r="F6" s="57" t="s">
        <v>43</v>
      </c>
      <c r="G6" s="10" t="s">
        <v>44</v>
      </c>
      <c r="H6" s="7" t="s">
        <v>5975</v>
      </c>
      <c r="I6" s="7" t="s">
        <v>5975</v>
      </c>
      <c r="J6" s="7">
        <v>27.488932999999999</v>
      </c>
      <c r="K6" s="7">
        <v>41.687944999999999</v>
      </c>
      <c r="L6" s="7" t="str">
        <f t="shared" si="0"/>
        <v>27.488933,41.687945</v>
      </c>
      <c r="M6" s="7" t="s">
        <v>8313</v>
      </c>
      <c r="N6" s="7">
        <v>10041922034</v>
      </c>
      <c r="O6" s="7"/>
      <c r="P6" s="201"/>
      <c r="Q6" s="28" t="s">
        <v>11</v>
      </c>
      <c r="R6" s="28" t="s">
        <v>11</v>
      </c>
      <c r="S6" s="28" t="s">
        <v>11</v>
      </c>
      <c r="T6" s="28" t="s">
        <v>11</v>
      </c>
      <c r="U6" s="28" t="s">
        <v>9</v>
      </c>
      <c r="V6" s="28" t="s">
        <v>9</v>
      </c>
      <c r="W6" s="28" t="s">
        <v>9</v>
      </c>
      <c r="X6" s="28" t="s">
        <v>9</v>
      </c>
      <c r="Y6" s="28" t="s">
        <v>9</v>
      </c>
      <c r="Z6" s="28" t="s">
        <v>9</v>
      </c>
      <c r="AA6" s="28" t="s">
        <v>9</v>
      </c>
      <c r="AB6" s="28" t="s">
        <v>9</v>
      </c>
      <c r="AC6" s="28" t="s">
        <v>9</v>
      </c>
      <c r="AD6" s="28" t="s">
        <v>9</v>
      </c>
      <c r="AE6" s="28" t="s">
        <v>9</v>
      </c>
      <c r="AF6" s="28" t="s">
        <v>10</v>
      </c>
      <c r="AG6" s="24">
        <f t="shared" ref="AG6:AG68" si="2">COUNTIF(Q6:AE6,$AG$2)</f>
        <v>11</v>
      </c>
      <c r="AH6" s="24">
        <f t="shared" ref="AH6:AH68" si="3">COUNTIF(Q6:AE6,$AH$2)</f>
        <v>0</v>
      </c>
      <c r="AI6" s="24">
        <f t="shared" si="1"/>
        <v>4</v>
      </c>
      <c r="AJ6" s="41" t="str" cm="1">
        <f t="array" ref="AJ6">_xlfn.IFS(
$AG6=15,"Not Started",
$AI6&lt;15,"In Progress",
$AI6=15,"Completed",
SUM(AG6:AI6)&gt;15,"Error"
)</f>
        <v>In Progress</v>
      </c>
      <c r="AM6" s="3" t="s">
        <v>51</v>
      </c>
      <c r="AN6" s="3" t="s">
        <v>52</v>
      </c>
      <c r="AO6" s="3" t="s">
        <v>11</v>
      </c>
    </row>
    <row r="7" spans="1:41" ht="13" x14ac:dyDescent="0.25">
      <c r="A7" s="291"/>
      <c r="B7" s="64">
        <v>4</v>
      </c>
      <c r="C7" s="7" t="s">
        <v>1461</v>
      </c>
      <c r="D7" s="53" t="s">
        <v>8045</v>
      </c>
      <c r="E7" s="61" t="s">
        <v>8044</v>
      </c>
      <c r="F7" s="57" t="s">
        <v>47</v>
      </c>
      <c r="G7" s="10" t="s">
        <v>44</v>
      </c>
      <c r="H7" s="7" t="s">
        <v>5975</v>
      </c>
      <c r="I7" s="7" t="s">
        <v>5975</v>
      </c>
      <c r="J7" s="7">
        <v>27.498398000000002</v>
      </c>
      <c r="K7" s="7">
        <v>41.677973000000001</v>
      </c>
      <c r="L7" s="7" t="str">
        <f t="shared" si="0"/>
        <v>27.498398,41.677973</v>
      </c>
      <c r="M7" s="7" t="s">
        <v>8314</v>
      </c>
      <c r="N7" s="7">
        <v>10041609724</v>
      </c>
      <c r="O7" s="7"/>
      <c r="P7" s="201"/>
      <c r="Q7" s="28" t="s">
        <v>11</v>
      </c>
      <c r="R7" s="28" t="s">
        <v>11</v>
      </c>
      <c r="S7" s="28" t="s">
        <v>11</v>
      </c>
      <c r="T7" s="28" t="s">
        <v>11</v>
      </c>
      <c r="U7" s="28" t="s">
        <v>9</v>
      </c>
      <c r="V7" s="28" t="s">
        <v>9</v>
      </c>
      <c r="W7" s="28" t="s">
        <v>9</v>
      </c>
      <c r="X7" s="28" t="s">
        <v>9</v>
      </c>
      <c r="Y7" s="28" t="s">
        <v>9</v>
      </c>
      <c r="Z7" s="28" t="s">
        <v>9</v>
      </c>
      <c r="AA7" s="28" t="s">
        <v>9</v>
      </c>
      <c r="AB7" s="28" t="s">
        <v>9</v>
      </c>
      <c r="AC7" s="28" t="s">
        <v>9</v>
      </c>
      <c r="AD7" s="28" t="s">
        <v>9</v>
      </c>
      <c r="AE7" s="28" t="s">
        <v>9</v>
      </c>
      <c r="AF7" s="28" t="s">
        <v>10</v>
      </c>
      <c r="AG7" s="24">
        <f t="shared" si="2"/>
        <v>11</v>
      </c>
      <c r="AH7" s="24">
        <f t="shared" si="3"/>
        <v>0</v>
      </c>
      <c r="AI7" s="24">
        <f t="shared" si="1"/>
        <v>4</v>
      </c>
      <c r="AJ7" s="41" t="str" cm="1">
        <f t="array" ref="AJ7">_xlfn.IFS(
$AG7=15,"Not Started",
$AI7&lt;15,"In Progress",
$AI7=15,"Completed",
SUM(AG7:AI7)&gt;15,"Error"
)</f>
        <v>In Progress</v>
      </c>
      <c r="AM7" s="3" t="s">
        <v>9670</v>
      </c>
      <c r="AN7" s="3"/>
      <c r="AO7" s="3" t="s">
        <v>52</v>
      </c>
    </row>
    <row r="8" spans="1:41" ht="13" x14ac:dyDescent="0.25">
      <c r="A8" s="291"/>
      <c r="B8" s="86">
        <v>5</v>
      </c>
      <c r="C8" s="14" t="s">
        <v>1462</v>
      </c>
      <c r="D8" s="53" t="s">
        <v>8047</v>
      </c>
      <c r="E8" s="61" t="s">
        <v>8046</v>
      </c>
      <c r="F8" s="57" t="s">
        <v>9670</v>
      </c>
      <c r="G8" s="10" t="s">
        <v>48</v>
      </c>
      <c r="H8" s="7" t="s">
        <v>5975</v>
      </c>
      <c r="I8" s="7" t="s">
        <v>5975</v>
      </c>
      <c r="J8" s="7">
        <v>27.511116999999999</v>
      </c>
      <c r="K8" s="7">
        <v>41.706347999999998</v>
      </c>
      <c r="L8" s="7" t="str">
        <f t="shared" si="0"/>
        <v>27.511117,41.706348</v>
      </c>
      <c r="M8" s="7" t="s">
        <v>8315</v>
      </c>
      <c r="N8" s="7">
        <v>10041431564</v>
      </c>
      <c r="O8" s="7"/>
      <c r="P8" s="201"/>
      <c r="Q8" s="28" t="s">
        <v>11</v>
      </c>
      <c r="R8" s="28" t="s">
        <v>11</v>
      </c>
      <c r="S8" s="28" t="s">
        <v>11</v>
      </c>
      <c r="T8" s="28" t="s">
        <v>11</v>
      </c>
      <c r="U8" s="28" t="s">
        <v>9</v>
      </c>
      <c r="V8" s="28" t="s">
        <v>9</v>
      </c>
      <c r="W8" s="28" t="s">
        <v>9</v>
      </c>
      <c r="X8" s="28" t="s">
        <v>9</v>
      </c>
      <c r="Y8" s="28" t="s">
        <v>9</v>
      </c>
      <c r="Z8" s="28" t="s">
        <v>9</v>
      </c>
      <c r="AA8" s="28" t="s">
        <v>9</v>
      </c>
      <c r="AB8" s="28" t="s">
        <v>9</v>
      </c>
      <c r="AC8" s="28" t="s">
        <v>9</v>
      </c>
      <c r="AD8" s="28" t="s">
        <v>9</v>
      </c>
      <c r="AE8" s="28" t="s">
        <v>9</v>
      </c>
      <c r="AF8" s="28" t="s">
        <v>10</v>
      </c>
      <c r="AG8" s="24">
        <f t="shared" si="2"/>
        <v>11</v>
      </c>
      <c r="AH8" s="24">
        <f t="shared" si="3"/>
        <v>0</v>
      </c>
      <c r="AI8" s="24">
        <f t="shared" si="1"/>
        <v>4</v>
      </c>
      <c r="AJ8" s="41" t="str" cm="1">
        <f t="array" ref="AJ8">_xlfn.IFS(
$AG8=15,"Not Started",
$AI8&lt;15,"In Progress",
$AI8=15,"Completed",
SUM(AG8:AI8)&gt;15,"Error"
)</f>
        <v>In Progress</v>
      </c>
      <c r="AM8" s="3" t="s">
        <v>9671</v>
      </c>
      <c r="AN8" s="3"/>
      <c r="AO8" s="3"/>
    </row>
    <row r="9" spans="1:41" ht="13" x14ac:dyDescent="0.25">
      <c r="A9" s="291"/>
      <c r="B9" s="64">
        <v>6</v>
      </c>
      <c r="C9" s="7" t="s">
        <v>1463</v>
      </c>
      <c r="D9" s="53" t="s">
        <v>8048</v>
      </c>
      <c r="E9" s="61" t="s">
        <v>7755</v>
      </c>
      <c r="F9" s="57" t="s">
        <v>47</v>
      </c>
      <c r="G9" s="10" t="s">
        <v>48</v>
      </c>
      <c r="H9" s="7" t="s">
        <v>5975</v>
      </c>
      <c r="I9" s="7" t="s">
        <v>5975</v>
      </c>
      <c r="J9" s="7">
        <v>27.522716054560998</v>
      </c>
      <c r="K9" s="7">
        <v>41.6831072713425</v>
      </c>
      <c r="L9" s="7" t="str">
        <f t="shared" si="0"/>
        <v>27.522716054561,41.6831072713425</v>
      </c>
      <c r="M9" s="7" t="s">
        <v>8316</v>
      </c>
      <c r="N9" s="7">
        <v>10041523049</v>
      </c>
      <c r="O9" s="7"/>
      <c r="P9" s="202">
        <v>46147</v>
      </c>
      <c r="Q9" s="28" t="s">
        <v>11</v>
      </c>
      <c r="R9" s="28" t="s">
        <v>11</v>
      </c>
      <c r="S9" s="28" t="s">
        <v>11</v>
      </c>
      <c r="T9" s="28" t="s">
        <v>11</v>
      </c>
      <c r="U9" s="28" t="s">
        <v>9</v>
      </c>
      <c r="V9" s="28" t="s">
        <v>9</v>
      </c>
      <c r="W9" s="28" t="s">
        <v>9</v>
      </c>
      <c r="X9" s="28" t="s">
        <v>9</v>
      </c>
      <c r="Y9" s="28" t="s">
        <v>9</v>
      </c>
      <c r="Z9" s="28" t="s">
        <v>9</v>
      </c>
      <c r="AA9" s="28" t="s">
        <v>9</v>
      </c>
      <c r="AB9" s="28" t="s">
        <v>9</v>
      </c>
      <c r="AC9" s="28" t="s">
        <v>9</v>
      </c>
      <c r="AD9" s="28" t="s">
        <v>9</v>
      </c>
      <c r="AE9" s="28" t="s">
        <v>9</v>
      </c>
      <c r="AF9" s="28" t="s">
        <v>10</v>
      </c>
      <c r="AG9" s="24">
        <f t="shared" si="2"/>
        <v>11</v>
      </c>
      <c r="AH9" s="24">
        <f t="shared" si="3"/>
        <v>0</v>
      </c>
      <c r="AI9" s="24">
        <f t="shared" si="1"/>
        <v>4</v>
      </c>
      <c r="AJ9" s="41" t="str" cm="1">
        <f t="array" ref="AJ9">_xlfn.IFS(
$AG9=15,"Not Started",
$AI9&lt;15,"In Progress",
$AI9=15,"Completed",
SUM(AG9:AI9)&gt;15,"Error"
)</f>
        <v>In Progress</v>
      </c>
      <c r="AM9" s="3" t="s">
        <v>52</v>
      </c>
      <c r="AN9" s="3"/>
      <c r="AO9" s="3"/>
    </row>
    <row r="10" spans="1:41" ht="13" x14ac:dyDescent="0.25">
      <c r="A10" s="291"/>
      <c r="B10" s="86">
        <v>7</v>
      </c>
      <c r="C10" s="14" t="s">
        <v>1464</v>
      </c>
      <c r="D10" s="53" t="s">
        <v>8050</v>
      </c>
      <c r="E10" s="61" t="s">
        <v>8049</v>
      </c>
      <c r="F10" s="57" t="s">
        <v>43</v>
      </c>
      <c r="G10" s="10" t="s">
        <v>48</v>
      </c>
      <c r="H10" s="7" t="s">
        <v>5975</v>
      </c>
      <c r="I10" s="7" t="s">
        <v>5975</v>
      </c>
      <c r="J10" s="7">
        <v>27.50454113</v>
      </c>
      <c r="K10" s="7">
        <v>41.671228409999998</v>
      </c>
      <c r="L10" s="7" t="str">
        <f t="shared" si="0"/>
        <v>27.50454113,41.67122841</v>
      </c>
      <c r="M10" s="7" t="s">
        <v>8317</v>
      </c>
      <c r="N10" s="7">
        <v>10041657571</v>
      </c>
      <c r="O10" s="7"/>
      <c r="P10" s="201"/>
      <c r="Q10" s="28" t="s">
        <v>11</v>
      </c>
      <c r="R10" s="28" t="s">
        <v>11</v>
      </c>
      <c r="S10" s="28" t="s">
        <v>11</v>
      </c>
      <c r="T10" s="28" t="s">
        <v>11</v>
      </c>
      <c r="U10" s="28" t="s">
        <v>9</v>
      </c>
      <c r="V10" s="28" t="s">
        <v>9</v>
      </c>
      <c r="W10" s="28" t="s">
        <v>9</v>
      </c>
      <c r="X10" s="28" t="s">
        <v>9</v>
      </c>
      <c r="Y10" s="28" t="s">
        <v>9</v>
      </c>
      <c r="Z10" s="28" t="s">
        <v>9</v>
      </c>
      <c r="AA10" s="28" t="s">
        <v>9</v>
      </c>
      <c r="AB10" s="28" t="s">
        <v>9</v>
      </c>
      <c r="AC10" s="28" t="s">
        <v>9</v>
      </c>
      <c r="AD10" s="28" t="s">
        <v>9</v>
      </c>
      <c r="AE10" s="28" t="s">
        <v>9</v>
      </c>
      <c r="AF10" s="28" t="s">
        <v>10</v>
      </c>
      <c r="AG10" s="24">
        <f t="shared" si="2"/>
        <v>11</v>
      </c>
      <c r="AH10" s="24">
        <f t="shared" si="3"/>
        <v>0</v>
      </c>
      <c r="AI10" s="24">
        <f t="shared" si="1"/>
        <v>4</v>
      </c>
      <c r="AJ10" s="41" t="str" cm="1">
        <f t="array" ref="AJ10">_xlfn.IFS(
$AG10=15,"Not Started",
$AI10&lt;15,"In Progress",
$AI10=15,"Completed",
SUM(AG10:AI10)&gt;15,"Error"
)</f>
        <v>In Progress</v>
      </c>
    </row>
    <row r="11" spans="1:41" ht="13" x14ac:dyDescent="0.25">
      <c r="A11" s="291"/>
      <c r="B11" s="64">
        <v>8</v>
      </c>
      <c r="C11" s="7" t="s">
        <v>1465</v>
      </c>
      <c r="D11" s="53" t="s">
        <v>8052</v>
      </c>
      <c r="E11" s="61" t="s">
        <v>8051</v>
      </c>
      <c r="F11" s="57" t="s">
        <v>43</v>
      </c>
      <c r="G11" s="10" t="s">
        <v>48</v>
      </c>
      <c r="H11" s="7" t="s">
        <v>5975</v>
      </c>
      <c r="I11" s="7" t="s">
        <v>5975</v>
      </c>
      <c r="J11" s="7">
        <v>27.504698139999999</v>
      </c>
      <c r="K11" s="7">
        <v>41.671818500000001</v>
      </c>
      <c r="L11" s="7" t="str">
        <f t="shared" si="0"/>
        <v>27.50469814,41.6718185</v>
      </c>
      <c r="M11" s="7" t="s">
        <v>8318</v>
      </c>
      <c r="N11" s="7">
        <v>10041628031</v>
      </c>
      <c r="O11" s="7"/>
      <c r="P11" s="201"/>
      <c r="Q11" s="28" t="s">
        <v>11</v>
      </c>
      <c r="R11" s="28" t="s">
        <v>11</v>
      </c>
      <c r="S11" s="28" t="s">
        <v>11</v>
      </c>
      <c r="T11" s="28" t="s">
        <v>11</v>
      </c>
      <c r="U11" s="28" t="s">
        <v>9</v>
      </c>
      <c r="V11" s="28" t="s">
        <v>9</v>
      </c>
      <c r="W11" s="28" t="s">
        <v>9</v>
      </c>
      <c r="X11" s="28" t="s">
        <v>9</v>
      </c>
      <c r="Y11" s="28" t="s">
        <v>9</v>
      </c>
      <c r="Z11" s="28" t="s">
        <v>9</v>
      </c>
      <c r="AA11" s="28" t="s">
        <v>9</v>
      </c>
      <c r="AB11" s="28" t="s">
        <v>9</v>
      </c>
      <c r="AC11" s="28" t="s">
        <v>9</v>
      </c>
      <c r="AD11" s="28" t="s">
        <v>9</v>
      </c>
      <c r="AE11" s="28" t="s">
        <v>9</v>
      </c>
      <c r="AF11" s="28" t="s">
        <v>10</v>
      </c>
      <c r="AG11" s="24">
        <f t="shared" si="2"/>
        <v>11</v>
      </c>
      <c r="AH11" s="24">
        <f t="shared" si="3"/>
        <v>0</v>
      </c>
      <c r="AI11" s="24">
        <f t="shared" si="1"/>
        <v>4</v>
      </c>
      <c r="AJ11" s="41" t="str" cm="1">
        <f t="array" ref="AJ11">_xlfn.IFS(
$AG11=15,"Not Started",
$AI11&lt;15,"In Progress",
$AI11=15,"Completed",
SUM(AG11:AI11)&gt;15,"Error"
)</f>
        <v>In Progress</v>
      </c>
    </row>
    <row r="12" spans="1:41" ht="13" x14ac:dyDescent="0.25">
      <c r="A12" s="291"/>
      <c r="B12" s="86">
        <v>9</v>
      </c>
      <c r="C12" s="14" t="s">
        <v>1466</v>
      </c>
      <c r="D12" s="53" t="s">
        <v>8054</v>
      </c>
      <c r="E12" s="61" t="s">
        <v>8053</v>
      </c>
      <c r="F12" s="57" t="s">
        <v>51</v>
      </c>
      <c r="G12" s="10" t="s">
        <v>48</v>
      </c>
      <c r="H12" s="7" t="s">
        <v>5975</v>
      </c>
      <c r="I12" s="7" t="s">
        <v>5975</v>
      </c>
      <c r="J12" s="7">
        <v>27.505037000000002</v>
      </c>
      <c r="K12" s="7">
        <v>41.671334000000002</v>
      </c>
      <c r="L12" s="7" t="str">
        <f t="shared" si="0"/>
        <v>27.505037,41.671334</v>
      </c>
      <c r="M12" s="7" t="s">
        <v>8319</v>
      </c>
      <c r="N12" s="7">
        <v>10041628158</v>
      </c>
      <c r="O12" s="7"/>
      <c r="P12" s="201"/>
      <c r="Q12" s="28" t="s">
        <v>11</v>
      </c>
      <c r="R12" s="28" t="s">
        <v>11</v>
      </c>
      <c r="S12" s="28" t="s">
        <v>11</v>
      </c>
      <c r="T12" s="28" t="s">
        <v>11</v>
      </c>
      <c r="U12" s="28" t="s">
        <v>9</v>
      </c>
      <c r="V12" s="28" t="s">
        <v>9</v>
      </c>
      <c r="W12" s="28" t="s">
        <v>9</v>
      </c>
      <c r="X12" s="28" t="s">
        <v>9</v>
      </c>
      <c r="Y12" s="28" t="s">
        <v>9</v>
      </c>
      <c r="Z12" s="28" t="s">
        <v>9</v>
      </c>
      <c r="AA12" s="28" t="s">
        <v>9</v>
      </c>
      <c r="AB12" s="28" t="s">
        <v>9</v>
      </c>
      <c r="AC12" s="28" t="s">
        <v>9</v>
      </c>
      <c r="AD12" s="28" t="s">
        <v>9</v>
      </c>
      <c r="AE12" s="28" t="s">
        <v>9</v>
      </c>
      <c r="AF12" s="28" t="s">
        <v>10</v>
      </c>
      <c r="AG12" s="24">
        <f t="shared" si="2"/>
        <v>11</v>
      </c>
      <c r="AH12" s="24">
        <f t="shared" si="3"/>
        <v>0</v>
      </c>
      <c r="AI12" s="24">
        <f t="shared" si="1"/>
        <v>4</v>
      </c>
      <c r="AJ12" s="41" t="str" cm="1">
        <f t="array" ref="AJ12">_xlfn.IFS(
$AG12=15,"Not Started",
$AI12&lt;15,"In Progress",
$AI12=15,"Completed",
SUM(AG12:AI12)&gt;15,"Error"
)</f>
        <v>In Progress</v>
      </c>
    </row>
    <row r="13" spans="1:41" ht="13" x14ac:dyDescent="0.25">
      <c r="A13" s="291"/>
      <c r="B13" s="64">
        <v>10</v>
      </c>
      <c r="C13" s="7" t="s">
        <v>1467</v>
      </c>
      <c r="D13" s="53" t="s">
        <v>8056</v>
      </c>
      <c r="E13" s="61" t="s">
        <v>8055</v>
      </c>
      <c r="F13" s="57" t="s">
        <v>47</v>
      </c>
      <c r="G13" s="10" t="s">
        <v>48</v>
      </c>
      <c r="H13" s="7" t="s">
        <v>5975</v>
      </c>
      <c r="I13" s="7" t="s">
        <v>5975</v>
      </c>
      <c r="J13" s="7">
        <v>27.505155129999999</v>
      </c>
      <c r="K13" s="7">
        <v>41.671337100000002</v>
      </c>
      <c r="L13" s="7" t="str">
        <f t="shared" si="0"/>
        <v>27.50515513,41.6713371</v>
      </c>
      <c r="M13" s="7" t="s">
        <v>8320</v>
      </c>
      <c r="N13" s="7">
        <v>10041527478</v>
      </c>
      <c r="O13" s="7"/>
      <c r="P13" s="201">
        <v>46124</v>
      </c>
      <c r="Q13" s="28" t="s">
        <v>11</v>
      </c>
      <c r="R13" s="28" t="s">
        <v>11</v>
      </c>
      <c r="S13" s="28" t="s">
        <v>11</v>
      </c>
      <c r="T13" s="28" t="s">
        <v>11</v>
      </c>
      <c r="U13" s="28" t="s">
        <v>9</v>
      </c>
      <c r="V13" s="28" t="s">
        <v>9</v>
      </c>
      <c r="W13" s="28" t="s">
        <v>9</v>
      </c>
      <c r="X13" s="28" t="s">
        <v>9</v>
      </c>
      <c r="Y13" s="28" t="s">
        <v>9</v>
      </c>
      <c r="Z13" s="28" t="s">
        <v>9</v>
      </c>
      <c r="AA13" s="28" t="s">
        <v>9</v>
      </c>
      <c r="AB13" s="28" t="s">
        <v>9</v>
      </c>
      <c r="AC13" s="28" t="s">
        <v>9</v>
      </c>
      <c r="AD13" s="28" t="s">
        <v>9</v>
      </c>
      <c r="AE13" s="28" t="s">
        <v>9</v>
      </c>
      <c r="AF13" s="28" t="s">
        <v>10</v>
      </c>
      <c r="AG13" s="24">
        <f t="shared" si="2"/>
        <v>11</v>
      </c>
      <c r="AH13" s="24">
        <f t="shared" si="3"/>
        <v>0</v>
      </c>
      <c r="AI13" s="24">
        <f t="shared" si="1"/>
        <v>4</v>
      </c>
      <c r="AJ13" s="41" t="str" cm="1">
        <f t="array" ref="AJ13">_xlfn.IFS(
$AG13=15,"Not Started",
$AI13&lt;15,"In Progress",
$AI13=15,"Completed",
SUM(AG13:AI13)&gt;15,"Error"
)</f>
        <v>In Progress</v>
      </c>
    </row>
    <row r="14" spans="1:41" ht="15.75" customHeight="1" x14ac:dyDescent="0.25">
      <c r="A14" s="291"/>
      <c r="B14" s="86">
        <v>11</v>
      </c>
      <c r="C14" s="14" t="s">
        <v>1468</v>
      </c>
      <c r="D14" s="53" t="s">
        <v>8057</v>
      </c>
      <c r="E14" s="61" t="s">
        <v>3693</v>
      </c>
      <c r="F14" s="57" t="s">
        <v>43</v>
      </c>
      <c r="G14" s="10" t="s">
        <v>44</v>
      </c>
      <c r="H14" s="7" t="s">
        <v>5975</v>
      </c>
      <c r="I14" s="7" t="s">
        <v>5975</v>
      </c>
      <c r="J14" s="7">
        <v>27.493888999999999</v>
      </c>
      <c r="K14" s="7">
        <v>41.688170999999997</v>
      </c>
      <c r="L14" s="7" t="str">
        <f t="shared" si="0"/>
        <v>27.493889,41.688171</v>
      </c>
      <c r="M14" s="7" t="s">
        <v>8321</v>
      </c>
      <c r="N14" s="7">
        <v>10041593581</v>
      </c>
      <c r="O14" s="7"/>
      <c r="P14" s="201"/>
      <c r="Q14" s="28" t="s">
        <v>11</v>
      </c>
      <c r="R14" s="28" t="s">
        <v>11</v>
      </c>
      <c r="S14" s="28" t="s">
        <v>11</v>
      </c>
      <c r="T14" s="28" t="s">
        <v>11</v>
      </c>
      <c r="U14" s="28" t="s">
        <v>9</v>
      </c>
      <c r="V14" s="28" t="s">
        <v>9</v>
      </c>
      <c r="W14" s="28" t="s">
        <v>9</v>
      </c>
      <c r="X14" s="28" t="s">
        <v>9</v>
      </c>
      <c r="Y14" s="28" t="s">
        <v>9</v>
      </c>
      <c r="Z14" s="28" t="s">
        <v>9</v>
      </c>
      <c r="AA14" s="28" t="s">
        <v>9</v>
      </c>
      <c r="AB14" s="28" t="s">
        <v>9</v>
      </c>
      <c r="AC14" s="28" t="s">
        <v>9</v>
      </c>
      <c r="AD14" s="28" t="s">
        <v>9</v>
      </c>
      <c r="AE14" s="28" t="s">
        <v>9</v>
      </c>
      <c r="AF14" s="28" t="s">
        <v>10</v>
      </c>
      <c r="AG14" s="24">
        <f t="shared" si="2"/>
        <v>11</v>
      </c>
      <c r="AH14" s="24">
        <f t="shared" si="3"/>
        <v>0</v>
      </c>
      <c r="AI14" s="24">
        <f t="shared" si="1"/>
        <v>4</v>
      </c>
      <c r="AJ14" s="41" t="str" cm="1">
        <f t="array" ref="AJ14">_xlfn.IFS(
$AG14=15,"Not Started",
$AI14&lt;15,"In Progress",
$AI14=15,"Completed",
SUM(AG14:AI14)&gt;15,"Error"
)</f>
        <v>In Progress</v>
      </c>
    </row>
    <row r="15" spans="1:41" ht="15.75" customHeight="1" x14ac:dyDescent="0.25">
      <c r="A15" s="291"/>
      <c r="B15" s="64">
        <v>12</v>
      </c>
      <c r="C15" s="7" t="s">
        <v>1469</v>
      </c>
      <c r="D15" s="53" t="s">
        <v>8059</v>
      </c>
      <c r="E15" s="61" t="s">
        <v>8058</v>
      </c>
      <c r="F15" s="57" t="s">
        <v>51</v>
      </c>
      <c r="G15" s="10" t="s">
        <v>44</v>
      </c>
      <c r="H15" s="7" t="s">
        <v>5975</v>
      </c>
      <c r="I15" s="7" t="s">
        <v>5975</v>
      </c>
      <c r="J15" s="7">
        <v>27.504295209999999</v>
      </c>
      <c r="K15" s="7">
        <v>41.676179419999997</v>
      </c>
      <c r="L15" s="7" t="str">
        <f t="shared" si="0"/>
        <v>27.50429521,41.67617942</v>
      </c>
      <c r="M15" s="7" t="s">
        <v>8322</v>
      </c>
      <c r="N15" s="7">
        <v>10041969845</v>
      </c>
      <c r="O15" s="7"/>
      <c r="P15" s="201"/>
      <c r="Q15" s="28" t="s">
        <v>11</v>
      </c>
      <c r="R15" s="28" t="s">
        <v>11</v>
      </c>
      <c r="S15" s="28" t="s">
        <v>11</v>
      </c>
      <c r="T15" s="28" t="s">
        <v>11</v>
      </c>
      <c r="U15" s="28" t="s">
        <v>9</v>
      </c>
      <c r="V15" s="28" t="s">
        <v>9</v>
      </c>
      <c r="W15" s="28" t="s">
        <v>9</v>
      </c>
      <c r="X15" s="28" t="s">
        <v>9</v>
      </c>
      <c r="Y15" s="28" t="s">
        <v>9</v>
      </c>
      <c r="Z15" s="28" t="s">
        <v>9</v>
      </c>
      <c r="AA15" s="28" t="s">
        <v>9</v>
      </c>
      <c r="AB15" s="28" t="s">
        <v>9</v>
      </c>
      <c r="AC15" s="28" t="s">
        <v>9</v>
      </c>
      <c r="AD15" s="28" t="s">
        <v>9</v>
      </c>
      <c r="AE15" s="28" t="s">
        <v>9</v>
      </c>
      <c r="AF15" s="28" t="s">
        <v>10</v>
      </c>
      <c r="AG15" s="24">
        <f t="shared" si="2"/>
        <v>11</v>
      </c>
      <c r="AH15" s="24">
        <f t="shared" si="3"/>
        <v>0</v>
      </c>
      <c r="AI15" s="24">
        <f t="shared" si="1"/>
        <v>4</v>
      </c>
      <c r="AJ15" s="41" t="str" cm="1">
        <f t="array" ref="AJ15">_xlfn.IFS(
$AG15=15,"Not Started",
$AI15&lt;15,"In Progress",
$AI15=15,"Completed",
SUM(AG15:AI15)&gt;15,"Error"
)</f>
        <v>In Progress</v>
      </c>
    </row>
    <row r="16" spans="1:41" ht="15.75" customHeight="1" x14ac:dyDescent="0.25">
      <c r="A16" s="291"/>
      <c r="B16" s="86">
        <v>13</v>
      </c>
      <c r="C16" s="14" t="s">
        <v>1470</v>
      </c>
      <c r="D16" s="53" t="s">
        <v>8061</v>
      </c>
      <c r="E16" s="61" t="s">
        <v>8060</v>
      </c>
      <c r="F16" s="57" t="s">
        <v>43</v>
      </c>
      <c r="G16" s="10" t="s">
        <v>48</v>
      </c>
      <c r="H16" s="7" t="s">
        <v>5975</v>
      </c>
      <c r="I16" s="7" t="s">
        <v>5975</v>
      </c>
      <c r="J16" s="7">
        <v>27.497298000000001</v>
      </c>
      <c r="K16" s="7">
        <v>41.688614999999999</v>
      </c>
      <c r="L16" s="7" t="str">
        <f t="shared" si="0"/>
        <v>27.497298,41.688615</v>
      </c>
      <c r="M16" s="7" t="s">
        <v>8323</v>
      </c>
      <c r="N16" s="7">
        <v>10041554009</v>
      </c>
      <c r="O16" s="7"/>
      <c r="P16" s="201"/>
      <c r="Q16" s="28" t="s">
        <v>11</v>
      </c>
      <c r="R16" s="28" t="s">
        <v>11</v>
      </c>
      <c r="S16" s="28" t="s">
        <v>11</v>
      </c>
      <c r="T16" s="28" t="s">
        <v>11</v>
      </c>
      <c r="U16" s="28" t="s">
        <v>9</v>
      </c>
      <c r="V16" s="28" t="s">
        <v>9</v>
      </c>
      <c r="W16" s="28" t="s">
        <v>9</v>
      </c>
      <c r="X16" s="28" t="s">
        <v>9</v>
      </c>
      <c r="Y16" s="28" t="s">
        <v>9</v>
      </c>
      <c r="Z16" s="28" t="s">
        <v>9</v>
      </c>
      <c r="AA16" s="28" t="s">
        <v>9</v>
      </c>
      <c r="AB16" s="28" t="s">
        <v>9</v>
      </c>
      <c r="AC16" s="28" t="s">
        <v>9</v>
      </c>
      <c r="AD16" s="28" t="s">
        <v>9</v>
      </c>
      <c r="AE16" s="28" t="s">
        <v>9</v>
      </c>
      <c r="AF16" s="28" t="s">
        <v>10</v>
      </c>
      <c r="AG16" s="24">
        <f t="shared" si="2"/>
        <v>11</v>
      </c>
      <c r="AH16" s="24">
        <f t="shared" si="3"/>
        <v>0</v>
      </c>
      <c r="AI16" s="24">
        <f t="shared" si="1"/>
        <v>4</v>
      </c>
      <c r="AJ16" s="41" t="str" cm="1">
        <f t="array" ref="AJ16">_xlfn.IFS(
$AG16=15,"Not Started",
$AI16&lt;15,"In Progress",
$AI16=15,"Completed",
SUM(AG16:AI16)&gt;15,"Error"
)</f>
        <v>In Progress</v>
      </c>
    </row>
    <row r="17" spans="1:36" ht="15.75" customHeight="1" x14ac:dyDescent="0.25">
      <c r="A17" s="291"/>
      <c r="B17" s="64">
        <v>14</v>
      </c>
      <c r="C17" s="7" t="s">
        <v>1471</v>
      </c>
      <c r="D17" s="53" t="s">
        <v>8063</v>
      </c>
      <c r="E17" s="61" t="s">
        <v>8062</v>
      </c>
      <c r="F17" s="57" t="s">
        <v>47</v>
      </c>
      <c r="G17" s="10" t="s">
        <v>48</v>
      </c>
      <c r="H17" s="7" t="s">
        <v>5975</v>
      </c>
      <c r="I17" s="7" t="s">
        <v>5975</v>
      </c>
      <c r="J17" s="7">
        <v>27.50480044</v>
      </c>
      <c r="K17" s="7">
        <v>41.676555280000002</v>
      </c>
      <c r="L17" s="7" t="str">
        <f t="shared" si="0"/>
        <v>27.50480044,41.67655528</v>
      </c>
      <c r="M17" s="7" t="s">
        <v>8324</v>
      </c>
      <c r="N17" s="7">
        <v>10041637747</v>
      </c>
      <c r="O17" s="7"/>
      <c r="P17" s="201"/>
      <c r="Q17" s="28" t="s">
        <v>11</v>
      </c>
      <c r="R17" s="28" t="s">
        <v>11</v>
      </c>
      <c r="S17" s="28" t="s">
        <v>11</v>
      </c>
      <c r="T17" s="28" t="s">
        <v>11</v>
      </c>
      <c r="U17" s="28" t="s">
        <v>9</v>
      </c>
      <c r="V17" s="28" t="s">
        <v>9</v>
      </c>
      <c r="W17" s="28" t="s">
        <v>9</v>
      </c>
      <c r="X17" s="28" t="s">
        <v>9</v>
      </c>
      <c r="Y17" s="28" t="s">
        <v>9</v>
      </c>
      <c r="Z17" s="28" t="s">
        <v>9</v>
      </c>
      <c r="AA17" s="28" t="s">
        <v>9</v>
      </c>
      <c r="AB17" s="28" t="s">
        <v>9</v>
      </c>
      <c r="AC17" s="28" t="s">
        <v>9</v>
      </c>
      <c r="AD17" s="28" t="s">
        <v>9</v>
      </c>
      <c r="AE17" s="28" t="s">
        <v>9</v>
      </c>
      <c r="AF17" s="28" t="s">
        <v>10</v>
      </c>
      <c r="AG17" s="24">
        <f t="shared" si="2"/>
        <v>11</v>
      </c>
      <c r="AH17" s="24">
        <f t="shared" si="3"/>
        <v>0</v>
      </c>
      <c r="AI17" s="24">
        <f t="shared" si="1"/>
        <v>4</v>
      </c>
      <c r="AJ17" s="41" t="str" cm="1">
        <f t="array" ref="AJ17">_xlfn.IFS(
$AG17=15,"Not Started",
$AI17&lt;15,"In Progress",
$AI17=15,"Completed",
SUM(AG17:AI17)&gt;15,"Error"
)</f>
        <v>In Progress</v>
      </c>
    </row>
    <row r="18" spans="1:36" ht="15.75" customHeight="1" x14ac:dyDescent="0.25">
      <c r="A18" s="291"/>
      <c r="B18" s="86">
        <v>15</v>
      </c>
      <c r="C18" s="14" t="s">
        <v>1472</v>
      </c>
      <c r="D18" s="53" t="s">
        <v>8064</v>
      </c>
      <c r="E18" s="61" t="s">
        <v>5825</v>
      </c>
      <c r="F18" s="57" t="s">
        <v>43</v>
      </c>
      <c r="G18" s="10" t="s">
        <v>48</v>
      </c>
      <c r="H18" s="7" t="s">
        <v>5975</v>
      </c>
      <c r="I18" s="7" t="s">
        <v>5975</v>
      </c>
      <c r="J18" s="7">
        <v>27.502733030000002</v>
      </c>
      <c r="K18" s="7">
        <v>41.680165529999996</v>
      </c>
      <c r="L18" s="7" t="str">
        <f t="shared" si="0"/>
        <v>27.50273303,41.68016553</v>
      </c>
      <c r="M18" s="7" t="s">
        <v>8325</v>
      </c>
      <c r="N18" s="7">
        <v>10041859306</v>
      </c>
      <c r="O18" s="7"/>
      <c r="P18" s="201"/>
      <c r="Q18" s="28" t="s">
        <v>9</v>
      </c>
      <c r="R18" s="28" t="s">
        <v>9</v>
      </c>
      <c r="S18" s="28" t="s">
        <v>9</v>
      </c>
      <c r="T18" s="28" t="s">
        <v>9</v>
      </c>
      <c r="U18" s="28" t="s">
        <v>9</v>
      </c>
      <c r="V18" s="28" t="s">
        <v>9</v>
      </c>
      <c r="W18" s="28" t="s">
        <v>9</v>
      </c>
      <c r="X18" s="28" t="s">
        <v>9</v>
      </c>
      <c r="Y18" s="28" t="s">
        <v>9</v>
      </c>
      <c r="Z18" s="28" t="s">
        <v>9</v>
      </c>
      <c r="AA18" s="28" t="s">
        <v>9</v>
      </c>
      <c r="AB18" s="28" t="s">
        <v>9</v>
      </c>
      <c r="AC18" s="28" t="s">
        <v>9</v>
      </c>
      <c r="AD18" s="28" t="s">
        <v>9</v>
      </c>
      <c r="AE18" s="28" t="s">
        <v>9</v>
      </c>
      <c r="AF18" s="28" t="s">
        <v>9</v>
      </c>
      <c r="AG18" s="24">
        <f t="shared" si="2"/>
        <v>15</v>
      </c>
      <c r="AH18" s="24">
        <f t="shared" si="3"/>
        <v>0</v>
      </c>
      <c r="AI18" s="24">
        <f t="shared" si="1"/>
        <v>0</v>
      </c>
      <c r="AJ18" s="41" t="str" cm="1">
        <f t="array" ref="AJ18">_xlfn.IFS(
$AG18=15,"Not Started",
$AI18&lt;15,"In Progress",
$AI18=15,"Completed",
SUM(AG18:AI18)&gt;15,"Error"
)</f>
        <v>Not Started</v>
      </c>
    </row>
    <row r="19" spans="1:36" ht="15.75" customHeight="1" x14ac:dyDescent="0.25">
      <c r="A19" s="291"/>
      <c r="B19" s="64">
        <v>16</v>
      </c>
      <c r="C19" s="7" t="s">
        <v>1473</v>
      </c>
      <c r="D19" s="53" t="s">
        <v>8066</v>
      </c>
      <c r="E19" s="61" t="s">
        <v>8065</v>
      </c>
      <c r="F19" s="57" t="s">
        <v>43</v>
      </c>
      <c r="G19" s="10" t="s">
        <v>48</v>
      </c>
      <c r="H19" s="7" t="s">
        <v>5975</v>
      </c>
      <c r="I19" s="7" t="s">
        <v>5975</v>
      </c>
      <c r="J19" s="7">
        <v>27.491009999999999</v>
      </c>
      <c r="K19" s="7">
        <v>41.693972000000002</v>
      </c>
      <c r="L19" s="7" t="str">
        <f t="shared" si="0"/>
        <v>27.49101,41.693972</v>
      </c>
      <c r="M19" s="7" t="s">
        <v>8326</v>
      </c>
      <c r="N19" s="7">
        <v>10041648796</v>
      </c>
      <c r="O19" s="7"/>
      <c r="P19" s="201"/>
      <c r="Q19" s="28" t="s">
        <v>11</v>
      </c>
      <c r="R19" s="28" t="s">
        <v>11</v>
      </c>
      <c r="S19" s="28" t="s">
        <v>11</v>
      </c>
      <c r="T19" s="28" t="s">
        <v>11</v>
      </c>
      <c r="U19" s="28" t="s">
        <v>9</v>
      </c>
      <c r="V19" s="28" t="s">
        <v>9</v>
      </c>
      <c r="W19" s="28" t="s">
        <v>9</v>
      </c>
      <c r="X19" s="28" t="s">
        <v>9</v>
      </c>
      <c r="Y19" s="28" t="s">
        <v>9</v>
      </c>
      <c r="Z19" s="28" t="s">
        <v>9</v>
      </c>
      <c r="AA19" s="28" t="s">
        <v>9</v>
      </c>
      <c r="AB19" s="28" t="s">
        <v>9</v>
      </c>
      <c r="AC19" s="28" t="s">
        <v>9</v>
      </c>
      <c r="AD19" s="28" t="s">
        <v>9</v>
      </c>
      <c r="AE19" s="28" t="s">
        <v>9</v>
      </c>
      <c r="AF19" s="28" t="s">
        <v>10</v>
      </c>
      <c r="AG19" s="24">
        <f t="shared" si="2"/>
        <v>11</v>
      </c>
      <c r="AH19" s="24">
        <f t="shared" si="3"/>
        <v>0</v>
      </c>
      <c r="AI19" s="24">
        <f t="shared" si="1"/>
        <v>4</v>
      </c>
      <c r="AJ19" s="41" t="str" cm="1">
        <f t="array" ref="AJ19">_xlfn.IFS(
$AG19=15,"Not Started",
$AI19&lt;15,"In Progress",
$AI19=15,"Completed",
SUM(AG19:AI19)&gt;15,"Error"
)</f>
        <v>In Progress</v>
      </c>
    </row>
    <row r="20" spans="1:36" ht="15.75" customHeight="1" x14ac:dyDescent="0.25">
      <c r="A20" s="291"/>
      <c r="B20" s="86">
        <v>17</v>
      </c>
      <c r="C20" s="14" t="s">
        <v>1474</v>
      </c>
      <c r="D20" s="53" t="s">
        <v>5831</v>
      </c>
      <c r="E20" s="61" t="s">
        <v>5830</v>
      </c>
      <c r="F20" s="57" t="s">
        <v>47</v>
      </c>
      <c r="G20" s="10" t="s">
        <v>48</v>
      </c>
      <c r="H20" s="7" t="s">
        <v>5975</v>
      </c>
      <c r="I20" s="7" t="s">
        <v>5975</v>
      </c>
      <c r="J20" s="7">
        <v>27.502545999999999</v>
      </c>
      <c r="K20" s="7">
        <v>41.680776000000002</v>
      </c>
      <c r="L20" s="7" t="str">
        <f t="shared" si="0"/>
        <v>27.502546,41.680776</v>
      </c>
      <c r="M20" s="7" t="s">
        <v>5924</v>
      </c>
      <c r="N20" s="7">
        <v>10041481047</v>
      </c>
      <c r="O20" s="7"/>
      <c r="P20" s="201"/>
      <c r="Q20" s="28" t="s">
        <v>9</v>
      </c>
      <c r="R20" s="28" t="s">
        <v>9</v>
      </c>
      <c r="S20" s="28" t="s">
        <v>9</v>
      </c>
      <c r="T20" s="28" t="s">
        <v>9</v>
      </c>
      <c r="U20" s="28" t="s">
        <v>9</v>
      </c>
      <c r="V20" s="28" t="s">
        <v>9</v>
      </c>
      <c r="W20" s="28" t="s">
        <v>9</v>
      </c>
      <c r="X20" s="28" t="s">
        <v>9</v>
      </c>
      <c r="Y20" s="28" t="s">
        <v>9</v>
      </c>
      <c r="Z20" s="28" t="s">
        <v>9</v>
      </c>
      <c r="AA20" s="28" t="s">
        <v>9</v>
      </c>
      <c r="AB20" s="28" t="s">
        <v>9</v>
      </c>
      <c r="AC20" s="28" t="s">
        <v>9</v>
      </c>
      <c r="AD20" s="28" t="s">
        <v>9</v>
      </c>
      <c r="AE20" s="28" t="s">
        <v>9</v>
      </c>
      <c r="AF20" s="28" t="s">
        <v>9</v>
      </c>
      <c r="AG20" s="24">
        <f t="shared" si="2"/>
        <v>15</v>
      </c>
      <c r="AH20" s="24">
        <f t="shared" si="3"/>
        <v>0</v>
      </c>
      <c r="AI20" s="24">
        <f t="shared" si="1"/>
        <v>0</v>
      </c>
      <c r="AJ20" s="41" t="str" cm="1">
        <f t="array" ref="AJ20">_xlfn.IFS(
$AG20=15,"Not Started",
$AI20&lt;15,"In Progress",
$AI20=15,"Completed",
SUM(AG20:AI20)&gt;15,"Error"
)</f>
        <v>Not Started</v>
      </c>
    </row>
    <row r="21" spans="1:36" ht="13" x14ac:dyDescent="0.25">
      <c r="A21" s="291"/>
      <c r="B21" s="64">
        <v>18</v>
      </c>
      <c r="C21" s="7" t="s">
        <v>1475</v>
      </c>
      <c r="D21" s="53" t="s">
        <v>8068</v>
      </c>
      <c r="E21" s="61" t="s">
        <v>8067</v>
      </c>
      <c r="F21" s="57" t="s">
        <v>51</v>
      </c>
      <c r="G21" s="10" t="s">
        <v>48</v>
      </c>
      <c r="H21" s="7" t="s">
        <v>5975</v>
      </c>
      <c r="I21" s="7" t="s">
        <v>5975</v>
      </c>
      <c r="J21" s="7">
        <v>27.491700680000001</v>
      </c>
      <c r="K21" s="7">
        <v>41.693643569999999</v>
      </c>
      <c r="L21" s="7" t="str">
        <f t="shared" si="0"/>
        <v>27.49170068,41.69364357</v>
      </c>
      <c r="M21" s="7" t="s">
        <v>8327</v>
      </c>
      <c r="N21" s="7">
        <v>10041497806</v>
      </c>
      <c r="O21" s="7"/>
      <c r="P21" s="201"/>
      <c r="Q21" s="28" t="s">
        <v>11</v>
      </c>
      <c r="R21" s="28" t="s">
        <v>11</v>
      </c>
      <c r="S21" s="28" t="s">
        <v>11</v>
      </c>
      <c r="T21" s="28" t="s">
        <v>11</v>
      </c>
      <c r="U21" s="28" t="s">
        <v>9</v>
      </c>
      <c r="V21" s="28" t="s">
        <v>9</v>
      </c>
      <c r="W21" s="28" t="s">
        <v>9</v>
      </c>
      <c r="X21" s="28" t="s">
        <v>9</v>
      </c>
      <c r="Y21" s="28" t="s">
        <v>9</v>
      </c>
      <c r="Z21" s="28" t="s">
        <v>9</v>
      </c>
      <c r="AA21" s="28" t="s">
        <v>9</v>
      </c>
      <c r="AB21" s="28" t="s">
        <v>9</v>
      </c>
      <c r="AC21" s="28" t="s">
        <v>9</v>
      </c>
      <c r="AD21" s="28" t="s">
        <v>9</v>
      </c>
      <c r="AE21" s="28" t="s">
        <v>9</v>
      </c>
      <c r="AF21" s="28" t="s">
        <v>10</v>
      </c>
      <c r="AG21" s="24">
        <f t="shared" si="2"/>
        <v>11</v>
      </c>
      <c r="AH21" s="24">
        <f t="shared" si="3"/>
        <v>0</v>
      </c>
      <c r="AI21" s="24">
        <f t="shared" si="1"/>
        <v>4</v>
      </c>
      <c r="AJ21" s="41" t="str" cm="1">
        <f t="array" ref="AJ21">_xlfn.IFS(
$AG21=15,"Not Started",
$AI21&lt;15,"In Progress",
$AI21=15,"Completed",
SUM(AG21:AI21)&gt;15,"Error"
)</f>
        <v>In Progress</v>
      </c>
    </row>
    <row r="22" spans="1:36" ht="13" x14ac:dyDescent="0.25">
      <c r="A22" s="291"/>
      <c r="B22" s="86">
        <v>19</v>
      </c>
      <c r="C22" s="14" t="s">
        <v>1476</v>
      </c>
      <c r="D22" s="53" t="s">
        <v>5833</v>
      </c>
      <c r="E22" s="61" t="s">
        <v>5832</v>
      </c>
      <c r="F22" s="57" t="s">
        <v>47</v>
      </c>
      <c r="G22" s="10" t="s">
        <v>48</v>
      </c>
      <c r="H22" s="7" t="s">
        <v>5975</v>
      </c>
      <c r="I22" s="7" t="s">
        <v>5975</v>
      </c>
      <c r="J22" s="7">
        <v>27.491546</v>
      </c>
      <c r="K22" s="7">
        <v>41.693247999999997</v>
      </c>
      <c r="L22" s="7" t="str">
        <f t="shared" si="0"/>
        <v>27.491546,41.693248</v>
      </c>
      <c r="M22" s="7" t="s">
        <v>5925</v>
      </c>
      <c r="N22" s="7">
        <v>10041666506</v>
      </c>
      <c r="O22" s="7"/>
      <c r="P22" s="201"/>
      <c r="Q22" s="28" t="s">
        <v>11</v>
      </c>
      <c r="R22" s="28" t="s">
        <v>11</v>
      </c>
      <c r="S22" s="28" t="s">
        <v>11</v>
      </c>
      <c r="T22" s="28" t="s">
        <v>11</v>
      </c>
      <c r="U22" s="28" t="s">
        <v>9</v>
      </c>
      <c r="V22" s="28" t="s">
        <v>9</v>
      </c>
      <c r="W22" s="28" t="s">
        <v>9</v>
      </c>
      <c r="X22" s="28" t="s">
        <v>9</v>
      </c>
      <c r="Y22" s="28" t="s">
        <v>9</v>
      </c>
      <c r="Z22" s="28" t="s">
        <v>9</v>
      </c>
      <c r="AA22" s="28" t="s">
        <v>9</v>
      </c>
      <c r="AB22" s="28" t="s">
        <v>9</v>
      </c>
      <c r="AC22" s="28" t="s">
        <v>9</v>
      </c>
      <c r="AD22" s="28" t="s">
        <v>9</v>
      </c>
      <c r="AE22" s="28" t="s">
        <v>9</v>
      </c>
      <c r="AF22" s="28" t="s">
        <v>10</v>
      </c>
      <c r="AG22" s="24">
        <f t="shared" si="2"/>
        <v>11</v>
      </c>
      <c r="AH22" s="24">
        <f t="shared" si="3"/>
        <v>0</v>
      </c>
      <c r="AI22" s="24">
        <f t="shared" si="1"/>
        <v>4</v>
      </c>
      <c r="AJ22" s="41" t="str" cm="1">
        <f t="array" ref="AJ22">_xlfn.IFS(
$AG22=15,"Not Started",
$AI22&lt;15,"In Progress",
$AI22=15,"Completed",
SUM(AG22:AI22)&gt;15,"Error"
)</f>
        <v>In Progress</v>
      </c>
    </row>
    <row r="23" spans="1:36" ht="13" x14ac:dyDescent="0.25">
      <c r="A23" s="291"/>
      <c r="B23" s="64">
        <v>20</v>
      </c>
      <c r="C23" s="7" t="s">
        <v>1477</v>
      </c>
      <c r="D23" s="53" t="s">
        <v>8070</v>
      </c>
      <c r="E23" s="61" t="s">
        <v>8069</v>
      </c>
      <c r="F23" s="57" t="s">
        <v>47</v>
      </c>
      <c r="G23" s="10" t="s">
        <v>44</v>
      </c>
      <c r="H23" s="7" t="s">
        <v>5975</v>
      </c>
      <c r="I23" s="7" t="s">
        <v>5975</v>
      </c>
      <c r="J23" s="7">
        <v>27.507041999999998</v>
      </c>
      <c r="K23" s="7">
        <v>41.678201000000001</v>
      </c>
      <c r="L23" s="7" t="str">
        <f t="shared" si="0"/>
        <v>27.507042,41.678201</v>
      </c>
      <c r="M23" s="7" t="s">
        <v>8328</v>
      </c>
      <c r="N23" s="7">
        <v>10041527342</v>
      </c>
      <c r="O23" s="7"/>
      <c r="P23" s="201"/>
      <c r="Q23" s="28" t="s">
        <v>11</v>
      </c>
      <c r="R23" s="28" t="s">
        <v>11</v>
      </c>
      <c r="S23" s="28" t="s">
        <v>11</v>
      </c>
      <c r="T23" s="28" t="s">
        <v>11</v>
      </c>
      <c r="U23" s="28" t="s">
        <v>9</v>
      </c>
      <c r="V23" s="28" t="s">
        <v>9</v>
      </c>
      <c r="W23" s="28" t="s">
        <v>9</v>
      </c>
      <c r="X23" s="28" t="s">
        <v>9</v>
      </c>
      <c r="Y23" s="28" t="s">
        <v>9</v>
      </c>
      <c r="Z23" s="28" t="s">
        <v>9</v>
      </c>
      <c r="AA23" s="28" t="s">
        <v>9</v>
      </c>
      <c r="AB23" s="28" t="s">
        <v>9</v>
      </c>
      <c r="AC23" s="28" t="s">
        <v>9</v>
      </c>
      <c r="AD23" s="28" t="s">
        <v>9</v>
      </c>
      <c r="AE23" s="28" t="s">
        <v>9</v>
      </c>
      <c r="AF23" s="28" t="s">
        <v>10</v>
      </c>
      <c r="AG23" s="24">
        <f t="shared" si="2"/>
        <v>11</v>
      </c>
      <c r="AH23" s="24">
        <f t="shared" si="3"/>
        <v>0</v>
      </c>
      <c r="AI23" s="24">
        <f t="shared" si="1"/>
        <v>4</v>
      </c>
      <c r="AJ23" s="41" t="str" cm="1">
        <f t="array" ref="AJ23">_xlfn.IFS(
$AG23=15,"Not Started",
$AI23&lt;15,"In Progress",
$AI23=15,"Completed",
SUM(AG23:AI23)&gt;15,"Error"
)</f>
        <v>In Progress</v>
      </c>
    </row>
    <row r="24" spans="1:36" ht="13" x14ac:dyDescent="0.25">
      <c r="A24" s="291"/>
      <c r="B24" s="86">
        <v>21</v>
      </c>
      <c r="C24" s="14" t="s">
        <v>1478</v>
      </c>
      <c r="D24" s="53" t="s">
        <v>8072</v>
      </c>
      <c r="E24" s="61" t="s">
        <v>8071</v>
      </c>
      <c r="F24" s="57" t="s">
        <v>43</v>
      </c>
      <c r="G24" s="10" t="s">
        <v>44</v>
      </c>
      <c r="H24" s="7" t="s">
        <v>5975</v>
      </c>
      <c r="I24" s="7" t="s">
        <v>5975</v>
      </c>
      <c r="J24" s="7">
        <v>27.503675149999999</v>
      </c>
      <c r="K24" s="7">
        <v>41.684038639999997</v>
      </c>
      <c r="L24" s="7" t="str">
        <f t="shared" si="0"/>
        <v>27.50367515,41.68403864</v>
      </c>
      <c r="M24" s="7" t="s">
        <v>8329</v>
      </c>
      <c r="N24" s="7">
        <v>10041586648</v>
      </c>
      <c r="O24" s="7"/>
      <c r="P24" s="201"/>
      <c r="Q24" s="28" t="s">
        <v>11</v>
      </c>
      <c r="R24" s="28" t="s">
        <v>11</v>
      </c>
      <c r="S24" s="28" t="s">
        <v>11</v>
      </c>
      <c r="T24" s="28" t="s">
        <v>11</v>
      </c>
      <c r="U24" s="28" t="s">
        <v>9</v>
      </c>
      <c r="V24" s="28" t="s">
        <v>9</v>
      </c>
      <c r="W24" s="28" t="s">
        <v>9</v>
      </c>
      <c r="X24" s="28" t="s">
        <v>9</v>
      </c>
      <c r="Y24" s="28" t="s">
        <v>9</v>
      </c>
      <c r="Z24" s="28" t="s">
        <v>9</v>
      </c>
      <c r="AA24" s="28" t="s">
        <v>9</v>
      </c>
      <c r="AB24" s="28" t="s">
        <v>9</v>
      </c>
      <c r="AC24" s="28" t="s">
        <v>9</v>
      </c>
      <c r="AD24" s="28" t="s">
        <v>9</v>
      </c>
      <c r="AE24" s="28" t="s">
        <v>9</v>
      </c>
      <c r="AF24" s="28" t="s">
        <v>10</v>
      </c>
      <c r="AG24" s="24">
        <f t="shared" si="2"/>
        <v>11</v>
      </c>
      <c r="AH24" s="24">
        <f t="shared" si="3"/>
        <v>0</v>
      </c>
      <c r="AI24" s="24">
        <f t="shared" si="1"/>
        <v>4</v>
      </c>
      <c r="AJ24" s="41" t="str" cm="1">
        <f t="array" ref="AJ24">_xlfn.IFS(
$AG24=15,"Not Started",
$AI24&lt;15,"In Progress",
$AI24=15,"Completed",
SUM(AG24:AI24)&gt;15,"Error"
)</f>
        <v>In Progress</v>
      </c>
    </row>
    <row r="25" spans="1:36" ht="13" x14ac:dyDescent="0.25">
      <c r="A25" s="291"/>
      <c r="B25" s="64">
        <v>22</v>
      </c>
      <c r="C25" s="7" t="s">
        <v>1479</v>
      </c>
      <c r="D25" s="53" t="s">
        <v>8074</v>
      </c>
      <c r="E25" s="61" t="s">
        <v>8073</v>
      </c>
      <c r="F25" s="57" t="s">
        <v>43</v>
      </c>
      <c r="G25" s="10" t="s">
        <v>48</v>
      </c>
      <c r="H25" s="7" t="s">
        <v>5975</v>
      </c>
      <c r="I25" s="7" t="s">
        <v>5975</v>
      </c>
      <c r="J25" s="7">
        <v>27.495355230000001</v>
      </c>
      <c r="K25" s="7">
        <v>41.694603860000001</v>
      </c>
      <c r="L25" s="7" t="str">
        <f t="shared" si="0"/>
        <v>27.49535523,41.69460386</v>
      </c>
      <c r="M25" s="7" t="s">
        <v>8330</v>
      </c>
      <c r="N25" s="7">
        <v>10041638619</v>
      </c>
      <c r="O25" s="7"/>
      <c r="P25" s="201"/>
      <c r="Q25" s="28" t="s">
        <v>11</v>
      </c>
      <c r="R25" s="28" t="s">
        <v>11</v>
      </c>
      <c r="S25" s="28" t="s">
        <v>11</v>
      </c>
      <c r="T25" s="28" t="s">
        <v>11</v>
      </c>
      <c r="U25" s="28" t="s">
        <v>9</v>
      </c>
      <c r="V25" s="28" t="s">
        <v>9</v>
      </c>
      <c r="W25" s="28" t="s">
        <v>9</v>
      </c>
      <c r="X25" s="28" t="s">
        <v>9</v>
      </c>
      <c r="Y25" s="28" t="s">
        <v>9</v>
      </c>
      <c r="Z25" s="28" t="s">
        <v>9</v>
      </c>
      <c r="AA25" s="28" t="s">
        <v>9</v>
      </c>
      <c r="AB25" s="28" t="s">
        <v>9</v>
      </c>
      <c r="AC25" s="28" t="s">
        <v>9</v>
      </c>
      <c r="AD25" s="28" t="s">
        <v>9</v>
      </c>
      <c r="AE25" s="28" t="s">
        <v>9</v>
      </c>
      <c r="AF25" s="28" t="s">
        <v>10</v>
      </c>
      <c r="AG25" s="24">
        <f t="shared" si="2"/>
        <v>11</v>
      </c>
      <c r="AH25" s="24">
        <f t="shared" si="3"/>
        <v>0</v>
      </c>
      <c r="AI25" s="24">
        <f t="shared" si="1"/>
        <v>4</v>
      </c>
      <c r="AJ25" s="41" t="str" cm="1">
        <f t="array" ref="AJ25">_xlfn.IFS(
$AG25=15,"Not Started",
$AI25&lt;15,"In Progress",
$AI25=15,"Completed",
SUM(AG25:AI25)&gt;15,"Error"
)</f>
        <v>In Progress</v>
      </c>
    </row>
    <row r="26" spans="1:36" ht="13" x14ac:dyDescent="0.25">
      <c r="A26" s="291"/>
      <c r="B26" s="86">
        <v>23</v>
      </c>
      <c r="C26" s="14" t="s">
        <v>1480</v>
      </c>
      <c r="D26" s="53" t="s">
        <v>5835</v>
      </c>
      <c r="E26" s="61" t="s">
        <v>5834</v>
      </c>
      <c r="F26" s="57" t="s">
        <v>47</v>
      </c>
      <c r="G26" s="10" t="s">
        <v>48</v>
      </c>
      <c r="H26" s="7" t="s">
        <v>5975</v>
      </c>
      <c r="I26" s="7" t="s">
        <v>5975</v>
      </c>
      <c r="J26" s="7">
        <v>27.501548240000002</v>
      </c>
      <c r="K26" s="7">
        <v>41.687807139999997</v>
      </c>
      <c r="L26" s="7" t="str">
        <f t="shared" si="0"/>
        <v>27.50154824,41.68780714</v>
      </c>
      <c r="M26" s="7" t="s">
        <v>5926</v>
      </c>
      <c r="N26" s="7">
        <v>10041907252</v>
      </c>
      <c r="O26" s="7"/>
      <c r="P26" s="201"/>
      <c r="Q26" s="28" t="s">
        <v>11</v>
      </c>
      <c r="R26" s="28" t="s">
        <v>11</v>
      </c>
      <c r="S26" s="28" t="s">
        <v>11</v>
      </c>
      <c r="T26" s="28" t="s">
        <v>11</v>
      </c>
      <c r="U26" s="28" t="s">
        <v>9</v>
      </c>
      <c r="V26" s="28" t="s">
        <v>9</v>
      </c>
      <c r="W26" s="28" t="s">
        <v>9</v>
      </c>
      <c r="X26" s="28" t="s">
        <v>9</v>
      </c>
      <c r="Y26" s="28" t="s">
        <v>9</v>
      </c>
      <c r="Z26" s="28" t="s">
        <v>9</v>
      </c>
      <c r="AA26" s="28" t="s">
        <v>9</v>
      </c>
      <c r="AB26" s="28" t="s">
        <v>9</v>
      </c>
      <c r="AC26" s="28" t="s">
        <v>9</v>
      </c>
      <c r="AD26" s="28" t="s">
        <v>9</v>
      </c>
      <c r="AE26" s="28" t="s">
        <v>9</v>
      </c>
      <c r="AF26" s="28" t="s">
        <v>10</v>
      </c>
      <c r="AG26" s="24">
        <f t="shared" si="2"/>
        <v>11</v>
      </c>
      <c r="AH26" s="24">
        <f t="shared" si="3"/>
        <v>0</v>
      </c>
      <c r="AI26" s="24">
        <f t="shared" si="1"/>
        <v>4</v>
      </c>
      <c r="AJ26" s="41" t="str" cm="1">
        <f t="array" ref="AJ26">_xlfn.IFS(
$AG26=15,"Not Started",
$AI26&lt;15,"In Progress",
$AI26=15,"Completed",
SUM(AG26:AI26)&gt;15,"Error"
)</f>
        <v>In Progress</v>
      </c>
    </row>
    <row r="27" spans="1:36" ht="13" x14ac:dyDescent="0.25">
      <c r="A27" s="291"/>
      <c r="B27" s="64">
        <v>24</v>
      </c>
      <c r="C27" s="7" t="s">
        <v>1481</v>
      </c>
      <c r="D27" s="53" t="s">
        <v>8076</v>
      </c>
      <c r="E27" s="61" t="s">
        <v>8075</v>
      </c>
      <c r="F27" s="57" t="s">
        <v>47</v>
      </c>
      <c r="G27" s="10" t="s">
        <v>44</v>
      </c>
      <c r="H27" s="7" t="s">
        <v>5975</v>
      </c>
      <c r="I27" s="7" t="s">
        <v>5975</v>
      </c>
      <c r="J27" s="7">
        <v>27.493493999999998</v>
      </c>
      <c r="K27" s="7">
        <v>41.696785800000001</v>
      </c>
      <c r="L27" s="7" t="str">
        <f t="shared" si="0"/>
        <v>27.493494,41.6967858</v>
      </c>
      <c r="M27" s="7" t="s">
        <v>8331</v>
      </c>
      <c r="N27" s="7">
        <v>10041497950</v>
      </c>
      <c r="O27" s="7"/>
      <c r="P27" s="201"/>
      <c r="Q27" s="28" t="s">
        <v>11</v>
      </c>
      <c r="R27" s="28" t="s">
        <v>11</v>
      </c>
      <c r="S27" s="28" t="s">
        <v>11</v>
      </c>
      <c r="T27" s="28" t="s">
        <v>11</v>
      </c>
      <c r="U27" s="28" t="s">
        <v>9</v>
      </c>
      <c r="V27" s="28" t="s">
        <v>9</v>
      </c>
      <c r="W27" s="28" t="s">
        <v>9</v>
      </c>
      <c r="X27" s="28" t="s">
        <v>9</v>
      </c>
      <c r="Y27" s="28" t="s">
        <v>9</v>
      </c>
      <c r="Z27" s="28" t="s">
        <v>9</v>
      </c>
      <c r="AA27" s="28" t="s">
        <v>9</v>
      </c>
      <c r="AB27" s="28" t="s">
        <v>9</v>
      </c>
      <c r="AC27" s="28" t="s">
        <v>9</v>
      </c>
      <c r="AD27" s="28" t="s">
        <v>9</v>
      </c>
      <c r="AE27" s="28" t="s">
        <v>9</v>
      </c>
      <c r="AF27" s="28" t="s">
        <v>10</v>
      </c>
      <c r="AG27" s="24">
        <f t="shared" si="2"/>
        <v>11</v>
      </c>
      <c r="AH27" s="24">
        <f t="shared" si="3"/>
        <v>0</v>
      </c>
      <c r="AI27" s="24">
        <f t="shared" si="1"/>
        <v>4</v>
      </c>
      <c r="AJ27" s="41" t="str" cm="1">
        <f t="array" ref="AJ27">_xlfn.IFS(
$AG27=15,"Not Started",
$AI27&lt;15,"In Progress",
$AI27=15,"Completed",
SUM(AG27:AI27)&gt;15,"Error"
)</f>
        <v>In Progress</v>
      </c>
    </row>
    <row r="28" spans="1:36" ht="13" x14ac:dyDescent="0.25">
      <c r="A28" s="291"/>
      <c r="B28" s="86">
        <v>25</v>
      </c>
      <c r="C28" s="14" t="s">
        <v>1482</v>
      </c>
      <c r="D28" s="53" t="s">
        <v>5475</v>
      </c>
      <c r="E28" s="61" t="s">
        <v>7735</v>
      </c>
      <c r="F28" s="57" t="s">
        <v>51</v>
      </c>
      <c r="G28" s="10" t="s">
        <v>48</v>
      </c>
      <c r="H28" s="7" t="s">
        <v>5975</v>
      </c>
      <c r="I28" s="7" t="s">
        <v>5975</v>
      </c>
      <c r="J28" s="7">
        <v>27.501868000000002</v>
      </c>
      <c r="K28" s="7">
        <v>41.687860999999998</v>
      </c>
      <c r="L28" s="7" t="str">
        <f t="shared" si="0"/>
        <v>27.501868,41.687861</v>
      </c>
      <c r="M28" s="7" t="s">
        <v>8332</v>
      </c>
      <c r="N28" s="7">
        <v>10041427795</v>
      </c>
      <c r="O28" s="7"/>
      <c r="P28" s="201"/>
      <c r="Q28" s="28" t="s">
        <v>11</v>
      </c>
      <c r="R28" s="28" t="s">
        <v>11</v>
      </c>
      <c r="S28" s="28" t="s">
        <v>11</v>
      </c>
      <c r="T28" s="28" t="s">
        <v>11</v>
      </c>
      <c r="U28" s="28" t="s">
        <v>9</v>
      </c>
      <c r="V28" s="28" t="s">
        <v>9</v>
      </c>
      <c r="W28" s="28" t="s">
        <v>9</v>
      </c>
      <c r="X28" s="28" t="s">
        <v>9</v>
      </c>
      <c r="Y28" s="28" t="s">
        <v>9</v>
      </c>
      <c r="Z28" s="28" t="s">
        <v>9</v>
      </c>
      <c r="AA28" s="28" t="s">
        <v>9</v>
      </c>
      <c r="AB28" s="28" t="s">
        <v>9</v>
      </c>
      <c r="AC28" s="28" t="s">
        <v>9</v>
      </c>
      <c r="AD28" s="28" t="s">
        <v>9</v>
      </c>
      <c r="AE28" s="28" t="s">
        <v>9</v>
      </c>
      <c r="AF28" s="28" t="s">
        <v>10</v>
      </c>
      <c r="AG28" s="24">
        <f t="shared" si="2"/>
        <v>11</v>
      </c>
      <c r="AH28" s="24">
        <f t="shared" si="3"/>
        <v>0</v>
      </c>
      <c r="AI28" s="24">
        <f t="shared" si="1"/>
        <v>4</v>
      </c>
      <c r="AJ28" s="41" t="str" cm="1">
        <f t="array" ref="AJ28">_xlfn.IFS(
$AG28=15,"Not Started",
$AI28&lt;15,"In Progress",
$AI28=15,"Completed",
SUM(AG28:AI28)&gt;15,"Error"
)</f>
        <v>In Progress</v>
      </c>
    </row>
    <row r="29" spans="1:36" ht="13" x14ac:dyDescent="0.25">
      <c r="A29" s="291"/>
      <c r="B29" s="64">
        <v>26</v>
      </c>
      <c r="C29" s="7" t="s">
        <v>1483</v>
      </c>
      <c r="D29" s="53" t="s">
        <v>5837</v>
      </c>
      <c r="E29" s="61" t="s">
        <v>5836</v>
      </c>
      <c r="F29" s="57" t="s">
        <v>43</v>
      </c>
      <c r="G29" s="10" t="s">
        <v>48</v>
      </c>
      <c r="H29" s="7" t="s">
        <v>5975</v>
      </c>
      <c r="I29" s="7" t="s">
        <v>5975</v>
      </c>
      <c r="J29" s="7">
        <v>27.501657680000001</v>
      </c>
      <c r="K29" s="7">
        <v>41.688426730000003</v>
      </c>
      <c r="L29" s="7" t="str">
        <f t="shared" si="0"/>
        <v>27.50165768,41.68842673</v>
      </c>
      <c r="M29" s="7" t="s">
        <v>5927</v>
      </c>
      <c r="N29" s="7">
        <v>10041413904</v>
      </c>
      <c r="O29" s="7"/>
      <c r="P29" s="201"/>
      <c r="Q29" s="28" t="s">
        <v>11</v>
      </c>
      <c r="R29" s="28" t="s">
        <v>11</v>
      </c>
      <c r="S29" s="28" t="s">
        <v>11</v>
      </c>
      <c r="T29" s="28" t="s">
        <v>11</v>
      </c>
      <c r="U29" s="28" t="s">
        <v>9</v>
      </c>
      <c r="V29" s="28" t="s">
        <v>9</v>
      </c>
      <c r="W29" s="28" t="s">
        <v>9</v>
      </c>
      <c r="X29" s="28" t="s">
        <v>9</v>
      </c>
      <c r="Y29" s="28" t="s">
        <v>9</v>
      </c>
      <c r="Z29" s="28" t="s">
        <v>9</v>
      </c>
      <c r="AA29" s="28" t="s">
        <v>9</v>
      </c>
      <c r="AB29" s="28" t="s">
        <v>9</v>
      </c>
      <c r="AC29" s="28" t="s">
        <v>9</v>
      </c>
      <c r="AD29" s="28" t="s">
        <v>9</v>
      </c>
      <c r="AE29" s="28" t="s">
        <v>9</v>
      </c>
      <c r="AF29" s="28" t="s">
        <v>10</v>
      </c>
      <c r="AG29" s="24">
        <f t="shared" si="2"/>
        <v>11</v>
      </c>
      <c r="AH29" s="24">
        <f t="shared" si="3"/>
        <v>0</v>
      </c>
      <c r="AI29" s="24">
        <f t="shared" si="1"/>
        <v>4</v>
      </c>
      <c r="AJ29" s="41" t="str" cm="1">
        <f t="array" ref="AJ29">_xlfn.IFS(
$AG29=15,"Not Started",
$AI29&lt;15,"In Progress",
$AI29=15,"Completed",
SUM(AG29:AI29)&gt;15,"Error"
)</f>
        <v>In Progress</v>
      </c>
    </row>
    <row r="30" spans="1:36" ht="13" x14ac:dyDescent="0.25">
      <c r="A30" s="291"/>
      <c r="B30" s="86">
        <v>27</v>
      </c>
      <c r="C30" s="14" t="s">
        <v>1484</v>
      </c>
      <c r="D30" s="53" t="s">
        <v>8078</v>
      </c>
      <c r="E30" s="61" t="s">
        <v>8077</v>
      </c>
      <c r="F30" s="57" t="s">
        <v>47</v>
      </c>
      <c r="G30" s="10" t="s">
        <v>44</v>
      </c>
      <c r="H30" s="7" t="s">
        <v>5975</v>
      </c>
      <c r="I30" s="7" t="s">
        <v>5975</v>
      </c>
      <c r="J30" s="7">
        <v>27.500599999999999</v>
      </c>
      <c r="K30" s="7">
        <v>41.690902000000001</v>
      </c>
      <c r="L30" s="7" t="str">
        <f t="shared" si="0"/>
        <v>27.5006,41.690902</v>
      </c>
      <c r="M30" s="7" t="s">
        <v>8333</v>
      </c>
      <c r="N30" s="7">
        <v>10041591862</v>
      </c>
      <c r="O30" s="7"/>
      <c r="P30" s="201"/>
      <c r="Q30" s="28" t="s">
        <v>11</v>
      </c>
      <c r="R30" s="28" t="s">
        <v>11</v>
      </c>
      <c r="S30" s="28" t="s">
        <v>11</v>
      </c>
      <c r="T30" s="28" t="s">
        <v>11</v>
      </c>
      <c r="U30" s="28" t="s">
        <v>9</v>
      </c>
      <c r="V30" s="28" t="s">
        <v>9</v>
      </c>
      <c r="W30" s="28" t="s">
        <v>9</v>
      </c>
      <c r="X30" s="28" t="s">
        <v>9</v>
      </c>
      <c r="Y30" s="28" t="s">
        <v>9</v>
      </c>
      <c r="Z30" s="28" t="s">
        <v>9</v>
      </c>
      <c r="AA30" s="28" t="s">
        <v>9</v>
      </c>
      <c r="AB30" s="28" t="s">
        <v>9</v>
      </c>
      <c r="AC30" s="28" t="s">
        <v>9</v>
      </c>
      <c r="AD30" s="28" t="s">
        <v>9</v>
      </c>
      <c r="AE30" s="28" t="s">
        <v>9</v>
      </c>
      <c r="AF30" s="28" t="s">
        <v>10</v>
      </c>
      <c r="AG30" s="24">
        <f t="shared" si="2"/>
        <v>11</v>
      </c>
      <c r="AH30" s="24">
        <f t="shared" si="3"/>
        <v>0</v>
      </c>
      <c r="AI30" s="24">
        <f t="shared" si="1"/>
        <v>4</v>
      </c>
      <c r="AJ30" s="41" t="str" cm="1">
        <f t="array" ref="AJ30">_xlfn.IFS(
$AG30=15,"Not Started",
$AI30&lt;15,"In Progress",
$AI30=15,"Completed",
SUM(AG30:AI30)&gt;15,"Error"
)</f>
        <v>In Progress</v>
      </c>
    </row>
    <row r="31" spans="1:36" ht="13" x14ac:dyDescent="0.25">
      <c r="A31" s="291"/>
      <c r="B31" s="64">
        <v>28</v>
      </c>
      <c r="C31" s="7" t="s">
        <v>1485</v>
      </c>
      <c r="D31" s="53" t="s">
        <v>5839</v>
      </c>
      <c r="E31" s="61" t="s">
        <v>5838</v>
      </c>
      <c r="F31" s="57" t="s">
        <v>9671</v>
      </c>
      <c r="G31" s="10" t="s">
        <v>44</v>
      </c>
      <c r="H31" s="7" t="s">
        <v>5975</v>
      </c>
      <c r="I31" s="7" t="s">
        <v>5975</v>
      </c>
      <c r="J31" s="7">
        <v>27.499271</v>
      </c>
      <c r="K31" s="7">
        <v>41.693674000000001</v>
      </c>
      <c r="L31" s="7" t="str">
        <f t="shared" si="0"/>
        <v>27.499271,41.693674</v>
      </c>
      <c r="M31" s="7" t="s">
        <v>5928</v>
      </c>
      <c r="N31" s="7">
        <v>10041426107</v>
      </c>
      <c r="O31" s="7"/>
      <c r="P31" s="201"/>
      <c r="Q31" s="28" t="s">
        <v>11</v>
      </c>
      <c r="R31" s="28" t="s">
        <v>11</v>
      </c>
      <c r="S31" s="28" t="s">
        <v>11</v>
      </c>
      <c r="T31" s="28" t="s">
        <v>11</v>
      </c>
      <c r="U31" s="28" t="s">
        <v>9</v>
      </c>
      <c r="V31" s="28" t="s">
        <v>9</v>
      </c>
      <c r="W31" s="28" t="s">
        <v>9</v>
      </c>
      <c r="X31" s="28" t="s">
        <v>9</v>
      </c>
      <c r="Y31" s="28" t="s">
        <v>9</v>
      </c>
      <c r="Z31" s="28" t="s">
        <v>9</v>
      </c>
      <c r="AA31" s="28" t="s">
        <v>9</v>
      </c>
      <c r="AB31" s="28" t="s">
        <v>9</v>
      </c>
      <c r="AC31" s="28" t="s">
        <v>9</v>
      </c>
      <c r="AD31" s="28" t="s">
        <v>9</v>
      </c>
      <c r="AE31" s="28" t="s">
        <v>9</v>
      </c>
      <c r="AF31" s="28" t="s">
        <v>10</v>
      </c>
      <c r="AG31" s="24">
        <f t="shared" si="2"/>
        <v>11</v>
      </c>
      <c r="AH31" s="24">
        <f t="shared" si="3"/>
        <v>0</v>
      </c>
      <c r="AI31" s="24">
        <f t="shared" si="1"/>
        <v>4</v>
      </c>
      <c r="AJ31" s="41" t="str" cm="1">
        <f t="array" ref="AJ31">_xlfn.IFS(
$AG31=15,"Not Started",
$AI31&lt;15,"In Progress",
$AI31=15,"Completed",
SUM(AG31:AI31)&gt;15,"Error"
)</f>
        <v>In Progress</v>
      </c>
    </row>
    <row r="32" spans="1:36" ht="13" x14ac:dyDescent="0.25">
      <c r="A32" s="291"/>
      <c r="B32" s="86">
        <v>29</v>
      </c>
      <c r="C32" s="14" t="s">
        <v>1486</v>
      </c>
      <c r="D32" s="53" t="s">
        <v>5841</v>
      </c>
      <c r="E32" s="61" t="s">
        <v>5840</v>
      </c>
      <c r="F32" s="57" t="s">
        <v>43</v>
      </c>
      <c r="G32" s="10" t="s">
        <v>48</v>
      </c>
      <c r="H32" s="7" t="s">
        <v>5975</v>
      </c>
      <c r="I32" s="7" t="s">
        <v>5975</v>
      </c>
      <c r="J32" s="7">
        <v>27.51560791</v>
      </c>
      <c r="K32" s="7">
        <v>41.66793466</v>
      </c>
      <c r="L32" s="7" t="str">
        <f t="shared" si="0"/>
        <v>27.51560791,41.66793466</v>
      </c>
      <c r="M32" s="7" t="s">
        <v>5929</v>
      </c>
      <c r="N32" s="7">
        <v>10041556513</v>
      </c>
      <c r="O32" s="7"/>
      <c r="P32" s="201"/>
      <c r="Q32" s="28" t="s">
        <v>9</v>
      </c>
      <c r="R32" s="28" t="s">
        <v>9</v>
      </c>
      <c r="S32" s="28" t="s">
        <v>9</v>
      </c>
      <c r="T32" s="28" t="s">
        <v>9</v>
      </c>
      <c r="U32" s="28" t="s">
        <v>9</v>
      </c>
      <c r="V32" s="28" t="s">
        <v>9</v>
      </c>
      <c r="W32" s="28" t="s">
        <v>9</v>
      </c>
      <c r="X32" s="28" t="s">
        <v>9</v>
      </c>
      <c r="Y32" s="28" t="s">
        <v>9</v>
      </c>
      <c r="Z32" s="28" t="s">
        <v>9</v>
      </c>
      <c r="AA32" s="28" t="s">
        <v>9</v>
      </c>
      <c r="AB32" s="28" t="s">
        <v>9</v>
      </c>
      <c r="AC32" s="28" t="s">
        <v>9</v>
      </c>
      <c r="AD32" s="28" t="s">
        <v>9</v>
      </c>
      <c r="AE32" s="28" t="s">
        <v>9</v>
      </c>
      <c r="AF32" s="28" t="s">
        <v>9</v>
      </c>
      <c r="AG32" s="24">
        <f t="shared" si="2"/>
        <v>15</v>
      </c>
      <c r="AH32" s="24">
        <f t="shared" si="3"/>
        <v>0</v>
      </c>
      <c r="AI32" s="24">
        <f t="shared" si="1"/>
        <v>0</v>
      </c>
      <c r="AJ32" s="41" t="str" cm="1">
        <f t="array" ref="AJ32">_xlfn.IFS(
$AG32=15,"Not Started",
$AI32&lt;15,"In Progress",
$AI32=15,"Completed",
SUM(AG32:AI32)&gt;15,"Error"
)</f>
        <v>Not Started</v>
      </c>
    </row>
    <row r="33" spans="1:36" ht="13" x14ac:dyDescent="0.25">
      <c r="A33" s="291"/>
      <c r="B33" s="64">
        <v>30</v>
      </c>
      <c r="C33" s="7" t="s">
        <v>1487</v>
      </c>
      <c r="D33" s="53" t="s">
        <v>8080</v>
      </c>
      <c r="E33" s="61" t="s">
        <v>8079</v>
      </c>
      <c r="F33" s="57" t="s">
        <v>9670</v>
      </c>
      <c r="G33" s="10" t="s">
        <v>48</v>
      </c>
      <c r="H33" s="7" t="s">
        <v>5975</v>
      </c>
      <c r="I33" s="7" t="s">
        <v>5975</v>
      </c>
      <c r="J33" s="7">
        <v>27.51560791</v>
      </c>
      <c r="K33" s="7">
        <v>41.66793466</v>
      </c>
      <c r="L33" s="7" t="str">
        <f t="shared" si="0"/>
        <v>27.51560791,41.66793466</v>
      </c>
      <c r="M33" s="7" t="s">
        <v>8334</v>
      </c>
      <c r="N33" s="7">
        <v>30073750764</v>
      </c>
      <c r="O33" s="7"/>
      <c r="P33" s="201"/>
      <c r="Q33" s="28" t="s">
        <v>9</v>
      </c>
      <c r="R33" s="28" t="s">
        <v>9</v>
      </c>
      <c r="S33" s="28" t="s">
        <v>9</v>
      </c>
      <c r="T33" s="28" t="s">
        <v>9</v>
      </c>
      <c r="U33" s="28" t="s">
        <v>9</v>
      </c>
      <c r="V33" s="28" t="s">
        <v>9</v>
      </c>
      <c r="W33" s="28" t="s">
        <v>9</v>
      </c>
      <c r="X33" s="28" t="s">
        <v>9</v>
      </c>
      <c r="Y33" s="28" t="s">
        <v>9</v>
      </c>
      <c r="Z33" s="28" t="s">
        <v>9</v>
      </c>
      <c r="AA33" s="28" t="s">
        <v>9</v>
      </c>
      <c r="AB33" s="28" t="s">
        <v>9</v>
      </c>
      <c r="AC33" s="28" t="s">
        <v>9</v>
      </c>
      <c r="AD33" s="28" t="s">
        <v>9</v>
      </c>
      <c r="AE33" s="28" t="s">
        <v>9</v>
      </c>
      <c r="AF33" s="28" t="s">
        <v>9</v>
      </c>
      <c r="AG33" s="24">
        <f t="shared" si="2"/>
        <v>15</v>
      </c>
      <c r="AH33" s="24">
        <f t="shared" si="3"/>
        <v>0</v>
      </c>
      <c r="AI33" s="24">
        <f t="shared" si="1"/>
        <v>0</v>
      </c>
      <c r="AJ33" s="41" t="str" cm="1">
        <f t="array" ref="AJ33">_xlfn.IFS(
$AG33=15,"Not Started",
$AI33&lt;15,"In Progress",
$AI33=15,"Completed",
SUM(AG33:AI33)&gt;15,"Error"
)</f>
        <v>Not Started</v>
      </c>
    </row>
    <row r="34" spans="1:36" ht="13" x14ac:dyDescent="0.25">
      <c r="A34" s="291"/>
      <c r="B34" s="86">
        <v>31</v>
      </c>
      <c r="C34" s="14" t="s">
        <v>1488</v>
      </c>
      <c r="D34" s="53" t="s">
        <v>5843</v>
      </c>
      <c r="E34" s="61" t="s">
        <v>5842</v>
      </c>
      <c r="F34" s="57" t="s">
        <v>51</v>
      </c>
      <c r="G34" s="10" t="s">
        <v>48</v>
      </c>
      <c r="H34" s="7" t="s">
        <v>5975</v>
      </c>
      <c r="I34" s="7" t="s">
        <v>5975</v>
      </c>
      <c r="J34" s="7">
        <v>27.507882429999999</v>
      </c>
      <c r="K34" s="7">
        <v>41.68322963</v>
      </c>
      <c r="L34" s="7" t="str">
        <f t="shared" si="0"/>
        <v>27.50788243,41.68322963</v>
      </c>
      <c r="M34" s="7" t="s">
        <v>5930</v>
      </c>
      <c r="N34" s="7">
        <v>10041568327</v>
      </c>
      <c r="O34" s="7"/>
      <c r="P34" s="201">
        <v>46124</v>
      </c>
      <c r="Q34" s="28" t="s">
        <v>11</v>
      </c>
      <c r="R34" s="28" t="s">
        <v>11</v>
      </c>
      <c r="S34" s="28" t="s">
        <v>11</v>
      </c>
      <c r="T34" s="28" t="s">
        <v>11</v>
      </c>
      <c r="U34" s="28" t="s">
        <v>9</v>
      </c>
      <c r="V34" s="28" t="s">
        <v>9</v>
      </c>
      <c r="W34" s="28" t="s">
        <v>9</v>
      </c>
      <c r="X34" s="28" t="s">
        <v>9</v>
      </c>
      <c r="Y34" s="28" t="s">
        <v>9</v>
      </c>
      <c r="Z34" s="28" t="s">
        <v>9</v>
      </c>
      <c r="AA34" s="28" t="s">
        <v>9</v>
      </c>
      <c r="AB34" s="28" t="s">
        <v>9</v>
      </c>
      <c r="AC34" s="28" t="s">
        <v>9</v>
      </c>
      <c r="AD34" s="28" t="s">
        <v>9</v>
      </c>
      <c r="AE34" s="28" t="s">
        <v>9</v>
      </c>
      <c r="AF34" s="28" t="s">
        <v>10</v>
      </c>
      <c r="AG34" s="24">
        <f t="shared" si="2"/>
        <v>11</v>
      </c>
      <c r="AH34" s="24">
        <f t="shared" si="3"/>
        <v>0</v>
      </c>
      <c r="AI34" s="24">
        <f t="shared" si="1"/>
        <v>4</v>
      </c>
      <c r="AJ34" s="41" t="str" cm="1">
        <f t="array" ref="AJ34">_xlfn.IFS(
$AG34=15,"Not Started",
$AI34&lt;15,"In Progress",
$AI34=15,"Completed",
SUM(AG34:AI34)&gt;15,"Error"
)</f>
        <v>In Progress</v>
      </c>
    </row>
    <row r="35" spans="1:36" ht="13" x14ac:dyDescent="0.25">
      <c r="A35" s="291"/>
      <c r="B35" s="64">
        <v>32</v>
      </c>
      <c r="C35" s="7" t="s">
        <v>1489</v>
      </c>
      <c r="D35" s="53" t="s">
        <v>5845</v>
      </c>
      <c r="E35" s="61" t="s">
        <v>5844</v>
      </c>
      <c r="F35" s="57" t="s">
        <v>43</v>
      </c>
      <c r="G35" s="10" t="s">
        <v>48</v>
      </c>
      <c r="H35" s="7" t="s">
        <v>5975</v>
      </c>
      <c r="I35" s="7" t="s">
        <v>5975</v>
      </c>
      <c r="J35" s="7">
        <v>27.508004970000002</v>
      </c>
      <c r="K35" s="7">
        <v>41.683550480000001</v>
      </c>
      <c r="L35" s="7" t="str">
        <f t="shared" si="0"/>
        <v>27.50800497,41.68355048</v>
      </c>
      <c r="M35" s="7" t="s">
        <v>5931</v>
      </c>
      <c r="N35" s="7">
        <v>10041664978</v>
      </c>
      <c r="O35" s="7"/>
      <c r="P35" s="201">
        <v>46126</v>
      </c>
      <c r="Q35" s="28" t="s">
        <v>11</v>
      </c>
      <c r="R35" s="28" t="s">
        <v>11</v>
      </c>
      <c r="S35" s="28" t="s">
        <v>11</v>
      </c>
      <c r="T35" s="28" t="s">
        <v>11</v>
      </c>
      <c r="U35" s="28" t="s">
        <v>10</v>
      </c>
      <c r="V35" s="28" t="s">
        <v>11</v>
      </c>
      <c r="W35" s="28" t="s">
        <v>9</v>
      </c>
      <c r="X35" s="28" t="s">
        <v>9</v>
      </c>
      <c r="Y35" s="28" t="s">
        <v>9</v>
      </c>
      <c r="Z35" s="28" t="s">
        <v>9</v>
      </c>
      <c r="AA35" s="28" t="s">
        <v>9</v>
      </c>
      <c r="AB35" s="28" t="s">
        <v>9</v>
      </c>
      <c r="AC35" s="28" t="s">
        <v>9</v>
      </c>
      <c r="AD35" s="28" t="s">
        <v>9</v>
      </c>
      <c r="AE35" s="28" t="s">
        <v>9</v>
      </c>
      <c r="AF35" s="28" t="s">
        <v>10</v>
      </c>
      <c r="AG35" s="24">
        <f t="shared" si="2"/>
        <v>9</v>
      </c>
      <c r="AH35" s="24">
        <f t="shared" si="3"/>
        <v>1</v>
      </c>
      <c r="AI35" s="24">
        <f t="shared" si="1"/>
        <v>5</v>
      </c>
      <c r="AJ35" s="41" t="str" cm="1">
        <f t="array" ref="AJ35">_xlfn.IFS(
$AG35=15,"Not Started",
$AI35&lt;15,"In Progress",
$AI35=15,"Completed",
SUM(AG35:AI35)&gt;15,"Error"
)</f>
        <v>In Progress</v>
      </c>
    </row>
    <row r="36" spans="1:36" ht="13" x14ac:dyDescent="0.25">
      <c r="A36" s="291"/>
      <c r="B36" s="86">
        <v>33</v>
      </c>
      <c r="C36" s="14" t="s">
        <v>1490</v>
      </c>
      <c r="D36" s="53" t="s">
        <v>5847</v>
      </c>
      <c r="E36" s="61" t="s">
        <v>5846</v>
      </c>
      <c r="F36" s="57" t="s">
        <v>51</v>
      </c>
      <c r="G36" s="10" t="s">
        <v>48</v>
      </c>
      <c r="H36" s="7" t="s">
        <v>5975</v>
      </c>
      <c r="I36" s="7" t="s">
        <v>5975</v>
      </c>
      <c r="J36" s="7">
        <v>27.516222800000001</v>
      </c>
      <c r="K36" s="7">
        <v>41.667739650000001</v>
      </c>
      <c r="L36" s="7" t="str">
        <f t="shared" si="0"/>
        <v>27.5162228,41.66773965</v>
      </c>
      <c r="M36" s="7" t="s">
        <v>5932</v>
      </c>
      <c r="N36" s="7">
        <v>10041795460</v>
      </c>
      <c r="O36" s="7"/>
      <c r="P36" s="201"/>
      <c r="Q36" s="28" t="s">
        <v>9</v>
      </c>
      <c r="R36" s="28" t="s">
        <v>9</v>
      </c>
      <c r="S36" s="28" t="s">
        <v>9</v>
      </c>
      <c r="T36" s="28" t="s">
        <v>9</v>
      </c>
      <c r="U36" s="28" t="s">
        <v>9</v>
      </c>
      <c r="V36" s="28" t="s">
        <v>9</v>
      </c>
      <c r="W36" s="28" t="s">
        <v>9</v>
      </c>
      <c r="X36" s="28" t="s">
        <v>9</v>
      </c>
      <c r="Y36" s="28" t="s">
        <v>9</v>
      </c>
      <c r="Z36" s="28" t="s">
        <v>9</v>
      </c>
      <c r="AA36" s="28" t="s">
        <v>9</v>
      </c>
      <c r="AB36" s="28" t="s">
        <v>9</v>
      </c>
      <c r="AC36" s="28" t="s">
        <v>9</v>
      </c>
      <c r="AD36" s="28" t="s">
        <v>9</v>
      </c>
      <c r="AE36" s="28" t="s">
        <v>9</v>
      </c>
      <c r="AF36" s="28" t="s">
        <v>9</v>
      </c>
      <c r="AG36" s="24">
        <f t="shared" si="2"/>
        <v>15</v>
      </c>
      <c r="AH36" s="24">
        <f t="shared" si="3"/>
        <v>0</v>
      </c>
      <c r="AI36" s="24">
        <f t="shared" si="1"/>
        <v>0</v>
      </c>
      <c r="AJ36" s="41" t="str" cm="1">
        <f t="array" ref="AJ36">_xlfn.IFS(
$AG36=15,"Not Started",
$AI36&lt;15,"In Progress",
$AI36=15,"Completed",
SUM(AG36:AI36)&gt;15,"Error"
)</f>
        <v>Not Started</v>
      </c>
    </row>
    <row r="37" spans="1:36" ht="13" x14ac:dyDescent="0.25">
      <c r="A37" s="291"/>
      <c r="B37" s="64">
        <v>34</v>
      </c>
      <c r="C37" s="7" t="s">
        <v>1491</v>
      </c>
      <c r="D37" s="53" t="s">
        <v>8082</v>
      </c>
      <c r="E37" s="61" t="s">
        <v>8081</v>
      </c>
      <c r="F37" s="57" t="s">
        <v>47</v>
      </c>
      <c r="G37" s="10" t="s">
        <v>44</v>
      </c>
      <c r="H37" s="7" t="s">
        <v>5975</v>
      </c>
      <c r="I37" s="7" t="s">
        <v>5975</v>
      </c>
      <c r="J37" s="7">
        <v>27.484729000000002</v>
      </c>
      <c r="K37" s="7">
        <v>41.707832000000003</v>
      </c>
      <c r="L37" s="7" t="str">
        <f t="shared" si="0"/>
        <v>27.484729,41.707832</v>
      </c>
      <c r="M37" s="7" t="s">
        <v>8335</v>
      </c>
      <c r="N37" s="7">
        <v>10041586254</v>
      </c>
      <c r="O37" s="7"/>
      <c r="P37" s="201"/>
      <c r="Q37" s="28" t="s">
        <v>11</v>
      </c>
      <c r="R37" s="28" t="s">
        <v>11</v>
      </c>
      <c r="S37" s="28" t="s">
        <v>11</v>
      </c>
      <c r="T37" s="28" t="s">
        <v>11</v>
      </c>
      <c r="U37" s="28" t="s">
        <v>9</v>
      </c>
      <c r="V37" s="28" t="s">
        <v>9</v>
      </c>
      <c r="W37" s="28" t="s">
        <v>9</v>
      </c>
      <c r="X37" s="28" t="s">
        <v>9</v>
      </c>
      <c r="Y37" s="28" t="s">
        <v>9</v>
      </c>
      <c r="Z37" s="28" t="s">
        <v>9</v>
      </c>
      <c r="AA37" s="28" t="s">
        <v>9</v>
      </c>
      <c r="AB37" s="28" t="s">
        <v>9</v>
      </c>
      <c r="AC37" s="28" t="s">
        <v>9</v>
      </c>
      <c r="AD37" s="28" t="s">
        <v>9</v>
      </c>
      <c r="AE37" s="28" t="s">
        <v>9</v>
      </c>
      <c r="AF37" s="28" t="s">
        <v>10</v>
      </c>
      <c r="AG37" s="24">
        <f t="shared" si="2"/>
        <v>11</v>
      </c>
      <c r="AH37" s="24">
        <f t="shared" si="3"/>
        <v>0</v>
      </c>
      <c r="AI37" s="24">
        <f t="shared" si="1"/>
        <v>4</v>
      </c>
      <c r="AJ37" s="41" t="str" cm="1">
        <f t="array" ref="AJ37">_xlfn.IFS(
$AG37=15,"Not Started",
$AI37&lt;15,"In Progress",
$AI37=15,"Completed",
SUM(AG37:AI37)&gt;15,"Error"
)</f>
        <v>In Progress</v>
      </c>
    </row>
    <row r="38" spans="1:36" ht="13" x14ac:dyDescent="0.25">
      <c r="A38" s="291"/>
      <c r="B38" s="86">
        <v>35</v>
      </c>
      <c r="C38" s="14" t="s">
        <v>1492</v>
      </c>
      <c r="D38" s="53" t="s">
        <v>8084</v>
      </c>
      <c r="E38" s="61" t="s">
        <v>8083</v>
      </c>
      <c r="F38" s="57" t="s">
        <v>51</v>
      </c>
      <c r="G38" s="10" t="s">
        <v>44</v>
      </c>
      <c r="H38" s="7" t="s">
        <v>5975</v>
      </c>
      <c r="I38" s="7" t="s">
        <v>5975</v>
      </c>
      <c r="J38" s="7">
        <v>27.506437810000001</v>
      </c>
      <c r="K38" s="7">
        <v>41.687685780000002</v>
      </c>
      <c r="L38" s="7" t="str">
        <f t="shared" si="0"/>
        <v>27.50643781,41.68768578</v>
      </c>
      <c r="M38" s="7" t="s">
        <v>8336</v>
      </c>
      <c r="N38" s="7">
        <v>10041586371</v>
      </c>
      <c r="O38" s="7"/>
      <c r="P38" s="201"/>
      <c r="Q38" s="28" t="s">
        <v>11</v>
      </c>
      <c r="R38" s="28" t="s">
        <v>11</v>
      </c>
      <c r="S38" s="28" t="s">
        <v>11</v>
      </c>
      <c r="T38" s="28" t="s">
        <v>11</v>
      </c>
      <c r="U38" s="28" t="s">
        <v>9</v>
      </c>
      <c r="V38" s="28" t="s">
        <v>9</v>
      </c>
      <c r="W38" s="28" t="s">
        <v>9</v>
      </c>
      <c r="X38" s="28" t="s">
        <v>9</v>
      </c>
      <c r="Y38" s="28" t="s">
        <v>9</v>
      </c>
      <c r="Z38" s="28" t="s">
        <v>9</v>
      </c>
      <c r="AA38" s="28" t="s">
        <v>9</v>
      </c>
      <c r="AB38" s="28" t="s">
        <v>9</v>
      </c>
      <c r="AC38" s="28" t="s">
        <v>9</v>
      </c>
      <c r="AD38" s="28" t="s">
        <v>9</v>
      </c>
      <c r="AE38" s="28" t="s">
        <v>9</v>
      </c>
      <c r="AF38" s="28" t="s">
        <v>10</v>
      </c>
      <c r="AG38" s="24">
        <f t="shared" si="2"/>
        <v>11</v>
      </c>
      <c r="AH38" s="24">
        <f t="shared" si="3"/>
        <v>0</v>
      </c>
      <c r="AI38" s="24">
        <f t="shared" si="1"/>
        <v>4</v>
      </c>
      <c r="AJ38" s="41" t="str" cm="1">
        <f t="array" ref="AJ38">_xlfn.IFS(
$AG38=15,"Not Started",
$AI38&lt;15,"In Progress",
$AI38=15,"Completed",
SUM(AG38:AI38)&gt;15,"Error"
)</f>
        <v>In Progress</v>
      </c>
    </row>
    <row r="39" spans="1:36" ht="13" x14ac:dyDescent="0.25">
      <c r="A39" s="291"/>
      <c r="B39" s="64">
        <v>36</v>
      </c>
      <c r="C39" s="7" t="s">
        <v>1493</v>
      </c>
      <c r="D39" s="53" t="s">
        <v>5824</v>
      </c>
      <c r="E39" s="61" t="s">
        <v>3821</v>
      </c>
      <c r="F39" s="57" t="s">
        <v>47</v>
      </c>
      <c r="G39" s="10" t="s">
        <v>48</v>
      </c>
      <c r="H39" s="7" t="s">
        <v>5975</v>
      </c>
      <c r="I39" s="7" t="s">
        <v>5975</v>
      </c>
      <c r="J39" s="7">
        <v>27.508244000000001</v>
      </c>
      <c r="K39" s="7">
        <v>41.682921</v>
      </c>
      <c r="L39" s="7" t="str">
        <f t="shared" si="0"/>
        <v>27.508244,41.682921</v>
      </c>
      <c r="M39" s="7" t="s">
        <v>8337</v>
      </c>
      <c r="N39" s="7">
        <v>10041526828</v>
      </c>
      <c r="O39" s="7"/>
      <c r="P39" s="201">
        <v>46127</v>
      </c>
      <c r="Q39" s="28" t="s">
        <v>11</v>
      </c>
      <c r="R39" s="28" t="s">
        <v>11</v>
      </c>
      <c r="S39" s="28" t="s">
        <v>11</v>
      </c>
      <c r="T39" s="28" t="s">
        <v>11</v>
      </c>
      <c r="U39" s="28" t="s">
        <v>10</v>
      </c>
      <c r="V39" s="28" t="s">
        <v>11</v>
      </c>
      <c r="W39" s="28" t="s">
        <v>9</v>
      </c>
      <c r="X39" s="28" t="s">
        <v>9</v>
      </c>
      <c r="Y39" s="28" t="s">
        <v>9</v>
      </c>
      <c r="Z39" s="28" t="s">
        <v>9</v>
      </c>
      <c r="AA39" s="28" t="s">
        <v>9</v>
      </c>
      <c r="AB39" s="28" t="s">
        <v>9</v>
      </c>
      <c r="AC39" s="28" t="s">
        <v>9</v>
      </c>
      <c r="AD39" s="28" t="s">
        <v>9</v>
      </c>
      <c r="AE39" s="28" t="s">
        <v>9</v>
      </c>
      <c r="AF39" s="28" t="s">
        <v>10</v>
      </c>
      <c r="AG39" s="24">
        <f t="shared" si="2"/>
        <v>9</v>
      </c>
      <c r="AH39" s="24">
        <f t="shared" si="3"/>
        <v>1</v>
      </c>
      <c r="AI39" s="24">
        <f t="shared" si="1"/>
        <v>5</v>
      </c>
      <c r="AJ39" s="41" t="str" cm="1">
        <f t="array" ref="AJ39">_xlfn.IFS(
$AG39=15,"Not Started",
$AI39&lt;15,"In Progress",
$AI39=15,"Completed",
SUM(AG39:AI39)&gt;15,"Error"
)</f>
        <v>In Progress</v>
      </c>
    </row>
    <row r="40" spans="1:36" ht="13" x14ac:dyDescent="0.25">
      <c r="A40" s="291"/>
      <c r="B40" s="86">
        <v>37</v>
      </c>
      <c r="C40" s="14" t="s">
        <v>1494</v>
      </c>
      <c r="D40" s="53" t="s">
        <v>5849</v>
      </c>
      <c r="E40" s="61" t="s">
        <v>5848</v>
      </c>
      <c r="F40" s="57" t="s">
        <v>9671</v>
      </c>
      <c r="G40" s="10" t="s">
        <v>48</v>
      </c>
      <c r="H40" s="7" t="s">
        <v>5975</v>
      </c>
      <c r="I40" s="7" t="s">
        <v>5975</v>
      </c>
      <c r="J40" s="7">
        <v>27.48894159</v>
      </c>
      <c r="K40" s="7">
        <v>41.706975839999998</v>
      </c>
      <c r="L40" s="7" t="str">
        <f t="shared" si="0"/>
        <v>27.48894159,41.70697584</v>
      </c>
      <c r="M40" s="7" t="s">
        <v>5933</v>
      </c>
      <c r="N40" s="7">
        <v>10041320609</v>
      </c>
      <c r="O40" s="7"/>
      <c r="P40" s="202">
        <v>45779</v>
      </c>
      <c r="Q40" s="28" t="s">
        <v>11</v>
      </c>
      <c r="R40" s="28" t="s">
        <v>11</v>
      </c>
      <c r="S40" s="28" t="s">
        <v>11</v>
      </c>
      <c r="T40" s="28" t="s">
        <v>11</v>
      </c>
      <c r="U40" s="28" t="s">
        <v>9</v>
      </c>
      <c r="V40" s="28" t="s">
        <v>9</v>
      </c>
      <c r="W40" s="28" t="s">
        <v>9</v>
      </c>
      <c r="X40" s="28" t="s">
        <v>9</v>
      </c>
      <c r="Y40" s="28" t="s">
        <v>9</v>
      </c>
      <c r="Z40" s="28" t="s">
        <v>9</v>
      </c>
      <c r="AA40" s="28" t="s">
        <v>9</v>
      </c>
      <c r="AB40" s="28" t="s">
        <v>9</v>
      </c>
      <c r="AC40" s="28" t="s">
        <v>9</v>
      </c>
      <c r="AD40" s="28" t="s">
        <v>9</v>
      </c>
      <c r="AE40" s="28" t="s">
        <v>9</v>
      </c>
      <c r="AF40" s="28" t="s">
        <v>10</v>
      </c>
      <c r="AG40" s="24">
        <f t="shared" si="2"/>
        <v>11</v>
      </c>
      <c r="AH40" s="24">
        <f t="shared" si="3"/>
        <v>0</v>
      </c>
      <c r="AI40" s="24">
        <f t="shared" si="1"/>
        <v>4</v>
      </c>
      <c r="AJ40" s="41" t="str" cm="1">
        <f t="array" ref="AJ40">_xlfn.IFS(
$AG40=15,"Not Started",
$AI40&lt;15,"In Progress",
$AI40=15,"Completed",
SUM(AG40:AI40)&gt;15,"Error"
)</f>
        <v>In Progress</v>
      </c>
    </row>
    <row r="41" spans="1:36" ht="13" x14ac:dyDescent="0.25">
      <c r="A41" s="291"/>
      <c r="B41" s="64">
        <v>38</v>
      </c>
      <c r="C41" s="7" t="s">
        <v>1495</v>
      </c>
      <c r="D41" s="53" t="s">
        <v>8086</v>
      </c>
      <c r="E41" s="61" t="s">
        <v>8085</v>
      </c>
      <c r="F41" s="57" t="s">
        <v>43</v>
      </c>
      <c r="G41" s="10" t="s">
        <v>44</v>
      </c>
      <c r="H41" s="7" t="s">
        <v>5975</v>
      </c>
      <c r="I41" s="7" t="s">
        <v>5975</v>
      </c>
      <c r="J41" s="7">
        <v>27.523229359999998</v>
      </c>
      <c r="K41" s="7">
        <v>41.650736330000001</v>
      </c>
      <c r="L41" s="7" t="str">
        <f t="shared" si="0"/>
        <v>27.52322936,41.65073633</v>
      </c>
      <c r="M41" s="7" t="s">
        <v>8338</v>
      </c>
      <c r="N41" s="7">
        <v>10041526695</v>
      </c>
      <c r="O41" s="7"/>
      <c r="P41" s="201"/>
      <c r="Q41" s="28" t="s">
        <v>9</v>
      </c>
      <c r="R41" s="28" t="s">
        <v>9</v>
      </c>
      <c r="S41" s="28" t="s">
        <v>9</v>
      </c>
      <c r="T41" s="28" t="s">
        <v>9</v>
      </c>
      <c r="U41" s="28" t="s">
        <v>9</v>
      </c>
      <c r="V41" s="28" t="s">
        <v>9</v>
      </c>
      <c r="W41" s="28" t="s">
        <v>9</v>
      </c>
      <c r="X41" s="28" t="s">
        <v>9</v>
      </c>
      <c r="Y41" s="28" t="s">
        <v>9</v>
      </c>
      <c r="Z41" s="28" t="s">
        <v>9</v>
      </c>
      <c r="AA41" s="28" t="s">
        <v>9</v>
      </c>
      <c r="AB41" s="28" t="s">
        <v>9</v>
      </c>
      <c r="AC41" s="28" t="s">
        <v>9</v>
      </c>
      <c r="AD41" s="28" t="s">
        <v>9</v>
      </c>
      <c r="AE41" s="28" t="s">
        <v>9</v>
      </c>
      <c r="AF41" s="28" t="s">
        <v>9</v>
      </c>
      <c r="AG41" s="24">
        <f t="shared" si="2"/>
        <v>15</v>
      </c>
      <c r="AH41" s="24">
        <f t="shared" si="3"/>
        <v>0</v>
      </c>
      <c r="AI41" s="24">
        <f t="shared" si="1"/>
        <v>0</v>
      </c>
      <c r="AJ41" s="41" t="str" cm="1">
        <f t="array" ref="AJ41">_xlfn.IFS(
$AG41=15,"Not Started",
$AI41&lt;15,"In Progress",
$AI41=15,"Completed",
SUM(AG41:AI41)&gt;15,"Error"
)</f>
        <v>Not Started</v>
      </c>
    </row>
    <row r="42" spans="1:36" ht="13" x14ac:dyDescent="0.25">
      <c r="A42" s="291"/>
      <c r="B42" s="86">
        <v>39</v>
      </c>
      <c r="C42" s="14" t="s">
        <v>1496</v>
      </c>
      <c r="D42" s="53" t="s">
        <v>5851</v>
      </c>
      <c r="E42" s="61" t="s">
        <v>5850</v>
      </c>
      <c r="F42" s="57" t="s">
        <v>47</v>
      </c>
      <c r="G42" s="10" t="s">
        <v>48</v>
      </c>
      <c r="H42" s="7" t="s">
        <v>5975</v>
      </c>
      <c r="I42" s="7" t="s">
        <v>5975</v>
      </c>
      <c r="J42" s="7">
        <v>27.52032024</v>
      </c>
      <c r="K42" s="7">
        <v>41.663653850000003</v>
      </c>
      <c r="L42" s="7" t="str">
        <f t="shared" si="0"/>
        <v>27.52032024,41.66365385</v>
      </c>
      <c r="M42" s="7" t="s">
        <v>5934</v>
      </c>
      <c r="N42" s="7" t="s">
        <v>5935</v>
      </c>
      <c r="O42" s="7"/>
      <c r="P42" s="201"/>
      <c r="Q42" s="28" t="s">
        <v>9</v>
      </c>
      <c r="R42" s="28" t="s">
        <v>9</v>
      </c>
      <c r="S42" s="28" t="s">
        <v>9</v>
      </c>
      <c r="T42" s="28" t="s">
        <v>9</v>
      </c>
      <c r="U42" s="28" t="s">
        <v>9</v>
      </c>
      <c r="V42" s="28" t="s">
        <v>9</v>
      </c>
      <c r="W42" s="28" t="s">
        <v>9</v>
      </c>
      <c r="X42" s="28" t="s">
        <v>9</v>
      </c>
      <c r="Y42" s="28" t="s">
        <v>9</v>
      </c>
      <c r="Z42" s="28" t="s">
        <v>9</v>
      </c>
      <c r="AA42" s="28" t="s">
        <v>9</v>
      </c>
      <c r="AB42" s="28" t="s">
        <v>9</v>
      </c>
      <c r="AC42" s="28" t="s">
        <v>9</v>
      </c>
      <c r="AD42" s="28" t="s">
        <v>9</v>
      </c>
      <c r="AE42" s="28" t="s">
        <v>9</v>
      </c>
      <c r="AF42" s="28" t="s">
        <v>9</v>
      </c>
      <c r="AG42" s="24">
        <f t="shared" si="2"/>
        <v>15</v>
      </c>
      <c r="AH42" s="24">
        <f t="shared" si="3"/>
        <v>0</v>
      </c>
      <c r="AI42" s="24">
        <f t="shared" si="1"/>
        <v>0</v>
      </c>
      <c r="AJ42" s="41" t="str" cm="1">
        <f t="array" ref="AJ42">_xlfn.IFS(
$AG42=15,"Not Started",
$AI42&lt;15,"In Progress",
$AI42=15,"Completed",
SUM(AG42:AI42)&gt;15,"Error"
)</f>
        <v>Not Started</v>
      </c>
    </row>
    <row r="43" spans="1:36" ht="13" x14ac:dyDescent="0.25">
      <c r="A43" s="291"/>
      <c r="B43" s="64">
        <v>40</v>
      </c>
      <c r="C43" s="7" t="s">
        <v>1497</v>
      </c>
      <c r="D43" s="53" t="s">
        <v>5853</v>
      </c>
      <c r="E43" s="61" t="s">
        <v>5852</v>
      </c>
      <c r="F43" s="57" t="s">
        <v>43</v>
      </c>
      <c r="G43" s="10" t="s">
        <v>48</v>
      </c>
      <c r="H43" s="7" t="s">
        <v>5975</v>
      </c>
      <c r="I43" s="7" t="s">
        <v>5975</v>
      </c>
      <c r="J43" s="7">
        <v>27.520546209999999</v>
      </c>
      <c r="K43" s="7">
        <v>41.664147380000003</v>
      </c>
      <c r="L43" s="7" t="str">
        <f t="shared" si="0"/>
        <v>27.52054621,41.66414738</v>
      </c>
      <c r="M43" s="7" t="s">
        <v>5936</v>
      </c>
      <c r="N43" s="7" t="s">
        <v>5937</v>
      </c>
      <c r="O43" s="7"/>
      <c r="P43" s="201"/>
      <c r="Q43" s="28" t="s">
        <v>9</v>
      </c>
      <c r="R43" s="28" t="s">
        <v>9</v>
      </c>
      <c r="S43" s="28" t="s">
        <v>9</v>
      </c>
      <c r="T43" s="28" t="s">
        <v>9</v>
      </c>
      <c r="U43" s="28" t="s">
        <v>9</v>
      </c>
      <c r="V43" s="28" t="s">
        <v>9</v>
      </c>
      <c r="W43" s="28" t="s">
        <v>9</v>
      </c>
      <c r="X43" s="28" t="s">
        <v>9</v>
      </c>
      <c r="Y43" s="28" t="s">
        <v>9</v>
      </c>
      <c r="Z43" s="28" t="s">
        <v>9</v>
      </c>
      <c r="AA43" s="28" t="s">
        <v>9</v>
      </c>
      <c r="AB43" s="28" t="s">
        <v>9</v>
      </c>
      <c r="AC43" s="28" t="s">
        <v>9</v>
      </c>
      <c r="AD43" s="28" t="s">
        <v>9</v>
      </c>
      <c r="AE43" s="28" t="s">
        <v>9</v>
      </c>
      <c r="AF43" s="28" t="s">
        <v>9</v>
      </c>
      <c r="AG43" s="24">
        <f t="shared" si="2"/>
        <v>15</v>
      </c>
      <c r="AH43" s="24">
        <f t="shared" si="3"/>
        <v>0</v>
      </c>
      <c r="AI43" s="24">
        <f t="shared" si="1"/>
        <v>0</v>
      </c>
      <c r="AJ43" s="41" t="str" cm="1">
        <f t="array" ref="AJ43">_xlfn.IFS(
$AG43=15,"Not Started",
$AI43&lt;15,"In Progress",
$AI43=15,"Completed",
SUM(AG43:AI43)&gt;15,"Error"
)</f>
        <v>Not Started</v>
      </c>
    </row>
    <row r="44" spans="1:36" ht="13" x14ac:dyDescent="0.25">
      <c r="A44" s="291"/>
      <c r="B44" s="86">
        <v>41</v>
      </c>
      <c r="C44" s="14" t="s">
        <v>1498</v>
      </c>
      <c r="D44" s="53" t="s">
        <v>8088</v>
      </c>
      <c r="E44" s="61" t="s">
        <v>8087</v>
      </c>
      <c r="F44" s="57" t="s">
        <v>43</v>
      </c>
      <c r="G44" s="10" t="s">
        <v>44</v>
      </c>
      <c r="H44" s="7" t="s">
        <v>5975</v>
      </c>
      <c r="I44" s="7" t="s">
        <v>5975</v>
      </c>
      <c r="J44" s="7">
        <v>27.5067679</v>
      </c>
      <c r="K44" s="7">
        <v>41.691956519999998</v>
      </c>
      <c r="L44" s="7" t="str">
        <f t="shared" si="0"/>
        <v>27.5067679,41.69195652</v>
      </c>
      <c r="M44" s="7" t="s">
        <v>8339</v>
      </c>
      <c r="N44" s="7">
        <v>10041554798</v>
      </c>
      <c r="O44" s="7"/>
      <c r="P44" s="201">
        <v>46120</v>
      </c>
      <c r="Q44" s="28" t="s">
        <v>11</v>
      </c>
      <c r="R44" s="28" t="s">
        <v>11</v>
      </c>
      <c r="S44" s="28" t="s">
        <v>11</v>
      </c>
      <c r="T44" s="28" t="s">
        <v>11</v>
      </c>
      <c r="U44" s="28" t="s">
        <v>9</v>
      </c>
      <c r="V44" s="28" t="s">
        <v>9</v>
      </c>
      <c r="W44" s="28" t="s">
        <v>9</v>
      </c>
      <c r="X44" s="28" t="s">
        <v>9</v>
      </c>
      <c r="Y44" s="28" t="s">
        <v>9</v>
      </c>
      <c r="Z44" s="28" t="s">
        <v>9</v>
      </c>
      <c r="AA44" s="28" t="s">
        <v>9</v>
      </c>
      <c r="AB44" s="28" t="s">
        <v>9</v>
      </c>
      <c r="AC44" s="28" t="s">
        <v>9</v>
      </c>
      <c r="AD44" s="28" t="s">
        <v>9</v>
      </c>
      <c r="AE44" s="28" t="s">
        <v>9</v>
      </c>
      <c r="AF44" s="28" t="s">
        <v>10</v>
      </c>
      <c r="AG44" s="24">
        <f t="shared" si="2"/>
        <v>11</v>
      </c>
      <c r="AH44" s="24">
        <f t="shared" si="3"/>
        <v>0</v>
      </c>
      <c r="AI44" s="24">
        <f t="shared" si="1"/>
        <v>4</v>
      </c>
      <c r="AJ44" s="41" t="str" cm="1">
        <f t="array" ref="AJ44">_xlfn.IFS(
$AG44=15,"Not Started",
$AI44&lt;15,"In Progress",
$AI44=15,"Completed",
SUM(AG44:AI44)&gt;15,"Error"
)</f>
        <v>In Progress</v>
      </c>
    </row>
    <row r="45" spans="1:36" ht="13" x14ac:dyDescent="0.25">
      <c r="A45" s="291"/>
      <c r="B45" s="64">
        <v>42</v>
      </c>
      <c r="C45" s="7" t="s">
        <v>1499</v>
      </c>
      <c r="D45" s="53" t="s">
        <v>5855</v>
      </c>
      <c r="E45" s="61" t="s">
        <v>5854</v>
      </c>
      <c r="F45" s="57" t="s">
        <v>43</v>
      </c>
      <c r="G45" s="10" t="s">
        <v>48</v>
      </c>
      <c r="H45" s="7" t="s">
        <v>5975</v>
      </c>
      <c r="I45" s="7" t="s">
        <v>5975</v>
      </c>
      <c r="J45" s="7">
        <v>27.500999620000002</v>
      </c>
      <c r="K45" s="7">
        <v>41.701020190000001</v>
      </c>
      <c r="L45" s="7" t="str">
        <f t="shared" si="0"/>
        <v>27.50099962,41.70102019</v>
      </c>
      <c r="M45" s="7" t="s">
        <v>5938</v>
      </c>
      <c r="N45" s="7">
        <v>10041483364</v>
      </c>
      <c r="O45" s="7"/>
      <c r="P45" s="201"/>
      <c r="Q45" s="28" t="s">
        <v>11</v>
      </c>
      <c r="R45" s="28" t="s">
        <v>11</v>
      </c>
      <c r="S45" s="28" t="s">
        <v>11</v>
      </c>
      <c r="T45" s="28" t="s">
        <v>11</v>
      </c>
      <c r="U45" s="28" t="s">
        <v>9</v>
      </c>
      <c r="V45" s="28" t="s">
        <v>9</v>
      </c>
      <c r="W45" s="28" t="s">
        <v>9</v>
      </c>
      <c r="X45" s="28" t="s">
        <v>9</v>
      </c>
      <c r="Y45" s="28" t="s">
        <v>9</v>
      </c>
      <c r="Z45" s="28" t="s">
        <v>9</v>
      </c>
      <c r="AA45" s="28" t="s">
        <v>9</v>
      </c>
      <c r="AB45" s="28" t="s">
        <v>9</v>
      </c>
      <c r="AC45" s="28" t="s">
        <v>9</v>
      </c>
      <c r="AD45" s="28" t="s">
        <v>9</v>
      </c>
      <c r="AE45" s="28" t="s">
        <v>9</v>
      </c>
      <c r="AF45" s="28" t="s">
        <v>10</v>
      </c>
      <c r="AG45" s="24">
        <f t="shared" si="2"/>
        <v>11</v>
      </c>
      <c r="AH45" s="24">
        <f t="shared" si="3"/>
        <v>0</v>
      </c>
      <c r="AI45" s="24">
        <f t="shared" si="1"/>
        <v>4</v>
      </c>
      <c r="AJ45" s="41" t="str" cm="1">
        <f t="array" ref="AJ45">_xlfn.IFS(
$AG45=15,"Not Started",
$AI45&lt;15,"In Progress",
$AI45=15,"Completed",
SUM(AG45:AI45)&gt;15,"Error"
)</f>
        <v>In Progress</v>
      </c>
    </row>
    <row r="46" spans="1:36" ht="13" x14ac:dyDescent="0.25">
      <c r="A46" s="291"/>
      <c r="B46" s="86">
        <v>43</v>
      </c>
      <c r="C46" s="14" t="s">
        <v>1500</v>
      </c>
      <c r="D46" s="53" t="s">
        <v>8090</v>
      </c>
      <c r="E46" s="61" t="s">
        <v>8089</v>
      </c>
      <c r="F46" s="57" t="s">
        <v>47</v>
      </c>
      <c r="G46" s="10" t="s">
        <v>48</v>
      </c>
      <c r="H46" s="7" t="s">
        <v>5975</v>
      </c>
      <c r="I46" s="7" t="s">
        <v>5975</v>
      </c>
      <c r="J46" s="7">
        <v>27.501572029999998</v>
      </c>
      <c r="K46" s="7">
        <v>41.700582500000003</v>
      </c>
      <c r="L46" s="7" t="str">
        <f t="shared" si="0"/>
        <v>27.50157203,41.7005825</v>
      </c>
      <c r="M46" s="7" t="s">
        <v>8340</v>
      </c>
      <c r="N46" s="7">
        <v>10034328714</v>
      </c>
      <c r="O46" s="7"/>
      <c r="P46" s="201"/>
      <c r="Q46" s="28" t="s">
        <v>11</v>
      </c>
      <c r="R46" s="28" t="s">
        <v>11</v>
      </c>
      <c r="S46" s="28" t="s">
        <v>11</v>
      </c>
      <c r="T46" s="28" t="s">
        <v>11</v>
      </c>
      <c r="U46" s="28" t="s">
        <v>10</v>
      </c>
      <c r="V46" s="28" t="s">
        <v>11</v>
      </c>
      <c r="W46" s="28" t="s">
        <v>9</v>
      </c>
      <c r="X46" s="28" t="s">
        <v>9</v>
      </c>
      <c r="Y46" s="28" t="s">
        <v>9</v>
      </c>
      <c r="Z46" s="28" t="s">
        <v>9</v>
      </c>
      <c r="AA46" s="28" t="s">
        <v>9</v>
      </c>
      <c r="AB46" s="28" t="s">
        <v>9</v>
      </c>
      <c r="AC46" s="28" t="s">
        <v>9</v>
      </c>
      <c r="AD46" s="28" t="s">
        <v>9</v>
      </c>
      <c r="AE46" s="28" t="s">
        <v>9</v>
      </c>
      <c r="AF46" s="28" t="s">
        <v>10</v>
      </c>
      <c r="AG46" s="24">
        <f t="shared" si="2"/>
        <v>9</v>
      </c>
      <c r="AH46" s="24">
        <f t="shared" si="3"/>
        <v>1</v>
      </c>
      <c r="AI46" s="24">
        <f t="shared" si="1"/>
        <v>5</v>
      </c>
      <c r="AJ46" s="41" t="str" cm="1">
        <f t="array" ref="AJ46">_xlfn.IFS(
$AG46=15,"Not Started",
$AI46&lt;15,"In Progress",
$AI46=15,"Completed",
SUM(AG46:AI46)&gt;15,"Error"
)</f>
        <v>In Progress</v>
      </c>
    </row>
    <row r="47" spans="1:36" ht="13" x14ac:dyDescent="0.25">
      <c r="A47" s="291"/>
      <c r="B47" s="64">
        <v>44</v>
      </c>
      <c r="C47" s="7" t="s">
        <v>1501</v>
      </c>
      <c r="D47" s="53" t="s">
        <v>6078</v>
      </c>
      <c r="E47" s="61" t="s">
        <v>7765</v>
      </c>
      <c r="F47" s="57" t="s">
        <v>51</v>
      </c>
      <c r="G47" s="10" t="s">
        <v>48</v>
      </c>
      <c r="H47" s="7" t="s">
        <v>5975</v>
      </c>
      <c r="I47" s="7" t="s">
        <v>5975</v>
      </c>
      <c r="J47" s="7">
        <v>27.501305429999999</v>
      </c>
      <c r="K47" s="7">
        <v>41.700961540000002</v>
      </c>
      <c r="L47" s="7" t="str">
        <f t="shared" si="0"/>
        <v>27.50130543,41.70096154</v>
      </c>
      <c r="M47" s="7" t="s">
        <v>8341</v>
      </c>
      <c r="N47" s="7">
        <v>10041318843</v>
      </c>
      <c r="O47" s="7"/>
      <c r="P47" s="201"/>
      <c r="Q47" s="28" t="s">
        <v>11</v>
      </c>
      <c r="R47" s="28" t="s">
        <v>11</v>
      </c>
      <c r="S47" s="28" t="s">
        <v>11</v>
      </c>
      <c r="T47" s="28" t="s">
        <v>11</v>
      </c>
      <c r="U47" s="28" t="s">
        <v>9</v>
      </c>
      <c r="V47" s="28" t="s">
        <v>9</v>
      </c>
      <c r="W47" s="28" t="s">
        <v>9</v>
      </c>
      <c r="X47" s="28" t="s">
        <v>9</v>
      </c>
      <c r="Y47" s="28" t="s">
        <v>9</v>
      </c>
      <c r="Z47" s="28" t="s">
        <v>9</v>
      </c>
      <c r="AA47" s="28" t="s">
        <v>9</v>
      </c>
      <c r="AB47" s="28" t="s">
        <v>9</v>
      </c>
      <c r="AC47" s="28" t="s">
        <v>9</v>
      </c>
      <c r="AD47" s="28" t="s">
        <v>9</v>
      </c>
      <c r="AE47" s="28" t="s">
        <v>9</v>
      </c>
      <c r="AF47" s="28" t="s">
        <v>10</v>
      </c>
      <c r="AG47" s="24">
        <f t="shared" si="2"/>
        <v>11</v>
      </c>
      <c r="AH47" s="24">
        <f t="shared" si="3"/>
        <v>0</v>
      </c>
      <c r="AI47" s="24">
        <f t="shared" si="1"/>
        <v>4</v>
      </c>
      <c r="AJ47" s="41" t="str" cm="1">
        <f t="array" ref="AJ47">_xlfn.IFS(
$AG47=15,"Not Started",
$AI47&lt;15,"In Progress",
$AI47=15,"Completed",
SUM(AG47:AI47)&gt;15,"Error"
)</f>
        <v>In Progress</v>
      </c>
    </row>
    <row r="48" spans="1:36" ht="13" x14ac:dyDescent="0.25">
      <c r="A48" s="291"/>
      <c r="B48" s="86">
        <v>45</v>
      </c>
      <c r="C48" s="14" t="s">
        <v>1502</v>
      </c>
      <c r="D48" s="53" t="s">
        <v>8092</v>
      </c>
      <c r="E48" s="61" t="s">
        <v>8091</v>
      </c>
      <c r="F48" s="57" t="s">
        <v>47</v>
      </c>
      <c r="G48" s="10" t="s">
        <v>48</v>
      </c>
      <c r="H48" s="7" t="s">
        <v>5975</v>
      </c>
      <c r="I48" s="7" t="s">
        <v>5975</v>
      </c>
      <c r="J48" s="7">
        <v>27.526350099999998</v>
      </c>
      <c r="K48" s="7">
        <v>41.652259829999998</v>
      </c>
      <c r="L48" s="7" t="str">
        <f t="shared" si="0"/>
        <v>27.5263501,41.65225983</v>
      </c>
      <c r="M48" s="7" t="s">
        <v>8342</v>
      </c>
      <c r="N48" s="7">
        <v>10041796574</v>
      </c>
      <c r="O48" s="7"/>
      <c r="P48" s="201"/>
      <c r="Q48" s="28" t="s">
        <v>9</v>
      </c>
      <c r="R48" s="28" t="s">
        <v>9</v>
      </c>
      <c r="S48" s="28" t="s">
        <v>9</v>
      </c>
      <c r="T48" s="28" t="s">
        <v>9</v>
      </c>
      <c r="U48" s="28" t="s">
        <v>9</v>
      </c>
      <c r="V48" s="28" t="s">
        <v>9</v>
      </c>
      <c r="W48" s="28" t="s">
        <v>9</v>
      </c>
      <c r="X48" s="28" t="s">
        <v>9</v>
      </c>
      <c r="Y48" s="28" t="s">
        <v>9</v>
      </c>
      <c r="Z48" s="28" t="s">
        <v>9</v>
      </c>
      <c r="AA48" s="28" t="s">
        <v>9</v>
      </c>
      <c r="AB48" s="28" t="s">
        <v>9</v>
      </c>
      <c r="AC48" s="28" t="s">
        <v>9</v>
      </c>
      <c r="AD48" s="28" t="s">
        <v>9</v>
      </c>
      <c r="AE48" s="28" t="s">
        <v>9</v>
      </c>
      <c r="AF48" s="28" t="s">
        <v>9</v>
      </c>
      <c r="AG48" s="24">
        <f t="shared" si="2"/>
        <v>15</v>
      </c>
      <c r="AH48" s="24">
        <f t="shared" si="3"/>
        <v>0</v>
      </c>
      <c r="AI48" s="24">
        <f t="shared" si="1"/>
        <v>0</v>
      </c>
      <c r="AJ48" s="41" t="str" cm="1">
        <f t="array" ref="AJ48">_xlfn.IFS(
$AG48=15,"Not Started",
$AI48&lt;15,"In Progress",
$AI48=15,"Completed",
SUM(AG48:AI48)&gt;15,"Error"
)</f>
        <v>Not Started</v>
      </c>
    </row>
    <row r="49" spans="1:36" ht="13" x14ac:dyDescent="0.25">
      <c r="A49" s="291"/>
      <c r="B49" s="64">
        <v>46</v>
      </c>
      <c r="C49" s="7" t="s">
        <v>1503</v>
      </c>
      <c r="D49" s="53" t="s">
        <v>8094</v>
      </c>
      <c r="E49" s="61" t="s">
        <v>8093</v>
      </c>
      <c r="F49" s="57" t="s">
        <v>51</v>
      </c>
      <c r="G49" s="10" t="s">
        <v>48</v>
      </c>
      <c r="H49" s="7" t="s">
        <v>5975</v>
      </c>
      <c r="I49" s="7" t="s">
        <v>5975</v>
      </c>
      <c r="J49" s="7">
        <v>27.52628644</v>
      </c>
      <c r="K49" s="7">
        <v>41.653377880000001</v>
      </c>
      <c r="L49" s="7" t="str">
        <f t="shared" si="0"/>
        <v>27.52628644,41.65337788</v>
      </c>
      <c r="M49" s="7" t="s">
        <v>8343</v>
      </c>
      <c r="N49" s="7">
        <v>10041796691</v>
      </c>
      <c r="O49" s="7"/>
      <c r="P49" s="201"/>
      <c r="Q49" s="28" t="s">
        <v>9</v>
      </c>
      <c r="R49" s="28" t="s">
        <v>9</v>
      </c>
      <c r="S49" s="28" t="s">
        <v>9</v>
      </c>
      <c r="T49" s="28" t="s">
        <v>9</v>
      </c>
      <c r="U49" s="28" t="s">
        <v>9</v>
      </c>
      <c r="V49" s="28" t="s">
        <v>9</v>
      </c>
      <c r="W49" s="28" t="s">
        <v>9</v>
      </c>
      <c r="X49" s="28" t="s">
        <v>9</v>
      </c>
      <c r="Y49" s="28" t="s">
        <v>9</v>
      </c>
      <c r="Z49" s="28" t="s">
        <v>9</v>
      </c>
      <c r="AA49" s="28" t="s">
        <v>9</v>
      </c>
      <c r="AB49" s="28" t="s">
        <v>9</v>
      </c>
      <c r="AC49" s="28" t="s">
        <v>9</v>
      </c>
      <c r="AD49" s="28" t="s">
        <v>9</v>
      </c>
      <c r="AE49" s="28" t="s">
        <v>9</v>
      </c>
      <c r="AF49" s="28" t="s">
        <v>9</v>
      </c>
      <c r="AG49" s="24">
        <f t="shared" si="2"/>
        <v>15</v>
      </c>
      <c r="AH49" s="24">
        <f t="shared" si="3"/>
        <v>0</v>
      </c>
      <c r="AI49" s="24">
        <f t="shared" si="1"/>
        <v>0</v>
      </c>
      <c r="AJ49" s="41" t="str" cm="1">
        <f t="array" ref="AJ49">_xlfn.IFS(
$AG49=15,"Not Started",
$AI49&lt;15,"In Progress",
$AI49=15,"Completed",
SUM(AG49:AI49)&gt;15,"Error"
)</f>
        <v>Not Started</v>
      </c>
    </row>
    <row r="50" spans="1:36" ht="13" x14ac:dyDescent="0.25">
      <c r="A50" s="291"/>
      <c r="B50" s="86">
        <v>47</v>
      </c>
      <c r="C50" s="14" t="s">
        <v>1504</v>
      </c>
      <c r="D50" s="53" t="s">
        <v>8096</v>
      </c>
      <c r="E50" s="61" t="s">
        <v>8095</v>
      </c>
      <c r="F50" s="57" t="s">
        <v>9670</v>
      </c>
      <c r="G50" s="10" t="s">
        <v>48</v>
      </c>
      <c r="H50" s="7" t="s">
        <v>5975</v>
      </c>
      <c r="I50" s="7" t="s">
        <v>5975</v>
      </c>
      <c r="J50" s="7">
        <v>27.52661174</v>
      </c>
      <c r="K50" s="7">
        <v>41.652876740000004</v>
      </c>
      <c r="L50" s="7" t="str">
        <f t="shared" si="0"/>
        <v>27.52661174,41.65287674</v>
      </c>
      <c r="M50" s="7" t="s">
        <v>8344</v>
      </c>
      <c r="N50" s="7">
        <v>10041796921</v>
      </c>
      <c r="O50" s="7"/>
      <c r="P50" s="201"/>
      <c r="Q50" s="28" t="s">
        <v>9</v>
      </c>
      <c r="R50" s="28" t="s">
        <v>9</v>
      </c>
      <c r="S50" s="28" t="s">
        <v>9</v>
      </c>
      <c r="T50" s="28" t="s">
        <v>9</v>
      </c>
      <c r="U50" s="28" t="s">
        <v>9</v>
      </c>
      <c r="V50" s="28" t="s">
        <v>9</v>
      </c>
      <c r="W50" s="28" t="s">
        <v>9</v>
      </c>
      <c r="X50" s="28" t="s">
        <v>9</v>
      </c>
      <c r="Y50" s="28" t="s">
        <v>9</v>
      </c>
      <c r="Z50" s="28" t="s">
        <v>9</v>
      </c>
      <c r="AA50" s="28" t="s">
        <v>9</v>
      </c>
      <c r="AB50" s="28" t="s">
        <v>9</v>
      </c>
      <c r="AC50" s="28" t="s">
        <v>9</v>
      </c>
      <c r="AD50" s="28" t="s">
        <v>9</v>
      </c>
      <c r="AE50" s="28" t="s">
        <v>9</v>
      </c>
      <c r="AF50" s="28" t="s">
        <v>9</v>
      </c>
      <c r="AG50" s="24">
        <f t="shared" si="2"/>
        <v>15</v>
      </c>
      <c r="AH50" s="24">
        <f t="shared" si="3"/>
        <v>0</v>
      </c>
      <c r="AI50" s="24">
        <f t="shared" si="1"/>
        <v>0</v>
      </c>
      <c r="AJ50" s="41" t="str" cm="1">
        <f t="array" ref="AJ50">_xlfn.IFS(
$AG50=15,"Not Started",
$AI50&lt;15,"In Progress",
$AI50=15,"Completed",
SUM(AG50:AI50)&gt;15,"Error"
)</f>
        <v>Not Started</v>
      </c>
    </row>
    <row r="51" spans="1:36" ht="13" x14ac:dyDescent="0.25">
      <c r="A51" s="291"/>
      <c r="B51" s="64">
        <v>48</v>
      </c>
      <c r="C51" s="7" t="s">
        <v>1505</v>
      </c>
      <c r="D51" s="53" t="s">
        <v>8098</v>
      </c>
      <c r="E51" s="61" t="s">
        <v>8097</v>
      </c>
      <c r="F51" s="57" t="s">
        <v>43</v>
      </c>
      <c r="G51" s="10" t="s">
        <v>44</v>
      </c>
      <c r="H51" s="7" t="s">
        <v>5975</v>
      </c>
      <c r="I51" s="7" t="s">
        <v>5975</v>
      </c>
      <c r="J51" s="7">
        <v>27.519971999999999</v>
      </c>
      <c r="K51" s="7">
        <v>41.674799</v>
      </c>
      <c r="L51" s="7" t="str">
        <f t="shared" si="0"/>
        <v>27.519972,41.674799</v>
      </c>
      <c r="M51" s="7" t="s">
        <v>8345</v>
      </c>
      <c r="N51" s="7">
        <v>10041592181</v>
      </c>
      <c r="O51" s="7"/>
      <c r="P51" s="201"/>
      <c r="Q51" s="28" t="s">
        <v>11</v>
      </c>
      <c r="R51" s="28" t="s">
        <v>11</v>
      </c>
      <c r="S51" s="28" t="s">
        <v>11</v>
      </c>
      <c r="T51" s="28" t="s">
        <v>11</v>
      </c>
      <c r="U51" s="28" t="s">
        <v>9</v>
      </c>
      <c r="V51" s="28" t="s">
        <v>9</v>
      </c>
      <c r="W51" s="28" t="s">
        <v>9</v>
      </c>
      <c r="X51" s="28" t="s">
        <v>9</v>
      </c>
      <c r="Y51" s="28" t="s">
        <v>9</v>
      </c>
      <c r="Z51" s="28" t="s">
        <v>9</v>
      </c>
      <c r="AA51" s="28" t="s">
        <v>9</v>
      </c>
      <c r="AB51" s="28" t="s">
        <v>9</v>
      </c>
      <c r="AC51" s="28" t="s">
        <v>9</v>
      </c>
      <c r="AD51" s="28" t="s">
        <v>9</v>
      </c>
      <c r="AE51" s="28" t="s">
        <v>9</v>
      </c>
      <c r="AF51" s="28" t="s">
        <v>10</v>
      </c>
      <c r="AG51" s="24">
        <f t="shared" si="2"/>
        <v>11</v>
      </c>
      <c r="AH51" s="24">
        <f t="shared" si="3"/>
        <v>0</v>
      </c>
      <c r="AI51" s="24">
        <f t="shared" si="1"/>
        <v>4</v>
      </c>
      <c r="AJ51" s="41" t="str" cm="1">
        <f t="array" ref="AJ51">_xlfn.IFS(
$AG51=15,"Not Started",
$AI51&lt;15,"In Progress",
$AI51=15,"Completed",
SUM(AG51:AI51)&gt;15,"Error"
)</f>
        <v>In Progress</v>
      </c>
    </row>
    <row r="52" spans="1:36" ht="13" x14ac:dyDescent="0.25">
      <c r="A52" s="291"/>
      <c r="B52" s="86">
        <v>49</v>
      </c>
      <c r="C52" s="14" t="s">
        <v>1506</v>
      </c>
      <c r="D52" s="53" t="s">
        <v>8100</v>
      </c>
      <c r="E52" s="61" t="s">
        <v>8099</v>
      </c>
      <c r="F52" s="57" t="s">
        <v>43</v>
      </c>
      <c r="G52" s="10" t="s">
        <v>48</v>
      </c>
      <c r="H52" s="7" t="s">
        <v>5975</v>
      </c>
      <c r="I52" s="7" t="s">
        <v>5975</v>
      </c>
      <c r="J52" s="7">
        <v>27.526844839999999</v>
      </c>
      <c r="K52" s="7">
        <v>41.653321980000001</v>
      </c>
      <c r="L52" s="7" t="str">
        <f t="shared" si="0"/>
        <v>27.52684484,41.65332198</v>
      </c>
      <c r="M52" s="7" t="s">
        <v>8346</v>
      </c>
      <c r="N52" s="7">
        <v>10041796814</v>
      </c>
      <c r="O52" s="7"/>
      <c r="P52" s="201"/>
      <c r="Q52" s="28" t="s">
        <v>9</v>
      </c>
      <c r="R52" s="28" t="s">
        <v>9</v>
      </c>
      <c r="S52" s="28" t="s">
        <v>9</v>
      </c>
      <c r="T52" s="28" t="s">
        <v>9</v>
      </c>
      <c r="U52" s="28" t="s">
        <v>9</v>
      </c>
      <c r="V52" s="28" t="s">
        <v>9</v>
      </c>
      <c r="W52" s="28" t="s">
        <v>9</v>
      </c>
      <c r="X52" s="28" t="s">
        <v>9</v>
      </c>
      <c r="Y52" s="28" t="s">
        <v>9</v>
      </c>
      <c r="Z52" s="28" t="s">
        <v>9</v>
      </c>
      <c r="AA52" s="28" t="s">
        <v>9</v>
      </c>
      <c r="AB52" s="28" t="s">
        <v>9</v>
      </c>
      <c r="AC52" s="28" t="s">
        <v>9</v>
      </c>
      <c r="AD52" s="28" t="s">
        <v>9</v>
      </c>
      <c r="AE52" s="28" t="s">
        <v>9</v>
      </c>
      <c r="AF52" s="28" t="s">
        <v>9</v>
      </c>
      <c r="AG52" s="24">
        <f t="shared" si="2"/>
        <v>15</v>
      </c>
      <c r="AH52" s="24">
        <f t="shared" si="3"/>
        <v>0</v>
      </c>
      <c r="AI52" s="24">
        <f t="shared" si="1"/>
        <v>0</v>
      </c>
      <c r="AJ52" s="41" t="str" cm="1">
        <f t="array" ref="AJ52">_xlfn.IFS(
$AG52=15,"Not Started",
$AI52&lt;15,"In Progress",
$AI52=15,"Completed",
SUM(AG52:AI52)&gt;15,"Error"
)</f>
        <v>Not Started</v>
      </c>
    </row>
    <row r="53" spans="1:36" ht="13" x14ac:dyDescent="0.25">
      <c r="A53" s="291"/>
      <c r="B53" s="64">
        <v>50</v>
      </c>
      <c r="C53" s="7" t="s">
        <v>1507</v>
      </c>
      <c r="D53" s="53" t="s">
        <v>8101</v>
      </c>
      <c r="E53" s="61" t="s">
        <v>5763</v>
      </c>
      <c r="F53" s="57" t="s">
        <v>43</v>
      </c>
      <c r="G53" s="10" t="s">
        <v>48</v>
      </c>
      <c r="H53" s="7" t="s">
        <v>5975</v>
      </c>
      <c r="I53" s="7" t="s">
        <v>5975</v>
      </c>
      <c r="J53" s="7">
        <v>27.509660719999999</v>
      </c>
      <c r="K53" s="7">
        <v>41.693351270000001</v>
      </c>
      <c r="L53" s="7" t="str">
        <f t="shared" si="0"/>
        <v>27.50966072,41.69335127</v>
      </c>
      <c r="M53" s="7" t="s">
        <v>8347</v>
      </c>
      <c r="N53" s="7">
        <v>10041538613</v>
      </c>
      <c r="O53" s="7"/>
      <c r="P53" s="201">
        <v>46126</v>
      </c>
      <c r="Q53" s="28" t="s">
        <v>11</v>
      </c>
      <c r="R53" s="28" t="s">
        <v>11</v>
      </c>
      <c r="S53" s="28" t="s">
        <v>11</v>
      </c>
      <c r="T53" s="28" t="s">
        <v>11</v>
      </c>
      <c r="U53" s="28" t="s">
        <v>9</v>
      </c>
      <c r="V53" s="28" t="s">
        <v>9</v>
      </c>
      <c r="W53" s="28" t="s">
        <v>9</v>
      </c>
      <c r="X53" s="28" t="s">
        <v>9</v>
      </c>
      <c r="Y53" s="28" t="s">
        <v>9</v>
      </c>
      <c r="Z53" s="28" t="s">
        <v>9</v>
      </c>
      <c r="AA53" s="28" t="s">
        <v>9</v>
      </c>
      <c r="AB53" s="28" t="s">
        <v>9</v>
      </c>
      <c r="AC53" s="28" t="s">
        <v>9</v>
      </c>
      <c r="AD53" s="28" t="s">
        <v>9</v>
      </c>
      <c r="AE53" s="28" t="s">
        <v>9</v>
      </c>
      <c r="AF53" s="28" t="s">
        <v>10</v>
      </c>
      <c r="AG53" s="24">
        <f t="shared" si="2"/>
        <v>11</v>
      </c>
      <c r="AH53" s="24">
        <f t="shared" si="3"/>
        <v>0</v>
      </c>
      <c r="AI53" s="24">
        <f t="shared" si="1"/>
        <v>4</v>
      </c>
      <c r="AJ53" s="41" t="str" cm="1">
        <f t="array" ref="AJ53">_xlfn.IFS(
$AG53=15,"Not Started",
$AI53&lt;15,"In Progress",
$AI53=15,"Completed",
SUM(AG53:AI53)&gt;15,"Error"
)</f>
        <v>In Progress</v>
      </c>
    </row>
    <row r="54" spans="1:36" ht="26" x14ac:dyDescent="0.25">
      <c r="A54" s="291"/>
      <c r="B54" s="86">
        <v>51</v>
      </c>
      <c r="C54" s="14" t="s">
        <v>1508</v>
      </c>
      <c r="D54" s="53" t="s">
        <v>8102</v>
      </c>
      <c r="E54" s="92" t="s">
        <v>10227</v>
      </c>
      <c r="F54" s="57" t="s">
        <v>43</v>
      </c>
      <c r="G54" s="10" t="s">
        <v>44</v>
      </c>
      <c r="H54" s="7" t="s">
        <v>5975</v>
      </c>
      <c r="I54" s="7" t="s">
        <v>5975</v>
      </c>
      <c r="J54" s="7">
        <v>27.516093189999999</v>
      </c>
      <c r="K54" s="7">
        <v>41.684328319999999</v>
      </c>
      <c r="L54" s="7" t="str">
        <f t="shared" si="0"/>
        <v>27.51609319,41.68432832</v>
      </c>
      <c r="M54" s="7" t="s">
        <v>8348</v>
      </c>
      <c r="N54" s="7">
        <v>10041507448</v>
      </c>
      <c r="O54" s="7"/>
      <c r="P54" s="201"/>
      <c r="Q54" s="28" t="s">
        <v>11</v>
      </c>
      <c r="R54" s="28" t="s">
        <v>11</v>
      </c>
      <c r="S54" s="28" t="s">
        <v>11</v>
      </c>
      <c r="T54" s="28" t="s">
        <v>11</v>
      </c>
      <c r="U54" s="28" t="s">
        <v>9</v>
      </c>
      <c r="V54" s="28" t="s">
        <v>9</v>
      </c>
      <c r="W54" s="28" t="s">
        <v>9</v>
      </c>
      <c r="X54" s="28" t="s">
        <v>9</v>
      </c>
      <c r="Y54" s="28" t="s">
        <v>9</v>
      </c>
      <c r="Z54" s="28" t="s">
        <v>9</v>
      </c>
      <c r="AA54" s="28" t="s">
        <v>9</v>
      </c>
      <c r="AB54" s="28" t="s">
        <v>9</v>
      </c>
      <c r="AC54" s="28" t="s">
        <v>9</v>
      </c>
      <c r="AD54" s="28" t="s">
        <v>9</v>
      </c>
      <c r="AE54" s="28" t="s">
        <v>9</v>
      </c>
      <c r="AF54" s="28" t="s">
        <v>10</v>
      </c>
      <c r="AG54" s="24">
        <f t="shared" si="2"/>
        <v>11</v>
      </c>
      <c r="AH54" s="24">
        <f t="shared" si="3"/>
        <v>0</v>
      </c>
      <c r="AI54" s="24">
        <f t="shared" si="1"/>
        <v>4</v>
      </c>
      <c r="AJ54" s="41" t="str" cm="1">
        <f t="array" ref="AJ54">_xlfn.IFS(
$AG54=15,"Not Started",
$AI54&lt;15,"In Progress",
$AI54=15,"Completed",
SUM(AG54:AI54)&gt;15,"Error"
)</f>
        <v>In Progress</v>
      </c>
    </row>
    <row r="55" spans="1:36" ht="13" x14ac:dyDescent="0.25">
      <c r="A55" s="291"/>
      <c r="B55" s="64">
        <v>52</v>
      </c>
      <c r="C55" s="7" t="s">
        <v>1509</v>
      </c>
      <c r="D55" s="53" t="s">
        <v>8104</v>
      </c>
      <c r="E55" s="61" t="s">
        <v>8103</v>
      </c>
      <c r="F55" s="57" t="s">
        <v>43</v>
      </c>
      <c r="G55" s="10" t="s">
        <v>44</v>
      </c>
      <c r="H55" s="7" t="s">
        <v>5975</v>
      </c>
      <c r="I55" s="7" t="s">
        <v>5975</v>
      </c>
      <c r="J55" s="7">
        <v>27.502266729999999</v>
      </c>
      <c r="K55" s="7">
        <v>41.70406938</v>
      </c>
      <c r="L55" s="7" t="str">
        <f t="shared" si="0"/>
        <v>27.50226673,41.70406938</v>
      </c>
      <c r="M55" s="7" t="s">
        <v>8349</v>
      </c>
      <c r="N55" s="7">
        <v>10041496040</v>
      </c>
      <c r="O55" s="7"/>
      <c r="P55" s="201"/>
      <c r="Q55" s="28" t="s">
        <v>9</v>
      </c>
      <c r="R55" s="28" t="s">
        <v>9</v>
      </c>
      <c r="S55" s="28" t="s">
        <v>9</v>
      </c>
      <c r="T55" s="28" t="s">
        <v>9</v>
      </c>
      <c r="U55" s="28" t="s">
        <v>9</v>
      </c>
      <c r="V55" s="28" t="s">
        <v>9</v>
      </c>
      <c r="W55" s="28" t="s">
        <v>9</v>
      </c>
      <c r="X55" s="28" t="s">
        <v>9</v>
      </c>
      <c r="Y55" s="28" t="s">
        <v>9</v>
      </c>
      <c r="Z55" s="28" t="s">
        <v>9</v>
      </c>
      <c r="AA55" s="28" t="s">
        <v>9</v>
      </c>
      <c r="AB55" s="28" t="s">
        <v>9</v>
      </c>
      <c r="AC55" s="28" t="s">
        <v>9</v>
      </c>
      <c r="AD55" s="28" t="s">
        <v>9</v>
      </c>
      <c r="AE55" s="28" t="s">
        <v>9</v>
      </c>
      <c r="AF55" s="28" t="s">
        <v>9</v>
      </c>
      <c r="AG55" s="24">
        <f t="shared" si="2"/>
        <v>15</v>
      </c>
      <c r="AH55" s="24">
        <f t="shared" si="3"/>
        <v>0</v>
      </c>
      <c r="AI55" s="24">
        <f t="shared" si="1"/>
        <v>0</v>
      </c>
      <c r="AJ55" s="41" t="str" cm="1">
        <f t="array" ref="AJ55">_xlfn.IFS(
$AG55=15,"Not Started",
$AI55&lt;15,"In Progress",
$AI55=15,"Completed",
SUM(AG55:AI55)&gt;15,"Error"
)</f>
        <v>Not Started</v>
      </c>
    </row>
    <row r="56" spans="1:36" ht="13" x14ac:dyDescent="0.25">
      <c r="A56" s="291"/>
      <c r="B56" s="86">
        <v>53</v>
      </c>
      <c r="C56" s="14" t="s">
        <v>1510</v>
      </c>
      <c r="D56" s="53" t="s">
        <v>8106</v>
      </c>
      <c r="E56" s="61" t="s">
        <v>8105</v>
      </c>
      <c r="F56" s="57" t="s">
        <v>43</v>
      </c>
      <c r="G56" s="10" t="s">
        <v>48</v>
      </c>
      <c r="H56" s="7" t="s">
        <v>5975</v>
      </c>
      <c r="I56" s="7" t="s">
        <v>5975</v>
      </c>
      <c r="J56" s="7">
        <v>27.523886999999998</v>
      </c>
      <c r="K56" s="7">
        <v>41.673822000000001</v>
      </c>
      <c r="L56" s="7" t="str">
        <f t="shared" si="0"/>
        <v>27.523887,41.673822</v>
      </c>
      <c r="M56" s="7" t="s">
        <v>8350</v>
      </c>
      <c r="N56" s="7">
        <v>10041481440</v>
      </c>
      <c r="O56" s="7"/>
      <c r="P56" s="202">
        <v>46148</v>
      </c>
      <c r="Q56" s="28" t="s">
        <v>11</v>
      </c>
      <c r="R56" s="28" t="s">
        <v>11</v>
      </c>
      <c r="S56" s="28" t="s">
        <v>11</v>
      </c>
      <c r="T56" s="28" t="s">
        <v>11</v>
      </c>
      <c r="U56" s="28" t="s">
        <v>9</v>
      </c>
      <c r="V56" s="28" t="s">
        <v>9</v>
      </c>
      <c r="W56" s="28" t="s">
        <v>9</v>
      </c>
      <c r="X56" s="28" t="s">
        <v>9</v>
      </c>
      <c r="Y56" s="28" t="s">
        <v>9</v>
      </c>
      <c r="Z56" s="28" t="s">
        <v>9</v>
      </c>
      <c r="AA56" s="28" t="s">
        <v>9</v>
      </c>
      <c r="AB56" s="28" t="s">
        <v>9</v>
      </c>
      <c r="AC56" s="28" t="s">
        <v>9</v>
      </c>
      <c r="AD56" s="28" t="s">
        <v>9</v>
      </c>
      <c r="AE56" s="28" t="s">
        <v>9</v>
      </c>
      <c r="AF56" s="28" t="s">
        <v>10</v>
      </c>
      <c r="AG56" s="24">
        <f t="shared" si="2"/>
        <v>11</v>
      </c>
      <c r="AH56" s="24">
        <f t="shared" si="3"/>
        <v>0</v>
      </c>
      <c r="AI56" s="24">
        <f t="shared" si="1"/>
        <v>4</v>
      </c>
      <c r="AJ56" s="41" t="str" cm="1">
        <f t="array" ref="AJ56">_xlfn.IFS(
$AG56=15,"Not Started",
$AI56&lt;15,"In Progress",
$AI56=15,"Completed",
SUM(AG56:AI56)&gt;15,"Error"
)</f>
        <v>In Progress</v>
      </c>
    </row>
    <row r="57" spans="1:36" ht="26" x14ac:dyDescent="0.25">
      <c r="A57" s="291"/>
      <c r="B57" s="64">
        <v>54</v>
      </c>
      <c r="C57" s="7" t="s">
        <v>1511</v>
      </c>
      <c r="D57" s="53" t="s">
        <v>8107</v>
      </c>
      <c r="E57" s="92" t="s">
        <v>10228</v>
      </c>
      <c r="F57" s="57" t="s">
        <v>47</v>
      </c>
      <c r="G57" s="10" t="s">
        <v>44</v>
      </c>
      <c r="H57" s="7" t="s">
        <v>5975</v>
      </c>
      <c r="I57" s="7" t="s">
        <v>5975</v>
      </c>
      <c r="J57" s="7">
        <v>27.515693550000002</v>
      </c>
      <c r="K57" s="7">
        <v>41.690679789999997</v>
      </c>
      <c r="L57" s="7" t="str">
        <f t="shared" si="0"/>
        <v>27.51569355,41.69067979</v>
      </c>
      <c r="M57" s="7" t="s">
        <v>8351</v>
      </c>
      <c r="N57" s="7">
        <v>10041480021</v>
      </c>
      <c r="O57" s="7"/>
      <c r="P57" s="201"/>
      <c r="Q57" s="28" t="s">
        <v>11</v>
      </c>
      <c r="R57" s="28" t="s">
        <v>11</v>
      </c>
      <c r="S57" s="28" t="s">
        <v>11</v>
      </c>
      <c r="T57" s="28" t="s">
        <v>11</v>
      </c>
      <c r="U57" s="28" t="s">
        <v>9</v>
      </c>
      <c r="V57" s="28" t="s">
        <v>9</v>
      </c>
      <c r="W57" s="28" t="s">
        <v>9</v>
      </c>
      <c r="X57" s="28" t="s">
        <v>9</v>
      </c>
      <c r="Y57" s="28" t="s">
        <v>9</v>
      </c>
      <c r="Z57" s="28" t="s">
        <v>9</v>
      </c>
      <c r="AA57" s="28" t="s">
        <v>9</v>
      </c>
      <c r="AB57" s="28" t="s">
        <v>9</v>
      </c>
      <c r="AC57" s="28" t="s">
        <v>9</v>
      </c>
      <c r="AD57" s="28" t="s">
        <v>9</v>
      </c>
      <c r="AE57" s="28" t="s">
        <v>9</v>
      </c>
      <c r="AF57" s="28" t="s">
        <v>10</v>
      </c>
      <c r="AG57" s="24">
        <f t="shared" si="2"/>
        <v>11</v>
      </c>
      <c r="AH57" s="24">
        <f t="shared" si="3"/>
        <v>0</v>
      </c>
      <c r="AI57" s="24">
        <f t="shared" si="1"/>
        <v>4</v>
      </c>
      <c r="AJ57" s="41" t="str" cm="1">
        <f t="array" ref="AJ57">_xlfn.IFS(
$AG57=15,"Not Started",
$AI57&lt;15,"In Progress",
$AI57=15,"Completed",
SUM(AG57:AI57)&gt;15,"Error"
)</f>
        <v>In Progress</v>
      </c>
    </row>
    <row r="58" spans="1:36" ht="13" x14ac:dyDescent="0.25">
      <c r="A58" s="291"/>
      <c r="B58" s="86">
        <v>55</v>
      </c>
      <c r="C58" s="14" t="s">
        <v>1512</v>
      </c>
      <c r="D58" s="53" t="s">
        <v>8109</v>
      </c>
      <c r="E58" s="61" t="s">
        <v>8108</v>
      </c>
      <c r="F58" s="57" t="s">
        <v>43</v>
      </c>
      <c r="G58" s="10" t="s">
        <v>44</v>
      </c>
      <c r="H58" s="7" t="s">
        <v>5975</v>
      </c>
      <c r="I58" s="7" t="s">
        <v>5975</v>
      </c>
      <c r="J58" s="7">
        <v>27.514537440000002</v>
      </c>
      <c r="K58" s="7">
        <v>41.692578789999999</v>
      </c>
      <c r="L58" s="7" t="str">
        <f t="shared" si="0"/>
        <v>27.51453744,41.69257879</v>
      </c>
      <c r="M58" s="7" t="s">
        <v>8352</v>
      </c>
      <c r="N58" s="7">
        <v>10041592322</v>
      </c>
      <c r="O58" s="7"/>
      <c r="P58" s="201"/>
      <c r="Q58" s="28" t="s">
        <v>11</v>
      </c>
      <c r="R58" s="28" t="s">
        <v>11</v>
      </c>
      <c r="S58" s="28" t="s">
        <v>11</v>
      </c>
      <c r="T58" s="28" t="s">
        <v>11</v>
      </c>
      <c r="U58" s="28" t="s">
        <v>9</v>
      </c>
      <c r="V58" s="28" t="s">
        <v>9</v>
      </c>
      <c r="W58" s="28" t="s">
        <v>9</v>
      </c>
      <c r="X58" s="28" t="s">
        <v>9</v>
      </c>
      <c r="Y58" s="28" t="s">
        <v>9</v>
      </c>
      <c r="Z58" s="28" t="s">
        <v>9</v>
      </c>
      <c r="AA58" s="28" t="s">
        <v>9</v>
      </c>
      <c r="AB58" s="28" t="s">
        <v>9</v>
      </c>
      <c r="AC58" s="28" t="s">
        <v>9</v>
      </c>
      <c r="AD58" s="28" t="s">
        <v>9</v>
      </c>
      <c r="AE58" s="28" t="s">
        <v>9</v>
      </c>
      <c r="AF58" s="28" t="s">
        <v>10</v>
      </c>
      <c r="AG58" s="24">
        <f t="shared" si="2"/>
        <v>11</v>
      </c>
      <c r="AH58" s="24">
        <f t="shared" si="3"/>
        <v>0</v>
      </c>
      <c r="AI58" s="24">
        <f t="shared" si="1"/>
        <v>4</v>
      </c>
      <c r="AJ58" s="41" t="str" cm="1">
        <f t="array" ref="AJ58">_xlfn.IFS(
$AG58=15,"Not Started",
$AI58&lt;15,"In Progress",
$AI58=15,"Completed",
SUM(AG58:AI58)&gt;15,"Error"
)</f>
        <v>In Progress</v>
      </c>
    </row>
    <row r="59" spans="1:36" ht="13" x14ac:dyDescent="0.25">
      <c r="A59" s="291"/>
      <c r="B59" s="64">
        <v>56</v>
      </c>
      <c r="C59" s="7" t="s">
        <v>1513</v>
      </c>
      <c r="D59" s="53" t="s">
        <v>8111</v>
      </c>
      <c r="E59" s="61" t="s">
        <v>8110</v>
      </c>
      <c r="F59" s="57" t="s">
        <v>47</v>
      </c>
      <c r="G59" s="10" t="s">
        <v>48</v>
      </c>
      <c r="H59" s="7" t="s">
        <v>5975</v>
      </c>
      <c r="I59" s="7" t="s">
        <v>5975</v>
      </c>
      <c r="J59" s="7">
        <v>27.512564210000001</v>
      </c>
      <c r="K59" s="7">
        <v>41.696052209999998</v>
      </c>
      <c r="L59" s="7" t="str">
        <f t="shared" si="0"/>
        <v>27.51256421,41.69605221</v>
      </c>
      <c r="M59" s="7" t="s">
        <v>8353</v>
      </c>
      <c r="N59" s="7">
        <v>10041549831</v>
      </c>
      <c r="O59" s="7"/>
      <c r="P59" s="201">
        <v>46120</v>
      </c>
      <c r="Q59" s="28" t="s">
        <v>11</v>
      </c>
      <c r="R59" s="28" t="s">
        <v>11</v>
      </c>
      <c r="S59" s="28" t="s">
        <v>11</v>
      </c>
      <c r="T59" s="28" t="s">
        <v>11</v>
      </c>
      <c r="U59" s="28" t="s">
        <v>10</v>
      </c>
      <c r="V59" s="28" t="s">
        <v>11</v>
      </c>
      <c r="W59" s="28" t="s">
        <v>9</v>
      </c>
      <c r="X59" s="28" t="s">
        <v>9</v>
      </c>
      <c r="Y59" s="28" t="s">
        <v>9</v>
      </c>
      <c r="Z59" s="28" t="s">
        <v>9</v>
      </c>
      <c r="AA59" s="28" t="s">
        <v>9</v>
      </c>
      <c r="AB59" s="28" t="s">
        <v>9</v>
      </c>
      <c r="AC59" s="28" t="s">
        <v>9</v>
      </c>
      <c r="AD59" s="28" t="s">
        <v>9</v>
      </c>
      <c r="AE59" s="28" t="s">
        <v>9</v>
      </c>
      <c r="AF59" s="28" t="s">
        <v>10</v>
      </c>
      <c r="AG59" s="24">
        <f t="shared" si="2"/>
        <v>9</v>
      </c>
      <c r="AH59" s="24">
        <f t="shared" si="3"/>
        <v>1</v>
      </c>
      <c r="AI59" s="24">
        <f t="shared" si="1"/>
        <v>5</v>
      </c>
      <c r="AJ59" s="41" t="str" cm="1">
        <f t="array" ref="AJ59">_xlfn.IFS(
$AG59=15,"Not Started",
$AI59&lt;15,"In Progress",
$AI59=15,"Completed",
SUM(AG59:AI59)&gt;15,"Error"
)</f>
        <v>In Progress</v>
      </c>
    </row>
    <row r="60" spans="1:36" ht="13" x14ac:dyDescent="0.25">
      <c r="A60" s="291"/>
      <c r="B60" s="86">
        <v>57</v>
      </c>
      <c r="C60" s="14" t="s">
        <v>1514</v>
      </c>
      <c r="D60" s="53" t="s">
        <v>8112</v>
      </c>
      <c r="E60" s="61" t="s">
        <v>3731</v>
      </c>
      <c r="F60" s="57" t="s">
        <v>9670</v>
      </c>
      <c r="G60" s="10" t="s">
        <v>48</v>
      </c>
      <c r="H60" s="7" t="s">
        <v>5975</v>
      </c>
      <c r="I60" s="7" t="s">
        <v>5975</v>
      </c>
      <c r="J60" s="7">
        <v>27.512564210000001</v>
      </c>
      <c r="K60" s="7">
        <v>41.696052209999998</v>
      </c>
      <c r="L60" s="7" t="str">
        <f t="shared" si="0"/>
        <v>27.51256421,41.69605221</v>
      </c>
      <c r="M60" s="7" t="s">
        <v>8354</v>
      </c>
      <c r="N60" s="7">
        <v>10042010281</v>
      </c>
      <c r="O60" s="7"/>
      <c r="P60" s="201">
        <v>46121</v>
      </c>
      <c r="Q60" s="28" t="s">
        <v>11</v>
      </c>
      <c r="R60" s="28" t="s">
        <v>11</v>
      </c>
      <c r="S60" s="28" t="s">
        <v>11</v>
      </c>
      <c r="T60" s="28" t="s">
        <v>11</v>
      </c>
      <c r="U60" s="28" t="s">
        <v>10</v>
      </c>
      <c r="V60" s="28" t="s">
        <v>11</v>
      </c>
      <c r="W60" s="28" t="s">
        <v>9</v>
      </c>
      <c r="X60" s="28" t="s">
        <v>9</v>
      </c>
      <c r="Y60" s="28" t="s">
        <v>9</v>
      </c>
      <c r="Z60" s="28" t="s">
        <v>9</v>
      </c>
      <c r="AA60" s="28" t="s">
        <v>9</v>
      </c>
      <c r="AB60" s="28" t="s">
        <v>9</v>
      </c>
      <c r="AC60" s="28" t="s">
        <v>9</v>
      </c>
      <c r="AD60" s="28" t="s">
        <v>9</v>
      </c>
      <c r="AE60" s="28" t="s">
        <v>9</v>
      </c>
      <c r="AF60" s="28" t="s">
        <v>10</v>
      </c>
      <c r="AG60" s="24">
        <f t="shared" si="2"/>
        <v>9</v>
      </c>
      <c r="AH60" s="24">
        <f t="shared" si="3"/>
        <v>1</v>
      </c>
      <c r="AI60" s="24">
        <f t="shared" si="1"/>
        <v>5</v>
      </c>
      <c r="AJ60" s="41" t="str" cm="1">
        <f t="array" ref="AJ60">_xlfn.IFS(
$AG60=15,"Not Started",
$AI60&lt;15,"In Progress",
$AI60=15,"Completed",
SUM(AG60:AI60)&gt;15,"Error"
)</f>
        <v>In Progress</v>
      </c>
    </row>
    <row r="61" spans="1:36" ht="13" x14ac:dyDescent="0.25">
      <c r="A61" s="291"/>
      <c r="B61" s="64">
        <v>58</v>
      </c>
      <c r="C61" s="7" t="s">
        <v>1515</v>
      </c>
      <c r="D61" s="53" t="s">
        <v>8114</v>
      </c>
      <c r="E61" s="61" t="s">
        <v>8113</v>
      </c>
      <c r="F61" s="57" t="s">
        <v>47</v>
      </c>
      <c r="G61" s="10" t="s">
        <v>48</v>
      </c>
      <c r="H61" s="7" t="s">
        <v>5975</v>
      </c>
      <c r="I61" s="7" t="s">
        <v>5975</v>
      </c>
      <c r="J61" s="7">
        <v>27.521921249999998</v>
      </c>
      <c r="K61" s="7">
        <v>41.683533449999999</v>
      </c>
      <c r="L61" s="7" t="str">
        <f t="shared" si="0"/>
        <v>27.52192125,41.68353345</v>
      </c>
      <c r="M61" s="7" t="s">
        <v>8355</v>
      </c>
      <c r="N61" s="7">
        <v>10041481191</v>
      </c>
      <c r="O61" s="7"/>
      <c r="P61" s="201"/>
      <c r="Q61" s="28" t="s">
        <v>11</v>
      </c>
      <c r="R61" s="28" t="s">
        <v>11</v>
      </c>
      <c r="S61" s="28" t="s">
        <v>11</v>
      </c>
      <c r="T61" s="28" t="s">
        <v>11</v>
      </c>
      <c r="U61" s="28" t="s">
        <v>9</v>
      </c>
      <c r="V61" s="28" t="s">
        <v>9</v>
      </c>
      <c r="W61" s="28" t="s">
        <v>9</v>
      </c>
      <c r="X61" s="28" t="s">
        <v>9</v>
      </c>
      <c r="Y61" s="28" t="s">
        <v>9</v>
      </c>
      <c r="Z61" s="28" t="s">
        <v>9</v>
      </c>
      <c r="AA61" s="28" t="s">
        <v>9</v>
      </c>
      <c r="AB61" s="28" t="s">
        <v>9</v>
      </c>
      <c r="AC61" s="28" t="s">
        <v>9</v>
      </c>
      <c r="AD61" s="28" t="s">
        <v>9</v>
      </c>
      <c r="AE61" s="28" t="s">
        <v>9</v>
      </c>
      <c r="AF61" s="28" t="s">
        <v>10</v>
      </c>
      <c r="AG61" s="24">
        <f t="shared" si="2"/>
        <v>11</v>
      </c>
      <c r="AH61" s="24">
        <f t="shared" si="3"/>
        <v>0</v>
      </c>
      <c r="AI61" s="24">
        <f t="shared" si="1"/>
        <v>4</v>
      </c>
      <c r="AJ61" s="41" t="str" cm="1">
        <f t="array" ref="AJ61">_xlfn.IFS(
$AG61=15,"Not Started",
$AI61&lt;15,"In Progress",
$AI61=15,"Completed",
SUM(AG61:AI61)&gt;15,"Error"
)</f>
        <v>In Progress</v>
      </c>
    </row>
    <row r="62" spans="1:36" ht="13" x14ac:dyDescent="0.25">
      <c r="A62" s="291"/>
      <c r="B62" s="86">
        <v>59</v>
      </c>
      <c r="C62" s="14" t="s">
        <v>1516</v>
      </c>
      <c r="D62" s="53" t="s">
        <v>8116</v>
      </c>
      <c r="E62" s="61" t="s">
        <v>8115</v>
      </c>
      <c r="F62" s="57" t="s">
        <v>9670</v>
      </c>
      <c r="G62" s="10" t="s">
        <v>48</v>
      </c>
      <c r="H62" s="7" t="s">
        <v>5975</v>
      </c>
      <c r="I62" s="7" t="s">
        <v>5975</v>
      </c>
      <c r="J62" s="7">
        <v>27.521512000000001</v>
      </c>
      <c r="K62" s="7">
        <v>41.684480000000001</v>
      </c>
      <c r="L62" s="7" t="str">
        <f t="shared" si="0"/>
        <v>27.521512,41.68448</v>
      </c>
      <c r="M62" s="7" t="s">
        <v>8356</v>
      </c>
      <c r="N62" s="7">
        <v>10041598326</v>
      </c>
      <c r="O62" s="7"/>
      <c r="P62" s="201"/>
      <c r="Q62" s="28" t="s">
        <v>11</v>
      </c>
      <c r="R62" s="28" t="s">
        <v>11</v>
      </c>
      <c r="S62" s="28" t="s">
        <v>11</v>
      </c>
      <c r="T62" s="28" t="s">
        <v>11</v>
      </c>
      <c r="U62" s="28" t="s">
        <v>9</v>
      </c>
      <c r="V62" s="28" t="s">
        <v>9</v>
      </c>
      <c r="W62" s="28" t="s">
        <v>9</v>
      </c>
      <c r="X62" s="28" t="s">
        <v>9</v>
      </c>
      <c r="Y62" s="28" t="s">
        <v>9</v>
      </c>
      <c r="Z62" s="28" t="s">
        <v>9</v>
      </c>
      <c r="AA62" s="28" t="s">
        <v>9</v>
      </c>
      <c r="AB62" s="28" t="s">
        <v>9</v>
      </c>
      <c r="AC62" s="28" t="s">
        <v>9</v>
      </c>
      <c r="AD62" s="28" t="s">
        <v>9</v>
      </c>
      <c r="AE62" s="28" t="s">
        <v>9</v>
      </c>
      <c r="AF62" s="28" t="s">
        <v>10</v>
      </c>
      <c r="AG62" s="24">
        <f t="shared" si="2"/>
        <v>11</v>
      </c>
      <c r="AH62" s="24">
        <f t="shared" si="3"/>
        <v>0</v>
      </c>
      <c r="AI62" s="24">
        <f t="shared" si="1"/>
        <v>4</v>
      </c>
      <c r="AJ62" s="41" t="str" cm="1">
        <f t="array" ref="AJ62">_xlfn.IFS(
$AG62=15,"Not Started",
$AI62&lt;15,"In Progress",
$AI62=15,"Completed",
SUM(AG62:AI62)&gt;15,"Error"
)</f>
        <v>In Progress</v>
      </c>
    </row>
    <row r="63" spans="1:36" ht="13" x14ac:dyDescent="0.25">
      <c r="A63" s="291"/>
      <c r="B63" s="64">
        <v>60</v>
      </c>
      <c r="C63" s="7" t="s">
        <v>1517</v>
      </c>
      <c r="D63" s="53" t="s">
        <v>8118</v>
      </c>
      <c r="E63" s="61" t="s">
        <v>8117</v>
      </c>
      <c r="F63" s="57" t="s">
        <v>43</v>
      </c>
      <c r="G63" s="10" t="s">
        <v>48</v>
      </c>
      <c r="H63" s="7" t="s">
        <v>5975</v>
      </c>
      <c r="I63" s="7" t="s">
        <v>5975</v>
      </c>
      <c r="J63" s="7">
        <v>27.52307712</v>
      </c>
      <c r="K63" s="7">
        <v>41.683255430000003</v>
      </c>
      <c r="L63" s="7" t="str">
        <f t="shared" si="0"/>
        <v>27.52307712,41.68325543</v>
      </c>
      <c r="M63" s="7" t="s">
        <v>8357</v>
      </c>
      <c r="N63" s="7">
        <v>10041522927</v>
      </c>
      <c r="O63" s="7"/>
      <c r="P63" s="201"/>
      <c r="Q63" s="28" t="s">
        <v>9</v>
      </c>
      <c r="R63" s="28" t="s">
        <v>9</v>
      </c>
      <c r="S63" s="28" t="s">
        <v>9</v>
      </c>
      <c r="T63" s="28" t="s">
        <v>9</v>
      </c>
      <c r="U63" s="28" t="s">
        <v>9</v>
      </c>
      <c r="V63" s="28" t="s">
        <v>9</v>
      </c>
      <c r="W63" s="28" t="s">
        <v>9</v>
      </c>
      <c r="X63" s="28" t="s">
        <v>9</v>
      </c>
      <c r="Y63" s="28" t="s">
        <v>9</v>
      </c>
      <c r="Z63" s="28" t="s">
        <v>9</v>
      </c>
      <c r="AA63" s="28" t="s">
        <v>9</v>
      </c>
      <c r="AB63" s="28" t="s">
        <v>9</v>
      </c>
      <c r="AC63" s="28" t="s">
        <v>9</v>
      </c>
      <c r="AD63" s="28" t="s">
        <v>9</v>
      </c>
      <c r="AE63" s="28" t="s">
        <v>9</v>
      </c>
      <c r="AF63" s="28" t="s">
        <v>9</v>
      </c>
      <c r="AG63" s="24">
        <f t="shared" si="2"/>
        <v>15</v>
      </c>
      <c r="AH63" s="24">
        <f t="shared" si="3"/>
        <v>0</v>
      </c>
      <c r="AI63" s="24">
        <f t="shared" si="1"/>
        <v>0</v>
      </c>
      <c r="AJ63" s="41" t="str" cm="1">
        <f t="array" ref="AJ63">_xlfn.IFS(
$AG63=15,"Not Started",
$AI63&lt;15,"In Progress",
$AI63=15,"Completed",
SUM(AG63:AI63)&gt;15,"Error"
)</f>
        <v>Not Started</v>
      </c>
    </row>
    <row r="64" spans="1:36" ht="13" x14ac:dyDescent="0.25">
      <c r="A64" s="291"/>
      <c r="B64" s="86">
        <v>61</v>
      </c>
      <c r="C64" s="14" t="s">
        <v>1518</v>
      </c>
      <c r="D64" s="53" t="s">
        <v>8120</v>
      </c>
      <c r="E64" s="61" t="s">
        <v>8119</v>
      </c>
      <c r="F64" s="57" t="s">
        <v>43</v>
      </c>
      <c r="G64" s="10" t="s">
        <v>48</v>
      </c>
      <c r="H64" s="7" t="s">
        <v>5975</v>
      </c>
      <c r="I64" s="7" t="s">
        <v>5975</v>
      </c>
      <c r="J64" s="7">
        <v>27.52310091</v>
      </c>
      <c r="K64" s="7">
        <v>41.683593389999999</v>
      </c>
      <c r="L64" s="7" t="str">
        <f t="shared" si="0"/>
        <v>27.52310091,41.68359339</v>
      </c>
      <c r="M64" s="7" t="s">
        <v>8358</v>
      </c>
      <c r="N64" s="7">
        <v>10041523174</v>
      </c>
      <c r="O64" s="7"/>
      <c r="P64" s="201"/>
      <c r="Q64" s="28" t="s">
        <v>11</v>
      </c>
      <c r="R64" s="28" t="s">
        <v>11</v>
      </c>
      <c r="S64" s="28" t="s">
        <v>11</v>
      </c>
      <c r="T64" s="28" t="s">
        <v>11</v>
      </c>
      <c r="U64" s="28" t="s">
        <v>9</v>
      </c>
      <c r="V64" s="28" t="s">
        <v>9</v>
      </c>
      <c r="W64" s="28" t="s">
        <v>9</v>
      </c>
      <c r="X64" s="28" t="s">
        <v>9</v>
      </c>
      <c r="Y64" s="28" t="s">
        <v>9</v>
      </c>
      <c r="Z64" s="28" t="s">
        <v>9</v>
      </c>
      <c r="AA64" s="28" t="s">
        <v>9</v>
      </c>
      <c r="AB64" s="28" t="s">
        <v>9</v>
      </c>
      <c r="AC64" s="28" t="s">
        <v>9</v>
      </c>
      <c r="AD64" s="28" t="s">
        <v>9</v>
      </c>
      <c r="AE64" s="28" t="s">
        <v>9</v>
      </c>
      <c r="AF64" s="28" t="s">
        <v>10</v>
      </c>
      <c r="AG64" s="24">
        <f t="shared" si="2"/>
        <v>11</v>
      </c>
      <c r="AH64" s="24">
        <f t="shared" si="3"/>
        <v>0</v>
      </c>
      <c r="AI64" s="24">
        <f t="shared" si="1"/>
        <v>4</v>
      </c>
      <c r="AJ64" s="41" t="str" cm="1">
        <f t="array" ref="AJ64">_xlfn.IFS(
$AG64=15,"Not Started",
$AI64&lt;15,"In Progress",
$AI64=15,"Completed",
SUM(AG64:AI64)&gt;15,"Error"
)</f>
        <v>In Progress</v>
      </c>
    </row>
    <row r="65" spans="1:36" ht="13" x14ac:dyDescent="0.25">
      <c r="A65" s="291"/>
      <c r="B65" s="64">
        <v>62</v>
      </c>
      <c r="C65" s="7" t="s">
        <v>1519</v>
      </c>
      <c r="D65" s="53" t="s">
        <v>8122</v>
      </c>
      <c r="E65" s="61" t="s">
        <v>8121</v>
      </c>
      <c r="F65" s="57" t="s">
        <v>47</v>
      </c>
      <c r="G65" s="10" t="s">
        <v>48</v>
      </c>
      <c r="H65" s="7" t="s">
        <v>5975</v>
      </c>
      <c r="I65" s="7" t="s">
        <v>5975</v>
      </c>
      <c r="J65" s="7">
        <v>27.522420619999998</v>
      </c>
      <c r="K65" s="7">
        <v>41.688437460000003</v>
      </c>
      <c r="L65" s="7" t="str">
        <f t="shared" si="0"/>
        <v>27.52242062,41.68843746</v>
      </c>
      <c r="M65" s="7" t="s">
        <v>8359</v>
      </c>
      <c r="N65" s="7">
        <v>10041858505</v>
      </c>
      <c r="O65" s="7"/>
      <c r="P65" s="201"/>
      <c r="Q65" s="28" t="s">
        <v>11</v>
      </c>
      <c r="R65" s="28" t="s">
        <v>11</v>
      </c>
      <c r="S65" s="28" t="s">
        <v>11</v>
      </c>
      <c r="T65" s="28" t="s">
        <v>11</v>
      </c>
      <c r="U65" s="28" t="s">
        <v>9</v>
      </c>
      <c r="V65" s="28" t="s">
        <v>9</v>
      </c>
      <c r="W65" s="28" t="s">
        <v>9</v>
      </c>
      <c r="X65" s="28" t="s">
        <v>9</v>
      </c>
      <c r="Y65" s="28" t="s">
        <v>9</v>
      </c>
      <c r="Z65" s="28" t="s">
        <v>9</v>
      </c>
      <c r="AA65" s="28" t="s">
        <v>9</v>
      </c>
      <c r="AB65" s="28" t="s">
        <v>9</v>
      </c>
      <c r="AC65" s="28" t="s">
        <v>9</v>
      </c>
      <c r="AD65" s="28" t="s">
        <v>9</v>
      </c>
      <c r="AE65" s="28" t="s">
        <v>9</v>
      </c>
      <c r="AF65" s="28" t="s">
        <v>10</v>
      </c>
      <c r="AG65" s="24">
        <f t="shared" si="2"/>
        <v>11</v>
      </c>
      <c r="AH65" s="24">
        <f t="shared" si="3"/>
        <v>0</v>
      </c>
      <c r="AI65" s="24">
        <f t="shared" si="1"/>
        <v>4</v>
      </c>
      <c r="AJ65" s="41" t="str" cm="1">
        <f t="array" ref="AJ65">_xlfn.IFS(
$AG65=15,"Not Started",
$AI65&lt;15,"In Progress",
$AI65=15,"Completed",
SUM(AG65:AI65)&gt;15,"Error"
)</f>
        <v>In Progress</v>
      </c>
    </row>
    <row r="66" spans="1:36" ht="13" x14ac:dyDescent="0.25">
      <c r="A66" s="291"/>
      <c r="B66" s="86">
        <v>63</v>
      </c>
      <c r="C66" s="14" t="s">
        <v>1520</v>
      </c>
      <c r="D66" s="53" t="s">
        <v>8124</v>
      </c>
      <c r="E66" s="61" t="s">
        <v>8123</v>
      </c>
      <c r="F66" s="57" t="s">
        <v>51</v>
      </c>
      <c r="G66" s="10" t="s">
        <v>48</v>
      </c>
      <c r="H66" s="7" t="s">
        <v>5975</v>
      </c>
      <c r="I66" s="7" t="s">
        <v>5975</v>
      </c>
      <c r="J66" s="7">
        <v>27.51445034</v>
      </c>
      <c r="K66" s="7">
        <v>41.700521649999999</v>
      </c>
      <c r="L66" s="7" t="str">
        <f t="shared" si="0"/>
        <v>27.51445034,41.70052165</v>
      </c>
      <c r="M66" s="7" t="s">
        <v>8360</v>
      </c>
      <c r="N66" s="7">
        <v>10041480012</v>
      </c>
      <c r="O66" s="7"/>
      <c r="P66" s="201"/>
      <c r="Q66" s="28" t="s">
        <v>11</v>
      </c>
      <c r="R66" s="28" t="s">
        <v>11</v>
      </c>
      <c r="S66" s="28" t="s">
        <v>11</v>
      </c>
      <c r="T66" s="28" t="s">
        <v>11</v>
      </c>
      <c r="U66" s="28" t="s">
        <v>9</v>
      </c>
      <c r="V66" s="28" t="s">
        <v>9</v>
      </c>
      <c r="W66" s="28" t="s">
        <v>9</v>
      </c>
      <c r="X66" s="28" t="s">
        <v>9</v>
      </c>
      <c r="Y66" s="28" t="s">
        <v>9</v>
      </c>
      <c r="Z66" s="28" t="s">
        <v>9</v>
      </c>
      <c r="AA66" s="28" t="s">
        <v>9</v>
      </c>
      <c r="AB66" s="28" t="s">
        <v>9</v>
      </c>
      <c r="AC66" s="28" t="s">
        <v>9</v>
      </c>
      <c r="AD66" s="28" t="s">
        <v>9</v>
      </c>
      <c r="AE66" s="28" t="s">
        <v>9</v>
      </c>
      <c r="AF66" s="28" t="s">
        <v>10</v>
      </c>
      <c r="AG66" s="24">
        <f t="shared" si="2"/>
        <v>11</v>
      </c>
      <c r="AH66" s="24">
        <f t="shared" si="3"/>
        <v>0</v>
      </c>
      <c r="AI66" s="24">
        <f t="shared" si="1"/>
        <v>4</v>
      </c>
      <c r="AJ66" s="41" t="str" cm="1">
        <f t="array" ref="AJ66">_xlfn.IFS(
$AG66=15,"Not Started",
$AI66&lt;15,"In Progress",
$AI66=15,"Completed",
SUM(AG66:AI66)&gt;15,"Error"
)</f>
        <v>In Progress</v>
      </c>
    </row>
    <row r="67" spans="1:36" ht="13" x14ac:dyDescent="0.25">
      <c r="A67" s="291"/>
      <c r="B67" s="64">
        <v>64</v>
      </c>
      <c r="C67" s="7" t="s">
        <v>1521</v>
      </c>
      <c r="D67" s="53" t="s">
        <v>8126</v>
      </c>
      <c r="E67" s="61" t="s">
        <v>8125</v>
      </c>
      <c r="F67" s="57" t="s">
        <v>43</v>
      </c>
      <c r="G67" s="10" t="s">
        <v>44</v>
      </c>
      <c r="H67" s="7" t="s">
        <v>5975</v>
      </c>
      <c r="I67" s="7" t="s">
        <v>5975</v>
      </c>
      <c r="J67" s="7">
        <v>27.522487219999999</v>
      </c>
      <c r="K67" s="7">
        <v>41.68868423</v>
      </c>
      <c r="L67" s="7" t="str">
        <f t="shared" si="0"/>
        <v>27.52248722,41.68868423</v>
      </c>
      <c r="M67" s="7" t="s">
        <v>8361</v>
      </c>
      <c r="N67" s="7">
        <v>10041478319</v>
      </c>
      <c r="O67" s="7"/>
      <c r="P67" s="201"/>
      <c r="Q67" s="28" t="s">
        <v>11</v>
      </c>
      <c r="R67" s="28" t="s">
        <v>11</v>
      </c>
      <c r="S67" s="28" t="s">
        <v>10</v>
      </c>
      <c r="T67" s="28" t="s">
        <v>11</v>
      </c>
      <c r="U67" s="28" t="s">
        <v>9</v>
      </c>
      <c r="V67" s="28" t="s">
        <v>9</v>
      </c>
      <c r="W67" s="28" t="s">
        <v>9</v>
      </c>
      <c r="X67" s="28" t="s">
        <v>9</v>
      </c>
      <c r="Y67" s="28" t="s">
        <v>9</v>
      </c>
      <c r="Z67" s="28" t="s">
        <v>9</v>
      </c>
      <c r="AA67" s="28" t="s">
        <v>9</v>
      </c>
      <c r="AB67" s="28" t="s">
        <v>9</v>
      </c>
      <c r="AC67" s="28" t="s">
        <v>9</v>
      </c>
      <c r="AD67" s="28" t="s">
        <v>9</v>
      </c>
      <c r="AE67" s="28" t="s">
        <v>9</v>
      </c>
      <c r="AF67" s="28" t="s">
        <v>10</v>
      </c>
      <c r="AG67" s="24">
        <f t="shared" si="2"/>
        <v>11</v>
      </c>
      <c r="AH67" s="24">
        <f t="shared" si="3"/>
        <v>1</v>
      </c>
      <c r="AI67" s="24">
        <f t="shared" si="1"/>
        <v>3</v>
      </c>
      <c r="AJ67" s="41" t="str" cm="1">
        <f t="array" ref="AJ67">_xlfn.IFS(
$AG67=15,"Not Started",
$AI67&lt;15,"In Progress",
$AI67=15,"Completed",
SUM(AG67:AI67)&gt;15,"Error"
)</f>
        <v>In Progress</v>
      </c>
    </row>
    <row r="68" spans="1:36" ht="13" x14ac:dyDescent="0.25">
      <c r="A68" s="291"/>
      <c r="B68" s="86">
        <v>65</v>
      </c>
      <c r="C68" s="14" t="s">
        <v>1522</v>
      </c>
      <c r="D68" s="53" t="s">
        <v>5856</v>
      </c>
      <c r="E68" s="61" t="s">
        <v>5827</v>
      </c>
      <c r="F68" s="57" t="s">
        <v>47</v>
      </c>
      <c r="G68" s="10" t="s">
        <v>48</v>
      </c>
      <c r="H68" s="7" t="s">
        <v>5975</v>
      </c>
      <c r="I68" s="7" t="s">
        <v>5975</v>
      </c>
      <c r="J68" s="7">
        <v>27.527885999999999</v>
      </c>
      <c r="K68" s="7">
        <v>41.681873000000003</v>
      </c>
      <c r="L68" s="7" t="str">
        <f t="shared" si="0"/>
        <v>27.527886,41.681873</v>
      </c>
      <c r="M68" s="7" t="s">
        <v>5939</v>
      </c>
      <c r="N68" s="7">
        <v>10041958215</v>
      </c>
      <c r="O68" s="7"/>
      <c r="P68" s="201"/>
      <c r="Q68" s="28" t="s">
        <v>9</v>
      </c>
      <c r="R68" s="28" t="s">
        <v>9</v>
      </c>
      <c r="S68" s="28" t="s">
        <v>9</v>
      </c>
      <c r="T68" s="28" t="s">
        <v>9</v>
      </c>
      <c r="U68" s="28" t="s">
        <v>9</v>
      </c>
      <c r="V68" s="28" t="s">
        <v>9</v>
      </c>
      <c r="W68" s="28" t="s">
        <v>9</v>
      </c>
      <c r="X68" s="28" t="s">
        <v>9</v>
      </c>
      <c r="Y68" s="28" t="s">
        <v>9</v>
      </c>
      <c r="Z68" s="28" t="s">
        <v>9</v>
      </c>
      <c r="AA68" s="28" t="s">
        <v>9</v>
      </c>
      <c r="AB68" s="28" t="s">
        <v>9</v>
      </c>
      <c r="AC68" s="28" t="s">
        <v>9</v>
      </c>
      <c r="AD68" s="28" t="s">
        <v>9</v>
      </c>
      <c r="AE68" s="28" t="s">
        <v>9</v>
      </c>
      <c r="AF68" s="28" t="s">
        <v>9</v>
      </c>
      <c r="AG68" s="24">
        <f t="shared" si="2"/>
        <v>15</v>
      </c>
      <c r="AH68" s="24">
        <f t="shared" si="3"/>
        <v>0</v>
      </c>
      <c r="AI68" s="24">
        <f t="shared" si="1"/>
        <v>0</v>
      </c>
      <c r="AJ68" s="41" t="str" cm="1">
        <f t="array" ref="AJ68">_xlfn.IFS(
$AG68=15,"Not Started",
$AI68&lt;15,"In Progress",
$AI68=15,"Completed",
SUM(AG68:AI68)&gt;15,"Error"
)</f>
        <v>Not Started</v>
      </c>
    </row>
    <row r="69" spans="1:36" ht="13" x14ac:dyDescent="0.25">
      <c r="A69" s="291"/>
      <c r="B69" s="64">
        <v>66</v>
      </c>
      <c r="C69" s="7" t="s">
        <v>1523</v>
      </c>
      <c r="D69" s="53" t="s">
        <v>5858</v>
      </c>
      <c r="E69" s="61" t="s">
        <v>5857</v>
      </c>
      <c r="F69" s="57" t="s">
        <v>47</v>
      </c>
      <c r="G69" s="10" t="s">
        <v>48</v>
      </c>
      <c r="H69" s="7" t="s">
        <v>5975</v>
      </c>
      <c r="I69" s="7" t="s">
        <v>5975</v>
      </c>
      <c r="J69" s="7">
        <v>27.531317999999999</v>
      </c>
      <c r="K69" s="7">
        <v>41.672134999999997</v>
      </c>
      <c r="L69" s="7" t="str">
        <f t="shared" ref="L69:L132" si="4">_xlfn.CONCAT(J69,",",K69)</f>
        <v>27.531318,41.672135</v>
      </c>
      <c r="M69" s="7" t="s">
        <v>5940</v>
      </c>
      <c r="N69" s="7">
        <v>10041834479</v>
      </c>
      <c r="O69" s="7"/>
      <c r="P69" s="201"/>
      <c r="Q69" s="28" t="s">
        <v>11</v>
      </c>
      <c r="R69" s="28" t="s">
        <v>11</v>
      </c>
      <c r="S69" s="28" t="s">
        <v>11</v>
      </c>
      <c r="T69" s="28" t="s">
        <v>11</v>
      </c>
      <c r="U69" s="28" t="s">
        <v>9</v>
      </c>
      <c r="V69" s="28" t="s">
        <v>9</v>
      </c>
      <c r="W69" s="28" t="s">
        <v>9</v>
      </c>
      <c r="X69" s="28" t="s">
        <v>9</v>
      </c>
      <c r="Y69" s="28" t="s">
        <v>9</v>
      </c>
      <c r="Z69" s="28" t="s">
        <v>9</v>
      </c>
      <c r="AA69" s="28" t="s">
        <v>9</v>
      </c>
      <c r="AB69" s="28" t="s">
        <v>9</v>
      </c>
      <c r="AC69" s="28" t="s">
        <v>9</v>
      </c>
      <c r="AD69" s="28" t="s">
        <v>9</v>
      </c>
      <c r="AE69" s="28" t="s">
        <v>9</v>
      </c>
      <c r="AF69" s="28" t="s">
        <v>10</v>
      </c>
      <c r="AG69" s="24">
        <f t="shared" ref="AG69:AG132" si="5">COUNTIF(Q69:AE69,$AG$2)</f>
        <v>11</v>
      </c>
      <c r="AH69" s="24">
        <f t="shared" ref="AH69:AH132" si="6">COUNTIF(Q69:AE69,$AH$2)</f>
        <v>0</v>
      </c>
      <c r="AI69" s="24">
        <f t="shared" ref="AI69:AI132" si="7">COUNTIF(Q69:AE69,$AI$2)</f>
        <v>4</v>
      </c>
      <c r="AJ69" s="41" t="str" cm="1">
        <f t="array" ref="AJ69">_xlfn.IFS(
$AG69=15,"Not Started",
$AI69&lt;15,"In Progress",
$AI69=15,"Completed",
SUM(AG69:AI69)&gt;15,"Error"
)</f>
        <v>In Progress</v>
      </c>
    </row>
    <row r="70" spans="1:36" ht="13" x14ac:dyDescent="0.25">
      <c r="A70" s="291"/>
      <c r="B70" s="86">
        <v>67</v>
      </c>
      <c r="C70" s="14" t="s">
        <v>1524</v>
      </c>
      <c r="D70" s="53" t="s">
        <v>5860</v>
      </c>
      <c r="E70" s="61" t="s">
        <v>5859</v>
      </c>
      <c r="F70" s="57" t="s">
        <v>51</v>
      </c>
      <c r="G70" s="10" t="s">
        <v>48</v>
      </c>
      <c r="H70" s="7" t="s">
        <v>5975</v>
      </c>
      <c r="I70" s="7" t="s">
        <v>5975</v>
      </c>
      <c r="J70" s="7">
        <v>27.531732680000001</v>
      </c>
      <c r="K70" s="7">
        <v>41.671851650000001</v>
      </c>
      <c r="L70" s="7" t="str">
        <f t="shared" si="4"/>
        <v>27.53173268,41.67185165</v>
      </c>
      <c r="M70" s="7" t="s">
        <v>5941</v>
      </c>
      <c r="N70" s="7">
        <v>10041693503</v>
      </c>
      <c r="O70" s="7"/>
      <c r="P70" s="202">
        <v>46146</v>
      </c>
      <c r="Q70" s="28" t="s">
        <v>11</v>
      </c>
      <c r="R70" s="28" t="s">
        <v>11</v>
      </c>
      <c r="S70" s="28" t="s">
        <v>11</v>
      </c>
      <c r="T70" s="28" t="s">
        <v>11</v>
      </c>
      <c r="U70" s="28" t="s">
        <v>10</v>
      </c>
      <c r="V70" s="28" t="s">
        <v>11</v>
      </c>
      <c r="W70" s="28" t="s">
        <v>9</v>
      </c>
      <c r="X70" s="28" t="s">
        <v>9</v>
      </c>
      <c r="Y70" s="28" t="s">
        <v>9</v>
      </c>
      <c r="Z70" s="28" t="s">
        <v>9</v>
      </c>
      <c r="AA70" s="28" t="s">
        <v>9</v>
      </c>
      <c r="AB70" s="28" t="s">
        <v>9</v>
      </c>
      <c r="AC70" s="28" t="s">
        <v>9</v>
      </c>
      <c r="AD70" s="28" t="s">
        <v>9</v>
      </c>
      <c r="AE70" s="28" t="s">
        <v>9</v>
      </c>
      <c r="AF70" s="28" t="s">
        <v>10</v>
      </c>
      <c r="AG70" s="24">
        <f t="shared" si="5"/>
        <v>9</v>
      </c>
      <c r="AH70" s="24">
        <f t="shared" si="6"/>
        <v>1</v>
      </c>
      <c r="AI70" s="24">
        <f t="shared" si="7"/>
        <v>5</v>
      </c>
      <c r="AJ70" s="41" t="str" cm="1">
        <f t="array" ref="AJ70">_xlfn.IFS(
$AG70=15,"Not Started",
$AI70&lt;15,"In Progress",
$AI70=15,"Completed",
SUM(AG70:AI70)&gt;15,"Error"
)</f>
        <v>In Progress</v>
      </c>
    </row>
    <row r="71" spans="1:36" ht="13" x14ac:dyDescent="0.25">
      <c r="A71" s="291"/>
      <c r="B71" s="64">
        <v>68</v>
      </c>
      <c r="C71" s="7" t="s">
        <v>1525</v>
      </c>
      <c r="D71" s="53" t="s">
        <v>5862</v>
      </c>
      <c r="E71" s="61" t="s">
        <v>5861</v>
      </c>
      <c r="F71" s="57" t="s">
        <v>43</v>
      </c>
      <c r="G71" s="10" t="s">
        <v>48</v>
      </c>
      <c r="H71" s="7" t="s">
        <v>5975</v>
      </c>
      <c r="I71" s="7" t="s">
        <v>5975</v>
      </c>
      <c r="J71" s="7">
        <v>27.531658960000001</v>
      </c>
      <c r="K71" s="7">
        <v>41.672129630000001</v>
      </c>
      <c r="L71" s="7" t="str">
        <f t="shared" si="4"/>
        <v>27.53165896,41.67212963</v>
      </c>
      <c r="M71" s="7" t="s">
        <v>5942</v>
      </c>
      <c r="N71" s="7">
        <v>10041819472</v>
      </c>
      <c r="O71" s="7"/>
      <c r="P71" s="202">
        <v>46146</v>
      </c>
      <c r="Q71" s="28" t="s">
        <v>11</v>
      </c>
      <c r="R71" s="28" t="s">
        <v>11</v>
      </c>
      <c r="S71" s="28" t="s">
        <v>11</v>
      </c>
      <c r="T71" s="28" t="s">
        <v>11</v>
      </c>
      <c r="U71" s="28" t="s">
        <v>9</v>
      </c>
      <c r="V71" s="28" t="s">
        <v>9</v>
      </c>
      <c r="W71" s="28" t="s">
        <v>9</v>
      </c>
      <c r="X71" s="28" t="s">
        <v>9</v>
      </c>
      <c r="Y71" s="28" t="s">
        <v>9</v>
      </c>
      <c r="Z71" s="28" t="s">
        <v>9</v>
      </c>
      <c r="AA71" s="28" t="s">
        <v>9</v>
      </c>
      <c r="AB71" s="28" t="s">
        <v>9</v>
      </c>
      <c r="AC71" s="28" t="s">
        <v>9</v>
      </c>
      <c r="AD71" s="28" t="s">
        <v>9</v>
      </c>
      <c r="AE71" s="28" t="s">
        <v>9</v>
      </c>
      <c r="AF71" s="28" t="s">
        <v>10</v>
      </c>
      <c r="AG71" s="24">
        <f t="shared" si="5"/>
        <v>11</v>
      </c>
      <c r="AH71" s="24">
        <f t="shared" si="6"/>
        <v>0</v>
      </c>
      <c r="AI71" s="24">
        <f t="shared" si="7"/>
        <v>4</v>
      </c>
      <c r="AJ71" s="41" t="str" cm="1">
        <f t="array" ref="AJ71">_xlfn.IFS(
$AG71=15,"Not Started",
$AI71&lt;15,"In Progress",
$AI71=15,"Completed",
SUM(AG71:AI71)&gt;15,"Error"
)</f>
        <v>In Progress</v>
      </c>
    </row>
    <row r="72" spans="1:36" ht="13" x14ac:dyDescent="0.25">
      <c r="A72" s="291"/>
      <c r="B72" s="86">
        <v>69</v>
      </c>
      <c r="C72" s="14" t="s">
        <v>1526</v>
      </c>
      <c r="D72" s="53" t="s">
        <v>8127</v>
      </c>
      <c r="E72" s="61" t="s">
        <v>5828</v>
      </c>
      <c r="F72" s="57" t="s">
        <v>43</v>
      </c>
      <c r="G72" s="10" t="s">
        <v>48</v>
      </c>
      <c r="H72" s="7" t="s">
        <v>5975</v>
      </c>
      <c r="I72" s="7" t="s">
        <v>5975</v>
      </c>
      <c r="J72" s="7">
        <v>27.522213000000001</v>
      </c>
      <c r="K72" s="7">
        <v>41.694048000000002</v>
      </c>
      <c r="L72" s="7" t="str">
        <f t="shared" si="4"/>
        <v>27.522213,41.694048</v>
      </c>
      <c r="M72" s="7" t="s">
        <v>8362</v>
      </c>
      <c r="N72" s="7">
        <v>10041319359</v>
      </c>
      <c r="O72" s="7"/>
      <c r="P72" s="202">
        <v>46127</v>
      </c>
      <c r="Q72" s="28" t="s">
        <v>11</v>
      </c>
      <c r="R72" s="28" t="s">
        <v>11</v>
      </c>
      <c r="S72" s="28" t="s">
        <v>11</v>
      </c>
      <c r="T72" s="28" t="s">
        <v>11</v>
      </c>
      <c r="U72" s="28" t="s">
        <v>9</v>
      </c>
      <c r="V72" s="28" t="s">
        <v>9</v>
      </c>
      <c r="W72" s="28" t="s">
        <v>9</v>
      </c>
      <c r="X72" s="28" t="s">
        <v>9</v>
      </c>
      <c r="Y72" s="28" t="s">
        <v>9</v>
      </c>
      <c r="Z72" s="28" t="s">
        <v>9</v>
      </c>
      <c r="AA72" s="28" t="s">
        <v>9</v>
      </c>
      <c r="AB72" s="28" t="s">
        <v>9</v>
      </c>
      <c r="AC72" s="28" t="s">
        <v>9</v>
      </c>
      <c r="AD72" s="28" t="s">
        <v>9</v>
      </c>
      <c r="AE72" s="28" t="s">
        <v>9</v>
      </c>
      <c r="AF72" s="28" t="s">
        <v>10</v>
      </c>
      <c r="AG72" s="24">
        <f t="shared" si="5"/>
        <v>11</v>
      </c>
      <c r="AH72" s="24">
        <f t="shared" si="6"/>
        <v>0</v>
      </c>
      <c r="AI72" s="24">
        <f t="shared" si="7"/>
        <v>4</v>
      </c>
      <c r="AJ72" s="41" t="str" cm="1">
        <f t="array" ref="AJ72">_xlfn.IFS(
$AG72=15,"Not Started",
$AI72&lt;15,"In Progress",
$AI72=15,"Completed",
SUM(AG72:AI72)&gt;15,"Error"
)</f>
        <v>In Progress</v>
      </c>
    </row>
    <row r="73" spans="1:36" ht="26" x14ac:dyDescent="0.25">
      <c r="A73" s="291"/>
      <c r="B73" s="64">
        <v>70</v>
      </c>
      <c r="C73" s="7" t="s">
        <v>1527</v>
      </c>
      <c r="D73" s="53" t="s">
        <v>8128</v>
      </c>
      <c r="E73" s="92" t="s">
        <v>10229</v>
      </c>
      <c r="F73" s="57"/>
      <c r="G73" s="10" t="s">
        <v>48</v>
      </c>
      <c r="H73" s="7" t="s">
        <v>5975</v>
      </c>
      <c r="I73" s="7" t="s">
        <v>5975</v>
      </c>
      <c r="J73" s="7">
        <v>27.530043330000002</v>
      </c>
      <c r="K73" s="7">
        <v>41.677543630000002</v>
      </c>
      <c r="L73" s="7" t="str">
        <f t="shared" si="4"/>
        <v>27.53004333,41.67754363</v>
      </c>
      <c r="M73" s="7" t="s">
        <v>8363</v>
      </c>
      <c r="N73" s="7">
        <v>10041427276</v>
      </c>
      <c r="O73" s="7"/>
      <c r="P73" s="202">
        <v>46149</v>
      </c>
      <c r="Q73" s="28" t="s">
        <v>11</v>
      </c>
      <c r="R73" s="28" t="s">
        <v>11</v>
      </c>
      <c r="S73" s="28" t="s">
        <v>11</v>
      </c>
      <c r="T73" s="28" t="s">
        <v>11</v>
      </c>
      <c r="U73" s="28" t="s">
        <v>9</v>
      </c>
      <c r="V73" s="28" t="s">
        <v>9</v>
      </c>
      <c r="W73" s="28" t="s">
        <v>9</v>
      </c>
      <c r="X73" s="28" t="s">
        <v>9</v>
      </c>
      <c r="Y73" s="28" t="s">
        <v>9</v>
      </c>
      <c r="Z73" s="28" t="s">
        <v>9</v>
      </c>
      <c r="AA73" s="28" t="s">
        <v>9</v>
      </c>
      <c r="AB73" s="28" t="s">
        <v>9</v>
      </c>
      <c r="AC73" s="28" t="s">
        <v>9</v>
      </c>
      <c r="AD73" s="28" t="s">
        <v>9</v>
      </c>
      <c r="AE73" s="28" t="s">
        <v>9</v>
      </c>
      <c r="AF73" s="28" t="s">
        <v>10</v>
      </c>
      <c r="AG73" s="24">
        <f t="shared" si="5"/>
        <v>11</v>
      </c>
      <c r="AH73" s="24">
        <f t="shared" si="6"/>
        <v>0</v>
      </c>
      <c r="AI73" s="24">
        <f t="shared" si="7"/>
        <v>4</v>
      </c>
      <c r="AJ73" s="41" t="str" cm="1">
        <f t="array" ref="AJ73">_xlfn.IFS(
$AG73=15,"Not Started",
$AI73&lt;15,"In Progress",
$AI73=15,"Completed",
SUM(AG73:AI73)&gt;15,"Error"
)</f>
        <v>In Progress</v>
      </c>
    </row>
    <row r="74" spans="1:36" ht="13" x14ac:dyDescent="0.25">
      <c r="A74" s="291"/>
      <c r="B74" s="86">
        <v>71</v>
      </c>
      <c r="C74" s="14" t="s">
        <v>1528</v>
      </c>
      <c r="D74" s="53" t="s">
        <v>8130</v>
      </c>
      <c r="E74" s="61" t="s">
        <v>8129</v>
      </c>
      <c r="F74" s="57" t="s">
        <v>43</v>
      </c>
      <c r="G74" s="10" t="s">
        <v>48</v>
      </c>
      <c r="H74" s="7" t="s">
        <v>5975</v>
      </c>
      <c r="I74" s="7" t="s">
        <v>5975</v>
      </c>
      <c r="J74" s="7">
        <v>27.525293999999999</v>
      </c>
      <c r="K74" s="7">
        <v>41.688407959999999</v>
      </c>
      <c r="L74" s="7" t="str">
        <f t="shared" si="4"/>
        <v>27.525294,41.68840796</v>
      </c>
      <c r="M74" s="7" t="s">
        <v>8364</v>
      </c>
      <c r="N74" s="7">
        <v>10041764552</v>
      </c>
      <c r="O74" s="7"/>
      <c r="P74" s="202">
        <v>46149</v>
      </c>
      <c r="Q74" s="28" t="s">
        <v>11</v>
      </c>
      <c r="R74" s="28" t="s">
        <v>11</v>
      </c>
      <c r="S74" s="28" t="s">
        <v>11</v>
      </c>
      <c r="T74" s="28" t="s">
        <v>11</v>
      </c>
      <c r="U74" s="28" t="s">
        <v>9</v>
      </c>
      <c r="V74" s="28" t="s">
        <v>9</v>
      </c>
      <c r="W74" s="28" t="s">
        <v>9</v>
      </c>
      <c r="X74" s="28" t="s">
        <v>9</v>
      </c>
      <c r="Y74" s="28" t="s">
        <v>9</v>
      </c>
      <c r="Z74" s="28" t="s">
        <v>9</v>
      </c>
      <c r="AA74" s="28" t="s">
        <v>9</v>
      </c>
      <c r="AB74" s="28" t="s">
        <v>9</v>
      </c>
      <c r="AC74" s="28" t="s">
        <v>9</v>
      </c>
      <c r="AD74" s="28" t="s">
        <v>9</v>
      </c>
      <c r="AE74" s="28" t="s">
        <v>9</v>
      </c>
      <c r="AF74" s="28" t="s">
        <v>10</v>
      </c>
      <c r="AG74" s="24">
        <f t="shared" si="5"/>
        <v>11</v>
      </c>
      <c r="AH74" s="24">
        <f t="shared" si="6"/>
        <v>0</v>
      </c>
      <c r="AI74" s="24">
        <f t="shared" si="7"/>
        <v>4</v>
      </c>
      <c r="AJ74" s="41" t="str" cm="1">
        <f t="array" ref="AJ74">_xlfn.IFS(
$AG74=15,"Not Started",
$AI74&lt;15,"In Progress",
$AI74=15,"Completed",
SUM(AG74:AI74)&gt;15,"Error"
)</f>
        <v>In Progress</v>
      </c>
    </row>
    <row r="75" spans="1:36" ht="13" x14ac:dyDescent="0.25">
      <c r="A75" s="291"/>
      <c r="B75" s="64">
        <v>72</v>
      </c>
      <c r="C75" s="7" t="s">
        <v>1529</v>
      </c>
      <c r="D75" s="53" t="s">
        <v>8132</v>
      </c>
      <c r="E75" s="61" t="s">
        <v>8131</v>
      </c>
      <c r="F75" s="57" t="s">
        <v>43</v>
      </c>
      <c r="G75" s="10" t="s">
        <v>44</v>
      </c>
      <c r="H75" s="7" t="s">
        <v>5975</v>
      </c>
      <c r="I75" s="7" t="s">
        <v>5975</v>
      </c>
      <c r="J75" s="7">
        <v>27.518785130000001</v>
      </c>
      <c r="K75" s="7">
        <v>41.699252219999998</v>
      </c>
      <c r="L75" s="7" t="str">
        <f t="shared" si="4"/>
        <v>27.51878513,41.69925222</v>
      </c>
      <c r="M75" s="7" t="s">
        <v>8365</v>
      </c>
      <c r="N75" s="7">
        <v>10041479227</v>
      </c>
      <c r="O75" s="7"/>
      <c r="P75" s="201">
        <v>46128</v>
      </c>
      <c r="Q75" s="28" t="s">
        <v>11</v>
      </c>
      <c r="R75" s="28" t="s">
        <v>11</v>
      </c>
      <c r="S75" s="28" t="s">
        <v>11</v>
      </c>
      <c r="T75" s="28" t="s">
        <v>11</v>
      </c>
      <c r="U75" s="28" t="s">
        <v>9</v>
      </c>
      <c r="V75" s="28" t="s">
        <v>9</v>
      </c>
      <c r="W75" s="28" t="s">
        <v>9</v>
      </c>
      <c r="X75" s="28" t="s">
        <v>9</v>
      </c>
      <c r="Y75" s="28" t="s">
        <v>9</v>
      </c>
      <c r="Z75" s="28" t="s">
        <v>9</v>
      </c>
      <c r="AA75" s="28" t="s">
        <v>9</v>
      </c>
      <c r="AB75" s="28" t="s">
        <v>9</v>
      </c>
      <c r="AC75" s="28" t="s">
        <v>9</v>
      </c>
      <c r="AD75" s="28" t="s">
        <v>9</v>
      </c>
      <c r="AE75" s="28" t="s">
        <v>9</v>
      </c>
      <c r="AF75" s="28" t="s">
        <v>10</v>
      </c>
      <c r="AG75" s="24">
        <f t="shared" si="5"/>
        <v>11</v>
      </c>
      <c r="AH75" s="24">
        <f t="shared" si="6"/>
        <v>0</v>
      </c>
      <c r="AI75" s="24">
        <f t="shared" si="7"/>
        <v>4</v>
      </c>
      <c r="AJ75" s="41" t="str" cm="1">
        <f t="array" ref="AJ75">_xlfn.IFS(
$AG75=15,"Not Started",
$AI75&lt;15,"In Progress",
$AI75=15,"Completed",
SUM(AG75:AI75)&gt;15,"Error"
)</f>
        <v>In Progress</v>
      </c>
    </row>
    <row r="76" spans="1:36" ht="13" x14ac:dyDescent="0.25">
      <c r="A76" s="291"/>
      <c r="B76" s="86">
        <v>73</v>
      </c>
      <c r="C76" s="14" t="s">
        <v>1530</v>
      </c>
      <c r="D76" s="53" t="s">
        <v>8134</v>
      </c>
      <c r="E76" s="61" t="s">
        <v>8133</v>
      </c>
      <c r="F76" s="57" t="s">
        <v>47</v>
      </c>
      <c r="G76" s="10" t="s">
        <v>44</v>
      </c>
      <c r="H76" s="7" t="s">
        <v>5975</v>
      </c>
      <c r="I76" s="7" t="s">
        <v>5975</v>
      </c>
      <c r="J76" s="7">
        <v>27.499139091666802</v>
      </c>
      <c r="K76" s="7">
        <v>41.720709074299599</v>
      </c>
      <c r="L76" s="7" t="str">
        <f t="shared" si="4"/>
        <v>27.4991390916668,41.7207090742996</v>
      </c>
      <c r="M76" s="7" t="s">
        <v>8366</v>
      </c>
      <c r="N76" s="7">
        <v>10041940696</v>
      </c>
      <c r="O76" s="7"/>
      <c r="P76" s="201"/>
      <c r="Q76" s="28" t="s">
        <v>11</v>
      </c>
      <c r="R76" s="28" t="s">
        <v>11</v>
      </c>
      <c r="S76" s="28" t="s">
        <v>11</v>
      </c>
      <c r="T76" s="28" t="s">
        <v>11</v>
      </c>
      <c r="U76" s="28" t="s">
        <v>9</v>
      </c>
      <c r="V76" s="28" t="s">
        <v>9</v>
      </c>
      <c r="W76" s="28" t="s">
        <v>9</v>
      </c>
      <c r="X76" s="28" t="s">
        <v>9</v>
      </c>
      <c r="Y76" s="28" t="s">
        <v>9</v>
      </c>
      <c r="Z76" s="28" t="s">
        <v>9</v>
      </c>
      <c r="AA76" s="28" t="s">
        <v>9</v>
      </c>
      <c r="AB76" s="28" t="s">
        <v>9</v>
      </c>
      <c r="AC76" s="28" t="s">
        <v>9</v>
      </c>
      <c r="AD76" s="28" t="s">
        <v>9</v>
      </c>
      <c r="AE76" s="28" t="s">
        <v>9</v>
      </c>
      <c r="AF76" s="28" t="s">
        <v>10</v>
      </c>
      <c r="AG76" s="24">
        <f t="shared" si="5"/>
        <v>11</v>
      </c>
      <c r="AH76" s="24">
        <f t="shared" si="6"/>
        <v>0</v>
      </c>
      <c r="AI76" s="24">
        <f t="shared" si="7"/>
        <v>4</v>
      </c>
      <c r="AJ76" s="41" t="str" cm="1">
        <f t="array" ref="AJ76">_xlfn.IFS(
$AG76=15,"Not Started",
$AI76&lt;15,"In Progress",
$AI76=15,"Completed",
SUM(AG76:AI76)&gt;15,"Error"
)</f>
        <v>In Progress</v>
      </c>
    </row>
    <row r="77" spans="1:36" ht="13" x14ac:dyDescent="0.25">
      <c r="A77" s="291"/>
      <c r="B77" s="64">
        <v>74</v>
      </c>
      <c r="C77" s="7" t="s">
        <v>1531</v>
      </c>
      <c r="D77" s="53" t="s">
        <v>8136</v>
      </c>
      <c r="E77" s="61" t="s">
        <v>8135</v>
      </c>
      <c r="F77" s="57" t="s">
        <v>51</v>
      </c>
      <c r="G77" s="10" t="s">
        <v>44</v>
      </c>
      <c r="H77" s="7" t="s">
        <v>5975</v>
      </c>
      <c r="I77" s="7" t="s">
        <v>5975</v>
      </c>
      <c r="J77" s="7">
        <v>27.498299849999999</v>
      </c>
      <c r="K77" s="7">
        <v>41.72144574</v>
      </c>
      <c r="L77" s="7" t="str">
        <f t="shared" si="4"/>
        <v>27.49829985,41.72144574</v>
      </c>
      <c r="M77" s="7" t="s">
        <v>8367</v>
      </c>
      <c r="N77" s="7">
        <v>10041951742</v>
      </c>
      <c r="O77" s="7"/>
      <c r="P77" s="201"/>
      <c r="Q77" s="28" t="s">
        <v>11</v>
      </c>
      <c r="R77" s="28" t="s">
        <v>11</v>
      </c>
      <c r="S77" s="28" t="s">
        <v>11</v>
      </c>
      <c r="T77" s="28" t="s">
        <v>11</v>
      </c>
      <c r="U77" s="28" t="s">
        <v>9</v>
      </c>
      <c r="V77" s="28" t="s">
        <v>9</v>
      </c>
      <c r="W77" s="28" t="s">
        <v>9</v>
      </c>
      <c r="X77" s="28" t="s">
        <v>9</v>
      </c>
      <c r="Y77" s="28" t="s">
        <v>9</v>
      </c>
      <c r="Z77" s="28" t="s">
        <v>9</v>
      </c>
      <c r="AA77" s="28" t="s">
        <v>9</v>
      </c>
      <c r="AB77" s="28" t="s">
        <v>9</v>
      </c>
      <c r="AC77" s="28" t="s">
        <v>9</v>
      </c>
      <c r="AD77" s="28" t="s">
        <v>9</v>
      </c>
      <c r="AE77" s="28" t="s">
        <v>9</v>
      </c>
      <c r="AF77" s="28" t="s">
        <v>10</v>
      </c>
      <c r="AG77" s="24">
        <f t="shared" si="5"/>
        <v>11</v>
      </c>
      <c r="AH77" s="24">
        <f t="shared" si="6"/>
        <v>0</v>
      </c>
      <c r="AI77" s="24">
        <f t="shared" si="7"/>
        <v>4</v>
      </c>
      <c r="AJ77" s="41" t="str" cm="1">
        <f t="array" ref="AJ77">_xlfn.IFS(
$AG77=15,"Not Started",
$AI77&lt;15,"In Progress",
$AI77=15,"Completed",
SUM(AG77:AI77)&gt;15,"Error"
)</f>
        <v>In Progress</v>
      </c>
    </row>
    <row r="78" spans="1:36" ht="13" x14ac:dyDescent="0.25">
      <c r="A78" s="291"/>
      <c r="B78" s="86">
        <v>75</v>
      </c>
      <c r="C78" s="14" t="s">
        <v>1532</v>
      </c>
      <c r="D78" s="53" t="s">
        <v>8138</v>
      </c>
      <c r="E78" s="61" t="s">
        <v>8137</v>
      </c>
      <c r="F78" s="57" t="s">
        <v>43</v>
      </c>
      <c r="G78" s="10" t="s">
        <v>44</v>
      </c>
      <c r="H78" s="7" t="s">
        <v>5975</v>
      </c>
      <c r="I78" s="7" t="s">
        <v>5975</v>
      </c>
      <c r="J78" s="7">
        <v>27.498383</v>
      </c>
      <c r="K78" s="7">
        <v>41.719810000000003</v>
      </c>
      <c r="L78" s="7" t="str">
        <f t="shared" si="4"/>
        <v>27.498383,41.71981</v>
      </c>
      <c r="M78" s="7" t="s">
        <v>8368</v>
      </c>
      <c r="N78" s="7">
        <v>10041573505</v>
      </c>
      <c r="O78" s="7"/>
      <c r="P78" s="201"/>
      <c r="Q78" s="28" t="s">
        <v>11</v>
      </c>
      <c r="R78" s="28" t="s">
        <v>11</v>
      </c>
      <c r="S78" s="28" t="s">
        <v>11</v>
      </c>
      <c r="T78" s="28" t="s">
        <v>11</v>
      </c>
      <c r="U78" s="28" t="s">
        <v>9</v>
      </c>
      <c r="V78" s="28" t="s">
        <v>9</v>
      </c>
      <c r="W78" s="28" t="s">
        <v>9</v>
      </c>
      <c r="X78" s="28" t="s">
        <v>9</v>
      </c>
      <c r="Y78" s="28" t="s">
        <v>9</v>
      </c>
      <c r="Z78" s="28" t="s">
        <v>9</v>
      </c>
      <c r="AA78" s="28" t="s">
        <v>9</v>
      </c>
      <c r="AB78" s="28" t="s">
        <v>9</v>
      </c>
      <c r="AC78" s="28" t="s">
        <v>9</v>
      </c>
      <c r="AD78" s="28" t="s">
        <v>9</v>
      </c>
      <c r="AE78" s="28" t="s">
        <v>9</v>
      </c>
      <c r="AF78" s="28" t="s">
        <v>10</v>
      </c>
      <c r="AG78" s="24">
        <f t="shared" si="5"/>
        <v>11</v>
      </c>
      <c r="AH78" s="24">
        <f t="shared" si="6"/>
        <v>0</v>
      </c>
      <c r="AI78" s="24">
        <f t="shared" si="7"/>
        <v>4</v>
      </c>
      <c r="AJ78" s="41" t="str" cm="1">
        <f t="array" ref="AJ78">_xlfn.IFS(
$AG78=15,"Not Started",
$AI78&lt;15,"In Progress",
$AI78=15,"Completed",
SUM(AG78:AI78)&gt;15,"Error"
)</f>
        <v>In Progress</v>
      </c>
    </row>
    <row r="79" spans="1:36" ht="13" x14ac:dyDescent="0.25">
      <c r="A79" s="291"/>
      <c r="B79" s="64">
        <v>76</v>
      </c>
      <c r="C79" s="7" t="s">
        <v>1533</v>
      </c>
      <c r="D79" s="53" t="s">
        <v>8140</v>
      </c>
      <c r="E79" s="61" t="s">
        <v>8139</v>
      </c>
      <c r="F79" s="57" t="s">
        <v>47</v>
      </c>
      <c r="G79" s="10" t="s">
        <v>44</v>
      </c>
      <c r="H79" s="7" t="s">
        <v>5975</v>
      </c>
      <c r="I79" s="7" t="s">
        <v>5975</v>
      </c>
      <c r="J79" s="7">
        <v>27.515979009999999</v>
      </c>
      <c r="K79" s="7">
        <v>41.706440450000002</v>
      </c>
      <c r="L79" s="7" t="str">
        <f t="shared" si="4"/>
        <v>27.51597901,41.70644045</v>
      </c>
      <c r="M79" s="7" t="s">
        <v>8369</v>
      </c>
      <c r="N79" s="7">
        <v>10084724018</v>
      </c>
      <c r="O79" s="7"/>
      <c r="P79" s="201"/>
      <c r="Q79" s="28" t="s">
        <v>11</v>
      </c>
      <c r="R79" s="28" t="s">
        <v>11</v>
      </c>
      <c r="S79" s="28" t="s">
        <v>11</v>
      </c>
      <c r="T79" s="28" t="s">
        <v>11</v>
      </c>
      <c r="U79" s="28" t="s">
        <v>9</v>
      </c>
      <c r="V79" s="28" t="s">
        <v>9</v>
      </c>
      <c r="W79" s="28" t="s">
        <v>9</v>
      </c>
      <c r="X79" s="28" t="s">
        <v>9</v>
      </c>
      <c r="Y79" s="28" t="s">
        <v>9</v>
      </c>
      <c r="Z79" s="28" t="s">
        <v>9</v>
      </c>
      <c r="AA79" s="28" t="s">
        <v>9</v>
      </c>
      <c r="AB79" s="28" t="s">
        <v>9</v>
      </c>
      <c r="AC79" s="28" t="s">
        <v>9</v>
      </c>
      <c r="AD79" s="28" t="s">
        <v>9</v>
      </c>
      <c r="AE79" s="28" t="s">
        <v>9</v>
      </c>
      <c r="AF79" s="28" t="s">
        <v>10</v>
      </c>
      <c r="AG79" s="24">
        <f t="shared" si="5"/>
        <v>11</v>
      </c>
      <c r="AH79" s="24">
        <f t="shared" si="6"/>
        <v>0</v>
      </c>
      <c r="AI79" s="24">
        <f t="shared" si="7"/>
        <v>4</v>
      </c>
      <c r="AJ79" s="41" t="str" cm="1">
        <f t="array" ref="AJ79">_xlfn.IFS(
$AG79=15,"Not Started",
$AI79&lt;15,"In Progress",
$AI79=15,"Completed",
SUM(AG79:AI79)&gt;15,"Error"
)</f>
        <v>In Progress</v>
      </c>
    </row>
    <row r="80" spans="1:36" ht="13" x14ac:dyDescent="0.25">
      <c r="A80" s="291"/>
      <c r="B80" s="86">
        <v>77</v>
      </c>
      <c r="C80" s="14" t="s">
        <v>1534</v>
      </c>
      <c r="D80" s="53" t="s">
        <v>8141</v>
      </c>
      <c r="E80" s="61" t="s">
        <v>6429</v>
      </c>
      <c r="F80" s="57" t="s">
        <v>43</v>
      </c>
      <c r="G80" s="10" t="s">
        <v>44</v>
      </c>
      <c r="H80" s="7" t="s">
        <v>5975</v>
      </c>
      <c r="I80" s="7" t="s">
        <v>5975</v>
      </c>
      <c r="J80" s="7">
        <v>27.516991999999998</v>
      </c>
      <c r="K80" s="7">
        <v>41.706862999999998</v>
      </c>
      <c r="L80" s="7" t="str">
        <f t="shared" si="4"/>
        <v>27.516992,41.706863</v>
      </c>
      <c r="M80" s="7" t="s">
        <v>8370</v>
      </c>
      <c r="N80" s="7">
        <v>10041536083</v>
      </c>
      <c r="O80" s="7"/>
      <c r="P80" s="201"/>
      <c r="Q80" s="28" t="s">
        <v>11</v>
      </c>
      <c r="R80" s="28" t="s">
        <v>11</v>
      </c>
      <c r="S80" s="28" t="s">
        <v>11</v>
      </c>
      <c r="T80" s="28" t="s">
        <v>11</v>
      </c>
      <c r="U80" s="28" t="s">
        <v>9</v>
      </c>
      <c r="V80" s="28" t="s">
        <v>9</v>
      </c>
      <c r="W80" s="28" t="s">
        <v>9</v>
      </c>
      <c r="X80" s="28" t="s">
        <v>9</v>
      </c>
      <c r="Y80" s="28" t="s">
        <v>9</v>
      </c>
      <c r="Z80" s="28" t="s">
        <v>9</v>
      </c>
      <c r="AA80" s="28" t="s">
        <v>9</v>
      </c>
      <c r="AB80" s="28" t="s">
        <v>9</v>
      </c>
      <c r="AC80" s="28" t="s">
        <v>9</v>
      </c>
      <c r="AD80" s="28" t="s">
        <v>9</v>
      </c>
      <c r="AE80" s="28" t="s">
        <v>9</v>
      </c>
      <c r="AF80" s="28" t="s">
        <v>10</v>
      </c>
      <c r="AG80" s="24">
        <f t="shared" si="5"/>
        <v>11</v>
      </c>
      <c r="AH80" s="24">
        <f t="shared" si="6"/>
        <v>0</v>
      </c>
      <c r="AI80" s="24">
        <f t="shared" si="7"/>
        <v>4</v>
      </c>
      <c r="AJ80" s="41" t="str" cm="1">
        <f t="array" ref="AJ80">_xlfn.IFS(
$AG80=15,"Not Started",
$AI80&lt;15,"In Progress",
$AI80=15,"Completed",
SUM(AG80:AI80)&gt;15,"Error"
)</f>
        <v>In Progress</v>
      </c>
    </row>
    <row r="81" spans="1:36" ht="13" x14ac:dyDescent="0.25">
      <c r="A81" s="291"/>
      <c r="B81" s="64">
        <v>78</v>
      </c>
      <c r="C81" s="7" t="s">
        <v>1535</v>
      </c>
      <c r="D81" s="53" t="s">
        <v>8143</v>
      </c>
      <c r="E81" s="61" t="s">
        <v>8142</v>
      </c>
      <c r="F81" s="57" t="s">
        <v>43</v>
      </c>
      <c r="G81" s="10" t="s">
        <v>48</v>
      </c>
      <c r="H81" s="7" t="s">
        <v>5975</v>
      </c>
      <c r="I81" s="7" t="s">
        <v>5975</v>
      </c>
      <c r="J81" s="7">
        <v>27.533460999999999</v>
      </c>
      <c r="K81" s="7">
        <v>41.680306999999999</v>
      </c>
      <c r="L81" s="7" t="str">
        <f t="shared" si="4"/>
        <v>27.533461,41.680307</v>
      </c>
      <c r="M81" s="7" t="s">
        <v>8371</v>
      </c>
      <c r="N81" s="7">
        <v>10041563901</v>
      </c>
      <c r="O81" s="7"/>
      <c r="P81" s="201"/>
      <c r="Q81" s="28" t="s">
        <v>9</v>
      </c>
      <c r="R81" s="28" t="s">
        <v>9</v>
      </c>
      <c r="S81" s="28" t="s">
        <v>9</v>
      </c>
      <c r="T81" s="28" t="s">
        <v>9</v>
      </c>
      <c r="U81" s="28" t="s">
        <v>9</v>
      </c>
      <c r="V81" s="28" t="s">
        <v>9</v>
      </c>
      <c r="W81" s="28" t="s">
        <v>9</v>
      </c>
      <c r="X81" s="28" t="s">
        <v>9</v>
      </c>
      <c r="Y81" s="28" t="s">
        <v>9</v>
      </c>
      <c r="Z81" s="28" t="s">
        <v>9</v>
      </c>
      <c r="AA81" s="28" t="s">
        <v>9</v>
      </c>
      <c r="AB81" s="28" t="s">
        <v>9</v>
      </c>
      <c r="AC81" s="28" t="s">
        <v>9</v>
      </c>
      <c r="AD81" s="28" t="s">
        <v>9</v>
      </c>
      <c r="AE81" s="28" t="s">
        <v>9</v>
      </c>
      <c r="AF81" s="28" t="s">
        <v>9</v>
      </c>
      <c r="AG81" s="24">
        <f t="shared" si="5"/>
        <v>15</v>
      </c>
      <c r="AH81" s="24">
        <f t="shared" si="6"/>
        <v>0</v>
      </c>
      <c r="AI81" s="24">
        <f t="shared" si="7"/>
        <v>0</v>
      </c>
      <c r="AJ81" s="41" t="str" cm="1">
        <f t="array" ref="AJ81">_xlfn.IFS(
$AG81=15,"Not Started",
$AI81&lt;15,"In Progress",
$AI81=15,"Completed",
SUM(AG81:AI81)&gt;15,"Error"
)</f>
        <v>Not Started</v>
      </c>
    </row>
    <row r="82" spans="1:36" ht="13" x14ac:dyDescent="0.25">
      <c r="A82" s="291"/>
      <c r="B82" s="86">
        <v>79</v>
      </c>
      <c r="C82" s="14" t="s">
        <v>1536</v>
      </c>
      <c r="D82" s="53" t="s">
        <v>6750</v>
      </c>
      <c r="E82" s="61" t="s">
        <v>6946</v>
      </c>
      <c r="F82" s="57" t="s">
        <v>43</v>
      </c>
      <c r="G82" s="10" t="s">
        <v>44</v>
      </c>
      <c r="H82" s="7" t="s">
        <v>5975</v>
      </c>
      <c r="I82" s="7" t="s">
        <v>5975</v>
      </c>
      <c r="J82" s="7">
        <v>27.534608209999998</v>
      </c>
      <c r="K82" s="7">
        <v>41.679618359999999</v>
      </c>
      <c r="L82" s="7" t="str">
        <f t="shared" si="4"/>
        <v>27.53460821,41.67961836</v>
      </c>
      <c r="M82" s="7" t="s">
        <v>8372</v>
      </c>
      <c r="N82" s="7">
        <v>10041475139</v>
      </c>
      <c r="O82" s="7"/>
      <c r="P82" s="202">
        <v>46146</v>
      </c>
      <c r="Q82" s="28" t="s">
        <v>11</v>
      </c>
      <c r="R82" s="28" t="s">
        <v>11</v>
      </c>
      <c r="S82" s="28" t="s">
        <v>11</v>
      </c>
      <c r="T82" s="28" t="s">
        <v>11</v>
      </c>
      <c r="U82" s="28" t="s">
        <v>9</v>
      </c>
      <c r="V82" s="28" t="s">
        <v>9</v>
      </c>
      <c r="W82" s="28" t="s">
        <v>9</v>
      </c>
      <c r="X82" s="28" t="s">
        <v>9</v>
      </c>
      <c r="Y82" s="28" t="s">
        <v>9</v>
      </c>
      <c r="Z82" s="28" t="s">
        <v>9</v>
      </c>
      <c r="AA82" s="28" t="s">
        <v>9</v>
      </c>
      <c r="AB82" s="28" t="s">
        <v>9</v>
      </c>
      <c r="AC82" s="28" t="s">
        <v>9</v>
      </c>
      <c r="AD82" s="28" t="s">
        <v>9</v>
      </c>
      <c r="AE82" s="28" t="s">
        <v>9</v>
      </c>
      <c r="AF82" s="28" t="s">
        <v>10</v>
      </c>
      <c r="AG82" s="24">
        <f t="shared" si="5"/>
        <v>11</v>
      </c>
      <c r="AH82" s="24">
        <f t="shared" si="6"/>
        <v>0</v>
      </c>
      <c r="AI82" s="24">
        <f t="shared" si="7"/>
        <v>4</v>
      </c>
      <c r="AJ82" s="41" t="str" cm="1">
        <f t="array" ref="AJ82">_xlfn.IFS(
$AG82=15,"Not Started",
$AI82&lt;15,"In Progress",
$AI82=15,"Completed",
SUM(AG82:AI82)&gt;15,"Error"
)</f>
        <v>In Progress</v>
      </c>
    </row>
    <row r="83" spans="1:36" ht="13" x14ac:dyDescent="0.25">
      <c r="A83" s="291"/>
      <c r="B83" s="64">
        <v>80</v>
      </c>
      <c r="C83" s="7" t="s">
        <v>1537</v>
      </c>
      <c r="D83" s="53" t="s">
        <v>8145</v>
      </c>
      <c r="E83" s="61" t="s">
        <v>8144</v>
      </c>
      <c r="F83" s="57" t="s">
        <v>47</v>
      </c>
      <c r="G83" s="10" t="s">
        <v>48</v>
      </c>
      <c r="H83" s="7" t="s">
        <v>5975</v>
      </c>
      <c r="I83" s="7" t="s">
        <v>5975</v>
      </c>
      <c r="J83" s="7">
        <v>27.502943999999999</v>
      </c>
      <c r="K83" s="7">
        <v>41.723449000000002</v>
      </c>
      <c r="L83" s="7" t="str">
        <f t="shared" si="4"/>
        <v>27.502944,41.723449</v>
      </c>
      <c r="M83" s="7" t="s">
        <v>8373</v>
      </c>
      <c r="N83" s="7">
        <v>10041665090</v>
      </c>
      <c r="O83" s="7"/>
      <c r="P83" s="201"/>
      <c r="Q83" s="28" t="s">
        <v>11</v>
      </c>
      <c r="R83" s="28" t="s">
        <v>11</v>
      </c>
      <c r="S83" s="28" t="s">
        <v>11</v>
      </c>
      <c r="T83" s="28" t="s">
        <v>11</v>
      </c>
      <c r="U83" s="28" t="s">
        <v>9</v>
      </c>
      <c r="V83" s="28" t="s">
        <v>9</v>
      </c>
      <c r="W83" s="28" t="s">
        <v>9</v>
      </c>
      <c r="X83" s="28" t="s">
        <v>9</v>
      </c>
      <c r="Y83" s="28" t="s">
        <v>9</v>
      </c>
      <c r="Z83" s="28" t="s">
        <v>9</v>
      </c>
      <c r="AA83" s="28" t="s">
        <v>9</v>
      </c>
      <c r="AB83" s="28" t="s">
        <v>9</v>
      </c>
      <c r="AC83" s="28" t="s">
        <v>9</v>
      </c>
      <c r="AD83" s="28" t="s">
        <v>9</v>
      </c>
      <c r="AE83" s="28" t="s">
        <v>9</v>
      </c>
      <c r="AF83" s="28" t="s">
        <v>10</v>
      </c>
      <c r="AG83" s="24">
        <f t="shared" si="5"/>
        <v>11</v>
      </c>
      <c r="AH83" s="24">
        <f t="shared" si="6"/>
        <v>0</v>
      </c>
      <c r="AI83" s="24">
        <f t="shared" si="7"/>
        <v>4</v>
      </c>
      <c r="AJ83" s="41" t="str" cm="1">
        <f t="array" ref="AJ83">_xlfn.IFS(
$AG83=15,"Not Started",
$AI83&lt;15,"In Progress",
$AI83=15,"Completed",
SUM(AG83:AI83)&gt;15,"Error"
)</f>
        <v>In Progress</v>
      </c>
    </row>
    <row r="84" spans="1:36" ht="13" x14ac:dyDescent="0.25">
      <c r="A84" s="291"/>
      <c r="B84" s="86">
        <v>81</v>
      </c>
      <c r="C84" s="14" t="s">
        <v>1538</v>
      </c>
      <c r="D84" s="53" t="s">
        <v>8147</v>
      </c>
      <c r="E84" s="61" t="s">
        <v>8146</v>
      </c>
      <c r="F84" s="57" t="s">
        <v>43</v>
      </c>
      <c r="G84" s="10" t="s">
        <v>48</v>
      </c>
      <c r="H84" s="7" t="s">
        <v>5975</v>
      </c>
      <c r="I84" s="7" t="s">
        <v>5975</v>
      </c>
      <c r="J84" s="7">
        <v>27.50269497</v>
      </c>
      <c r="K84" s="7">
        <v>41.722812650000002</v>
      </c>
      <c r="L84" s="7" t="str">
        <f t="shared" si="4"/>
        <v>27.50269497,41.72281265</v>
      </c>
      <c r="M84" s="7" t="s">
        <v>8374</v>
      </c>
      <c r="N84" s="7">
        <v>10041526953</v>
      </c>
      <c r="O84" s="7"/>
      <c r="P84" s="201"/>
      <c r="Q84" s="28" t="s">
        <v>11</v>
      </c>
      <c r="R84" s="28" t="s">
        <v>11</v>
      </c>
      <c r="S84" s="28" t="s">
        <v>11</v>
      </c>
      <c r="T84" s="28" t="s">
        <v>11</v>
      </c>
      <c r="U84" s="28" t="s">
        <v>10</v>
      </c>
      <c r="V84" s="28" t="s">
        <v>11</v>
      </c>
      <c r="W84" s="28" t="s">
        <v>9</v>
      </c>
      <c r="X84" s="28" t="s">
        <v>9</v>
      </c>
      <c r="Y84" s="28" t="s">
        <v>9</v>
      </c>
      <c r="Z84" s="28" t="s">
        <v>9</v>
      </c>
      <c r="AA84" s="28" t="s">
        <v>9</v>
      </c>
      <c r="AB84" s="28" t="s">
        <v>9</v>
      </c>
      <c r="AC84" s="28" t="s">
        <v>9</v>
      </c>
      <c r="AD84" s="28" t="s">
        <v>9</v>
      </c>
      <c r="AE84" s="28" t="s">
        <v>9</v>
      </c>
      <c r="AF84" s="28" t="s">
        <v>10</v>
      </c>
      <c r="AG84" s="24">
        <f t="shared" si="5"/>
        <v>9</v>
      </c>
      <c r="AH84" s="24">
        <f t="shared" si="6"/>
        <v>1</v>
      </c>
      <c r="AI84" s="24">
        <f t="shared" si="7"/>
        <v>5</v>
      </c>
      <c r="AJ84" s="41" t="str" cm="1">
        <f t="array" ref="AJ84">_xlfn.IFS(
$AG84=15,"Not Started",
$AI84&lt;15,"In Progress",
$AI84=15,"Completed",
SUM(AG84:AI84)&gt;15,"Error"
)</f>
        <v>In Progress</v>
      </c>
    </row>
    <row r="85" spans="1:36" ht="13" x14ac:dyDescent="0.25">
      <c r="A85" s="291"/>
      <c r="B85" s="64">
        <v>82</v>
      </c>
      <c r="C85" s="7" t="s">
        <v>1539</v>
      </c>
      <c r="D85" s="53" t="s">
        <v>8149</v>
      </c>
      <c r="E85" s="61" t="s">
        <v>8148</v>
      </c>
      <c r="F85" s="57" t="s">
        <v>43</v>
      </c>
      <c r="G85" s="10" t="s">
        <v>48</v>
      </c>
      <c r="H85" s="7" t="s">
        <v>5975</v>
      </c>
      <c r="I85" s="7" t="s">
        <v>5975</v>
      </c>
      <c r="J85" s="7">
        <v>27.502447539999999</v>
      </c>
      <c r="K85" s="7">
        <v>41.723241809999998</v>
      </c>
      <c r="L85" s="7" t="str">
        <f t="shared" si="4"/>
        <v>27.50244754,41.72324181</v>
      </c>
      <c r="M85" s="7" t="s">
        <v>8375</v>
      </c>
      <c r="N85" s="7">
        <v>10041428353</v>
      </c>
      <c r="O85" s="7"/>
      <c r="P85" s="201"/>
      <c r="Q85" s="28" t="s">
        <v>11</v>
      </c>
      <c r="R85" s="28" t="s">
        <v>11</v>
      </c>
      <c r="S85" s="28" t="s">
        <v>11</v>
      </c>
      <c r="T85" s="28" t="s">
        <v>11</v>
      </c>
      <c r="U85" s="28" t="s">
        <v>9</v>
      </c>
      <c r="V85" s="28" t="s">
        <v>9</v>
      </c>
      <c r="W85" s="28" t="s">
        <v>9</v>
      </c>
      <c r="X85" s="28" t="s">
        <v>9</v>
      </c>
      <c r="Y85" s="28" t="s">
        <v>9</v>
      </c>
      <c r="Z85" s="28" t="s">
        <v>9</v>
      </c>
      <c r="AA85" s="28" t="s">
        <v>9</v>
      </c>
      <c r="AB85" s="28" t="s">
        <v>9</v>
      </c>
      <c r="AC85" s="28" t="s">
        <v>9</v>
      </c>
      <c r="AD85" s="28" t="s">
        <v>9</v>
      </c>
      <c r="AE85" s="28" t="s">
        <v>9</v>
      </c>
      <c r="AF85" s="28" t="s">
        <v>10</v>
      </c>
      <c r="AG85" s="24">
        <f t="shared" si="5"/>
        <v>11</v>
      </c>
      <c r="AH85" s="24">
        <f t="shared" si="6"/>
        <v>0</v>
      </c>
      <c r="AI85" s="24">
        <f t="shared" si="7"/>
        <v>4</v>
      </c>
      <c r="AJ85" s="41" t="str" cm="1">
        <f t="array" ref="AJ85">_xlfn.IFS(
$AG85=15,"Not Started",
$AI85&lt;15,"In Progress",
$AI85=15,"Completed",
SUM(AG85:AI85)&gt;15,"Error"
)</f>
        <v>In Progress</v>
      </c>
    </row>
    <row r="86" spans="1:36" ht="13" x14ac:dyDescent="0.25">
      <c r="A86" s="291"/>
      <c r="B86" s="86">
        <v>83</v>
      </c>
      <c r="C86" s="14" t="s">
        <v>1540</v>
      </c>
      <c r="D86" s="53" t="s">
        <v>8151</v>
      </c>
      <c r="E86" s="61" t="s">
        <v>8150</v>
      </c>
      <c r="F86" s="57" t="s">
        <v>51</v>
      </c>
      <c r="G86" s="10" t="s">
        <v>44</v>
      </c>
      <c r="H86" s="7" t="s">
        <v>5975</v>
      </c>
      <c r="I86" s="7" t="s">
        <v>5975</v>
      </c>
      <c r="J86" s="7">
        <v>27.53425064</v>
      </c>
      <c r="K86" s="7">
        <v>41.68317442</v>
      </c>
      <c r="L86" s="7" t="str">
        <f t="shared" si="4"/>
        <v>27.53425064,41.68317442</v>
      </c>
      <c r="M86" s="7" t="s">
        <v>8376</v>
      </c>
      <c r="N86" s="7">
        <v>10041593722</v>
      </c>
      <c r="O86" s="7"/>
      <c r="P86" s="202">
        <v>45781</v>
      </c>
      <c r="Q86" s="28" t="s">
        <v>11</v>
      </c>
      <c r="R86" s="28" t="s">
        <v>11</v>
      </c>
      <c r="S86" s="28" t="s">
        <v>11</v>
      </c>
      <c r="T86" s="28" t="s">
        <v>11</v>
      </c>
      <c r="U86" s="28" t="s">
        <v>9</v>
      </c>
      <c r="V86" s="28" t="s">
        <v>9</v>
      </c>
      <c r="W86" s="28" t="s">
        <v>9</v>
      </c>
      <c r="X86" s="28" t="s">
        <v>9</v>
      </c>
      <c r="Y86" s="28" t="s">
        <v>9</v>
      </c>
      <c r="Z86" s="28" t="s">
        <v>9</v>
      </c>
      <c r="AA86" s="28" t="s">
        <v>9</v>
      </c>
      <c r="AB86" s="28" t="s">
        <v>9</v>
      </c>
      <c r="AC86" s="28" t="s">
        <v>9</v>
      </c>
      <c r="AD86" s="28" t="s">
        <v>9</v>
      </c>
      <c r="AE86" s="28" t="s">
        <v>9</v>
      </c>
      <c r="AF86" s="28" t="s">
        <v>10</v>
      </c>
      <c r="AG86" s="24">
        <f t="shared" si="5"/>
        <v>11</v>
      </c>
      <c r="AH86" s="24">
        <f t="shared" si="6"/>
        <v>0</v>
      </c>
      <c r="AI86" s="24">
        <f t="shared" si="7"/>
        <v>4</v>
      </c>
      <c r="AJ86" s="41" t="str" cm="1">
        <f t="array" ref="AJ86">_xlfn.IFS(
$AG86=15,"Not Started",
$AI86&lt;15,"In Progress",
$AI86=15,"Completed",
SUM(AG86:AI86)&gt;15,"Error"
)</f>
        <v>In Progress</v>
      </c>
    </row>
    <row r="87" spans="1:36" ht="13" x14ac:dyDescent="0.25">
      <c r="A87" s="291"/>
      <c r="B87" s="64">
        <v>84</v>
      </c>
      <c r="C87" s="7" t="s">
        <v>1541</v>
      </c>
      <c r="D87" s="53" t="s">
        <v>8153</v>
      </c>
      <c r="E87" s="61" t="s">
        <v>8152</v>
      </c>
      <c r="F87" s="57" t="s">
        <v>47</v>
      </c>
      <c r="G87" s="10" t="s">
        <v>44</v>
      </c>
      <c r="H87" s="7" t="s">
        <v>5975</v>
      </c>
      <c r="I87" s="7" t="s">
        <v>5975</v>
      </c>
      <c r="J87" s="7">
        <v>27.533919999999998</v>
      </c>
      <c r="K87" s="7">
        <v>41.684111000000001</v>
      </c>
      <c r="L87" s="7" t="str">
        <f t="shared" si="4"/>
        <v>27.53392,41.684111</v>
      </c>
      <c r="M87" s="7" t="s">
        <v>8377</v>
      </c>
      <c r="N87" s="7">
        <v>10041841268</v>
      </c>
      <c r="O87" s="7"/>
      <c r="P87" s="201"/>
      <c r="Q87" s="28" t="s">
        <v>9</v>
      </c>
      <c r="R87" s="28" t="s">
        <v>9</v>
      </c>
      <c r="S87" s="28" t="s">
        <v>9</v>
      </c>
      <c r="T87" s="28" t="s">
        <v>9</v>
      </c>
      <c r="U87" s="28" t="s">
        <v>9</v>
      </c>
      <c r="V87" s="28" t="s">
        <v>9</v>
      </c>
      <c r="W87" s="28" t="s">
        <v>9</v>
      </c>
      <c r="X87" s="28" t="s">
        <v>9</v>
      </c>
      <c r="Y87" s="28" t="s">
        <v>9</v>
      </c>
      <c r="Z87" s="28" t="s">
        <v>9</v>
      </c>
      <c r="AA87" s="28" t="s">
        <v>9</v>
      </c>
      <c r="AB87" s="28" t="s">
        <v>9</v>
      </c>
      <c r="AC87" s="28" t="s">
        <v>9</v>
      </c>
      <c r="AD87" s="28" t="s">
        <v>9</v>
      </c>
      <c r="AE87" s="28" t="s">
        <v>9</v>
      </c>
      <c r="AF87" s="28" t="s">
        <v>9</v>
      </c>
      <c r="AG87" s="24">
        <f t="shared" si="5"/>
        <v>15</v>
      </c>
      <c r="AH87" s="24">
        <f t="shared" si="6"/>
        <v>0</v>
      </c>
      <c r="AI87" s="24">
        <f t="shared" si="7"/>
        <v>0</v>
      </c>
      <c r="AJ87" s="41" t="str" cm="1">
        <f t="array" ref="AJ87">_xlfn.IFS(
$AG87=15,"Not Started",
$AI87&lt;15,"In Progress",
$AI87=15,"Completed",
SUM(AG87:AI87)&gt;15,"Error"
)</f>
        <v>Not Started</v>
      </c>
    </row>
    <row r="88" spans="1:36" ht="13" x14ac:dyDescent="0.25">
      <c r="A88" s="291"/>
      <c r="B88" s="86">
        <v>85</v>
      </c>
      <c r="C88" s="14" t="s">
        <v>1542</v>
      </c>
      <c r="D88" s="53" t="s">
        <v>8155</v>
      </c>
      <c r="E88" s="61" t="s">
        <v>8154</v>
      </c>
      <c r="F88" s="57" t="s">
        <v>43</v>
      </c>
      <c r="G88" s="10" t="s">
        <v>48</v>
      </c>
      <c r="H88" s="7" t="s">
        <v>5975</v>
      </c>
      <c r="I88" s="7" t="s">
        <v>5975</v>
      </c>
      <c r="J88" s="7">
        <v>27.519302740000001</v>
      </c>
      <c r="K88" s="7">
        <v>41.708861140000003</v>
      </c>
      <c r="L88" s="7" t="str">
        <f t="shared" si="4"/>
        <v>27.51930274,41.70886114</v>
      </c>
      <c r="M88" s="7" t="s">
        <v>8378</v>
      </c>
      <c r="N88" s="7">
        <v>10041483490</v>
      </c>
      <c r="O88" s="7"/>
      <c r="P88" s="201"/>
      <c r="Q88" s="28" t="s">
        <v>11</v>
      </c>
      <c r="R88" s="28" t="s">
        <v>11</v>
      </c>
      <c r="S88" s="28" t="s">
        <v>11</v>
      </c>
      <c r="T88" s="28" t="s">
        <v>11</v>
      </c>
      <c r="U88" s="28" t="s">
        <v>9</v>
      </c>
      <c r="V88" s="28" t="s">
        <v>9</v>
      </c>
      <c r="W88" s="28" t="s">
        <v>9</v>
      </c>
      <c r="X88" s="28" t="s">
        <v>9</v>
      </c>
      <c r="Y88" s="28" t="s">
        <v>9</v>
      </c>
      <c r="Z88" s="28" t="s">
        <v>9</v>
      </c>
      <c r="AA88" s="28" t="s">
        <v>9</v>
      </c>
      <c r="AB88" s="28" t="s">
        <v>9</v>
      </c>
      <c r="AC88" s="28" t="s">
        <v>9</v>
      </c>
      <c r="AD88" s="28" t="s">
        <v>9</v>
      </c>
      <c r="AE88" s="28" t="s">
        <v>9</v>
      </c>
      <c r="AF88" s="28" t="s">
        <v>10</v>
      </c>
      <c r="AG88" s="24">
        <f t="shared" si="5"/>
        <v>11</v>
      </c>
      <c r="AH88" s="24">
        <f t="shared" si="6"/>
        <v>0</v>
      </c>
      <c r="AI88" s="24">
        <f t="shared" si="7"/>
        <v>4</v>
      </c>
      <c r="AJ88" s="41" t="str" cm="1">
        <f t="array" ref="AJ88">_xlfn.IFS(
$AG88=15,"Not Started",
$AI88&lt;15,"In Progress",
$AI88=15,"Completed",
SUM(AG88:AI88)&gt;15,"Error"
)</f>
        <v>In Progress</v>
      </c>
    </row>
    <row r="89" spans="1:36" ht="13" x14ac:dyDescent="0.25">
      <c r="A89" s="291"/>
      <c r="B89" s="64">
        <v>86</v>
      </c>
      <c r="C89" s="7" t="s">
        <v>1543</v>
      </c>
      <c r="D89" s="53" t="s">
        <v>8157</v>
      </c>
      <c r="E89" s="61" t="s">
        <v>8156</v>
      </c>
      <c r="F89" s="57" t="s">
        <v>43</v>
      </c>
      <c r="G89" s="10" t="s">
        <v>48</v>
      </c>
      <c r="H89" s="7" t="s">
        <v>5975</v>
      </c>
      <c r="I89" s="7" t="s">
        <v>5975</v>
      </c>
      <c r="J89" s="7">
        <v>27.563459000000002</v>
      </c>
      <c r="K89" s="7">
        <v>41.710272000000003</v>
      </c>
      <c r="L89" s="7" t="str">
        <f t="shared" si="4"/>
        <v>27.563459,41.710272</v>
      </c>
      <c r="M89" s="7" t="s">
        <v>8379</v>
      </c>
      <c r="N89" s="7">
        <v>10041774817</v>
      </c>
      <c r="O89" s="7"/>
      <c r="P89" s="201"/>
      <c r="Q89" s="28" t="s">
        <v>9</v>
      </c>
      <c r="R89" s="28" t="s">
        <v>9</v>
      </c>
      <c r="S89" s="28" t="s">
        <v>9</v>
      </c>
      <c r="T89" s="28" t="s">
        <v>9</v>
      </c>
      <c r="U89" s="28" t="s">
        <v>9</v>
      </c>
      <c r="V89" s="28" t="s">
        <v>9</v>
      </c>
      <c r="W89" s="28" t="s">
        <v>9</v>
      </c>
      <c r="X89" s="28" t="s">
        <v>9</v>
      </c>
      <c r="Y89" s="28" t="s">
        <v>9</v>
      </c>
      <c r="Z89" s="28" t="s">
        <v>9</v>
      </c>
      <c r="AA89" s="28" t="s">
        <v>9</v>
      </c>
      <c r="AB89" s="28" t="s">
        <v>9</v>
      </c>
      <c r="AC89" s="28" t="s">
        <v>9</v>
      </c>
      <c r="AD89" s="28" t="s">
        <v>9</v>
      </c>
      <c r="AE89" s="28" t="s">
        <v>9</v>
      </c>
      <c r="AF89" s="28" t="s">
        <v>9</v>
      </c>
      <c r="AG89" s="24">
        <f t="shared" si="5"/>
        <v>15</v>
      </c>
      <c r="AH89" s="24">
        <f t="shared" si="6"/>
        <v>0</v>
      </c>
      <c r="AI89" s="24">
        <f t="shared" si="7"/>
        <v>0</v>
      </c>
      <c r="AJ89" s="41" t="str" cm="1">
        <f t="array" ref="AJ89">_xlfn.IFS(
$AG89=15,"Not Started",
$AI89&lt;15,"In Progress",
$AI89=15,"Completed",
SUM(AG89:AI89)&gt;15,"Error"
)</f>
        <v>Not Started</v>
      </c>
    </row>
    <row r="90" spans="1:36" ht="13" x14ac:dyDescent="0.25">
      <c r="A90" s="291"/>
      <c r="B90" s="86">
        <v>87</v>
      </c>
      <c r="C90" s="14" t="s">
        <v>1544</v>
      </c>
      <c r="D90" s="53" t="s">
        <v>8159</v>
      </c>
      <c r="E90" s="61" t="s">
        <v>8158</v>
      </c>
      <c r="F90" s="57" t="s">
        <v>51</v>
      </c>
      <c r="G90" s="10" t="s">
        <v>48</v>
      </c>
      <c r="H90" s="7" t="s">
        <v>5975</v>
      </c>
      <c r="I90" s="7" t="s">
        <v>5975</v>
      </c>
      <c r="J90" s="7">
        <v>27.527153080000001</v>
      </c>
      <c r="K90" s="7">
        <v>41.698763579999998</v>
      </c>
      <c r="L90" s="7" t="str">
        <f t="shared" si="4"/>
        <v>27.52715308,41.69876358</v>
      </c>
      <c r="M90" s="7" t="s">
        <v>8380</v>
      </c>
      <c r="N90" s="7">
        <v>10041481477</v>
      </c>
      <c r="O90" s="7"/>
      <c r="P90" s="201">
        <v>46124</v>
      </c>
      <c r="Q90" s="28" t="s">
        <v>11</v>
      </c>
      <c r="R90" s="28" t="s">
        <v>11</v>
      </c>
      <c r="S90" s="28" t="s">
        <v>11</v>
      </c>
      <c r="T90" s="28" t="s">
        <v>11</v>
      </c>
      <c r="U90" s="28" t="s">
        <v>9</v>
      </c>
      <c r="V90" s="28" t="s">
        <v>9</v>
      </c>
      <c r="W90" s="28" t="s">
        <v>9</v>
      </c>
      <c r="X90" s="28" t="s">
        <v>9</v>
      </c>
      <c r="Y90" s="28" t="s">
        <v>9</v>
      </c>
      <c r="Z90" s="28" t="s">
        <v>9</v>
      </c>
      <c r="AA90" s="28" t="s">
        <v>9</v>
      </c>
      <c r="AB90" s="28" t="s">
        <v>9</v>
      </c>
      <c r="AC90" s="28" t="s">
        <v>9</v>
      </c>
      <c r="AD90" s="28" t="s">
        <v>9</v>
      </c>
      <c r="AE90" s="28" t="s">
        <v>9</v>
      </c>
      <c r="AF90" s="28" t="s">
        <v>10</v>
      </c>
      <c r="AG90" s="24">
        <f t="shared" si="5"/>
        <v>11</v>
      </c>
      <c r="AH90" s="24">
        <f t="shared" si="6"/>
        <v>0</v>
      </c>
      <c r="AI90" s="24">
        <f t="shared" si="7"/>
        <v>4</v>
      </c>
      <c r="AJ90" s="41" t="str" cm="1">
        <f t="array" ref="AJ90">_xlfn.IFS(
$AG90=15,"Not Started",
$AI90&lt;15,"In Progress",
$AI90=15,"Completed",
SUM(AG90:AI90)&gt;15,"Error"
)</f>
        <v>In Progress</v>
      </c>
    </row>
    <row r="91" spans="1:36" ht="13" x14ac:dyDescent="0.25">
      <c r="A91" s="291"/>
      <c r="B91" s="64">
        <v>88</v>
      </c>
      <c r="C91" s="7" t="s">
        <v>1545</v>
      </c>
      <c r="D91" s="53" t="s">
        <v>8161</v>
      </c>
      <c r="E91" s="61" t="s">
        <v>8160</v>
      </c>
      <c r="F91" s="57" t="s">
        <v>47</v>
      </c>
      <c r="G91" s="10" t="s">
        <v>44</v>
      </c>
      <c r="H91" s="7" t="s">
        <v>5975</v>
      </c>
      <c r="I91" s="7" t="s">
        <v>5975</v>
      </c>
      <c r="J91" s="7">
        <v>27.530908</v>
      </c>
      <c r="K91" s="7">
        <v>41.697623</v>
      </c>
      <c r="L91" s="7" t="str">
        <f t="shared" si="4"/>
        <v>27.530908,41.697623</v>
      </c>
      <c r="M91" s="7" t="s">
        <v>8381</v>
      </c>
      <c r="N91" s="7">
        <v>10041592055</v>
      </c>
      <c r="O91" s="7"/>
      <c r="P91" s="201">
        <v>46121</v>
      </c>
      <c r="Q91" s="28" t="s">
        <v>11</v>
      </c>
      <c r="R91" s="28" t="s">
        <v>11</v>
      </c>
      <c r="S91" s="28" t="s">
        <v>11</v>
      </c>
      <c r="T91" s="28" t="s">
        <v>11</v>
      </c>
      <c r="U91" s="28" t="s">
        <v>9</v>
      </c>
      <c r="V91" s="28" t="s">
        <v>9</v>
      </c>
      <c r="W91" s="28" t="s">
        <v>9</v>
      </c>
      <c r="X91" s="28" t="s">
        <v>9</v>
      </c>
      <c r="Y91" s="28" t="s">
        <v>9</v>
      </c>
      <c r="Z91" s="28" t="s">
        <v>9</v>
      </c>
      <c r="AA91" s="28" t="s">
        <v>9</v>
      </c>
      <c r="AB91" s="28" t="s">
        <v>9</v>
      </c>
      <c r="AC91" s="28" t="s">
        <v>9</v>
      </c>
      <c r="AD91" s="28" t="s">
        <v>9</v>
      </c>
      <c r="AE91" s="28" t="s">
        <v>9</v>
      </c>
      <c r="AF91" s="28" t="s">
        <v>10</v>
      </c>
      <c r="AG91" s="24">
        <f t="shared" si="5"/>
        <v>11</v>
      </c>
      <c r="AH91" s="24">
        <f t="shared" si="6"/>
        <v>0</v>
      </c>
      <c r="AI91" s="24">
        <f t="shared" si="7"/>
        <v>4</v>
      </c>
      <c r="AJ91" s="41" t="str" cm="1">
        <f t="array" ref="AJ91">_xlfn.IFS(
$AG91=15,"Not Started",
$AI91&lt;15,"In Progress",
$AI91=15,"Completed",
SUM(AG91:AI91)&gt;15,"Error"
)</f>
        <v>In Progress</v>
      </c>
    </row>
    <row r="92" spans="1:36" ht="13" x14ac:dyDescent="0.25">
      <c r="A92" s="291"/>
      <c r="B92" s="86">
        <v>89</v>
      </c>
      <c r="C92" s="14" t="s">
        <v>1546</v>
      </c>
      <c r="D92" s="53" t="s">
        <v>8163</v>
      </c>
      <c r="E92" s="61" t="s">
        <v>8162</v>
      </c>
      <c r="F92" s="57" t="s">
        <v>47</v>
      </c>
      <c r="G92" s="10" t="s">
        <v>44</v>
      </c>
      <c r="H92" s="7" t="s">
        <v>5975</v>
      </c>
      <c r="I92" s="7" t="s">
        <v>5975</v>
      </c>
      <c r="J92" s="7">
        <v>27.550634873285698</v>
      </c>
      <c r="K92" s="7">
        <v>41.673240010891</v>
      </c>
      <c r="L92" s="7" t="str">
        <f t="shared" si="4"/>
        <v>27.5506348732857,41.673240010891</v>
      </c>
      <c r="M92" s="7" t="s">
        <v>8382</v>
      </c>
      <c r="N92" s="7">
        <v>10092774604</v>
      </c>
      <c r="O92" s="7"/>
      <c r="P92" s="201"/>
      <c r="Q92" s="28" t="s">
        <v>9</v>
      </c>
      <c r="R92" s="28" t="s">
        <v>9</v>
      </c>
      <c r="S92" s="28" t="s">
        <v>9</v>
      </c>
      <c r="T92" s="28" t="s">
        <v>9</v>
      </c>
      <c r="U92" s="28" t="s">
        <v>9</v>
      </c>
      <c r="V92" s="28" t="s">
        <v>9</v>
      </c>
      <c r="W92" s="28" t="s">
        <v>9</v>
      </c>
      <c r="X92" s="28" t="s">
        <v>9</v>
      </c>
      <c r="Y92" s="28" t="s">
        <v>9</v>
      </c>
      <c r="Z92" s="28" t="s">
        <v>9</v>
      </c>
      <c r="AA92" s="28" t="s">
        <v>9</v>
      </c>
      <c r="AB92" s="28" t="s">
        <v>9</v>
      </c>
      <c r="AC92" s="28" t="s">
        <v>9</v>
      </c>
      <c r="AD92" s="28" t="s">
        <v>9</v>
      </c>
      <c r="AE92" s="28" t="s">
        <v>9</v>
      </c>
      <c r="AF92" s="28" t="s">
        <v>9</v>
      </c>
      <c r="AG92" s="24">
        <f t="shared" si="5"/>
        <v>15</v>
      </c>
      <c r="AH92" s="24">
        <f t="shared" si="6"/>
        <v>0</v>
      </c>
      <c r="AI92" s="24">
        <f t="shared" si="7"/>
        <v>0</v>
      </c>
      <c r="AJ92" s="41" t="str" cm="1">
        <f t="array" ref="AJ92">_xlfn.IFS(
$AG92=15,"Not Started",
$AI92&lt;15,"In Progress",
$AI92=15,"Completed",
SUM(AG92:AI92)&gt;15,"Error"
)</f>
        <v>Not Started</v>
      </c>
    </row>
    <row r="93" spans="1:36" ht="13" x14ac:dyDescent="0.25">
      <c r="A93" s="291"/>
      <c r="B93" s="64">
        <v>90</v>
      </c>
      <c r="C93" s="7" t="s">
        <v>1547</v>
      </c>
      <c r="D93" s="53" t="s">
        <v>8165</v>
      </c>
      <c r="E93" s="61" t="s">
        <v>8164</v>
      </c>
      <c r="F93" s="57" t="s">
        <v>51</v>
      </c>
      <c r="G93" s="10" t="s">
        <v>44</v>
      </c>
      <c r="H93" s="7" t="s">
        <v>5975</v>
      </c>
      <c r="I93" s="7" t="s">
        <v>5975</v>
      </c>
      <c r="J93" s="7">
        <v>27.551171</v>
      </c>
      <c r="K93" s="7">
        <v>41.686266000000003</v>
      </c>
      <c r="L93" s="7" t="str">
        <f t="shared" si="4"/>
        <v>27.551171,41.686266</v>
      </c>
      <c r="M93" s="7" t="s">
        <v>8383</v>
      </c>
      <c r="N93" s="7">
        <v>10041693684</v>
      </c>
      <c r="O93" s="7"/>
      <c r="P93" s="201"/>
      <c r="Q93" s="28" t="s">
        <v>11</v>
      </c>
      <c r="R93" s="28" t="s">
        <v>11</v>
      </c>
      <c r="S93" s="28" t="s">
        <v>11</v>
      </c>
      <c r="T93" s="28" t="s">
        <v>11</v>
      </c>
      <c r="U93" s="28" t="s">
        <v>9</v>
      </c>
      <c r="V93" s="28" t="s">
        <v>9</v>
      </c>
      <c r="W93" s="28" t="s">
        <v>9</v>
      </c>
      <c r="X93" s="28" t="s">
        <v>9</v>
      </c>
      <c r="Y93" s="28" t="s">
        <v>9</v>
      </c>
      <c r="Z93" s="28" t="s">
        <v>9</v>
      </c>
      <c r="AA93" s="28" t="s">
        <v>9</v>
      </c>
      <c r="AB93" s="28" t="s">
        <v>9</v>
      </c>
      <c r="AC93" s="28" t="s">
        <v>9</v>
      </c>
      <c r="AD93" s="28" t="s">
        <v>9</v>
      </c>
      <c r="AE93" s="28" t="s">
        <v>9</v>
      </c>
      <c r="AF93" s="28" t="s">
        <v>10</v>
      </c>
      <c r="AG93" s="24">
        <f t="shared" si="5"/>
        <v>11</v>
      </c>
      <c r="AH93" s="24">
        <f t="shared" si="6"/>
        <v>0</v>
      </c>
      <c r="AI93" s="24">
        <f t="shared" si="7"/>
        <v>4</v>
      </c>
      <c r="AJ93" s="41" t="str" cm="1">
        <f t="array" ref="AJ93">_xlfn.IFS(
$AG93=15,"Not Started",
$AI93&lt;15,"In Progress",
$AI93=15,"Completed",
SUM(AG93:AI93)&gt;15,"Error"
)</f>
        <v>In Progress</v>
      </c>
    </row>
    <row r="94" spans="1:36" ht="13" x14ac:dyDescent="0.25">
      <c r="A94" s="291"/>
      <c r="B94" s="86">
        <v>91</v>
      </c>
      <c r="C94" s="14" t="s">
        <v>1548</v>
      </c>
      <c r="D94" s="53" t="s">
        <v>8166</v>
      </c>
      <c r="E94" s="61" t="s">
        <v>4798</v>
      </c>
      <c r="F94" s="57" t="s">
        <v>43</v>
      </c>
      <c r="G94" s="10" t="s">
        <v>44</v>
      </c>
      <c r="H94" s="7" t="s">
        <v>5975</v>
      </c>
      <c r="I94" s="7" t="s">
        <v>5975</v>
      </c>
      <c r="J94" s="7">
        <v>27.546190410000001</v>
      </c>
      <c r="K94" s="7">
        <v>41.677920520000001</v>
      </c>
      <c r="L94" s="7" t="str">
        <f t="shared" si="4"/>
        <v>27.54619041,41.67792052</v>
      </c>
      <c r="M94" s="7" t="s">
        <v>8384</v>
      </c>
      <c r="N94" s="7">
        <v>10041585918</v>
      </c>
      <c r="O94" s="7"/>
      <c r="P94" s="201"/>
      <c r="Q94" s="28" t="s">
        <v>9</v>
      </c>
      <c r="R94" s="28" t="s">
        <v>9</v>
      </c>
      <c r="S94" s="28" t="s">
        <v>9</v>
      </c>
      <c r="T94" s="28" t="s">
        <v>9</v>
      </c>
      <c r="U94" s="28" t="s">
        <v>9</v>
      </c>
      <c r="V94" s="28" t="s">
        <v>9</v>
      </c>
      <c r="W94" s="28" t="s">
        <v>9</v>
      </c>
      <c r="X94" s="28" t="s">
        <v>9</v>
      </c>
      <c r="Y94" s="28" t="s">
        <v>9</v>
      </c>
      <c r="Z94" s="28" t="s">
        <v>9</v>
      </c>
      <c r="AA94" s="28" t="s">
        <v>9</v>
      </c>
      <c r="AB94" s="28" t="s">
        <v>9</v>
      </c>
      <c r="AC94" s="28" t="s">
        <v>9</v>
      </c>
      <c r="AD94" s="28" t="s">
        <v>9</v>
      </c>
      <c r="AE94" s="28" t="s">
        <v>9</v>
      </c>
      <c r="AF94" s="28" t="s">
        <v>9</v>
      </c>
      <c r="AG94" s="24">
        <f t="shared" si="5"/>
        <v>15</v>
      </c>
      <c r="AH94" s="24">
        <f t="shared" si="6"/>
        <v>0</v>
      </c>
      <c r="AI94" s="24">
        <f t="shared" si="7"/>
        <v>0</v>
      </c>
      <c r="AJ94" s="41" t="str" cm="1">
        <f t="array" ref="AJ94">_xlfn.IFS(
$AG94=15,"Not Started",
$AI94&lt;15,"In Progress",
$AI94=15,"Completed",
SUM(AG94:AI94)&gt;15,"Error"
)</f>
        <v>Not Started</v>
      </c>
    </row>
    <row r="95" spans="1:36" ht="13" x14ac:dyDescent="0.25">
      <c r="A95" s="291"/>
      <c r="B95" s="64">
        <v>92</v>
      </c>
      <c r="C95" s="7" t="s">
        <v>1549</v>
      </c>
      <c r="D95" s="53" t="s">
        <v>8168</v>
      </c>
      <c r="E95" s="61" t="s">
        <v>8167</v>
      </c>
      <c r="F95" s="57" t="s">
        <v>43</v>
      </c>
      <c r="G95" s="10" t="s">
        <v>48</v>
      </c>
      <c r="H95" s="7" t="s">
        <v>5975</v>
      </c>
      <c r="I95" s="7" t="s">
        <v>5975</v>
      </c>
      <c r="J95" s="7">
        <v>27.548611000000001</v>
      </c>
      <c r="K95" s="7">
        <v>41.671802999999997</v>
      </c>
      <c r="L95" s="7" t="str">
        <f t="shared" si="4"/>
        <v>27.548611,41.671803</v>
      </c>
      <c r="M95" s="7" t="s">
        <v>8385</v>
      </c>
      <c r="N95" s="7">
        <v>10041661813</v>
      </c>
      <c r="O95" s="7"/>
      <c r="P95" s="201"/>
      <c r="Q95" s="28" t="s">
        <v>9</v>
      </c>
      <c r="R95" s="28" t="s">
        <v>9</v>
      </c>
      <c r="S95" s="28" t="s">
        <v>9</v>
      </c>
      <c r="T95" s="28" t="s">
        <v>9</v>
      </c>
      <c r="U95" s="28" t="s">
        <v>9</v>
      </c>
      <c r="V95" s="28" t="s">
        <v>9</v>
      </c>
      <c r="W95" s="28" t="s">
        <v>9</v>
      </c>
      <c r="X95" s="28" t="s">
        <v>9</v>
      </c>
      <c r="Y95" s="28" t="s">
        <v>9</v>
      </c>
      <c r="Z95" s="28" t="s">
        <v>9</v>
      </c>
      <c r="AA95" s="28" t="s">
        <v>9</v>
      </c>
      <c r="AB95" s="28" t="s">
        <v>9</v>
      </c>
      <c r="AC95" s="28" t="s">
        <v>9</v>
      </c>
      <c r="AD95" s="28" t="s">
        <v>9</v>
      </c>
      <c r="AE95" s="28" t="s">
        <v>9</v>
      </c>
      <c r="AF95" s="28" t="s">
        <v>9</v>
      </c>
      <c r="AG95" s="24">
        <f t="shared" si="5"/>
        <v>15</v>
      </c>
      <c r="AH95" s="24">
        <f t="shared" si="6"/>
        <v>0</v>
      </c>
      <c r="AI95" s="24">
        <f t="shared" si="7"/>
        <v>0</v>
      </c>
      <c r="AJ95" s="41" t="str" cm="1">
        <f t="array" ref="AJ95">_xlfn.IFS(
$AG95=15,"Not Started",
$AI95&lt;15,"In Progress",
$AI95=15,"Completed",
SUM(AG95:AI95)&gt;15,"Error"
)</f>
        <v>Not Started</v>
      </c>
    </row>
    <row r="96" spans="1:36" ht="13" x14ac:dyDescent="0.25">
      <c r="A96" s="291"/>
      <c r="B96" s="86">
        <v>93</v>
      </c>
      <c r="C96" s="14" t="s">
        <v>1550</v>
      </c>
      <c r="D96" s="53" t="s">
        <v>8170</v>
      </c>
      <c r="E96" s="61" t="s">
        <v>8169</v>
      </c>
      <c r="F96" s="57" t="s">
        <v>47</v>
      </c>
      <c r="G96" s="10" t="s">
        <v>48</v>
      </c>
      <c r="H96" s="7" t="s">
        <v>5975</v>
      </c>
      <c r="I96" s="7" t="s">
        <v>5975</v>
      </c>
      <c r="J96" s="7">
        <v>27.549339830000001</v>
      </c>
      <c r="K96" s="7">
        <v>41.672116219999999</v>
      </c>
      <c r="L96" s="7" t="str">
        <f t="shared" si="4"/>
        <v>27.54933983,41.67211622</v>
      </c>
      <c r="M96" s="7" t="s">
        <v>8386</v>
      </c>
      <c r="N96" s="7">
        <v>10041645186</v>
      </c>
      <c r="O96" s="7"/>
      <c r="P96" s="202">
        <v>46144</v>
      </c>
      <c r="Q96" s="28" t="s">
        <v>11</v>
      </c>
      <c r="R96" s="28" t="s">
        <v>11</v>
      </c>
      <c r="S96" s="28" t="s">
        <v>11</v>
      </c>
      <c r="T96" s="28" t="s">
        <v>11</v>
      </c>
      <c r="U96" s="28" t="s">
        <v>10</v>
      </c>
      <c r="V96" s="28" t="s">
        <v>11</v>
      </c>
      <c r="W96" s="28" t="s">
        <v>9</v>
      </c>
      <c r="X96" s="28" t="s">
        <v>9</v>
      </c>
      <c r="Y96" s="28" t="s">
        <v>9</v>
      </c>
      <c r="Z96" s="28" t="s">
        <v>9</v>
      </c>
      <c r="AA96" s="28" t="s">
        <v>9</v>
      </c>
      <c r="AB96" s="28" t="s">
        <v>9</v>
      </c>
      <c r="AC96" s="28" t="s">
        <v>9</v>
      </c>
      <c r="AD96" s="28" t="s">
        <v>9</v>
      </c>
      <c r="AE96" s="28" t="s">
        <v>9</v>
      </c>
      <c r="AF96" s="28" t="s">
        <v>10</v>
      </c>
      <c r="AG96" s="24">
        <f t="shared" si="5"/>
        <v>9</v>
      </c>
      <c r="AH96" s="24">
        <f t="shared" si="6"/>
        <v>1</v>
      </c>
      <c r="AI96" s="24">
        <f t="shared" si="7"/>
        <v>5</v>
      </c>
      <c r="AJ96" s="41" t="str" cm="1">
        <f t="array" ref="AJ96">_xlfn.IFS(
$AG96=15,"Not Started",
$AI96&lt;15,"In Progress",
$AI96=15,"Completed",
SUM(AG96:AI96)&gt;15,"Error"
)</f>
        <v>In Progress</v>
      </c>
    </row>
    <row r="97" spans="1:36" ht="13" x14ac:dyDescent="0.25">
      <c r="A97" s="291"/>
      <c r="B97" s="64">
        <v>94</v>
      </c>
      <c r="C97" s="7" t="s">
        <v>1551</v>
      </c>
      <c r="D97" s="53" t="s">
        <v>5762</v>
      </c>
      <c r="E97" s="61" t="s">
        <v>3726</v>
      </c>
      <c r="F97" s="57" t="s">
        <v>51</v>
      </c>
      <c r="G97" s="10" t="s">
        <v>48</v>
      </c>
      <c r="H97" s="7" t="s">
        <v>5975</v>
      </c>
      <c r="I97" s="7" t="s">
        <v>5975</v>
      </c>
      <c r="J97" s="7">
        <v>27.546265729999998</v>
      </c>
      <c r="K97" s="7">
        <v>41.683641620000003</v>
      </c>
      <c r="L97" s="7" t="str">
        <f t="shared" si="4"/>
        <v>27.54626573,41.68364162</v>
      </c>
      <c r="M97" s="7" t="s">
        <v>8387</v>
      </c>
      <c r="N97" s="7">
        <v>10041554134</v>
      </c>
      <c r="O97" s="7"/>
      <c r="P97" s="201"/>
      <c r="Q97" s="28" t="s">
        <v>9</v>
      </c>
      <c r="R97" s="28" t="s">
        <v>9</v>
      </c>
      <c r="S97" s="28" t="s">
        <v>9</v>
      </c>
      <c r="T97" s="28" t="s">
        <v>9</v>
      </c>
      <c r="U97" s="28" t="s">
        <v>9</v>
      </c>
      <c r="V97" s="28" t="s">
        <v>9</v>
      </c>
      <c r="W97" s="28" t="s">
        <v>9</v>
      </c>
      <c r="X97" s="28" t="s">
        <v>9</v>
      </c>
      <c r="Y97" s="28" t="s">
        <v>9</v>
      </c>
      <c r="Z97" s="28" t="s">
        <v>9</v>
      </c>
      <c r="AA97" s="28" t="s">
        <v>9</v>
      </c>
      <c r="AB97" s="28" t="s">
        <v>9</v>
      </c>
      <c r="AC97" s="28" t="s">
        <v>9</v>
      </c>
      <c r="AD97" s="28" t="s">
        <v>9</v>
      </c>
      <c r="AE97" s="28" t="s">
        <v>9</v>
      </c>
      <c r="AF97" s="28" t="s">
        <v>9</v>
      </c>
      <c r="AG97" s="24">
        <f t="shared" si="5"/>
        <v>15</v>
      </c>
      <c r="AH97" s="24">
        <f t="shared" si="6"/>
        <v>0</v>
      </c>
      <c r="AI97" s="24">
        <f t="shared" si="7"/>
        <v>0</v>
      </c>
      <c r="AJ97" s="41" t="str" cm="1">
        <f t="array" ref="AJ97">_xlfn.IFS(
$AG97=15,"Not Started",
$AI97&lt;15,"In Progress",
$AI97=15,"Completed",
SUM(AG97:AI97)&gt;15,"Error"
)</f>
        <v>Not Started</v>
      </c>
    </row>
    <row r="98" spans="1:36" ht="13" x14ac:dyDescent="0.25">
      <c r="A98" s="291"/>
      <c r="B98" s="86">
        <v>95</v>
      </c>
      <c r="C98" s="14" t="s">
        <v>1552</v>
      </c>
      <c r="D98" s="53" t="s">
        <v>8172</v>
      </c>
      <c r="E98" s="61" t="s">
        <v>8171</v>
      </c>
      <c r="F98" s="57" t="s">
        <v>47</v>
      </c>
      <c r="G98" s="10" t="s">
        <v>48</v>
      </c>
      <c r="H98" s="7" t="s">
        <v>5975</v>
      </c>
      <c r="I98" s="7" t="s">
        <v>5975</v>
      </c>
      <c r="J98" s="7">
        <v>27.542729000000001</v>
      </c>
      <c r="K98" s="7">
        <v>41.692019999999999</v>
      </c>
      <c r="L98" s="7" t="str">
        <f t="shared" si="4"/>
        <v>27.542729,41.69202</v>
      </c>
      <c r="M98" s="7" t="s">
        <v>8388</v>
      </c>
      <c r="N98" s="7">
        <v>10041657310</v>
      </c>
      <c r="O98" s="7"/>
      <c r="P98" s="201"/>
      <c r="Q98" s="28" t="s">
        <v>11</v>
      </c>
      <c r="R98" s="28" t="s">
        <v>11</v>
      </c>
      <c r="S98" s="28" t="s">
        <v>11</v>
      </c>
      <c r="T98" s="28" t="s">
        <v>11</v>
      </c>
      <c r="U98" s="28" t="s">
        <v>9</v>
      </c>
      <c r="V98" s="28" t="s">
        <v>9</v>
      </c>
      <c r="W98" s="28" t="s">
        <v>9</v>
      </c>
      <c r="X98" s="28" t="s">
        <v>9</v>
      </c>
      <c r="Y98" s="28" t="s">
        <v>9</v>
      </c>
      <c r="Z98" s="28" t="s">
        <v>9</v>
      </c>
      <c r="AA98" s="28" t="s">
        <v>9</v>
      </c>
      <c r="AB98" s="28" t="s">
        <v>9</v>
      </c>
      <c r="AC98" s="28" t="s">
        <v>9</v>
      </c>
      <c r="AD98" s="28" t="s">
        <v>9</v>
      </c>
      <c r="AE98" s="28" t="s">
        <v>9</v>
      </c>
      <c r="AF98" s="28" t="s">
        <v>10</v>
      </c>
      <c r="AG98" s="24">
        <f t="shared" si="5"/>
        <v>11</v>
      </c>
      <c r="AH98" s="24">
        <f t="shared" si="6"/>
        <v>0</v>
      </c>
      <c r="AI98" s="24">
        <f t="shared" si="7"/>
        <v>4</v>
      </c>
      <c r="AJ98" s="41" t="str" cm="1">
        <f t="array" ref="AJ98">_xlfn.IFS(
$AG98=15,"Not Started",
$AI98&lt;15,"In Progress",
$AI98=15,"Completed",
SUM(AG98:AI98)&gt;15,"Error"
)</f>
        <v>In Progress</v>
      </c>
    </row>
    <row r="99" spans="1:36" ht="13" x14ac:dyDescent="0.25">
      <c r="A99" s="291"/>
      <c r="B99" s="64">
        <v>96</v>
      </c>
      <c r="C99" s="7" t="s">
        <v>1553</v>
      </c>
      <c r="D99" s="53" t="s">
        <v>5864</v>
      </c>
      <c r="E99" s="61" t="s">
        <v>5863</v>
      </c>
      <c r="F99" s="57" t="s">
        <v>51</v>
      </c>
      <c r="G99" s="10" t="s">
        <v>48</v>
      </c>
      <c r="H99" s="7" t="s">
        <v>5975</v>
      </c>
      <c r="I99" s="7" t="s">
        <v>5975</v>
      </c>
      <c r="J99" s="7">
        <v>27.54318902</v>
      </c>
      <c r="K99" s="7">
        <v>41.691437430000001</v>
      </c>
      <c r="L99" s="7" t="str">
        <f t="shared" si="4"/>
        <v>27.54318902,41.69143743</v>
      </c>
      <c r="M99" s="7" t="s">
        <v>5943</v>
      </c>
      <c r="N99" s="7">
        <v>10041834577</v>
      </c>
      <c r="O99" s="7"/>
      <c r="P99" s="201"/>
      <c r="Q99" s="28" t="s">
        <v>11</v>
      </c>
      <c r="R99" s="28" t="s">
        <v>11</v>
      </c>
      <c r="S99" s="28" t="s">
        <v>11</v>
      </c>
      <c r="T99" s="28" t="s">
        <v>11</v>
      </c>
      <c r="U99" s="28" t="s">
        <v>10</v>
      </c>
      <c r="V99" s="28" t="s">
        <v>11</v>
      </c>
      <c r="W99" s="28" t="s">
        <v>9</v>
      </c>
      <c r="X99" s="28" t="s">
        <v>9</v>
      </c>
      <c r="Y99" s="28" t="s">
        <v>9</v>
      </c>
      <c r="Z99" s="28" t="s">
        <v>9</v>
      </c>
      <c r="AA99" s="28" t="s">
        <v>9</v>
      </c>
      <c r="AB99" s="28" t="s">
        <v>9</v>
      </c>
      <c r="AC99" s="28" t="s">
        <v>9</v>
      </c>
      <c r="AD99" s="28" t="s">
        <v>9</v>
      </c>
      <c r="AE99" s="28" t="s">
        <v>9</v>
      </c>
      <c r="AF99" s="28" t="s">
        <v>10</v>
      </c>
      <c r="AG99" s="24">
        <f t="shared" si="5"/>
        <v>9</v>
      </c>
      <c r="AH99" s="24">
        <f t="shared" si="6"/>
        <v>1</v>
      </c>
      <c r="AI99" s="24">
        <f t="shared" si="7"/>
        <v>5</v>
      </c>
      <c r="AJ99" s="41" t="str" cm="1">
        <f t="array" ref="AJ99">_xlfn.IFS(
$AG99=15,"Not Started",
$AI99&lt;15,"In Progress",
$AI99=15,"Completed",
SUM(AG99:AI99)&gt;15,"Error"
)</f>
        <v>In Progress</v>
      </c>
    </row>
    <row r="100" spans="1:36" ht="13" x14ac:dyDescent="0.25">
      <c r="A100" s="291"/>
      <c r="B100" s="86">
        <v>97</v>
      </c>
      <c r="C100" s="14" t="s">
        <v>1554</v>
      </c>
      <c r="D100" s="53" t="s">
        <v>8174</v>
      </c>
      <c r="E100" s="61" t="s">
        <v>8173</v>
      </c>
      <c r="F100" s="57" t="s">
        <v>43</v>
      </c>
      <c r="G100" s="10" t="s">
        <v>48</v>
      </c>
      <c r="H100" s="7" t="s">
        <v>5975</v>
      </c>
      <c r="I100" s="7" t="s">
        <v>5975</v>
      </c>
      <c r="J100" s="7">
        <v>27.54754595</v>
      </c>
      <c r="K100" s="7">
        <v>41.681957250000004</v>
      </c>
      <c r="L100" s="7" t="str">
        <f t="shared" si="4"/>
        <v>27.54754595,41.68195725</v>
      </c>
      <c r="M100" s="7" t="s">
        <v>8389</v>
      </c>
      <c r="N100" s="7">
        <v>10041773829</v>
      </c>
      <c r="O100" s="7"/>
      <c r="P100" s="201"/>
      <c r="Q100" s="28" t="s">
        <v>11</v>
      </c>
      <c r="R100" s="28" t="s">
        <v>11</v>
      </c>
      <c r="S100" s="28" t="s">
        <v>11</v>
      </c>
      <c r="T100" s="28" t="s">
        <v>11</v>
      </c>
      <c r="U100" s="28" t="s">
        <v>10</v>
      </c>
      <c r="V100" s="28" t="s">
        <v>11</v>
      </c>
      <c r="W100" s="28" t="s">
        <v>9</v>
      </c>
      <c r="X100" s="28" t="s">
        <v>9</v>
      </c>
      <c r="Y100" s="28" t="s">
        <v>9</v>
      </c>
      <c r="Z100" s="28" t="s">
        <v>9</v>
      </c>
      <c r="AA100" s="28" t="s">
        <v>9</v>
      </c>
      <c r="AB100" s="28" t="s">
        <v>9</v>
      </c>
      <c r="AC100" s="28" t="s">
        <v>9</v>
      </c>
      <c r="AD100" s="28" t="s">
        <v>9</v>
      </c>
      <c r="AE100" s="28" t="s">
        <v>9</v>
      </c>
      <c r="AF100" s="28" t="s">
        <v>10</v>
      </c>
      <c r="AG100" s="24">
        <f t="shared" si="5"/>
        <v>9</v>
      </c>
      <c r="AH100" s="24">
        <f t="shared" si="6"/>
        <v>1</v>
      </c>
      <c r="AI100" s="24">
        <f t="shared" si="7"/>
        <v>5</v>
      </c>
      <c r="AJ100" s="41" t="str" cm="1">
        <f t="array" ref="AJ100">_xlfn.IFS(
$AG100=15,"Not Started",
$AI100&lt;15,"In Progress",
$AI100=15,"Completed",
SUM(AG100:AI100)&gt;15,"Error"
)</f>
        <v>In Progress</v>
      </c>
    </row>
    <row r="101" spans="1:36" ht="13" x14ac:dyDescent="0.25">
      <c r="A101" s="291"/>
      <c r="B101" s="64">
        <v>98</v>
      </c>
      <c r="C101" s="7" t="s">
        <v>1555</v>
      </c>
      <c r="D101" s="53" t="s">
        <v>8176</v>
      </c>
      <c r="E101" s="61" t="s">
        <v>8175</v>
      </c>
      <c r="F101" s="57" t="s">
        <v>43</v>
      </c>
      <c r="G101" s="10" t="s">
        <v>48</v>
      </c>
      <c r="H101" s="7" t="s">
        <v>5975</v>
      </c>
      <c r="I101" s="7" t="s">
        <v>5975</v>
      </c>
      <c r="J101" s="7">
        <v>27.543550629999999</v>
      </c>
      <c r="K101" s="7">
        <v>41.692192550000001</v>
      </c>
      <c r="L101" s="7" t="str">
        <f t="shared" si="4"/>
        <v>27.54355063,41.69219255</v>
      </c>
      <c r="M101" s="7" t="s">
        <v>8390</v>
      </c>
      <c r="N101" s="7">
        <v>10041864119</v>
      </c>
      <c r="O101" s="7"/>
      <c r="P101" s="201"/>
      <c r="Q101" s="28" t="s">
        <v>11</v>
      </c>
      <c r="R101" s="28" t="s">
        <v>11</v>
      </c>
      <c r="S101" s="28" t="s">
        <v>11</v>
      </c>
      <c r="T101" s="28" t="s">
        <v>11</v>
      </c>
      <c r="U101" s="28" t="s">
        <v>9</v>
      </c>
      <c r="V101" s="28" t="s">
        <v>9</v>
      </c>
      <c r="W101" s="28" t="s">
        <v>9</v>
      </c>
      <c r="X101" s="28" t="s">
        <v>9</v>
      </c>
      <c r="Y101" s="28" t="s">
        <v>9</v>
      </c>
      <c r="Z101" s="28" t="s">
        <v>9</v>
      </c>
      <c r="AA101" s="28" t="s">
        <v>9</v>
      </c>
      <c r="AB101" s="28" t="s">
        <v>9</v>
      </c>
      <c r="AC101" s="28" t="s">
        <v>9</v>
      </c>
      <c r="AD101" s="28" t="s">
        <v>9</v>
      </c>
      <c r="AE101" s="28" t="s">
        <v>9</v>
      </c>
      <c r="AF101" s="28" t="s">
        <v>10</v>
      </c>
      <c r="AG101" s="24">
        <f t="shared" si="5"/>
        <v>11</v>
      </c>
      <c r="AH101" s="24">
        <f t="shared" si="6"/>
        <v>0</v>
      </c>
      <c r="AI101" s="24">
        <f t="shared" si="7"/>
        <v>4</v>
      </c>
      <c r="AJ101" s="41" t="str" cm="1">
        <f t="array" ref="AJ101">_xlfn.IFS(
$AG101=15,"Not Started",
$AI101&lt;15,"In Progress",
$AI101=15,"Completed",
SUM(AG101:AI101)&gt;15,"Error"
)</f>
        <v>In Progress</v>
      </c>
    </row>
    <row r="102" spans="1:36" ht="13" x14ac:dyDescent="0.25">
      <c r="A102" s="291"/>
      <c r="B102" s="86">
        <v>99</v>
      </c>
      <c r="C102" s="14" t="s">
        <v>1556</v>
      </c>
      <c r="D102" s="53" t="s">
        <v>8178</v>
      </c>
      <c r="E102" s="61" t="s">
        <v>8177</v>
      </c>
      <c r="F102" s="57" t="s">
        <v>9671</v>
      </c>
      <c r="G102" s="10" t="s">
        <v>44</v>
      </c>
      <c r="H102" s="7" t="s">
        <v>5975</v>
      </c>
      <c r="I102" s="7" t="s">
        <v>5975</v>
      </c>
      <c r="J102" s="7">
        <v>27.55017625</v>
      </c>
      <c r="K102" s="7">
        <v>41.678830959999999</v>
      </c>
      <c r="L102" s="7" t="str">
        <f t="shared" si="4"/>
        <v>27.55017625,41.67883096</v>
      </c>
      <c r="M102" s="7" t="s">
        <v>8391</v>
      </c>
      <c r="N102" s="7">
        <v>10041895222</v>
      </c>
      <c r="O102" s="7"/>
      <c r="P102" s="201"/>
      <c r="Q102" s="28" t="s">
        <v>9</v>
      </c>
      <c r="R102" s="28" t="s">
        <v>9</v>
      </c>
      <c r="S102" s="28" t="s">
        <v>9</v>
      </c>
      <c r="T102" s="28" t="s">
        <v>9</v>
      </c>
      <c r="U102" s="28" t="s">
        <v>9</v>
      </c>
      <c r="V102" s="28" t="s">
        <v>9</v>
      </c>
      <c r="W102" s="28" t="s">
        <v>9</v>
      </c>
      <c r="X102" s="28" t="s">
        <v>9</v>
      </c>
      <c r="Y102" s="28" t="s">
        <v>9</v>
      </c>
      <c r="Z102" s="28" t="s">
        <v>9</v>
      </c>
      <c r="AA102" s="28" t="s">
        <v>9</v>
      </c>
      <c r="AB102" s="28" t="s">
        <v>9</v>
      </c>
      <c r="AC102" s="28" t="s">
        <v>9</v>
      </c>
      <c r="AD102" s="28" t="s">
        <v>9</v>
      </c>
      <c r="AE102" s="28" t="s">
        <v>9</v>
      </c>
      <c r="AF102" s="28" t="s">
        <v>9</v>
      </c>
      <c r="AG102" s="24">
        <f t="shared" si="5"/>
        <v>15</v>
      </c>
      <c r="AH102" s="24">
        <f t="shared" si="6"/>
        <v>0</v>
      </c>
      <c r="AI102" s="24">
        <f t="shared" si="7"/>
        <v>0</v>
      </c>
      <c r="AJ102" s="41" t="str" cm="1">
        <f t="array" ref="AJ102">_xlfn.IFS(
$AG102=15,"Not Started",
$AI102&lt;15,"In Progress",
$AI102=15,"Completed",
SUM(AG102:AI102)&gt;15,"Error"
)</f>
        <v>Not Started</v>
      </c>
    </row>
    <row r="103" spans="1:36" ht="13" x14ac:dyDescent="0.25">
      <c r="A103" s="291"/>
      <c r="B103" s="64">
        <v>100</v>
      </c>
      <c r="C103" s="7" t="s">
        <v>1557</v>
      </c>
      <c r="D103" s="53" t="s">
        <v>8180</v>
      </c>
      <c r="E103" s="61" t="s">
        <v>8179</v>
      </c>
      <c r="F103" s="57" t="s">
        <v>43</v>
      </c>
      <c r="G103" s="10" t="s">
        <v>48</v>
      </c>
      <c r="H103" s="7" t="s">
        <v>5975</v>
      </c>
      <c r="I103" s="7" t="s">
        <v>5975</v>
      </c>
      <c r="J103" s="7">
        <v>27.550428190000002</v>
      </c>
      <c r="K103" s="7">
        <v>41.678395270000003</v>
      </c>
      <c r="L103" s="7" t="str">
        <f t="shared" si="4"/>
        <v>27.55042819,41.67839527</v>
      </c>
      <c r="M103" s="7" t="s">
        <v>8392</v>
      </c>
      <c r="N103" s="7">
        <v>10041850955</v>
      </c>
      <c r="O103" s="7"/>
      <c r="P103" s="201"/>
      <c r="Q103" s="28" t="s">
        <v>9</v>
      </c>
      <c r="R103" s="28" t="s">
        <v>9</v>
      </c>
      <c r="S103" s="28" t="s">
        <v>9</v>
      </c>
      <c r="T103" s="28" t="s">
        <v>9</v>
      </c>
      <c r="U103" s="28" t="s">
        <v>9</v>
      </c>
      <c r="V103" s="28" t="s">
        <v>9</v>
      </c>
      <c r="W103" s="28" t="s">
        <v>9</v>
      </c>
      <c r="X103" s="28" t="s">
        <v>9</v>
      </c>
      <c r="Y103" s="28" t="s">
        <v>9</v>
      </c>
      <c r="Z103" s="28" t="s">
        <v>9</v>
      </c>
      <c r="AA103" s="28" t="s">
        <v>9</v>
      </c>
      <c r="AB103" s="28" t="s">
        <v>9</v>
      </c>
      <c r="AC103" s="28" t="s">
        <v>9</v>
      </c>
      <c r="AD103" s="28" t="s">
        <v>9</v>
      </c>
      <c r="AE103" s="28" t="s">
        <v>9</v>
      </c>
      <c r="AF103" s="28" t="s">
        <v>9</v>
      </c>
      <c r="AG103" s="24">
        <f t="shared" si="5"/>
        <v>15</v>
      </c>
      <c r="AH103" s="24">
        <f t="shared" si="6"/>
        <v>0</v>
      </c>
      <c r="AI103" s="24">
        <f t="shared" si="7"/>
        <v>0</v>
      </c>
      <c r="AJ103" s="41" t="str" cm="1">
        <f t="array" ref="AJ103">_xlfn.IFS(
$AG103=15,"Not Started",
$AI103&lt;15,"In Progress",
$AI103=15,"Completed",
SUM(AG103:AI103)&gt;15,"Error"
)</f>
        <v>Not Started</v>
      </c>
    </row>
    <row r="104" spans="1:36" ht="13" x14ac:dyDescent="0.25">
      <c r="A104" s="291"/>
      <c r="B104" s="86">
        <v>101</v>
      </c>
      <c r="C104" s="14" t="s">
        <v>1558</v>
      </c>
      <c r="D104" s="53" t="s">
        <v>8182</v>
      </c>
      <c r="E104" s="61" t="s">
        <v>8181</v>
      </c>
      <c r="F104" s="57" t="s">
        <v>43</v>
      </c>
      <c r="G104" s="10" t="s">
        <v>48</v>
      </c>
      <c r="H104" s="7" t="s">
        <v>5975</v>
      </c>
      <c r="I104" s="7" t="s">
        <v>5975</v>
      </c>
      <c r="J104" s="7">
        <v>27.550428190000002</v>
      </c>
      <c r="K104" s="7">
        <v>41.678395270000003</v>
      </c>
      <c r="L104" s="7" t="str">
        <f t="shared" si="4"/>
        <v>27.55042819,41.67839527</v>
      </c>
      <c r="M104" s="7" t="s">
        <v>8393</v>
      </c>
      <c r="N104" s="7">
        <v>10041501865</v>
      </c>
      <c r="O104" s="7"/>
      <c r="P104" s="202">
        <v>46145</v>
      </c>
      <c r="Q104" s="28" t="s">
        <v>11</v>
      </c>
      <c r="R104" s="28" t="s">
        <v>11</v>
      </c>
      <c r="S104" s="28" t="s">
        <v>11</v>
      </c>
      <c r="T104" s="28" t="s">
        <v>11</v>
      </c>
      <c r="U104" s="28" t="s">
        <v>9</v>
      </c>
      <c r="V104" s="28" t="s">
        <v>9</v>
      </c>
      <c r="W104" s="28" t="s">
        <v>9</v>
      </c>
      <c r="X104" s="28" t="s">
        <v>9</v>
      </c>
      <c r="Y104" s="28" t="s">
        <v>9</v>
      </c>
      <c r="Z104" s="28" t="s">
        <v>9</v>
      </c>
      <c r="AA104" s="28" t="s">
        <v>9</v>
      </c>
      <c r="AB104" s="28" t="s">
        <v>9</v>
      </c>
      <c r="AC104" s="28" t="s">
        <v>9</v>
      </c>
      <c r="AD104" s="28" t="s">
        <v>9</v>
      </c>
      <c r="AE104" s="28" t="s">
        <v>9</v>
      </c>
      <c r="AF104" s="28" t="s">
        <v>10</v>
      </c>
      <c r="AG104" s="24">
        <f t="shared" si="5"/>
        <v>11</v>
      </c>
      <c r="AH104" s="24">
        <f t="shared" si="6"/>
        <v>0</v>
      </c>
      <c r="AI104" s="24">
        <f t="shared" si="7"/>
        <v>4</v>
      </c>
      <c r="AJ104" s="41" t="str" cm="1">
        <f t="array" ref="AJ104">_xlfn.IFS(
$AG104=15,"Not Started",
$AI104&lt;15,"In Progress",
$AI104=15,"Completed",
SUM(AG104:AI104)&gt;15,"Error"
)</f>
        <v>In Progress</v>
      </c>
    </row>
    <row r="105" spans="1:36" ht="13" x14ac:dyDescent="0.25">
      <c r="A105" s="291"/>
      <c r="B105" s="64">
        <v>102</v>
      </c>
      <c r="C105" s="7" t="s">
        <v>1559</v>
      </c>
      <c r="D105" s="53" t="s">
        <v>8184</v>
      </c>
      <c r="E105" s="61" t="s">
        <v>8183</v>
      </c>
      <c r="F105" s="57" t="s">
        <v>43</v>
      </c>
      <c r="G105" s="10" t="s">
        <v>44</v>
      </c>
      <c r="H105" s="7" t="s">
        <v>5975</v>
      </c>
      <c r="I105" s="7" t="s">
        <v>5975</v>
      </c>
      <c r="J105" s="7">
        <v>27.542197420000001</v>
      </c>
      <c r="K105" s="7">
        <v>41.69773936</v>
      </c>
      <c r="L105" s="7" t="str">
        <f t="shared" si="4"/>
        <v>27.54219742,41.69773936</v>
      </c>
      <c r="M105" s="7" t="s">
        <v>8394</v>
      </c>
      <c r="N105" s="7">
        <v>10041554537</v>
      </c>
      <c r="O105" s="7"/>
      <c r="P105" s="201"/>
      <c r="Q105" s="28" t="s">
        <v>11</v>
      </c>
      <c r="R105" s="28" t="s">
        <v>11</v>
      </c>
      <c r="S105" s="28" t="s">
        <v>11</v>
      </c>
      <c r="T105" s="28" t="s">
        <v>11</v>
      </c>
      <c r="U105" s="28" t="s">
        <v>9</v>
      </c>
      <c r="V105" s="28" t="s">
        <v>9</v>
      </c>
      <c r="W105" s="28" t="s">
        <v>9</v>
      </c>
      <c r="X105" s="28" t="s">
        <v>9</v>
      </c>
      <c r="Y105" s="28" t="s">
        <v>9</v>
      </c>
      <c r="Z105" s="28" t="s">
        <v>9</v>
      </c>
      <c r="AA105" s="28" t="s">
        <v>9</v>
      </c>
      <c r="AB105" s="28" t="s">
        <v>9</v>
      </c>
      <c r="AC105" s="28" t="s">
        <v>9</v>
      </c>
      <c r="AD105" s="28" t="s">
        <v>9</v>
      </c>
      <c r="AE105" s="28" t="s">
        <v>9</v>
      </c>
      <c r="AF105" s="28" t="s">
        <v>10</v>
      </c>
      <c r="AG105" s="24">
        <f t="shared" si="5"/>
        <v>11</v>
      </c>
      <c r="AH105" s="24">
        <f t="shared" si="6"/>
        <v>0</v>
      </c>
      <c r="AI105" s="24">
        <f t="shared" si="7"/>
        <v>4</v>
      </c>
      <c r="AJ105" s="41" t="str" cm="1">
        <f t="array" ref="AJ105">_xlfn.IFS(
$AG105=15,"Not Started",
$AI105&lt;15,"In Progress",
$AI105=15,"Completed",
SUM(AG105:AI105)&gt;15,"Error"
)</f>
        <v>In Progress</v>
      </c>
    </row>
    <row r="106" spans="1:36" ht="13" x14ac:dyDescent="0.25">
      <c r="A106" s="291"/>
      <c r="B106" s="86">
        <v>103</v>
      </c>
      <c r="C106" s="14" t="s">
        <v>1560</v>
      </c>
      <c r="D106" s="53" t="s">
        <v>8186</v>
      </c>
      <c r="E106" s="61" t="s">
        <v>8185</v>
      </c>
      <c r="F106" s="57" t="s">
        <v>43</v>
      </c>
      <c r="G106" s="10" t="s">
        <v>48</v>
      </c>
      <c r="H106" s="7" t="s">
        <v>5975</v>
      </c>
      <c r="I106" s="7" t="s">
        <v>5975</v>
      </c>
      <c r="J106" s="7">
        <v>27.548342000000002</v>
      </c>
      <c r="K106" s="7">
        <v>41.687475999999997</v>
      </c>
      <c r="L106" s="7" t="str">
        <f t="shared" si="4"/>
        <v>27.548342,41.687476</v>
      </c>
      <c r="M106" s="7" t="s">
        <v>8395</v>
      </c>
      <c r="N106" s="7">
        <v>10041584714</v>
      </c>
      <c r="O106" s="7"/>
      <c r="P106" s="201"/>
      <c r="Q106" s="28" t="s">
        <v>11</v>
      </c>
      <c r="R106" s="28" t="s">
        <v>11</v>
      </c>
      <c r="S106" s="28" t="s">
        <v>11</v>
      </c>
      <c r="T106" s="28" t="s">
        <v>11</v>
      </c>
      <c r="U106" s="28" t="s">
        <v>9</v>
      </c>
      <c r="V106" s="28" t="s">
        <v>9</v>
      </c>
      <c r="W106" s="28" t="s">
        <v>9</v>
      </c>
      <c r="X106" s="28" t="s">
        <v>9</v>
      </c>
      <c r="Y106" s="28" t="s">
        <v>9</v>
      </c>
      <c r="Z106" s="28" t="s">
        <v>9</v>
      </c>
      <c r="AA106" s="28" t="s">
        <v>9</v>
      </c>
      <c r="AB106" s="28" t="s">
        <v>9</v>
      </c>
      <c r="AC106" s="28" t="s">
        <v>9</v>
      </c>
      <c r="AD106" s="28" t="s">
        <v>9</v>
      </c>
      <c r="AE106" s="28" t="s">
        <v>9</v>
      </c>
      <c r="AF106" s="28" t="s">
        <v>10</v>
      </c>
      <c r="AG106" s="24">
        <f t="shared" si="5"/>
        <v>11</v>
      </c>
      <c r="AH106" s="24">
        <f t="shared" si="6"/>
        <v>0</v>
      </c>
      <c r="AI106" s="24">
        <f t="shared" si="7"/>
        <v>4</v>
      </c>
      <c r="AJ106" s="41" t="str" cm="1">
        <f t="array" ref="AJ106">_xlfn.IFS(
$AG106=15,"Not Started",
$AI106&lt;15,"In Progress",
$AI106=15,"Completed",
SUM(AG106:AI106)&gt;15,"Error"
)</f>
        <v>In Progress</v>
      </c>
    </row>
    <row r="107" spans="1:36" ht="13" x14ac:dyDescent="0.25">
      <c r="A107" s="291"/>
      <c r="B107" s="64">
        <v>104</v>
      </c>
      <c r="C107" s="7" t="s">
        <v>1561</v>
      </c>
      <c r="D107" s="53" t="s">
        <v>8188</v>
      </c>
      <c r="E107" s="61" t="s">
        <v>8187</v>
      </c>
      <c r="F107" s="57" t="s">
        <v>43</v>
      </c>
      <c r="G107" s="10" t="s">
        <v>44</v>
      </c>
      <c r="H107" s="7" t="s">
        <v>5975</v>
      </c>
      <c r="I107" s="7" t="s">
        <v>5975</v>
      </c>
      <c r="J107" s="7">
        <v>27.551482</v>
      </c>
      <c r="K107" s="7">
        <v>41.682512000000003</v>
      </c>
      <c r="L107" s="7" t="str">
        <f t="shared" si="4"/>
        <v>27.551482,41.682512</v>
      </c>
      <c r="M107" s="7" t="s">
        <v>8396</v>
      </c>
      <c r="N107" s="7">
        <v>10041586512</v>
      </c>
      <c r="O107" s="7"/>
      <c r="P107" s="201"/>
      <c r="Q107" s="28" t="s">
        <v>9</v>
      </c>
      <c r="R107" s="28" t="s">
        <v>9</v>
      </c>
      <c r="S107" s="28" t="s">
        <v>9</v>
      </c>
      <c r="T107" s="28" t="s">
        <v>9</v>
      </c>
      <c r="U107" s="28" t="s">
        <v>9</v>
      </c>
      <c r="V107" s="28" t="s">
        <v>9</v>
      </c>
      <c r="W107" s="28" t="s">
        <v>9</v>
      </c>
      <c r="X107" s="28" t="s">
        <v>9</v>
      </c>
      <c r="Y107" s="28" t="s">
        <v>9</v>
      </c>
      <c r="Z107" s="28" t="s">
        <v>9</v>
      </c>
      <c r="AA107" s="28" t="s">
        <v>9</v>
      </c>
      <c r="AB107" s="28" t="s">
        <v>9</v>
      </c>
      <c r="AC107" s="28" t="s">
        <v>9</v>
      </c>
      <c r="AD107" s="28" t="s">
        <v>9</v>
      </c>
      <c r="AE107" s="28" t="s">
        <v>9</v>
      </c>
      <c r="AF107" s="28" t="s">
        <v>9</v>
      </c>
      <c r="AG107" s="24">
        <f t="shared" si="5"/>
        <v>15</v>
      </c>
      <c r="AH107" s="24">
        <f t="shared" si="6"/>
        <v>0</v>
      </c>
      <c r="AI107" s="24">
        <f t="shared" si="7"/>
        <v>0</v>
      </c>
      <c r="AJ107" s="41" t="str" cm="1">
        <f t="array" ref="AJ107">_xlfn.IFS(
$AG107=15,"Not Started",
$AI107&lt;15,"In Progress",
$AI107=15,"Completed",
SUM(AG107:AI107)&gt;15,"Error"
)</f>
        <v>Not Started</v>
      </c>
    </row>
    <row r="108" spans="1:36" ht="13" x14ac:dyDescent="0.25">
      <c r="A108" s="291"/>
      <c r="B108" s="86">
        <v>105</v>
      </c>
      <c r="C108" s="14" t="s">
        <v>1562</v>
      </c>
      <c r="D108" s="53" t="s">
        <v>8190</v>
      </c>
      <c r="E108" s="61" t="s">
        <v>8189</v>
      </c>
      <c r="F108" s="57" t="s">
        <v>47</v>
      </c>
      <c r="G108" s="10" t="s">
        <v>44</v>
      </c>
      <c r="H108" s="7" t="s">
        <v>5975</v>
      </c>
      <c r="I108" s="7" t="s">
        <v>5975</v>
      </c>
      <c r="J108" s="7">
        <v>27.551693310000001</v>
      </c>
      <c r="K108" s="7">
        <v>41.684843299999997</v>
      </c>
      <c r="L108" s="7" t="str">
        <f t="shared" si="4"/>
        <v>27.55169331,41.6848433</v>
      </c>
      <c r="M108" s="7" t="s">
        <v>8397</v>
      </c>
      <c r="N108" s="7">
        <v>10041586380</v>
      </c>
      <c r="O108" s="7"/>
      <c r="P108" s="201"/>
      <c r="Q108" s="28" t="s">
        <v>11</v>
      </c>
      <c r="R108" s="28" t="s">
        <v>11</v>
      </c>
      <c r="S108" s="28" t="s">
        <v>11</v>
      </c>
      <c r="T108" s="28" t="s">
        <v>11</v>
      </c>
      <c r="U108" s="28" t="s">
        <v>9</v>
      </c>
      <c r="V108" s="28" t="s">
        <v>9</v>
      </c>
      <c r="W108" s="28" t="s">
        <v>9</v>
      </c>
      <c r="X108" s="28" t="s">
        <v>9</v>
      </c>
      <c r="Y108" s="28" t="s">
        <v>9</v>
      </c>
      <c r="Z108" s="28" t="s">
        <v>9</v>
      </c>
      <c r="AA108" s="28" t="s">
        <v>9</v>
      </c>
      <c r="AB108" s="28" t="s">
        <v>9</v>
      </c>
      <c r="AC108" s="28" t="s">
        <v>9</v>
      </c>
      <c r="AD108" s="28" t="s">
        <v>9</v>
      </c>
      <c r="AE108" s="28" t="s">
        <v>9</v>
      </c>
      <c r="AF108" s="28" t="s">
        <v>10</v>
      </c>
      <c r="AG108" s="24">
        <f t="shared" si="5"/>
        <v>11</v>
      </c>
      <c r="AH108" s="24">
        <f t="shared" si="6"/>
        <v>0</v>
      </c>
      <c r="AI108" s="24">
        <f t="shared" si="7"/>
        <v>4</v>
      </c>
      <c r="AJ108" s="41" t="str" cm="1">
        <f t="array" ref="AJ108">_xlfn.IFS(
$AG108=15,"Not Started",
$AI108&lt;15,"In Progress",
$AI108=15,"Completed",
SUM(AG108:AI108)&gt;15,"Error"
)</f>
        <v>In Progress</v>
      </c>
    </row>
    <row r="109" spans="1:36" ht="13" x14ac:dyDescent="0.25">
      <c r="A109" s="291"/>
      <c r="B109" s="64">
        <v>106</v>
      </c>
      <c r="C109" s="7" t="s">
        <v>1563</v>
      </c>
      <c r="D109" s="53" t="s">
        <v>8192</v>
      </c>
      <c r="E109" s="61" t="s">
        <v>8191</v>
      </c>
      <c r="F109" s="57" t="s">
        <v>43</v>
      </c>
      <c r="G109" s="10" t="s">
        <v>44</v>
      </c>
      <c r="H109" s="7" t="s">
        <v>5975</v>
      </c>
      <c r="I109" s="7" t="s">
        <v>5975</v>
      </c>
      <c r="J109" s="7">
        <v>27.549491230000001</v>
      </c>
      <c r="K109" s="7">
        <v>41.691768770000003</v>
      </c>
      <c r="L109" s="7" t="str">
        <f t="shared" si="4"/>
        <v>27.54949123,41.69176877</v>
      </c>
      <c r="M109" s="7" t="s">
        <v>8398</v>
      </c>
      <c r="N109" s="7">
        <v>10041588811</v>
      </c>
      <c r="O109" s="7"/>
      <c r="P109" s="201"/>
      <c r="Q109" s="28" t="s">
        <v>11</v>
      </c>
      <c r="R109" s="28" t="s">
        <v>11</v>
      </c>
      <c r="S109" s="28" t="s">
        <v>11</v>
      </c>
      <c r="T109" s="28" t="s">
        <v>11</v>
      </c>
      <c r="U109" s="28" t="s">
        <v>9</v>
      </c>
      <c r="V109" s="28" t="s">
        <v>9</v>
      </c>
      <c r="W109" s="28" t="s">
        <v>9</v>
      </c>
      <c r="X109" s="28" t="s">
        <v>9</v>
      </c>
      <c r="Y109" s="28" t="s">
        <v>9</v>
      </c>
      <c r="Z109" s="28" t="s">
        <v>9</v>
      </c>
      <c r="AA109" s="28" t="s">
        <v>9</v>
      </c>
      <c r="AB109" s="28" t="s">
        <v>9</v>
      </c>
      <c r="AC109" s="28" t="s">
        <v>9</v>
      </c>
      <c r="AD109" s="28" t="s">
        <v>9</v>
      </c>
      <c r="AE109" s="28" t="s">
        <v>9</v>
      </c>
      <c r="AF109" s="28" t="s">
        <v>10</v>
      </c>
      <c r="AG109" s="24">
        <f t="shared" si="5"/>
        <v>11</v>
      </c>
      <c r="AH109" s="24">
        <f t="shared" si="6"/>
        <v>0</v>
      </c>
      <c r="AI109" s="24">
        <f t="shared" si="7"/>
        <v>4</v>
      </c>
      <c r="AJ109" s="41" t="str" cm="1">
        <f t="array" ref="AJ109">_xlfn.IFS(
$AG109=15,"Not Started",
$AI109&lt;15,"In Progress",
$AI109=15,"Completed",
SUM(AG109:AI109)&gt;15,"Error"
)</f>
        <v>In Progress</v>
      </c>
    </row>
    <row r="110" spans="1:36" ht="26" x14ac:dyDescent="0.25">
      <c r="A110" s="291"/>
      <c r="B110" s="86">
        <v>107</v>
      </c>
      <c r="C110" s="14" t="s">
        <v>1564</v>
      </c>
      <c r="D110" s="53" t="s">
        <v>8193</v>
      </c>
      <c r="E110" s="92" t="s">
        <v>10230</v>
      </c>
      <c r="F110" s="57" t="s">
        <v>47</v>
      </c>
      <c r="G110" s="10" t="s">
        <v>44</v>
      </c>
      <c r="H110" s="7" t="s">
        <v>5975</v>
      </c>
      <c r="I110" s="7" t="s">
        <v>5975</v>
      </c>
      <c r="J110" s="7">
        <v>27.549553060000001</v>
      </c>
      <c r="K110" s="7">
        <v>41.691999439999996</v>
      </c>
      <c r="L110" s="7" t="str">
        <f t="shared" si="4"/>
        <v>27.54955306,41.69199944</v>
      </c>
      <c r="M110" s="7" t="s">
        <v>8399</v>
      </c>
      <c r="N110" s="7">
        <v>10041796592</v>
      </c>
      <c r="O110" s="7"/>
      <c r="P110" s="201"/>
      <c r="Q110" s="28" t="s">
        <v>11</v>
      </c>
      <c r="R110" s="28" t="s">
        <v>11</v>
      </c>
      <c r="S110" s="28" t="s">
        <v>11</v>
      </c>
      <c r="T110" s="28" t="s">
        <v>11</v>
      </c>
      <c r="U110" s="28" t="s">
        <v>9</v>
      </c>
      <c r="V110" s="28" t="s">
        <v>9</v>
      </c>
      <c r="W110" s="28" t="s">
        <v>9</v>
      </c>
      <c r="X110" s="28" t="s">
        <v>9</v>
      </c>
      <c r="Y110" s="28" t="s">
        <v>9</v>
      </c>
      <c r="Z110" s="28" t="s">
        <v>9</v>
      </c>
      <c r="AA110" s="28" t="s">
        <v>9</v>
      </c>
      <c r="AB110" s="28" t="s">
        <v>9</v>
      </c>
      <c r="AC110" s="28" t="s">
        <v>9</v>
      </c>
      <c r="AD110" s="28" t="s">
        <v>9</v>
      </c>
      <c r="AE110" s="28" t="s">
        <v>9</v>
      </c>
      <c r="AF110" s="28" t="s">
        <v>10</v>
      </c>
      <c r="AG110" s="24">
        <f t="shared" si="5"/>
        <v>11</v>
      </c>
      <c r="AH110" s="24">
        <f t="shared" si="6"/>
        <v>0</v>
      </c>
      <c r="AI110" s="24">
        <f t="shared" si="7"/>
        <v>4</v>
      </c>
      <c r="AJ110" s="41" t="str" cm="1">
        <f t="array" ref="AJ110">_xlfn.IFS(
$AG110=15,"Not Started",
$AI110&lt;15,"In Progress",
$AI110=15,"Completed",
SUM(AG110:AI110)&gt;15,"Error"
)</f>
        <v>In Progress</v>
      </c>
    </row>
    <row r="111" spans="1:36" ht="13" x14ac:dyDescent="0.25">
      <c r="A111" s="291"/>
      <c r="B111" s="64">
        <v>108</v>
      </c>
      <c r="C111" s="7" t="s">
        <v>1565</v>
      </c>
      <c r="D111" s="53" t="s">
        <v>8195</v>
      </c>
      <c r="E111" s="61" t="s">
        <v>8194</v>
      </c>
      <c r="F111" s="57" t="s">
        <v>51</v>
      </c>
      <c r="G111" s="10" t="s">
        <v>44</v>
      </c>
      <c r="H111" s="7" t="s">
        <v>5975</v>
      </c>
      <c r="I111" s="7" t="s">
        <v>5975</v>
      </c>
      <c r="J111" s="7">
        <v>27.5452087</v>
      </c>
      <c r="K111" s="7">
        <v>41.703375989999998</v>
      </c>
      <c r="L111" s="7" t="str">
        <f t="shared" si="4"/>
        <v>27.5452087,41.70337599</v>
      </c>
      <c r="M111" s="7" t="s">
        <v>8400</v>
      </c>
      <c r="N111" s="7">
        <v>10041586503</v>
      </c>
      <c r="O111" s="7"/>
      <c r="P111" s="201"/>
      <c r="Q111" s="28" t="s">
        <v>9</v>
      </c>
      <c r="R111" s="28" t="s">
        <v>9</v>
      </c>
      <c r="S111" s="28" t="s">
        <v>9</v>
      </c>
      <c r="T111" s="28" t="s">
        <v>9</v>
      </c>
      <c r="U111" s="28" t="s">
        <v>9</v>
      </c>
      <c r="V111" s="28" t="s">
        <v>9</v>
      </c>
      <c r="W111" s="28" t="s">
        <v>9</v>
      </c>
      <c r="X111" s="28" t="s">
        <v>9</v>
      </c>
      <c r="Y111" s="28" t="s">
        <v>9</v>
      </c>
      <c r="Z111" s="28" t="s">
        <v>9</v>
      </c>
      <c r="AA111" s="28" t="s">
        <v>9</v>
      </c>
      <c r="AB111" s="28" t="s">
        <v>9</v>
      </c>
      <c r="AC111" s="28" t="s">
        <v>9</v>
      </c>
      <c r="AD111" s="28" t="s">
        <v>9</v>
      </c>
      <c r="AE111" s="28" t="s">
        <v>9</v>
      </c>
      <c r="AF111" s="28" t="s">
        <v>9</v>
      </c>
      <c r="AG111" s="24">
        <f t="shared" si="5"/>
        <v>15</v>
      </c>
      <c r="AH111" s="24">
        <f t="shared" si="6"/>
        <v>0</v>
      </c>
      <c r="AI111" s="24">
        <f t="shared" si="7"/>
        <v>0</v>
      </c>
      <c r="AJ111" s="41" t="str" cm="1">
        <f t="array" ref="AJ111">_xlfn.IFS(
$AG111=15,"Not Started",
$AI111&lt;15,"In Progress",
$AI111=15,"Completed",
SUM(AG111:AI111)&gt;15,"Error"
)</f>
        <v>Not Started</v>
      </c>
    </row>
    <row r="112" spans="1:36" ht="26" x14ac:dyDescent="0.25">
      <c r="A112" s="291"/>
      <c r="B112" s="86">
        <v>109</v>
      </c>
      <c r="C112" s="14" t="s">
        <v>1566</v>
      </c>
      <c r="D112" s="53" t="s">
        <v>8196</v>
      </c>
      <c r="E112" s="92" t="s">
        <v>10231</v>
      </c>
      <c r="F112" s="57" t="s">
        <v>47</v>
      </c>
      <c r="G112" s="10" t="s">
        <v>48</v>
      </c>
      <c r="H112" s="7" t="s">
        <v>5975</v>
      </c>
      <c r="I112" s="7" t="s">
        <v>5975</v>
      </c>
      <c r="J112" s="7">
        <v>27.546664</v>
      </c>
      <c r="K112" s="7">
        <v>41.705413999999998</v>
      </c>
      <c r="L112" s="7" t="str">
        <f t="shared" si="4"/>
        <v>27.546664,41.705414</v>
      </c>
      <c r="M112" s="7" t="s">
        <v>8401</v>
      </c>
      <c r="N112" s="7">
        <v>10041587672</v>
      </c>
      <c r="O112" s="7"/>
      <c r="P112" s="201"/>
      <c r="Q112" s="28" t="s">
        <v>9</v>
      </c>
      <c r="R112" s="28" t="s">
        <v>9</v>
      </c>
      <c r="S112" s="28" t="s">
        <v>9</v>
      </c>
      <c r="T112" s="28" t="s">
        <v>9</v>
      </c>
      <c r="U112" s="28" t="s">
        <v>9</v>
      </c>
      <c r="V112" s="28" t="s">
        <v>9</v>
      </c>
      <c r="W112" s="28" t="s">
        <v>9</v>
      </c>
      <c r="X112" s="28" t="s">
        <v>9</v>
      </c>
      <c r="Y112" s="28" t="s">
        <v>9</v>
      </c>
      <c r="Z112" s="28" t="s">
        <v>9</v>
      </c>
      <c r="AA112" s="28" t="s">
        <v>9</v>
      </c>
      <c r="AB112" s="28" t="s">
        <v>9</v>
      </c>
      <c r="AC112" s="28" t="s">
        <v>9</v>
      </c>
      <c r="AD112" s="28" t="s">
        <v>9</v>
      </c>
      <c r="AE112" s="28" t="s">
        <v>9</v>
      </c>
      <c r="AF112" s="28" t="s">
        <v>9</v>
      </c>
      <c r="AG112" s="24">
        <f t="shared" si="5"/>
        <v>15</v>
      </c>
      <c r="AH112" s="24">
        <f t="shared" si="6"/>
        <v>0</v>
      </c>
      <c r="AI112" s="24">
        <f t="shared" si="7"/>
        <v>0</v>
      </c>
      <c r="AJ112" s="41" t="str" cm="1">
        <f t="array" ref="AJ112">_xlfn.IFS(
$AG112=15,"Not Started",
$AI112&lt;15,"In Progress",
$AI112=15,"Completed",
SUM(AG112:AI112)&gt;15,"Error"
)</f>
        <v>Not Started</v>
      </c>
    </row>
    <row r="113" spans="1:36" ht="13" x14ac:dyDescent="0.25">
      <c r="A113" s="291"/>
      <c r="B113" s="64">
        <v>110</v>
      </c>
      <c r="C113" s="7" t="s">
        <v>1567</v>
      </c>
      <c r="D113" s="53" t="s">
        <v>8198</v>
      </c>
      <c r="E113" s="61" t="s">
        <v>8197</v>
      </c>
      <c r="F113" s="57" t="s">
        <v>43</v>
      </c>
      <c r="G113" s="10" t="s">
        <v>48</v>
      </c>
      <c r="H113" s="7" t="s">
        <v>5975</v>
      </c>
      <c r="I113" s="7" t="s">
        <v>5975</v>
      </c>
      <c r="J113" s="7">
        <v>27.544917999999999</v>
      </c>
      <c r="K113" s="7">
        <v>41.702243000000003</v>
      </c>
      <c r="L113" s="7" t="str">
        <f t="shared" si="4"/>
        <v>27.544918,41.702243</v>
      </c>
      <c r="M113" s="7" t="s">
        <v>8402</v>
      </c>
      <c r="N113" s="7">
        <v>10041906219</v>
      </c>
      <c r="O113" s="7"/>
      <c r="P113" s="201">
        <v>46123</v>
      </c>
      <c r="Q113" s="28" t="s">
        <v>11</v>
      </c>
      <c r="R113" s="28" t="s">
        <v>11</v>
      </c>
      <c r="S113" s="28" t="s">
        <v>11</v>
      </c>
      <c r="T113" s="28" t="s">
        <v>11</v>
      </c>
      <c r="U113" s="28" t="s">
        <v>9</v>
      </c>
      <c r="V113" s="28" t="s">
        <v>9</v>
      </c>
      <c r="W113" s="28" t="s">
        <v>9</v>
      </c>
      <c r="X113" s="28" t="s">
        <v>9</v>
      </c>
      <c r="Y113" s="28" t="s">
        <v>9</v>
      </c>
      <c r="Z113" s="28" t="s">
        <v>9</v>
      </c>
      <c r="AA113" s="28" t="s">
        <v>9</v>
      </c>
      <c r="AB113" s="28" t="s">
        <v>9</v>
      </c>
      <c r="AC113" s="28" t="s">
        <v>9</v>
      </c>
      <c r="AD113" s="28" t="s">
        <v>9</v>
      </c>
      <c r="AE113" s="28" t="s">
        <v>9</v>
      </c>
      <c r="AF113" s="28" t="s">
        <v>10</v>
      </c>
      <c r="AG113" s="24">
        <f t="shared" si="5"/>
        <v>11</v>
      </c>
      <c r="AH113" s="24">
        <f t="shared" si="6"/>
        <v>0</v>
      </c>
      <c r="AI113" s="24">
        <f t="shared" si="7"/>
        <v>4</v>
      </c>
      <c r="AJ113" s="41" t="str" cm="1">
        <f t="array" ref="AJ113">_xlfn.IFS(
$AG113=15,"Not Started",
$AI113&lt;15,"In Progress",
$AI113=15,"Completed",
SUM(AG113:AI113)&gt;15,"Error"
)</f>
        <v>In Progress</v>
      </c>
    </row>
    <row r="114" spans="1:36" ht="13" x14ac:dyDescent="0.25">
      <c r="A114" s="291"/>
      <c r="B114" s="86">
        <v>111</v>
      </c>
      <c r="C114" s="14" t="s">
        <v>1568</v>
      </c>
      <c r="D114" s="53" t="s">
        <v>5866</v>
      </c>
      <c r="E114" s="61" t="s">
        <v>5865</v>
      </c>
      <c r="F114" s="57" t="s">
        <v>47</v>
      </c>
      <c r="G114" s="10" t="s">
        <v>48</v>
      </c>
      <c r="H114" s="7" t="s">
        <v>5975</v>
      </c>
      <c r="I114" s="7" t="s">
        <v>5975</v>
      </c>
      <c r="J114" s="7">
        <v>27.543392000000001</v>
      </c>
      <c r="K114" s="7">
        <v>41.714972000000003</v>
      </c>
      <c r="L114" s="7" t="str">
        <f t="shared" si="4"/>
        <v>27.543392,41.714972</v>
      </c>
      <c r="M114" s="7" t="s">
        <v>5944</v>
      </c>
      <c r="N114" s="7">
        <v>10041735603</v>
      </c>
      <c r="O114" s="7"/>
      <c r="P114" s="201"/>
      <c r="Q114" s="28" t="s">
        <v>11</v>
      </c>
      <c r="R114" s="28" t="s">
        <v>11</v>
      </c>
      <c r="S114" s="28" t="s">
        <v>11</v>
      </c>
      <c r="T114" s="28" t="s">
        <v>11</v>
      </c>
      <c r="U114" s="28" t="s">
        <v>9</v>
      </c>
      <c r="V114" s="28" t="s">
        <v>9</v>
      </c>
      <c r="W114" s="28" t="s">
        <v>9</v>
      </c>
      <c r="X114" s="28" t="s">
        <v>9</v>
      </c>
      <c r="Y114" s="28" t="s">
        <v>9</v>
      </c>
      <c r="Z114" s="28" t="s">
        <v>9</v>
      </c>
      <c r="AA114" s="28" t="s">
        <v>9</v>
      </c>
      <c r="AB114" s="28" t="s">
        <v>9</v>
      </c>
      <c r="AC114" s="28" t="s">
        <v>9</v>
      </c>
      <c r="AD114" s="28" t="s">
        <v>9</v>
      </c>
      <c r="AE114" s="28" t="s">
        <v>9</v>
      </c>
      <c r="AF114" s="28" t="s">
        <v>10</v>
      </c>
      <c r="AG114" s="24">
        <f t="shared" si="5"/>
        <v>11</v>
      </c>
      <c r="AH114" s="24">
        <f t="shared" si="6"/>
        <v>0</v>
      </c>
      <c r="AI114" s="24">
        <f t="shared" si="7"/>
        <v>4</v>
      </c>
      <c r="AJ114" s="41" t="str" cm="1">
        <f t="array" ref="AJ114">_xlfn.IFS(
$AG114=15,"Not Started",
$AI114&lt;15,"In Progress",
$AI114=15,"Completed",
SUM(AG114:AI114)&gt;15,"Error"
)</f>
        <v>In Progress</v>
      </c>
    </row>
    <row r="115" spans="1:36" ht="13" x14ac:dyDescent="0.25">
      <c r="A115" s="291"/>
      <c r="B115" s="64">
        <v>112</v>
      </c>
      <c r="C115" s="7" t="s">
        <v>1569</v>
      </c>
      <c r="D115" s="53" t="s">
        <v>5868</v>
      </c>
      <c r="E115" s="61" t="s">
        <v>5867</v>
      </c>
      <c r="F115" s="57" t="s">
        <v>43</v>
      </c>
      <c r="G115" s="10" t="s">
        <v>48</v>
      </c>
      <c r="H115" s="7" t="s">
        <v>5975</v>
      </c>
      <c r="I115" s="7" t="s">
        <v>5975</v>
      </c>
      <c r="J115" s="7">
        <v>27.543392000000001</v>
      </c>
      <c r="K115" s="7">
        <v>41.714972000000003</v>
      </c>
      <c r="L115" s="7" t="str">
        <f t="shared" si="4"/>
        <v>27.543392,41.714972</v>
      </c>
      <c r="M115" s="7" t="s">
        <v>5945</v>
      </c>
      <c r="N115" s="7">
        <v>10041735720</v>
      </c>
      <c r="O115" s="7"/>
      <c r="P115" s="201"/>
      <c r="Q115" s="28" t="s">
        <v>11</v>
      </c>
      <c r="R115" s="28" t="s">
        <v>11</v>
      </c>
      <c r="S115" s="28" t="s">
        <v>11</v>
      </c>
      <c r="T115" s="28" t="s">
        <v>11</v>
      </c>
      <c r="U115" s="28" t="s">
        <v>9</v>
      </c>
      <c r="V115" s="28" t="s">
        <v>9</v>
      </c>
      <c r="W115" s="28" t="s">
        <v>9</v>
      </c>
      <c r="X115" s="28" t="s">
        <v>9</v>
      </c>
      <c r="Y115" s="28" t="s">
        <v>9</v>
      </c>
      <c r="Z115" s="28" t="s">
        <v>9</v>
      </c>
      <c r="AA115" s="28" t="s">
        <v>9</v>
      </c>
      <c r="AB115" s="28" t="s">
        <v>9</v>
      </c>
      <c r="AC115" s="28" t="s">
        <v>9</v>
      </c>
      <c r="AD115" s="28" t="s">
        <v>9</v>
      </c>
      <c r="AE115" s="28" t="s">
        <v>9</v>
      </c>
      <c r="AF115" s="28" t="s">
        <v>10</v>
      </c>
      <c r="AG115" s="24">
        <f t="shared" si="5"/>
        <v>11</v>
      </c>
      <c r="AH115" s="24">
        <f t="shared" si="6"/>
        <v>0</v>
      </c>
      <c r="AI115" s="24">
        <f t="shared" si="7"/>
        <v>4</v>
      </c>
      <c r="AJ115" s="41" t="str" cm="1">
        <f t="array" ref="AJ115">_xlfn.IFS(
$AG115=15,"Not Started",
$AI115&lt;15,"In Progress",
$AI115=15,"Completed",
SUM(AG115:AI115)&gt;15,"Error"
)</f>
        <v>In Progress</v>
      </c>
    </row>
    <row r="116" spans="1:36" ht="13" x14ac:dyDescent="0.25">
      <c r="A116" s="291"/>
      <c r="B116" s="86">
        <v>113</v>
      </c>
      <c r="C116" s="14" t="s">
        <v>1570</v>
      </c>
      <c r="D116" s="53" t="s">
        <v>5870</v>
      </c>
      <c r="E116" s="61" t="s">
        <v>5869</v>
      </c>
      <c r="F116" s="57" t="s">
        <v>43</v>
      </c>
      <c r="G116" s="10" t="s">
        <v>44</v>
      </c>
      <c r="H116" s="7" t="s">
        <v>5975</v>
      </c>
      <c r="I116" s="7" t="s">
        <v>5975</v>
      </c>
      <c r="J116" s="7">
        <v>27.550513800000001</v>
      </c>
      <c r="K116" s="7">
        <v>41.70341492</v>
      </c>
      <c r="L116" s="7" t="str">
        <f t="shared" si="4"/>
        <v>27.5505138,41.70341492</v>
      </c>
      <c r="M116" s="7" t="s">
        <v>5946</v>
      </c>
      <c r="N116" s="7">
        <v>10041495955</v>
      </c>
      <c r="O116" s="7"/>
      <c r="P116" s="201">
        <v>46123</v>
      </c>
      <c r="Q116" s="28" t="s">
        <v>11</v>
      </c>
      <c r="R116" s="28" t="s">
        <v>11</v>
      </c>
      <c r="S116" s="28" t="s">
        <v>11</v>
      </c>
      <c r="T116" s="28" t="s">
        <v>11</v>
      </c>
      <c r="U116" s="28" t="s">
        <v>9</v>
      </c>
      <c r="V116" s="28" t="s">
        <v>9</v>
      </c>
      <c r="W116" s="28" t="s">
        <v>9</v>
      </c>
      <c r="X116" s="28" t="s">
        <v>9</v>
      </c>
      <c r="Y116" s="28" t="s">
        <v>9</v>
      </c>
      <c r="Z116" s="28" t="s">
        <v>9</v>
      </c>
      <c r="AA116" s="28" t="s">
        <v>9</v>
      </c>
      <c r="AB116" s="28" t="s">
        <v>9</v>
      </c>
      <c r="AC116" s="28" t="s">
        <v>9</v>
      </c>
      <c r="AD116" s="28" t="s">
        <v>9</v>
      </c>
      <c r="AE116" s="28" t="s">
        <v>9</v>
      </c>
      <c r="AF116" s="28" t="s">
        <v>10</v>
      </c>
      <c r="AG116" s="24">
        <f t="shared" si="5"/>
        <v>11</v>
      </c>
      <c r="AH116" s="24">
        <f t="shared" si="6"/>
        <v>0</v>
      </c>
      <c r="AI116" s="24">
        <f t="shared" si="7"/>
        <v>4</v>
      </c>
      <c r="AJ116" s="41" t="str" cm="1">
        <f t="array" ref="AJ116">_xlfn.IFS(
$AG116=15,"Not Started",
$AI116&lt;15,"In Progress",
$AI116=15,"Completed",
SUM(AG116:AI116)&gt;15,"Error"
)</f>
        <v>In Progress</v>
      </c>
    </row>
    <row r="117" spans="1:36" ht="13" x14ac:dyDescent="0.25">
      <c r="A117" s="291"/>
      <c r="B117" s="64">
        <v>114</v>
      </c>
      <c r="C117" s="7" t="s">
        <v>1571</v>
      </c>
      <c r="D117" s="53" t="s">
        <v>5872</v>
      </c>
      <c r="E117" s="61" t="s">
        <v>5871</v>
      </c>
      <c r="F117" s="57" t="s">
        <v>47</v>
      </c>
      <c r="G117" s="10" t="s">
        <v>44</v>
      </c>
      <c r="H117" s="7" t="s">
        <v>5975</v>
      </c>
      <c r="I117" s="7" t="s">
        <v>5975</v>
      </c>
      <c r="J117" s="7">
        <v>27.542147480000001</v>
      </c>
      <c r="K117" s="7">
        <v>41.717877389999998</v>
      </c>
      <c r="L117" s="7" t="str">
        <f t="shared" si="4"/>
        <v>27.54214748,41.71787739</v>
      </c>
      <c r="M117" s="7" t="s">
        <v>5947</v>
      </c>
      <c r="N117" s="7">
        <v>10041586782</v>
      </c>
      <c r="O117" s="7"/>
      <c r="P117" s="201"/>
      <c r="Q117" s="28" t="s">
        <v>11</v>
      </c>
      <c r="R117" s="28" t="s">
        <v>11</v>
      </c>
      <c r="S117" s="28" t="s">
        <v>11</v>
      </c>
      <c r="T117" s="28" t="s">
        <v>11</v>
      </c>
      <c r="U117" s="28" t="s">
        <v>9</v>
      </c>
      <c r="V117" s="28" t="s">
        <v>9</v>
      </c>
      <c r="W117" s="28" t="s">
        <v>9</v>
      </c>
      <c r="X117" s="28" t="s">
        <v>9</v>
      </c>
      <c r="Y117" s="28" t="s">
        <v>9</v>
      </c>
      <c r="Z117" s="28" t="s">
        <v>9</v>
      </c>
      <c r="AA117" s="28" t="s">
        <v>9</v>
      </c>
      <c r="AB117" s="28" t="s">
        <v>9</v>
      </c>
      <c r="AC117" s="28" t="s">
        <v>9</v>
      </c>
      <c r="AD117" s="28" t="s">
        <v>9</v>
      </c>
      <c r="AE117" s="28" t="s">
        <v>9</v>
      </c>
      <c r="AF117" s="28" t="s">
        <v>10</v>
      </c>
      <c r="AG117" s="24">
        <f t="shared" si="5"/>
        <v>11</v>
      </c>
      <c r="AH117" s="24">
        <f t="shared" si="6"/>
        <v>0</v>
      </c>
      <c r="AI117" s="24">
        <f t="shared" si="7"/>
        <v>4</v>
      </c>
      <c r="AJ117" s="41" t="str" cm="1">
        <f t="array" ref="AJ117">_xlfn.IFS(
$AG117=15,"Not Started",
$AI117&lt;15,"In Progress",
$AI117=15,"Completed",
SUM(AG117:AI117)&gt;15,"Error"
)</f>
        <v>In Progress</v>
      </c>
    </row>
    <row r="118" spans="1:36" ht="13" x14ac:dyDescent="0.25">
      <c r="A118" s="291"/>
      <c r="B118" s="86">
        <v>115</v>
      </c>
      <c r="C118" s="14" t="s">
        <v>1572</v>
      </c>
      <c r="D118" s="53" t="s">
        <v>5874</v>
      </c>
      <c r="E118" s="61" t="s">
        <v>5873</v>
      </c>
      <c r="F118" s="57" t="s">
        <v>47</v>
      </c>
      <c r="G118" s="10" t="s">
        <v>44</v>
      </c>
      <c r="H118" s="7" t="s">
        <v>5975</v>
      </c>
      <c r="I118" s="7" t="s">
        <v>5975</v>
      </c>
      <c r="J118" s="7">
        <v>27.564153480000002</v>
      </c>
      <c r="K118" s="7">
        <v>41.6749084</v>
      </c>
      <c r="L118" s="7" t="str">
        <f t="shared" si="4"/>
        <v>27.56415348,41.6749084</v>
      </c>
      <c r="M118" s="7" t="s">
        <v>5948</v>
      </c>
      <c r="N118" s="7">
        <v>10041965372</v>
      </c>
      <c r="O118" s="7"/>
      <c r="P118" s="201"/>
      <c r="Q118" s="28" t="s">
        <v>9</v>
      </c>
      <c r="R118" s="28" t="s">
        <v>9</v>
      </c>
      <c r="S118" s="28" t="s">
        <v>9</v>
      </c>
      <c r="T118" s="28" t="s">
        <v>9</v>
      </c>
      <c r="U118" s="28" t="s">
        <v>9</v>
      </c>
      <c r="V118" s="28" t="s">
        <v>9</v>
      </c>
      <c r="W118" s="28" t="s">
        <v>9</v>
      </c>
      <c r="X118" s="28" t="s">
        <v>9</v>
      </c>
      <c r="Y118" s="28" t="s">
        <v>9</v>
      </c>
      <c r="Z118" s="28" t="s">
        <v>9</v>
      </c>
      <c r="AA118" s="28" t="s">
        <v>9</v>
      </c>
      <c r="AB118" s="28" t="s">
        <v>9</v>
      </c>
      <c r="AC118" s="28" t="s">
        <v>9</v>
      </c>
      <c r="AD118" s="28" t="s">
        <v>9</v>
      </c>
      <c r="AE118" s="28" t="s">
        <v>9</v>
      </c>
      <c r="AF118" s="28" t="s">
        <v>9</v>
      </c>
      <c r="AG118" s="24">
        <f t="shared" si="5"/>
        <v>15</v>
      </c>
      <c r="AH118" s="24">
        <f t="shared" si="6"/>
        <v>0</v>
      </c>
      <c r="AI118" s="24">
        <f t="shared" si="7"/>
        <v>0</v>
      </c>
      <c r="AJ118" s="41" t="str" cm="1">
        <f t="array" ref="AJ118">_xlfn.IFS(
$AG118=15,"Not Started",
$AI118&lt;15,"In Progress",
$AI118=15,"Completed",
SUM(AG118:AI118)&gt;15,"Error"
)</f>
        <v>Not Started</v>
      </c>
    </row>
    <row r="119" spans="1:36" ht="13" x14ac:dyDescent="0.25">
      <c r="A119" s="291"/>
      <c r="B119" s="64">
        <v>116</v>
      </c>
      <c r="C119" s="7" t="s">
        <v>1573</v>
      </c>
      <c r="D119" s="53" t="s">
        <v>5876</v>
      </c>
      <c r="E119" s="61" t="s">
        <v>5875</v>
      </c>
      <c r="F119" s="57" t="s">
        <v>51</v>
      </c>
      <c r="G119" s="10" t="s">
        <v>48</v>
      </c>
      <c r="H119" s="7" t="s">
        <v>5975</v>
      </c>
      <c r="I119" s="7" t="s">
        <v>5975</v>
      </c>
      <c r="J119" s="7">
        <v>27.551429250000002</v>
      </c>
      <c r="K119" s="7">
        <v>41.708575969999998</v>
      </c>
      <c r="L119" s="7" t="str">
        <f t="shared" si="4"/>
        <v>27.55142925,41.70857597</v>
      </c>
      <c r="M119" s="7" t="s">
        <v>5949</v>
      </c>
      <c r="N119" s="7">
        <v>10041427580</v>
      </c>
      <c r="O119" s="7"/>
      <c r="P119" s="201">
        <v>46120</v>
      </c>
      <c r="Q119" s="28" t="s">
        <v>11</v>
      </c>
      <c r="R119" s="28" t="s">
        <v>11</v>
      </c>
      <c r="S119" s="28" t="s">
        <v>11</v>
      </c>
      <c r="T119" s="28" t="s">
        <v>11</v>
      </c>
      <c r="U119" s="28" t="s">
        <v>9</v>
      </c>
      <c r="V119" s="28" t="s">
        <v>9</v>
      </c>
      <c r="W119" s="28" t="s">
        <v>9</v>
      </c>
      <c r="X119" s="28" t="s">
        <v>9</v>
      </c>
      <c r="Y119" s="28" t="s">
        <v>9</v>
      </c>
      <c r="Z119" s="28" t="s">
        <v>9</v>
      </c>
      <c r="AA119" s="28" t="s">
        <v>9</v>
      </c>
      <c r="AB119" s="28" t="s">
        <v>9</v>
      </c>
      <c r="AC119" s="28" t="s">
        <v>9</v>
      </c>
      <c r="AD119" s="28" t="s">
        <v>9</v>
      </c>
      <c r="AE119" s="28" t="s">
        <v>9</v>
      </c>
      <c r="AF119" s="28" t="s">
        <v>10</v>
      </c>
      <c r="AG119" s="24">
        <f t="shared" si="5"/>
        <v>11</v>
      </c>
      <c r="AH119" s="24">
        <f t="shared" si="6"/>
        <v>0</v>
      </c>
      <c r="AI119" s="24">
        <f t="shared" si="7"/>
        <v>4</v>
      </c>
      <c r="AJ119" s="41" t="str" cm="1">
        <f t="array" ref="AJ119">_xlfn.IFS(
$AG119=15,"Not Started",
$AI119&lt;15,"In Progress",
$AI119=15,"Completed",
SUM(AG119:AI119)&gt;15,"Error"
)</f>
        <v>In Progress</v>
      </c>
    </row>
    <row r="120" spans="1:36" ht="26" x14ac:dyDescent="0.25">
      <c r="A120" s="291"/>
      <c r="B120" s="86">
        <v>117</v>
      </c>
      <c r="C120" s="14" t="s">
        <v>1574</v>
      </c>
      <c r="D120" s="53" t="s">
        <v>5877</v>
      </c>
      <c r="E120" s="92" t="s">
        <v>10232</v>
      </c>
      <c r="F120" s="57" t="s">
        <v>43</v>
      </c>
      <c r="G120" s="10" t="s">
        <v>48</v>
      </c>
      <c r="H120" s="7" t="s">
        <v>5975</v>
      </c>
      <c r="I120" s="7" t="s">
        <v>5975</v>
      </c>
      <c r="J120" s="7">
        <v>27.552068999999999</v>
      </c>
      <c r="K120" s="7">
        <v>41.708526999999997</v>
      </c>
      <c r="L120" s="7" t="str">
        <f t="shared" si="4"/>
        <v>27.552069,41.708527</v>
      </c>
      <c r="M120" s="7" t="s">
        <v>5950</v>
      </c>
      <c r="N120" s="7">
        <v>10041645051</v>
      </c>
      <c r="O120" s="7"/>
      <c r="P120" s="201">
        <v>46120</v>
      </c>
      <c r="Q120" s="28" t="s">
        <v>11</v>
      </c>
      <c r="R120" s="28" t="s">
        <v>11</v>
      </c>
      <c r="S120" s="28" t="s">
        <v>11</v>
      </c>
      <c r="T120" s="28" t="s">
        <v>11</v>
      </c>
      <c r="U120" s="28" t="s">
        <v>9</v>
      </c>
      <c r="V120" s="28" t="s">
        <v>9</v>
      </c>
      <c r="W120" s="28" t="s">
        <v>9</v>
      </c>
      <c r="X120" s="28" t="s">
        <v>9</v>
      </c>
      <c r="Y120" s="28" t="s">
        <v>9</v>
      </c>
      <c r="Z120" s="28" t="s">
        <v>9</v>
      </c>
      <c r="AA120" s="28" t="s">
        <v>9</v>
      </c>
      <c r="AB120" s="28" t="s">
        <v>9</v>
      </c>
      <c r="AC120" s="28" t="s">
        <v>9</v>
      </c>
      <c r="AD120" s="28" t="s">
        <v>9</v>
      </c>
      <c r="AE120" s="28" t="s">
        <v>9</v>
      </c>
      <c r="AF120" s="28" t="s">
        <v>10</v>
      </c>
      <c r="AG120" s="24">
        <f t="shared" si="5"/>
        <v>11</v>
      </c>
      <c r="AH120" s="24">
        <f t="shared" si="6"/>
        <v>0</v>
      </c>
      <c r="AI120" s="24">
        <f t="shared" si="7"/>
        <v>4</v>
      </c>
      <c r="AJ120" s="41" t="str" cm="1">
        <f t="array" ref="AJ120">_xlfn.IFS(
$AG120=15,"Not Started",
$AI120&lt;15,"In Progress",
$AI120=15,"Completed",
SUM(AG120:AI120)&gt;15,"Error"
)</f>
        <v>In Progress</v>
      </c>
    </row>
    <row r="121" spans="1:36" ht="13" x14ac:dyDescent="0.25">
      <c r="A121" s="291"/>
      <c r="B121" s="64">
        <v>118</v>
      </c>
      <c r="C121" s="7" t="s">
        <v>1575</v>
      </c>
      <c r="D121" s="53" t="s">
        <v>5878</v>
      </c>
      <c r="E121" s="61" t="s">
        <v>3727</v>
      </c>
      <c r="F121" s="57" t="s">
        <v>47</v>
      </c>
      <c r="G121" s="10" t="s">
        <v>48</v>
      </c>
      <c r="H121" s="7" t="s">
        <v>5975</v>
      </c>
      <c r="I121" s="7" t="s">
        <v>5975</v>
      </c>
      <c r="J121" s="7">
        <v>27.552056</v>
      </c>
      <c r="K121" s="7">
        <v>41.709319000000001</v>
      </c>
      <c r="L121" s="7" t="str">
        <f t="shared" si="4"/>
        <v>27.552056,41.709319</v>
      </c>
      <c r="M121" s="7" t="s">
        <v>5951</v>
      </c>
      <c r="N121" s="7">
        <v>10041657703</v>
      </c>
      <c r="O121" s="7"/>
      <c r="P121" s="201"/>
      <c r="Q121" s="28" t="s">
        <v>11</v>
      </c>
      <c r="R121" s="28" t="s">
        <v>11</v>
      </c>
      <c r="S121" s="28" t="s">
        <v>11</v>
      </c>
      <c r="T121" s="28" t="s">
        <v>11</v>
      </c>
      <c r="U121" s="28" t="s">
        <v>9</v>
      </c>
      <c r="V121" s="28" t="s">
        <v>9</v>
      </c>
      <c r="W121" s="28" t="s">
        <v>9</v>
      </c>
      <c r="X121" s="28" t="s">
        <v>9</v>
      </c>
      <c r="Y121" s="28" t="s">
        <v>9</v>
      </c>
      <c r="Z121" s="28" t="s">
        <v>9</v>
      </c>
      <c r="AA121" s="28" t="s">
        <v>9</v>
      </c>
      <c r="AB121" s="28" t="s">
        <v>9</v>
      </c>
      <c r="AC121" s="28" t="s">
        <v>9</v>
      </c>
      <c r="AD121" s="28" t="s">
        <v>9</v>
      </c>
      <c r="AE121" s="28" t="s">
        <v>9</v>
      </c>
      <c r="AF121" s="28" t="s">
        <v>10</v>
      </c>
      <c r="AG121" s="24">
        <f t="shared" si="5"/>
        <v>11</v>
      </c>
      <c r="AH121" s="24">
        <f t="shared" si="6"/>
        <v>0</v>
      </c>
      <c r="AI121" s="24">
        <f t="shared" si="7"/>
        <v>4</v>
      </c>
      <c r="AJ121" s="41" t="str" cm="1">
        <f t="array" ref="AJ121">_xlfn.IFS(
$AG121=15,"Not Started",
$AI121&lt;15,"In Progress",
$AI121=15,"Completed",
SUM(AG121:AI121)&gt;15,"Error"
)</f>
        <v>In Progress</v>
      </c>
    </row>
    <row r="122" spans="1:36" ht="13" x14ac:dyDescent="0.25">
      <c r="A122" s="291"/>
      <c r="B122" s="86">
        <v>119</v>
      </c>
      <c r="C122" s="14" t="s">
        <v>1576</v>
      </c>
      <c r="D122" s="53" t="s">
        <v>5880</v>
      </c>
      <c r="E122" s="61" t="s">
        <v>5879</v>
      </c>
      <c r="F122" s="57" t="s">
        <v>43</v>
      </c>
      <c r="G122" s="10" t="s">
        <v>48</v>
      </c>
      <c r="H122" s="7" t="s">
        <v>5975</v>
      </c>
      <c r="I122" s="7" t="s">
        <v>5975</v>
      </c>
      <c r="J122" s="7">
        <v>27.543773000000002</v>
      </c>
      <c r="K122" s="7">
        <v>41.722614</v>
      </c>
      <c r="L122" s="7" t="str">
        <f t="shared" si="4"/>
        <v>27.543773,41.722614</v>
      </c>
      <c r="M122" s="7" t="s">
        <v>5952</v>
      </c>
      <c r="N122" s="7">
        <v>10041526425</v>
      </c>
      <c r="O122" s="7"/>
      <c r="P122" s="201">
        <v>46121</v>
      </c>
      <c r="Q122" s="28" t="s">
        <v>11</v>
      </c>
      <c r="R122" s="28" t="s">
        <v>11</v>
      </c>
      <c r="S122" s="28" t="s">
        <v>11</v>
      </c>
      <c r="T122" s="28" t="s">
        <v>11</v>
      </c>
      <c r="U122" s="28" t="s">
        <v>9</v>
      </c>
      <c r="V122" s="28" t="s">
        <v>9</v>
      </c>
      <c r="W122" s="28" t="s">
        <v>9</v>
      </c>
      <c r="X122" s="28" t="s">
        <v>9</v>
      </c>
      <c r="Y122" s="28" t="s">
        <v>9</v>
      </c>
      <c r="Z122" s="28" t="s">
        <v>9</v>
      </c>
      <c r="AA122" s="28" t="s">
        <v>9</v>
      </c>
      <c r="AB122" s="28" t="s">
        <v>9</v>
      </c>
      <c r="AC122" s="28" t="s">
        <v>9</v>
      </c>
      <c r="AD122" s="28" t="s">
        <v>9</v>
      </c>
      <c r="AE122" s="28" t="s">
        <v>9</v>
      </c>
      <c r="AF122" s="28" t="s">
        <v>10</v>
      </c>
      <c r="AG122" s="24">
        <f t="shared" si="5"/>
        <v>11</v>
      </c>
      <c r="AH122" s="24">
        <f t="shared" si="6"/>
        <v>0</v>
      </c>
      <c r="AI122" s="24">
        <f t="shared" si="7"/>
        <v>4</v>
      </c>
      <c r="AJ122" s="41" t="str" cm="1">
        <f t="array" ref="AJ122">_xlfn.IFS(
$AG122=15,"Not Started",
$AI122&lt;15,"In Progress",
$AI122=15,"Completed",
SUM(AG122:AI122)&gt;15,"Error"
)</f>
        <v>In Progress</v>
      </c>
    </row>
    <row r="123" spans="1:36" ht="13" x14ac:dyDescent="0.25">
      <c r="A123" s="291"/>
      <c r="B123" s="64">
        <v>120</v>
      </c>
      <c r="C123" s="7" t="s">
        <v>1577</v>
      </c>
      <c r="D123" s="53" t="s">
        <v>5882</v>
      </c>
      <c r="E123" s="61" t="s">
        <v>5881</v>
      </c>
      <c r="F123" s="57" t="s">
        <v>43</v>
      </c>
      <c r="G123" s="10" t="s">
        <v>48</v>
      </c>
      <c r="H123" s="7" t="s">
        <v>5975</v>
      </c>
      <c r="I123" s="7" t="s">
        <v>5975</v>
      </c>
      <c r="J123" s="7">
        <v>27.5652948</v>
      </c>
      <c r="K123" s="7">
        <v>41.682858469999999</v>
      </c>
      <c r="L123" s="7" t="str">
        <f t="shared" si="4"/>
        <v>27.5652948,41.68285847</v>
      </c>
      <c r="M123" s="7" t="s">
        <v>5953</v>
      </c>
      <c r="N123" s="7">
        <v>10041638136</v>
      </c>
      <c r="O123" s="7"/>
      <c r="P123" s="201"/>
      <c r="Q123" s="28" t="s">
        <v>9</v>
      </c>
      <c r="R123" s="28" t="s">
        <v>9</v>
      </c>
      <c r="S123" s="28" t="s">
        <v>9</v>
      </c>
      <c r="T123" s="28" t="s">
        <v>9</v>
      </c>
      <c r="U123" s="28" t="s">
        <v>9</v>
      </c>
      <c r="V123" s="28" t="s">
        <v>9</v>
      </c>
      <c r="W123" s="28" t="s">
        <v>9</v>
      </c>
      <c r="X123" s="28" t="s">
        <v>9</v>
      </c>
      <c r="Y123" s="28" t="s">
        <v>9</v>
      </c>
      <c r="Z123" s="28" t="s">
        <v>9</v>
      </c>
      <c r="AA123" s="28" t="s">
        <v>9</v>
      </c>
      <c r="AB123" s="28" t="s">
        <v>9</v>
      </c>
      <c r="AC123" s="28" t="s">
        <v>9</v>
      </c>
      <c r="AD123" s="28" t="s">
        <v>9</v>
      </c>
      <c r="AE123" s="28" t="s">
        <v>9</v>
      </c>
      <c r="AF123" s="28" t="s">
        <v>9</v>
      </c>
      <c r="AG123" s="24">
        <f t="shared" si="5"/>
        <v>15</v>
      </c>
      <c r="AH123" s="24">
        <f t="shared" si="6"/>
        <v>0</v>
      </c>
      <c r="AI123" s="24">
        <f t="shared" si="7"/>
        <v>0</v>
      </c>
      <c r="AJ123" s="41" t="str" cm="1">
        <f t="array" ref="AJ123">_xlfn.IFS(
$AG123=15,"Not Started",
$AI123&lt;15,"In Progress",
$AI123=15,"Completed",
SUM(AG123:AI123)&gt;15,"Error"
)</f>
        <v>Not Started</v>
      </c>
    </row>
    <row r="124" spans="1:36" ht="13" x14ac:dyDescent="0.25">
      <c r="A124" s="291"/>
      <c r="B124" s="86">
        <v>121</v>
      </c>
      <c r="C124" s="14" t="s">
        <v>1578</v>
      </c>
      <c r="D124" s="53" t="s">
        <v>5884</v>
      </c>
      <c r="E124" s="61" t="s">
        <v>5883</v>
      </c>
      <c r="F124" s="57" t="s">
        <v>51</v>
      </c>
      <c r="G124" s="10" t="s">
        <v>48</v>
      </c>
      <c r="H124" s="7" t="s">
        <v>5975</v>
      </c>
      <c r="I124" s="7" t="s">
        <v>5975</v>
      </c>
      <c r="J124" s="7">
        <v>27.565265140000001</v>
      </c>
      <c r="K124" s="7">
        <v>41.683422149999998</v>
      </c>
      <c r="L124" s="7" t="str">
        <f t="shared" si="4"/>
        <v>27.56526514,41.68342215</v>
      </c>
      <c r="M124" s="7" t="s">
        <v>5954</v>
      </c>
      <c r="N124" s="7">
        <v>10041641211</v>
      </c>
      <c r="O124" s="7"/>
      <c r="P124" s="201"/>
      <c r="Q124" s="28" t="s">
        <v>9</v>
      </c>
      <c r="R124" s="28" t="s">
        <v>9</v>
      </c>
      <c r="S124" s="28" t="s">
        <v>9</v>
      </c>
      <c r="T124" s="28" t="s">
        <v>9</v>
      </c>
      <c r="U124" s="28" t="s">
        <v>9</v>
      </c>
      <c r="V124" s="28" t="s">
        <v>9</v>
      </c>
      <c r="W124" s="28" t="s">
        <v>9</v>
      </c>
      <c r="X124" s="28" t="s">
        <v>9</v>
      </c>
      <c r="Y124" s="28" t="s">
        <v>9</v>
      </c>
      <c r="Z124" s="28" t="s">
        <v>9</v>
      </c>
      <c r="AA124" s="28" t="s">
        <v>9</v>
      </c>
      <c r="AB124" s="28" t="s">
        <v>9</v>
      </c>
      <c r="AC124" s="28" t="s">
        <v>9</v>
      </c>
      <c r="AD124" s="28" t="s">
        <v>9</v>
      </c>
      <c r="AE124" s="28" t="s">
        <v>9</v>
      </c>
      <c r="AF124" s="28" t="s">
        <v>9</v>
      </c>
      <c r="AG124" s="24">
        <f t="shared" si="5"/>
        <v>15</v>
      </c>
      <c r="AH124" s="24">
        <f t="shared" si="6"/>
        <v>0</v>
      </c>
      <c r="AI124" s="24">
        <f t="shared" si="7"/>
        <v>0</v>
      </c>
      <c r="AJ124" s="41" t="str" cm="1">
        <f t="array" ref="AJ124">_xlfn.IFS(
$AG124=15,"Not Started",
$AI124&lt;15,"In Progress",
$AI124=15,"Completed",
SUM(AG124:AI124)&gt;15,"Error"
)</f>
        <v>Not Started</v>
      </c>
    </row>
    <row r="125" spans="1:36" ht="13" x14ac:dyDescent="0.25">
      <c r="A125" s="291"/>
      <c r="B125" s="64">
        <v>122</v>
      </c>
      <c r="C125" s="7" t="s">
        <v>1579</v>
      </c>
      <c r="D125" s="53" t="s">
        <v>5886</v>
      </c>
      <c r="E125" s="61" t="s">
        <v>5885</v>
      </c>
      <c r="F125" s="57" t="s">
        <v>47</v>
      </c>
      <c r="G125" s="10" t="s">
        <v>48</v>
      </c>
      <c r="H125" s="7" t="s">
        <v>5975</v>
      </c>
      <c r="I125" s="7" t="s">
        <v>5975</v>
      </c>
      <c r="J125" s="7">
        <v>27.565820299999999</v>
      </c>
      <c r="K125" s="7">
        <v>41.683872800000003</v>
      </c>
      <c r="L125" s="7" t="str">
        <f t="shared" si="4"/>
        <v>27.5658203,41.6838728</v>
      </c>
      <c r="M125" s="7" t="s">
        <v>5955</v>
      </c>
      <c r="N125" s="7">
        <v>10041641338</v>
      </c>
      <c r="O125" s="7"/>
      <c r="P125" s="201"/>
      <c r="Q125" s="28" t="s">
        <v>9</v>
      </c>
      <c r="R125" s="28" t="s">
        <v>9</v>
      </c>
      <c r="S125" s="28" t="s">
        <v>9</v>
      </c>
      <c r="T125" s="28" t="s">
        <v>9</v>
      </c>
      <c r="U125" s="28" t="s">
        <v>9</v>
      </c>
      <c r="V125" s="28" t="s">
        <v>9</v>
      </c>
      <c r="W125" s="28" t="s">
        <v>9</v>
      </c>
      <c r="X125" s="28" t="s">
        <v>9</v>
      </c>
      <c r="Y125" s="28" t="s">
        <v>9</v>
      </c>
      <c r="Z125" s="28" t="s">
        <v>9</v>
      </c>
      <c r="AA125" s="28" t="s">
        <v>9</v>
      </c>
      <c r="AB125" s="28" t="s">
        <v>9</v>
      </c>
      <c r="AC125" s="28" t="s">
        <v>9</v>
      </c>
      <c r="AD125" s="28" t="s">
        <v>9</v>
      </c>
      <c r="AE125" s="28" t="s">
        <v>9</v>
      </c>
      <c r="AF125" s="28" t="s">
        <v>9</v>
      </c>
      <c r="AG125" s="24">
        <f t="shared" si="5"/>
        <v>15</v>
      </c>
      <c r="AH125" s="24">
        <f t="shared" si="6"/>
        <v>0</v>
      </c>
      <c r="AI125" s="24">
        <f t="shared" si="7"/>
        <v>0</v>
      </c>
      <c r="AJ125" s="41" t="str" cm="1">
        <f t="array" ref="AJ125">_xlfn.IFS(
$AG125=15,"Not Started",
$AI125&lt;15,"In Progress",
$AI125=15,"Completed",
SUM(AG125:AI125)&gt;15,"Error"
)</f>
        <v>Not Started</v>
      </c>
    </row>
    <row r="126" spans="1:36" ht="13" x14ac:dyDescent="0.25">
      <c r="A126" s="291"/>
      <c r="B126" s="86">
        <v>123</v>
      </c>
      <c r="C126" s="14" t="s">
        <v>1580</v>
      </c>
      <c r="D126" s="53" t="s">
        <v>5888</v>
      </c>
      <c r="E126" s="61" t="s">
        <v>5887</v>
      </c>
      <c r="F126" s="57" t="s">
        <v>47</v>
      </c>
      <c r="G126" s="10" t="s">
        <v>44</v>
      </c>
      <c r="H126" s="7" t="s">
        <v>5975</v>
      </c>
      <c r="I126" s="7" t="s">
        <v>5975</v>
      </c>
      <c r="J126" s="7">
        <v>27.564785650000001</v>
      </c>
      <c r="K126" s="7">
        <v>41.688436549999999</v>
      </c>
      <c r="L126" s="7" t="str">
        <f t="shared" si="4"/>
        <v>27.56478565,41.68843655</v>
      </c>
      <c r="M126" s="7" t="s">
        <v>5956</v>
      </c>
      <c r="N126" s="7">
        <v>10041823519</v>
      </c>
      <c r="O126" s="7"/>
      <c r="P126" s="201"/>
      <c r="Q126" s="28" t="s">
        <v>9</v>
      </c>
      <c r="R126" s="28" t="s">
        <v>9</v>
      </c>
      <c r="S126" s="28" t="s">
        <v>9</v>
      </c>
      <c r="T126" s="28" t="s">
        <v>9</v>
      </c>
      <c r="U126" s="28" t="s">
        <v>9</v>
      </c>
      <c r="V126" s="28" t="s">
        <v>9</v>
      </c>
      <c r="W126" s="28" t="s">
        <v>9</v>
      </c>
      <c r="X126" s="28" t="s">
        <v>9</v>
      </c>
      <c r="Y126" s="28" t="s">
        <v>9</v>
      </c>
      <c r="Z126" s="28" t="s">
        <v>9</v>
      </c>
      <c r="AA126" s="28" t="s">
        <v>9</v>
      </c>
      <c r="AB126" s="28" t="s">
        <v>9</v>
      </c>
      <c r="AC126" s="28" t="s">
        <v>9</v>
      </c>
      <c r="AD126" s="28" t="s">
        <v>9</v>
      </c>
      <c r="AE126" s="28" t="s">
        <v>9</v>
      </c>
      <c r="AF126" s="28" t="s">
        <v>9</v>
      </c>
      <c r="AG126" s="24">
        <f t="shared" si="5"/>
        <v>15</v>
      </c>
      <c r="AH126" s="24">
        <f t="shared" si="6"/>
        <v>0</v>
      </c>
      <c r="AI126" s="24">
        <f t="shared" si="7"/>
        <v>0</v>
      </c>
      <c r="AJ126" s="41" t="str" cm="1">
        <f t="array" ref="AJ126">_xlfn.IFS(
$AG126=15,"Not Started",
$AI126&lt;15,"In Progress",
$AI126=15,"Completed",
SUM(AG126:AI126)&gt;15,"Error"
)</f>
        <v>Not Started</v>
      </c>
    </row>
    <row r="127" spans="1:36" ht="13" x14ac:dyDescent="0.25">
      <c r="A127" s="291"/>
      <c r="B127" s="64">
        <v>124</v>
      </c>
      <c r="C127" s="7" t="s">
        <v>1581</v>
      </c>
      <c r="D127" s="53" t="s">
        <v>5890</v>
      </c>
      <c r="E127" s="61" t="s">
        <v>5889</v>
      </c>
      <c r="F127" s="57" t="s">
        <v>51</v>
      </c>
      <c r="G127" s="10" t="s">
        <v>44</v>
      </c>
      <c r="H127" s="7" t="s">
        <v>5975</v>
      </c>
      <c r="I127" s="7" t="s">
        <v>5975</v>
      </c>
      <c r="J127" s="7">
        <v>27.564785650000001</v>
      </c>
      <c r="K127" s="7">
        <v>41.688436549999999</v>
      </c>
      <c r="L127" s="7" t="str">
        <f t="shared" si="4"/>
        <v>27.56478565,41.68843655</v>
      </c>
      <c r="M127" s="7" t="s">
        <v>5957</v>
      </c>
      <c r="N127" s="7">
        <v>10041823386</v>
      </c>
      <c r="O127" s="7"/>
      <c r="P127" s="202">
        <v>46149</v>
      </c>
      <c r="Q127" s="28" t="s">
        <v>11</v>
      </c>
      <c r="R127" s="28" t="s">
        <v>11</v>
      </c>
      <c r="S127" s="28" t="s">
        <v>11</v>
      </c>
      <c r="T127" s="28" t="s">
        <v>11</v>
      </c>
      <c r="U127" s="28" t="s">
        <v>9</v>
      </c>
      <c r="V127" s="28" t="s">
        <v>9</v>
      </c>
      <c r="W127" s="28" t="s">
        <v>9</v>
      </c>
      <c r="X127" s="28" t="s">
        <v>9</v>
      </c>
      <c r="Y127" s="28" t="s">
        <v>9</v>
      </c>
      <c r="Z127" s="28" t="s">
        <v>9</v>
      </c>
      <c r="AA127" s="28" t="s">
        <v>9</v>
      </c>
      <c r="AB127" s="28" t="s">
        <v>9</v>
      </c>
      <c r="AC127" s="28" t="s">
        <v>9</v>
      </c>
      <c r="AD127" s="28" t="s">
        <v>9</v>
      </c>
      <c r="AE127" s="28" t="s">
        <v>9</v>
      </c>
      <c r="AF127" s="28" t="s">
        <v>10</v>
      </c>
      <c r="AG127" s="24">
        <f t="shared" si="5"/>
        <v>11</v>
      </c>
      <c r="AH127" s="24">
        <f t="shared" si="6"/>
        <v>0</v>
      </c>
      <c r="AI127" s="24">
        <f t="shared" si="7"/>
        <v>4</v>
      </c>
      <c r="AJ127" s="41" t="str" cm="1">
        <f t="array" ref="AJ127">_xlfn.IFS(
$AG127=15,"Not Started",
$AI127&lt;15,"In Progress",
$AI127=15,"Completed",
SUM(AG127:AI127)&gt;15,"Error"
)</f>
        <v>In Progress</v>
      </c>
    </row>
    <row r="128" spans="1:36" ht="13" x14ac:dyDescent="0.25">
      <c r="A128" s="291"/>
      <c r="B128" s="86">
        <v>125</v>
      </c>
      <c r="C128" s="14" t="s">
        <v>1582</v>
      </c>
      <c r="D128" s="53" t="s">
        <v>5892</v>
      </c>
      <c r="E128" s="61" t="s">
        <v>5891</v>
      </c>
      <c r="F128" s="57" t="s">
        <v>51</v>
      </c>
      <c r="G128" s="10" t="s">
        <v>48</v>
      </c>
      <c r="H128" s="7" t="s">
        <v>5975</v>
      </c>
      <c r="I128" s="7" t="s">
        <v>5975</v>
      </c>
      <c r="J128" s="7">
        <v>27.566221349999999</v>
      </c>
      <c r="K128" s="7">
        <v>41.691497900000002</v>
      </c>
      <c r="L128" s="7" t="str">
        <f t="shared" si="4"/>
        <v>27.56622135,41.6914979</v>
      </c>
      <c r="M128" s="7" t="s">
        <v>5958</v>
      </c>
      <c r="N128" s="7">
        <v>10041834675</v>
      </c>
      <c r="O128" s="7"/>
      <c r="P128" s="201"/>
      <c r="Q128" s="28" t="s">
        <v>9</v>
      </c>
      <c r="R128" s="28" t="s">
        <v>9</v>
      </c>
      <c r="S128" s="28" t="s">
        <v>9</v>
      </c>
      <c r="T128" s="28" t="s">
        <v>9</v>
      </c>
      <c r="U128" s="28" t="s">
        <v>9</v>
      </c>
      <c r="V128" s="28" t="s">
        <v>9</v>
      </c>
      <c r="W128" s="28" t="s">
        <v>9</v>
      </c>
      <c r="X128" s="28" t="s">
        <v>9</v>
      </c>
      <c r="Y128" s="28" t="s">
        <v>9</v>
      </c>
      <c r="Z128" s="28" t="s">
        <v>9</v>
      </c>
      <c r="AA128" s="28" t="s">
        <v>9</v>
      </c>
      <c r="AB128" s="28" t="s">
        <v>9</v>
      </c>
      <c r="AC128" s="28" t="s">
        <v>9</v>
      </c>
      <c r="AD128" s="28" t="s">
        <v>9</v>
      </c>
      <c r="AE128" s="28" t="s">
        <v>9</v>
      </c>
      <c r="AF128" s="28" t="s">
        <v>9</v>
      </c>
      <c r="AG128" s="24">
        <f t="shared" si="5"/>
        <v>15</v>
      </c>
      <c r="AH128" s="24">
        <f t="shared" si="6"/>
        <v>0</v>
      </c>
      <c r="AI128" s="24">
        <f t="shared" si="7"/>
        <v>0</v>
      </c>
      <c r="AJ128" s="41" t="str" cm="1">
        <f t="array" ref="AJ128">_xlfn.IFS(
$AG128=15,"Not Started",
$AI128&lt;15,"In Progress",
$AI128=15,"Completed",
SUM(AG128:AI128)&gt;15,"Error"
)</f>
        <v>Not Started</v>
      </c>
    </row>
    <row r="129" spans="1:36" ht="13" x14ac:dyDescent="0.25">
      <c r="A129" s="291"/>
      <c r="B129" s="64">
        <v>126</v>
      </c>
      <c r="C129" s="7" t="s">
        <v>1583</v>
      </c>
      <c r="D129" s="53" t="s">
        <v>8199</v>
      </c>
      <c r="E129" s="61" t="s">
        <v>3744</v>
      </c>
      <c r="F129" s="57" t="s">
        <v>47</v>
      </c>
      <c r="G129" s="10" t="s">
        <v>48</v>
      </c>
      <c r="H129" s="7" t="s">
        <v>5975</v>
      </c>
      <c r="I129" s="7" t="s">
        <v>5975</v>
      </c>
      <c r="J129" s="7">
        <v>27.565694260000001</v>
      </c>
      <c r="K129" s="7">
        <v>41.693276169999997</v>
      </c>
      <c r="L129" s="7" t="str">
        <f t="shared" si="4"/>
        <v>27.56569426,41.69327617</v>
      </c>
      <c r="M129" s="7" t="s">
        <v>8403</v>
      </c>
      <c r="N129" s="7">
        <v>10041535282</v>
      </c>
      <c r="O129" s="7"/>
      <c r="P129" s="201"/>
      <c r="Q129" s="28" t="s">
        <v>9</v>
      </c>
      <c r="R129" s="28" t="s">
        <v>9</v>
      </c>
      <c r="S129" s="28" t="s">
        <v>9</v>
      </c>
      <c r="T129" s="28" t="s">
        <v>9</v>
      </c>
      <c r="U129" s="28" t="s">
        <v>9</v>
      </c>
      <c r="V129" s="28" t="s">
        <v>9</v>
      </c>
      <c r="W129" s="28" t="s">
        <v>9</v>
      </c>
      <c r="X129" s="28" t="s">
        <v>9</v>
      </c>
      <c r="Y129" s="28" t="s">
        <v>9</v>
      </c>
      <c r="Z129" s="28" t="s">
        <v>9</v>
      </c>
      <c r="AA129" s="28" t="s">
        <v>9</v>
      </c>
      <c r="AB129" s="28" t="s">
        <v>9</v>
      </c>
      <c r="AC129" s="28" t="s">
        <v>9</v>
      </c>
      <c r="AD129" s="28" t="s">
        <v>9</v>
      </c>
      <c r="AE129" s="28" t="s">
        <v>9</v>
      </c>
      <c r="AF129" s="28" t="s">
        <v>9</v>
      </c>
      <c r="AG129" s="24">
        <f t="shared" si="5"/>
        <v>15</v>
      </c>
      <c r="AH129" s="24">
        <f t="shared" si="6"/>
        <v>0</v>
      </c>
      <c r="AI129" s="24">
        <f t="shared" si="7"/>
        <v>0</v>
      </c>
      <c r="AJ129" s="41" t="str" cm="1">
        <f t="array" ref="AJ129">_xlfn.IFS(
$AG129=15,"Not Started",
$AI129&lt;15,"In Progress",
$AI129=15,"Completed",
SUM(AG129:AI129)&gt;15,"Error"
)</f>
        <v>Not Started</v>
      </c>
    </row>
    <row r="130" spans="1:36" ht="13" x14ac:dyDescent="0.25">
      <c r="A130" s="291"/>
      <c r="B130" s="86">
        <v>127</v>
      </c>
      <c r="C130" s="14" t="s">
        <v>1584</v>
      </c>
      <c r="D130" s="53" t="s">
        <v>5894</v>
      </c>
      <c r="E130" s="61" t="s">
        <v>5893</v>
      </c>
      <c r="F130" s="57" t="s">
        <v>51</v>
      </c>
      <c r="G130" s="10" t="s">
        <v>44</v>
      </c>
      <c r="H130" s="7" t="s">
        <v>5975</v>
      </c>
      <c r="I130" s="7" t="s">
        <v>5975</v>
      </c>
      <c r="J130" s="7">
        <v>27.554410260000001</v>
      </c>
      <c r="K130" s="7">
        <v>41.718486740000003</v>
      </c>
      <c r="L130" s="7" t="str">
        <f t="shared" si="4"/>
        <v>27.55441026,41.71848674</v>
      </c>
      <c r="M130" s="7" t="s">
        <v>5959</v>
      </c>
      <c r="N130" s="7">
        <v>10041938393</v>
      </c>
      <c r="O130" s="7"/>
      <c r="P130" s="201"/>
      <c r="Q130" s="28" t="s">
        <v>11</v>
      </c>
      <c r="R130" s="28" t="s">
        <v>11</v>
      </c>
      <c r="S130" s="28" t="s">
        <v>11</v>
      </c>
      <c r="T130" s="28" t="s">
        <v>11</v>
      </c>
      <c r="U130" s="28" t="s">
        <v>9</v>
      </c>
      <c r="V130" s="28" t="s">
        <v>9</v>
      </c>
      <c r="W130" s="28" t="s">
        <v>9</v>
      </c>
      <c r="X130" s="28" t="s">
        <v>9</v>
      </c>
      <c r="Y130" s="28" t="s">
        <v>9</v>
      </c>
      <c r="Z130" s="28" t="s">
        <v>9</v>
      </c>
      <c r="AA130" s="28" t="s">
        <v>9</v>
      </c>
      <c r="AB130" s="28" t="s">
        <v>9</v>
      </c>
      <c r="AC130" s="28" t="s">
        <v>9</v>
      </c>
      <c r="AD130" s="28" t="s">
        <v>9</v>
      </c>
      <c r="AE130" s="28" t="s">
        <v>9</v>
      </c>
      <c r="AF130" s="28" t="s">
        <v>10</v>
      </c>
      <c r="AG130" s="24">
        <f t="shared" si="5"/>
        <v>11</v>
      </c>
      <c r="AH130" s="24">
        <f t="shared" si="6"/>
        <v>0</v>
      </c>
      <c r="AI130" s="24">
        <f t="shared" si="7"/>
        <v>4</v>
      </c>
      <c r="AJ130" s="41" t="str" cm="1">
        <f t="array" ref="AJ130">_xlfn.IFS(
$AG130=15,"Not Started",
$AI130&lt;15,"In Progress",
$AI130=15,"Completed",
SUM(AG130:AI130)&gt;15,"Error"
)</f>
        <v>In Progress</v>
      </c>
    </row>
    <row r="131" spans="1:36" ht="13" x14ac:dyDescent="0.25">
      <c r="A131" s="291"/>
      <c r="B131" s="64">
        <v>128</v>
      </c>
      <c r="C131" s="7" t="s">
        <v>1585</v>
      </c>
      <c r="D131" s="53" t="s">
        <v>5896</v>
      </c>
      <c r="E131" s="61" t="s">
        <v>5895</v>
      </c>
      <c r="F131" s="57" t="s">
        <v>51</v>
      </c>
      <c r="G131" s="10" t="s">
        <v>48</v>
      </c>
      <c r="H131" s="7" t="s">
        <v>5975</v>
      </c>
      <c r="I131" s="7" t="s">
        <v>5975</v>
      </c>
      <c r="J131" s="7">
        <v>27.558969000000001</v>
      </c>
      <c r="K131" s="7">
        <v>41.714143999999997</v>
      </c>
      <c r="L131" s="7" t="str">
        <f t="shared" si="4"/>
        <v>27.558969,41.714144</v>
      </c>
      <c r="M131" s="7" t="s">
        <v>5960</v>
      </c>
      <c r="N131" s="7">
        <v>10041657436</v>
      </c>
      <c r="O131" s="7"/>
      <c r="P131" s="201"/>
      <c r="Q131" s="28" t="s">
        <v>11</v>
      </c>
      <c r="R131" s="28" t="s">
        <v>11</v>
      </c>
      <c r="S131" s="28" t="s">
        <v>11</v>
      </c>
      <c r="T131" s="28" t="s">
        <v>11</v>
      </c>
      <c r="U131" s="28" t="s">
        <v>9</v>
      </c>
      <c r="V131" s="28" t="s">
        <v>9</v>
      </c>
      <c r="W131" s="28" t="s">
        <v>9</v>
      </c>
      <c r="X131" s="28" t="s">
        <v>9</v>
      </c>
      <c r="Y131" s="28" t="s">
        <v>9</v>
      </c>
      <c r="Z131" s="28" t="s">
        <v>9</v>
      </c>
      <c r="AA131" s="28" t="s">
        <v>9</v>
      </c>
      <c r="AB131" s="28" t="s">
        <v>9</v>
      </c>
      <c r="AC131" s="28" t="s">
        <v>9</v>
      </c>
      <c r="AD131" s="28" t="s">
        <v>9</v>
      </c>
      <c r="AE131" s="28" t="s">
        <v>9</v>
      </c>
      <c r="AF131" s="28" t="s">
        <v>10</v>
      </c>
      <c r="AG131" s="24">
        <f t="shared" si="5"/>
        <v>11</v>
      </c>
      <c r="AH131" s="24">
        <f t="shared" si="6"/>
        <v>0</v>
      </c>
      <c r="AI131" s="24">
        <f t="shared" si="7"/>
        <v>4</v>
      </c>
      <c r="AJ131" s="41" t="str" cm="1">
        <f t="array" ref="AJ131">_xlfn.IFS(
$AG131=15,"Not Started",
$AI131&lt;15,"In Progress",
$AI131=15,"Completed",
SUM(AG131:AI131)&gt;15,"Error"
)</f>
        <v>In Progress</v>
      </c>
    </row>
    <row r="132" spans="1:36" ht="13" x14ac:dyDescent="0.25">
      <c r="A132" s="291"/>
      <c r="B132" s="86">
        <v>129</v>
      </c>
      <c r="C132" s="14" t="s">
        <v>1586</v>
      </c>
      <c r="D132" s="53" t="s">
        <v>5898</v>
      </c>
      <c r="E132" s="61" t="s">
        <v>5897</v>
      </c>
      <c r="F132" s="57" t="s">
        <v>43</v>
      </c>
      <c r="G132" s="10" t="s">
        <v>48</v>
      </c>
      <c r="H132" s="7" t="s">
        <v>5975</v>
      </c>
      <c r="I132" s="7" t="s">
        <v>5975</v>
      </c>
      <c r="J132" s="7">
        <v>27.563490999999999</v>
      </c>
      <c r="K132" s="7">
        <v>41.710307999999998</v>
      </c>
      <c r="L132" s="7" t="str">
        <f t="shared" si="4"/>
        <v>27.563491,41.710308</v>
      </c>
      <c r="M132" s="7" t="s">
        <v>5961</v>
      </c>
      <c r="N132" s="7">
        <v>10041774693</v>
      </c>
      <c r="O132" s="7"/>
      <c r="P132" s="201"/>
      <c r="Q132" s="28" t="s">
        <v>11</v>
      </c>
      <c r="R132" s="28" t="s">
        <v>11</v>
      </c>
      <c r="S132" s="28" t="s">
        <v>11</v>
      </c>
      <c r="T132" s="28" t="s">
        <v>11</v>
      </c>
      <c r="U132" s="28" t="s">
        <v>9</v>
      </c>
      <c r="V132" s="28" t="s">
        <v>9</v>
      </c>
      <c r="W132" s="28" t="s">
        <v>9</v>
      </c>
      <c r="X132" s="28" t="s">
        <v>9</v>
      </c>
      <c r="Y132" s="28" t="s">
        <v>9</v>
      </c>
      <c r="Z132" s="28" t="s">
        <v>9</v>
      </c>
      <c r="AA132" s="28" t="s">
        <v>9</v>
      </c>
      <c r="AB132" s="28" t="s">
        <v>9</v>
      </c>
      <c r="AC132" s="28" t="s">
        <v>9</v>
      </c>
      <c r="AD132" s="28" t="s">
        <v>9</v>
      </c>
      <c r="AE132" s="28" t="s">
        <v>9</v>
      </c>
      <c r="AF132" s="28" t="s">
        <v>10</v>
      </c>
      <c r="AG132" s="24">
        <f t="shared" si="5"/>
        <v>11</v>
      </c>
      <c r="AH132" s="24">
        <f t="shared" si="6"/>
        <v>0</v>
      </c>
      <c r="AI132" s="24">
        <f t="shared" si="7"/>
        <v>4</v>
      </c>
      <c r="AJ132" s="41" t="str" cm="1">
        <f t="array" ref="AJ132">_xlfn.IFS(
$AG132=15,"Not Started",
$AI132&lt;15,"In Progress",
$AI132=15,"Completed",
SUM(AG132:AI132)&gt;15,"Error"
)</f>
        <v>In Progress</v>
      </c>
    </row>
    <row r="133" spans="1:36" ht="13" x14ac:dyDescent="0.25">
      <c r="A133" s="291"/>
      <c r="B133" s="64">
        <v>130</v>
      </c>
      <c r="C133" s="7" t="s">
        <v>1587</v>
      </c>
      <c r="D133" s="53" t="s">
        <v>5900</v>
      </c>
      <c r="E133" s="61" t="s">
        <v>5899</v>
      </c>
      <c r="F133" s="57" t="s">
        <v>43</v>
      </c>
      <c r="G133" s="10" t="s">
        <v>48</v>
      </c>
      <c r="H133" s="7" t="s">
        <v>5975</v>
      </c>
      <c r="I133" s="7" t="s">
        <v>5975</v>
      </c>
      <c r="J133" s="7">
        <v>27.563383080000001</v>
      </c>
      <c r="K133" s="7">
        <v>41.711246969999998</v>
      </c>
      <c r="L133" s="7" t="str">
        <f t="shared" ref="L133:L197" si="8">_xlfn.CONCAT(J133,",",K133)</f>
        <v>27.56338308,41.71124697</v>
      </c>
      <c r="M133" s="7" t="s">
        <v>5962</v>
      </c>
      <c r="N133" s="7">
        <v>10041775091</v>
      </c>
      <c r="O133" s="7"/>
      <c r="P133" s="201"/>
      <c r="Q133" s="28" t="s">
        <v>11</v>
      </c>
      <c r="R133" s="28" t="s">
        <v>11</v>
      </c>
      <c r="S133" s="28" t="s">
        <v>11</v>
      </c>
      <c r="T133" s="28" t="s">
        <v>11</v>
      </c>
      <c r="U133" s="28" t="s">
        <v>9</v>
      </c>
      <c r="V133" s="28" t="s">
        <v>9</v>
      </c>
      <c r="W133" s="28" t="s">
        <v>9</v>
      </c>
      <c r="X133" s="28" t="s">
        <v>9</v>
      </c>
      <c r="Y133" s="28" t="s">
        <v>9</v>
      </c>
      <c r="Z133" s="28" t="s">
        <v>9</v>
      </c>
      <c r="AA133" s="28" t="s">
        <v>9</v>
      </c>
      <c r="AB133" s="28" t="s">
        <v>9</v>
      </c>
      <c r="AC133" s="28" t="s">
        <v>9</v>
      </c>
      <c r="AD133" s="28" t="s">
        <v>9</v>
      </c>
      <c r="AE133" s="28" t="s">
        <v>9</v>
      </c>
      <c r="AF133" s="28" t="s">
        <v>10</v>
      </c>
      <c r="AG133" s="24">
        <f t="shared" ref="AG133:AG197" si="9">COUNTIF(Q133:AE133,$AG$2)</f>
        <v>11</v>
      </c>
      <c r="AH133" s="24">
        <f t="shared" ref="AH133:AH197" si="10">COUNTIF(Q133:AE133,$AH$2)</f>
        <v>0</v>
      </c>
      <c r="AI133" s="24">
        <f t="shared" ref="AI133:AI197" si="11">COUNTIF(Q133:AE133,$AI$2)</f>
        <v>4</v>
      </c>
      <c r="AJ133" s="41" t="str" cm="1">
        <f t="array" ref="AJ133">_xlfn.IFS(
$AG133=15,"Not Started",
$AI133&lt;15,"In Progress",
$AI133=15,"Completed",
SUM(AG133:AI133)&gt;15,"Error"
)</f>
        <v>In Progress</v>
      </c>
    </row>
    <row r="134" spans="1:36" ht="13" x14ac:dyDescent="0.25">
      <c r="A134" s="291"/>
      <c r="B134" s="86">
        <v>131</v>
      </c>
      <c r="C134" s="14" t="s">
        <v>1588</v>
      </c>
      <c r="D134" s="53" t="s">
        <v>8201</v>
      </c>
      <c r="E134" s="61" t="s">
        <v>8200</v>
      </c>
      <c r="F134" s="57" t="s">
        <v>51</v>
      </c>
      <c r="G134" s="10" t="s">
        <v>44</v>
      </c>
      <c r="H134" s="7" t="s">
        <v>5975</v>
      </c>
      <c r="I134" s="7" t="s">
        <v>5975</v>
      </c>
      <c r="J134" s="7">
        <v>27.561547439999998</v>
      </c>
      <c r="K134" s="7">
        <v>41.721460819999997</v>
      </c>
      <c r="L134" s="7" t="str">
        <f t="shared" si="8"/>
        <v>27.56154744,41.72146082</v>
      </c>
      <c r="M134" s="7" t="s">
        <v>8404</v>
      </c>
      <c r="N134" s="7">
        <v>10041856654</v>
      </c>
      <c r="O134" s="7"/>
      <c r="P134" s="201"/>
      <c r="Q134" s="28" t="s">
        <v>11</v>
      </c>
      <c r="R134" s="28" t="s">
        <v>11</v>
      </c>
      <c r="S134" s="28" t="s">
        <v>11</v>
      </c>
      <c r="T134" s="28" t="s">
        <v>11</v>
      </c>
      <c r="U134" s="28" t="s">
        <v>9</v>
      </c>
      <c r="V134" s="28" t="s">
        <v>9</v>
      </c>
      <c r="W134" s="28" t="s">
        <v>9</v>
      </c>
      <c r="X134" s="28" t="s">
        <v>9</v>
      </c>
      <c r="Y134" s="28" t="s">
        <v>9</v>
      </c>
      <c r="Z134" s="28" t="s">
        <v>9</v>
      </c>
      <c r="AA134" s="28" t="s">
        <v>9</v>
      </c>
      <c r="AB134" s="28" t="s">
        <v>9</v>
      </c>
      <c r="AC134" s="28" t="s">
        <v>9</v>
      </c>
      <c r="AD134" s="28" t="s">
        <v>9</v>
      </c>
      <c r="AE134" s="28" t="s">
        <v>9</v>
      </c>
      <c r="AF134" s="28" t="s">
        <v>10</v>
      </c>
      <c r="AG134" s="24">
        <f t="shared" si="9"/>
        <v>11</v>
      </c>
      <c r="AH134" s="24">
        <f t="shared" si="10"/>
        <v>0</v>
      </c>
      <c r="AI134" s="24">
        <f t="shared" si="11"/>
        <v>4</v>
      </c>
      <c r="AJ134" s="41" t="str" cm="1">
        <f t="array" ref="AJ134">_xlfn.IFS(
$AG134=15,"Not Started",
$AI134&lt;15,"In Progress",
$AI134=15,"Completed",
SUM(AG134:AI134)&gt;15,"Error"
)</f>
        <v>In Progress</v>
      </c>
    </row>
    <row r="135" spans="1:36" ht="13" x14ac:dyDescent="0.25">
      <c r="A135" s="291"/>
      <c r="B135" s="64">
        <v>132</v>
      </c>
      <c r="C135" s="7" t="s">
        <v>1589</v>
      </c>
      <c r="D135" s="53" t="s">
        <v>8203</v>
      </c>
      <c r="E135" s="61" t="s">
        <v>8202</v>
      </c>
      <c r="F135" s="57" t="s">
        <v>51</v>
      </c>
      <c r="G135" s="10" t="s">
        <v>48</v>
      </c>
      <c r="H135" s="7" t="s">
        <v>5975</v>
      </c>
      <c r="I135" s="7" t="s">
        <v>5975</v>
      </c>
      <c r="J135" s="7">
        <v>27.564013218454701</v>
      </c>
      <c r="K135" s="7">
        <v>41.6743923882036</v>
      </c>
      <c r="L135" s="7" t="str">
        <f t="shared" si="8"/>
        <v>27.5640132184547,41.6743923882036</v>
      </c>
      <c r="M135" s="7" t="s">
        <v>8405</v>
      </c>
      <c r="N135" s="7">
        <v>10041965265</v>
      </c>
      <c r="O135" s="7"/>
      <c r="P135" s="201"/>
      <c r="Q135" s="28" t="s">
        <v>9</v>
      </c>
      <c r="R135" s="28" t="s">
        <v>9</v>
      </c>
      <c r="S135" s="28" t="s">
        <v>9</v>
      </c>
      <c r="T135" s="28" t="s">
        <v>9</v>
      </c>
      <c r="U135" s="28" t="s">
        <v>9</v>
      </c>
      <c r="V135" s="28" t="s">
        <v>9</v>
      </c>
      <c r="W135" s="28" t="s">
        <v>9</v>
      </c>
      <c r="X135" s="28" t="s">
        <v>9</v>
      </c>
      <c r="Y135" s="28" t="s">
        <v>9</v>
      </c>
      <c r="Z135" s="28" t="s">
        <v>9</v>
      </c>
      <c r="AA135" s="28" t="s">
        <v>9</v>
      </c>
      <c r="AB135" s="28" t="s">
        <v>9</v>
      </c>
      <c r="AC135" s="28" t="s">
        <v>9</v>
      </c>
      <c r="AD135" s="28" t="s">
        <v>9</v>
      </c>
      <c r="AE135" s="28" t="s">
        <v>9</v>
      </c>
      <c r="AF135" s="28" t="s">
        <v>9</v>
      </c>
      <c r="AG135" s="24">
        <f t="shared" si="9"/>
        <v>15</v>
      </c>
      <c r="AH135" s="24">
        <f t="shared" si="10"/>
        <v>0</v>
      </c>
      <c r="AI135" s="24">
        <f t="shared" si="11"/>
        <v>0</v>
      </c>
      <c r="AJ135" s="41" t="str" cm="1">
        <f t="array" ref="AJ135">_xlfn.IFS(
$AG135=15,"Not Started",
$AI135&lt;15,"In Progress",
$AI135=15,"Completed",
SUM(AG135:AI135)&gt;15,"Error"
)</f>
        <v>Not Started</v>
      </c>
    </row>
    <row r="136" spans="1:36" ht="13" x14ac:dyDescent="0.25">
      <c r="A136" s="291"/>
      <c r="B136" s="86">
        <v>133</v>
      </c>
      <c r="C136" s="14" t="s">
        <v>1590</v>
      </c>
      <c r="D136" s="53" t="s">
        <v>8205</v>
      </c>
      <c r="E136" s="61" t="s">
        <v>8204</v>
      </c>
      <c r="F136" s="57" t="s">
        <v>43</v>
      </c>
      <c r="G136" s="10" t="s">
        <v>44</v>
      </c>
      <c r="H136" s="7" t="s">
        <v>5975</v>
      </c>
      <c r="I136" s="7" t="s">
        <v>5975</v>
      </c>
      <c r="J136" s="7">
        <v>27.568646999999999</v>
      </c>
      <c r="K136" s="7">
        <v>41.684953999999998</v>
      </c>
      <c r="L136" s="7" t="str">
        <f t="shared" si="8"/>
        <v>27.568647,41.684954</v>
      </c>
      <c r="M136" s="7" t="s">
        <v>8406</v>
      </c>
      <c r="N136" s="7">
        <v>10041807641</v>
      </c>
      <c r="O136" s="7"/>
      <c r="P136" s="201">
        <v>46121</v>
      </c>
      <c r="Q136" s="28" t="s">
        <v>11</v>
      </c>
      <c r="R136" s="28" t="s">
        <v>11</v>
      </c>
      <c r="S136" s="28" t="s">
        <v>11</v>
      </c>
      <c r="T136" s="28" t="s">
        <v>11</v>
      </c>
      <c r="U136" s="28" t="s">
        <v>9</v>
      </c>
      <c r="V136" s="28" t="s">
        <v>9</v>
      </c>
      <c r="W136" s="28" t="s">
        <v>9</v>
      </c>
      <c r="X136" s="28" t="s">
        <v>9</v>
      </c>
      <c r="Y136" s="28" t="s">
        <v>9</v>
      </c>
      <c r="Z136" s="28" t="s">
        <v>9</v>
      </c>
      <c r="AA136" s="28" t="s">
        <v>9</v>
      </c>
      <c r="AB136" s="28" t="s">
        <v>9</v>
      </c>
      <c r="AC136" s="28" t="s">
        <v>9</v>
      </c>
      <c r="AD136" s="28" t="s">
        <v>9</v>
      </c>
      <c r="AE136" s="28" t="s">
        <v>9</v>
      </c>
      <c r="AF136" s="28" t="s">
        <v>10</v>
      </c>
      <c r="AG136" s="24">
        <f t="shared" si="9"/>
        <v>11</v>
      </c>
      <c r="AH136" s="24">
        <f t="shared" si="10"/>
        <v>0</v>
      </c>
      <c r="AI136" s="24">
        <f t="shared" si="11"/>
        <v>4</v>
      </c>
      <c r="AJ136" s="41" t="str" cm="1">
        <f t="array" ref="AJ136">_xlfn.IFS(
$AG136=15,"Not Started",
$AI136&lt;15,"In Progress",
$AI136=15,"Completed",
SUM(AG136:AI136)&gt;15,"Error"
)</f>
        <v>In Progress</v>
      </c>
    </row>
    <row r="137" spans="1:36" ht="13" x14ac:dyDescent="0.25">
      <c r="A137" s="291"/>
      <c r="B137" s="64">
        <v>134</v>
      </c>
      <c r="C137" s="7" t="s">
        <v>1591</v>
      </c>
      <c r="D137" s="53" t="s">
        <v>8207</v>
      </c>
      <c r="E137" s="61" t="s">
        <v>8206</v>
      </c>
      <c r="F137" s="57" t="s">
        <v>43</v>
      </c>
      <c r="G137" s="10" t="s">
        <v>44</v>
      </c>
      <c r="H137" s="7" t="s">
        <v>5975</v>
      </c>
      <c r="I137" s="7" t="s">
        <v>5975</v>
      </c>
      <c r="J137" s="7">
        <v>27.482900999999998</v>
      </c>
      <c r="K137" s="7">
        <v>41.707109000000003</v>
      </c>
      <c r="L137" s="7" t="str">
        <f t="shared" si="8"/>
        <v>27.482901,41.707109</v>
      </c>
      <c r="M137" s="7" t="s">
        <v>8407</v>
      </c>
      <c r="N137" s="7">
        <v>10041639198</v>
      </c>
      <c r="O137" s="7"/>
      <c r="P137" s="201"/>
      <c r="Q137" s="28" t="s">
        <v>11</v>
      </c>
      <c r="R137" s="28" t="s">
        <v>11</v>
      </c>
      <c r="S137" s="28" t="s">
        <v>11</v>
      </c>
      <c r="T137" s="28" t="s">
        <v>11</v>
      </c>
      <c r="U137" s="28" t="s">
        <v>9</v>
      </c>
      <c r="V137" s="28" t="s">
        <v>9</v>
      </c>
      <c r="W137" s="28" t="s">
        <v>9</v>
      </c>
      <c r="X137" s="28" t="s">
        <v>9</v>
      </c>
      <c r="Y137" s="28" t="s">
        <v>9</v>
      </c>
      <c r="Z137" s="28" t="s">
        <v>9</v>
      </c>
      <c r="AA137" s="28" t="s">
        <v>9</v>
      </c>
      <c r="AB137" s="28" t="s">
        <v>9</v>
      </c>
      <c r="AC137" s="28" t="s">
        <v>9</v>
      </c>
      <c r="AD137" s="28" t="s">
        <v>9</v>
      </c>
      <c r="AE137" s="28" t="s">
        <v>9</v>
      </c>
      <c r="AF137" s="28" t="s">
        <v>10</v>
      </c>
      <c r="AG137" s="24">
        <f t="shared" si="9"/>
        <v>11</v>
      </c>
      <c r="AH137" s="24">
        <f t="shared" si="10"/>
        <v>0</v>
      </c>
      <c r="AI137" s="24">
        <f t="shared" si="11"/>
        <v>4</v>
      </c>
      <c r="AJ137" s="41" t="str" cm="1">
        <f t="array" ref="AJ137">_xlfn.IFS(
$AG137=15,"Not Started",
$AI137&lt;15,"In Progress",
$AI137=15,"Completed",
SUM(AG137:AI137)&gt;15,"Error"
)</f>
        <v>In Progress</v>
      </c>
    </row>
    <row r="138" spans="1:36" ht="13" x14ac:dyDescent="0.25">
      <c r="A138" s="291"/>
      <c r="B138" s="86">
        <v>135</v>
      </c>
      <c r="C138" s="14" t="s">
        <v>1592</v>
      </c>
      <c r="D138" s="53" t="s">
        <v>8209</v>
      </c>
      <c r="E138" s="61" t="s">
        <v>8208</v>
      </c>
      <c r="F138" s="57" t="s">
        <v>51</v>
      </c>
      <c r="G138" s="10" t="s">
        <v>44</v>
      </c>
      <c r="H138" s="7" t="s">
        <v>5975</v>
      </c>
      <c r="I138" s="7" t="s">
        <v>5975</v>
      </c>
      <c r="J138" s="7">
        <v>27.482334000000002</v>
      </c>
      <c r="K138" s="7">
        <v>41.708655</v>
      </c>
      <c r="L138" s="7" t="str">
        <f t="shared" si="8"/>
        <v>27.482334,41.708655</v>
      </c>
      <c r="M138" s="7" t="s">
        <v>8408</v>
      </c>
      <c r="N138" s="7">
        <v>10041810243</v>
      </c>
      <c r="O138" s="7"/>
      <c r="P138" s="201"/>
      <c r="Q138" s="28" t="s">
        <v>11</v>
      </c>
      <c r="R138" s="28" t="s">
        <v>11</v>
      </c>
      <c r="S138" s="28" t="s">
        <v>11</v>
      </c>
      <c r="T138" s="28" t="s">
        <v>11</v>
      </c>
      <c r="U138" s="28" t="s">
        <v>9</v>
      </c>
      <c r="V138" s="28" t="s">
        <v>9</v>
      </c>
      <c r="W138" s="28" t="s">
        <v>9</v>
      </c>
      <c r="X138" s="28" t="s">
        <v>9</v>
      </c>
      <c r="Y138" s="28" t="s">
        <v>9</v>
      </c>
      <c r="Z138" s="28" t="s">
        <v>9</v>
      </c>
      <c r="AA138" s="28" t="s">
        <v>9</v>
      </c>
      <c r="AB138" s="28" t="s">
        <v>9</v>
      </c>
      <c r="AC138" s="28" t="s">
        <v>9</v>
      </c>
      <c r="AD138" s="28" t="s">
        <v>9</v>
      </c>
      <c r="AE138" s="28" t="s">
        <v>9</v>
      </c>
      <c r="AF138" s="28" t="s">
        <v>10</v>
      </c>
      <c r="AG138" s="24">
        <f t="shared" si="9"/>
        <v>11</v>
      </c>
      <c r="AH138" s="24">
        <f t="shared" si="10"/>
        <v>0</v>
      </c>
      <c r="AI138" s="24">
        <f t="shared" si="11"/>
        <v>4</v>
      </c>
      <c r="AJ138" s="41" t="str" cm="1">
        <f t="array" ref="AJ138">_xlfn.IFS(
$AG138=15,"Not Started",
$AI138&lt;15,"In Progress",
$AI138=15,"Completed",
SUM(AG138:AI138)&gt;15,"Error"
)</f>
        <v>In Progress</v>
      </c>
    </row>
    <row r="139" spans="1:36" ht="13" x14ac:dyDescent="0.25">
      <c r="A139" s="291"/>
      <c r="B139" s="64">
        <v>136</v>
      </c>
      <c r="C139" s="7" t="s">
        <v>1593</v>
      </c>
      <c r="D139" s="53" t="s">
        <v>8211</v>
      </c>
      <c r="E139" s="61" t="s">
        <v>8210</v>
      </c>
      <c r="F139" s="57" t="s">
        <v>43</v>
      </c>
      <c r="G139" s="10" t="s">
        <v>48</v>
      </c>
      <c r="H139" s="7" t="s">
        <v>5975</v>
      </c>
      <c r="I139" s="7" t="s">
        <v>5975</v>
      </c>
      <c r="J139" s="7">
        <v>27.485868</v>
      </c>
      <c r="K139" s="7">
        <v>41.670780999999998</v>
      </c>
      <c r="L139" s="7" t="str">
        <f t="shared" si="8"/>
        <v>27.485868,41.670781</v>
      </c>
      <c r="M139" s="7" t="s">
        <v>8409</v>
      </c>
      <c r="N139" s="7">
        <v>10041927738</v>
      </c>
      <c r="O139" s="7"/>
      <c r="P139" s="201">
        <v>46124</v>
      </c>
      <c r="Q139" s="28" t="s">
        <v>11</v>
      </c>
      <c r="R139" s="28" t="s">
        <v>11</v>
      </c>
      <c r="S139" s="28" t="s">
        <v>11</v>
      </c>
      <c r="T139" s="28" t="s">
        <v>11</v>
      </c>
      <c r="U139" s="28" t="s">
        <v>9</v>
      </c>
      <c r="V139" s="28" t="s">
        <v>9</v>
      </c>
      <c r="W139" s="28" t="s">
        <v>9</v>
      </c>
      <c r="X139" s="28" t="s">
        <v>9</v>
      </c>
      <c r="Y139" s="28" t="s">
        <v>9</v>
      </c>
      <c r="Z139" s="28" t="s">
        <v>9</v>
      </c>
      <c r="AA139" s="28" t="s">
        <v>9</v>
      </c>
      <c r="AB139" s="28" t="s">
        <v>9</v>
      </c>
      <c r="AC139" s="28" t="s">
        <v>9</v>
      </c>
      <c r="AD139" s="28" t="s">
        <v>9</v>
      </c>
      <c r="AE139" s="28" t="s">
        <v>9</v>
      </c>
      <c r="AF139" s="28" t="s">
        <v>10</v>
      </c>
      <c r="AG139" s="24">
        <f t="shared" si="9"/>
        <v>11</v>
      </c>
      <c r="AH139" s="24">
        <f t="shared" si="10"/>
        <v>0</v>
      </c>
      <c r="AI139" s="24">
        <f t="shared" si="11"/>
        <v>4</v>
      </c>
      <c r="AJ139" s="41" t="str" cm="1">
        <f t="array" ref="AJ139">_xlfn.IFS(
$AG139=15,"Not Started",
$AI139&lt;15,"In Progress",
$AI139=15,"Completed",
SUM(AG139:AI139)&gt;15,"Error"
)</f>
        <v>In Progress</v>
      </c>
    </row>
    <row r="140" spans="1:36" ht="13" x14ac:dyDescent="0.25">
      <c r="A140" s="291"/>
      <c r="B140" s="86">
        <v>137</v>
      </c>
      <c r="C140" s="14" t="s">
        <v>1594</v>
      </c>
      <c r="D140" s="53" t="s">
        <v>8212</v>
      </c>
      <c r="E140" s="61" t="s">
        <v>5826</v>
      </c>
      <c r="F140" s="57" t="s">
        <v>47</v>
      </c>
      <c r="G140" s="10" t="s">
        <v>48</v>
      </c>
      <c r="H140" s="7" t="s">
        <v>5975</v>
      </c>
      <c r="I140" s="7" t="s">
        <v>5975</v>
      </c>
      <c r="J140" s="7">
        <v>27.480027</v>
      </c>
      <c r="K140" s="7">
        <v>41.709572000000001</v>
      </c>
      <c r="L140" s="7" t="str">
        <f t="shared" si="8"/>
        <v>27.480027,41.709572</v>
      </c>
      <c r="M140" s="7" t="s">
        <v>8410</v>
      </c>
      <c r="N140" s="7">
        <v>10041648929</v>
      </c>
      <c r="O140" s="7"/>
      <c r="P140" s="201"/>
      <c r="Q140" s="28" t="s">
        <v>11</v>
      </c>
      <c r="R140" s="28" t="s">
        <v>11</v>
      </c>
      <c r="S140" s="28" t="s">
        <v>11</v>
      </c>
      <c r="T140" s="28" t="s">
        <v>11</v>
      </c>
      <c r="U140" s="28" t="s">
        <v>9</v>
      </c>
      <c r="V140" s="28" t="s">
        <v>9</v>
      </c>
      <c r="W140" s="28" t="s">
        <v>9</v>
      </c>
      <c r="X140" s="28" t="s">
        <v>9</v>
      </c>
      <c r="Y140" s="28" t="s">
        <v>9</v>
      </c>
      <c r="Z140" s="28" t="s">
        <v>9</v>
      </c>
      <c r="AA140" s="28" t="s">
        <v>9</v>
      </c>
      <c r="AB140" s="28" t="s">
        <v>9</v>
      </c>
      <c r="AC140" s="28" t="s">
        <v>9</v>
      </c>
      <c r="AD140" s="28" t="s">
        <v>9</v>
      </c>
      <c r="AE140" s="28" t="s">
        <v>9</v>
      </c>
      <c r="AF140" s="28" t="s">
        <v>10</v>
      </c>
      <c r="AG140" s="24">
        <f t="shared" si="9"/>
        <v>11</v>
      </c>
      <c r="AH140" s="24">
        <f t="shared" si="10"/>
        <v>0</v>
      </c>
      <c r="AI140" s="24">
        <f t="shared" si="11"/>
        <v>4</v>
      </c>
      <c r="AJ140" s="41" t="str" cm="1">
        <f t="array" ref="AJ140">_xlfn.IFS(
$AG140=15,"Not Started",
$AI140&lt;15,"In Progress",
$AI140=15,"Completed",
SUM(AG140:AI140)&gt;15,"Error"
)</f>
        <v>In Progress</v>
      </c>
    </row>
    <row r="141" spans="1:36" ht="13" x14ac:dyDescent="0.25">
      <c r="A141" s="291"/>
      <c r="B141" s="64">
        <v>138</v>
      </c>
      <c r="C141" s="7" t="s">
        <v>1595</v>
      </c>
      <c r="D141" s="53" t="s">
        <v>5902</v>
      </c>
      <c r="E141" s="61" t="s">
        <v>5901</v>
      </c>
      <c r="F141" s="57" t="s">
        <v>51</v>
      </c>
      <c r="G141" s="10" t="s">
        <v>48</v>
      </c>
      <c r="H141" s="7" t="s">
        <v>5975</v>
      </c>
      <c r="I141" s="7" t="s">
        <v>5975</v>
      </c>
      <c r="J141" s="7">
        <v>27.479838999999998</v>
      </c>
      <c r="K141" s="7">
        <v>41.709046999999998</v>
      </c>
      <c r="L141" s="7" t="str">
        <f t="shared" si="8"/>
        <v>27.479839,41.709047</v>
      </c>
      <c r="M141" s="7" t="s">
        <v>5963</v>
      </c>
      <c r="N141" s="7">
        <v>10041501721</v>
      </c>
      <c r="O141" s="7"/>
      <c r="P141" s="201"/>
      <c r="Q141" s="28" t="s">
        <v>11</v>
      </c>
      <c r="R141" s="28" t="s">
        <v>11</v>
      </c>
      <c r="S141" s="28" t="s">
        <v>11</v>
      </c>
      <c r="T141" s="28" t="s">
        <v>11</v>
      </c>
      <c r="U141" s="28" t="s">
        <v>9</v>
      </c>
      <c r="V141" s="28" t="s">
        <v>9</v>
      </c>
      <c r="W141" s="28" t="s">
        <v>9</v>
      </c>
      <c r="X141" s="28" t="s">
        <v>9</v>
      </c>
      <c r="Y141" s="28" t="s">
        <v>9</v>
      </c>
      <c r="Z141" s="28" t="s">
        <v>9</v>
      </c>
      <c r="AA141" s="28" t="s">
        <v>9</v>
      </c>
      <c r="AB141" s="28" t="s">
        <v>9</v>
      </c>
      <c r="AC141" s="28" t="s">
        <v>9</v>
      </c>
      <c r="AD141" s="28" t="s">
        <v>9</v>
      </c>
      <c r="AE141" s="28" t="s">
        <v>9</v>
      </c>
      <c r="AF141" s="28" t="s">
        <v>10</v>
      </c>
      <c r="AG141" s="24">
        <f t="shared" si="9"/>
        <v>11</v>
      </c>
      <c r="AH141" s="24">
        <f t="shared" si="10"/>
        <v>0</v>
      </c>
      <c r="AI141" s="24">
        <f t="shared" si="11"/>
        <v>4</v>
      </c>
      <c r="AJ141" s="41" t="str" cm="1">
        <f t="array" ref="AJ141">_xlfn.IFS(
$AG141=15,"Not Started",
$AI141&lt;15,"In Progress",
$AI141=15,"Completed",
SUM(AG141:AI141)&gt;15,"Error"
)</f>
        <v>In Progress</v>
      </c>
    </row>
    <row r="142" spans="1:36" ht="13" x14ac:dyDescent="0.25">
      <c r="A142" s="291"/>
      <c r="B142" s="86">
        <v>139</v>
      </c>
      <c r="C142" s="14" t="s">
        <v>1596</v>
      </c>
      <c r="D142" s="53" t="s">
        <v>5904</v>
      </c>
      <c r="E142" s="61" t="s">
        <v>5903</v>
      </c>
      <c r="F142" s="57" t="s">
        <v>43</v>
      </c>
      <c r="G142" s="10" t="s">
        <v>48</v>
      </c>
      <c r="H142" s="7" t="s">
        <v>5975</v>
      </c>
      <c r="I142" s="7" t="s">
        <v>5975</v>
      </c>
      <c r="J142" s="7">
        <v>27.479389999999999</v>
      </c>
      <c r="K142" s="7">
        <v>41.71031</v>
      </c>
      <c r="L142" s="7" t="str">
        <f t="shared" si="8"/>
        <v>27.47939,41.71031</v>
      </c>
      <c r="M142" s="7" t="s">
        <v>5964</v>
      </c>
      <c r="N142" s="7">
        <v>10041907691</v>
      </c>
      <c r="O142" s="7"/>
      <c r="P142" s="201"/>
      <c r="Q142" s="28" t="s">
        <v>11</v>
      </c>
      <c r="R142" s="28" t="s">
        <v>11</v>
      </c>
      <c r="S142" s="28" t="s">
        <v>11</v>
      </c>
      <c r="T142" s="28" t="s">
        <v>11</v>
      </c>
      <c r="U142" s="28" t="s">
        <v>9</v>
      </c>
      <c r="V142" s="28" t="s">
        <v>9</v>
      </c>
      <c r="W142" s="28" t="s">
        <v>9</v>
      </c>
      <c r="X142" s="28" t="s">
        <v>9</v>
      </c>
      <c r="Y142" s="28" t="s">
        <v>9</v>
      </c>
      <c r="Z142" s="28" t="s">
        <v>9</v>
      </c>
      <c r="AA142" s="28" t="s">
        <v>9</v>
      </c>
      <c r="AB142" s="28" t="s">
        <v>9</v>
      </c>
      <c r="AC142" s="28" t="s">
        <v>9</v>
      </c>
      <c r="AD142" s="28" t="s">
        <v>9</v>
      </c>
      <c r="AE142" s="28" t="s">
        <v>9</v>
      </c>
      <c r="AF142" s="28" t="s">
        <v>10</v>
      </c>
      <c r="AG142" s="24">
        <f t="shared" si="9"/>
        <v>11</v>
      </c>
      <c r="AH142" s="24">
        <f t="shared" si="10"/>
        <v>0</v>
      </c>
      <c r="AI142" s="24">
        <f t="shared" si="11"/>
        <v>4</v>
      </c>
      <c r="AJ142" s="41" t="str" cm="1">
        <f t="array" ref="AJ142">_xlfn.IFS(
$AG142=15,"Not Started",
$AI142&lt;15,"In Progress",
$AI142=15,"Completed",
SUM(AG142:AI142)&gt;15,"Error"
)</f>
        <v>In Progress</v>
      </c>
    </row>
    <row r="143" spans="1:36" ht="13" x14ac:dyDescent="0.25">
      <c r="A143" s="291"/>
      <c r="B143" s="64">
        <v>140</v>
      </c>
      <c r="C143" s="7" t="s">
        <v>1597</v>
      </c>
      <c r="D143" s="53" t="s">
        <v>5906</v>
      </c>
      <c r="E143" s="61" t="s">
        <v>5905</v>
      </c>
      <c r="F143" s="57" t="s">
        <v>43</v>
      </c>
      <c r="G143" s="10" t="s">
        <v>48</v>
      </c>
      <c r="H143" s="7" t="s">
        <v>5975</v>
      </c>
      <c r="I143" s="7" t="s">
        <v>5975</v>
      </c>
      <c r="J143" s="7">
        <v>27.485354999999998</v>
      </c>
      <c r="K143" s="7">
        <v>41.705621000000001</v>
      </c>
      <c r="L143" s="7" t="str">
        <f t="shared" si="8"/>
        <v>27.485355,41.705621</v>
      </c>
      <c r="M143" s="7" t="s">
        <v>5965</v>
      </c>
      <c r="N143" s="7">
        <v>10041527262</v>
      </c>
      <c r="O143" s="7"/>
      <c r="P143" s="201">
        <v>46125</v>
      </c>
      <c r="Q143" s="28" t="s">
        <v>11</v>
      </c>
      <c r="R143" s="28" t="s">
        <v>11</v>
      </c>
      <c r="S143" s="28" t="s">
        <v>11</v>
      </c>
      <c r="T143" s="28" t="s">
        <v>11</v>
      </c>
      <c r="U143" s="28" t="s">
        <v>9</v>
      </c>
      <c r="V143" s="28" t="s">
        <v>9</v>
      </c>
      <c r="W143" s="28" t="s">
        <v>9</v>
      </c>
      <c r="X143" s="28" t="s">
        <v>9</v>
      </c>
      <c r="Y143" s="28" t="s">
        <v>9</v>
      </c>
      <c r="Z143" s="28" t="s">
        <v>9</v>
      </c>
      <c r="AA143" s="28" t="s">
        <v>9</v>
      </c>
      <c r="AB143" s="28" t="s">
        <v>9</v>
      </c>
      <c r="AC143" s="28" t="s">
        <v>9</v>
      </c>
      <c r="AD143" s="28" t="s">
        <v>9</v>
      </c>
      <c r="AE143" s="28" t="s">
        <v>9</v>
      </c>
      <c r="AF143" s="28" t="s">
        <v>10</v>
      </c>
      <c r="AG143" s="24">
        <f t="shared" si="9"/>
        <v>11</v>
      </c>
      <c r="AH143" s="24">
        <f t="shared" si="10"/>
        <v>0</v>
      </c>
      <c r="AI143" s="24">
        <f t="shared" si="11"/>
        <v>4</v>
      </c>
      <c r="AJ143" s="41" t="str" cm="1">
        <f t="array" ref="AJ143">_xlfn.IFS(
$AG143=15,"Not Started",
$AI143&lt;15,"In Progress",
$AI143=15,"Completed",
SUM(AG143:AI143)&gt;15,"Error"
)</f>
        <v>In Progress</v>
      </c>
    </row>
    <row r="144" spans="1:36" ht="13" x14ac:dyDescent="0.25">
      <c r="A144" s="291"/>
      <c r="B144" s="86">
        <v>141</v>
      </c>
      <c r="C144" s="14" t="s">
        <v>1598</v>
      </c>
      <c r="D144" s="53" t="s">
        <v>5908</v>
      </c>
      <c r="E144" s="61" t="s">
        <v>5907</v>
      </c>
      <c r="F144" s="57" t="s">
        <v>51</v>
      </c>
      <c r="G144" s="10" t="s">
        <v>48</v>
      </c>
      <c r="H144" s="7" t="s">
        <v>5975</v>
      </c>
      <c r="I144" s="7" t="s">
        <v>5975</v>
      </c>
      <c r="J144" s="7">
        <v>27.484729999999999</v>
      </c>
      <c r="K144" s="7">
        <v>41.668686000000001</v>
      </c>
      <c r="L144" s="7" t="str">
        <f t="shared" si="8"/>
        <v>27.48473,41.668686</v>
      </c>
      <c r="M144" s="7" t="s">
        <v>5966</v>
      </c>
      <c r="N144" s="7">
        <v>10041989795</v>
      </c>
      <c r="O144" s="7"/>
      <c r="P144" s="201"/>
      <c r="Q144" s="28" t="s">
        <v>11</v>
      </c>
      <c r="R144" s="28" t="s">
        <v>11</v>
      </c>
      <c r="S144" s="28" t="s">
        <v>11</v>
      </c>
      <c r="T144" s="28" t="s">
        <v>11</v>
      </c>
      <c r="U144" s="28" t="s">
        <v>9</v>
      </c>
      <c r="V144" s="28" t="s">
        <v>9</v>
      </c>
      <c r="W144" s="28" t="s">
        <v>9</v>
      </c>
      <c r="X144" s="28" t="s">
        <v>9</v>
      </c>
      <c r="Y144" s="28" t="s">
        <v>9</v>
      </c>
      <c r="Z144" s="28" t="s">
        <v>9</v>
      </c>
      <c r="AA144" s="28" t="s">
        <v>9</v>
      </c>
      <c r="AB144" s="28" t="s">
        <v>9</v>
      </c>
      <c r="AC144" s="28" t="s">
        <v>9</v>
      </c>
      <c r="AD144" s="28" t="s">
        <v>9</v>
      </c>
      <c r="AE144" s="28" t="s">
        <v>9</v>
      </c>
      <c r="AF144" s="28" t="s">
        <v>10</v>
      </c>
      <c r="AG144" s="24">
        <f t="shared" si="9"/>
        <v>11</v>
      </c>
      <c r="AH144" s="24">
        <f t="shared" si="10"/>
        <v>0</v>
      </c>
      <c r="AI144" s="24">
        <f t="shared" si="11"/>
        <v>4</v>
      </c>
      <c r="AJ144" s="41" t="str" cm="1">
        <f t="array" ref="AJ144">_xlfn.IFS(
$AG144=15,"Not Started",
$AI144&lt;15,"In Progress",
$AI144=15,"Completed",
SUM(AG144:AI144)&gt;15,"Error"
)</f>
        <v>In Progress</v>
      </c>
    </row>
    <row r="145" spans="1:36" ht="13" x14ac:dyDescent="0.25">
      <c r="A145" s="291"/>
      <c r="B145" s="64">
        <v>142</v>
      </c>
      <c r="C145" s="7" t="s">
        <v>1599</v>
      </c>
      <c r="D145" s="53" t="s">
        <v>8214</v>
      </c>
      <c r="E145" s="61" t="s">
        <v>8213</v>
      </c>
      <c r="F145" s="57" t="s">
        <v>51</v>
      </c>
      <c r="G145" s="10" t="s">
        <v>44</v>
      </c>
      <c r="H145" s="7" t="s">
        <v>5975</v>
      </c>
      <c r="I145" s="7" t="s">
        <v>5975</v>
      </c>
      <c r="J145" s="7">
        <v>555169499</v>
      </c>
      <c r="K145" s="7" t="s">
        <v>9476</v>
      </c>
      <c r="L145" s="7" t="str">
        <f t="shared" si="8"/>
        <v>555169499,yes</v>
      </c>
      <c r="M145" s="7" t="s">
        <v>8411</v>
      </c>
      <c r="N145" s="7">
        <v>10104671983</v>
      </c>
      <c r="O145" s="7"/>
      <c r="P145" s="201"/>
      <c r="Q145" s="28" t="s">
        <v>9</v>
      </c>
      <c r="R145" s="28" t="s">
        <v>9</v>
      </c>
      <c r="S145" s="28" t="s">
        <v>9</v>
      </c>
      <c r="T145" s="28" t="s">
        <v>9</v>
      </c>
      <c r="U145" s="28" t="s">
        <v>9</v>
      </c>
      <c r="V145" s="28" t="s">
        <v>9</v>
      </c>
      <c r="W145" s="28" t="s">
        <v>9</v>
      </c>
      <c r="X145" s="28" t="s">
        <v>9</v>
      </c>
      <c r="Y145" s="28" t="s">
        <v>9</v>
      </c>
      <c r="Z145" s="28" t="s">
        <v>9</v>
      </c>
      <c r="AA145" s="28" t="s">
        <v>9</v>
      </c>
      <c r="AB145" s="28" t="s">
        <v>9</v>
      </c>
      <c r="AC145" s="28" t="s">
        <v>9</v>
      </c>
      <c r="AD145" s="28" t="s">
        <v>9</v>
      </c>
      <c r="AE145" s="28" t="s">
        <v>9</v>
      </c>
      <c r="AF145" s="28" t="s">
        <v>9</v>
      </c>
      <c r="AG145" s="24">
        <f t="shared" si="9"/>
        <v>15</v>
      </c>
      <c r="AH145" s="24">
        <f t="shared" si="10"/>
        <v>0</v>
      </c>
      <c r="AI145" s="24">
        <f t="shared" si="11"/>
        <v>0</v>
      </c>
      <c r="AJ145" s="41" t="str" cm="1">
        <f t="array" ref="AJ145">_xlfn.IFS(
$AG145=15,"Not Started",
$AI145&lt;15,"In Progress",
$AI145=15,"Completed",
SUM(AG145:AI145)&gt;15,"Error"
)</f>
        <v>Not Started</v>
      </c>
    </row>
    <row r="146" spans="1:36" ht="13" x14ac:dyDescent="0.25">
      <c r="A146" s="291"/>
      <c r="B146" s="86">
        <v>143</v>
      </c>
      <c r="C146" s="14" t="s">
        <v>1600</v>
      </c>
      <c r="D146" s="53" t="s">
        <v>5910</v>
      </c>
      <c r="E146" s="61" t="s">
        <v>5909</v>
      </c>
      <c r="F146" s="57" t="s">
        <v>47</v>
      </c>
      <c r="G146" s="10" t="s">
        <v>48</v>
      </c>
      <c r="H146" s="7" t="s">
        <v>5975</v>
      </c>
      <c r="I146" s="7" t="s">
        <v>5975</v>
      </c>
      <c r="J146" s="7">
        <v>27.478386</v>
      </c>
      <c r="K146" s="7">
        <v>41.671908999999999</v>
      </c>
      <c r="L146" s="7" t="str">
        <f t="shared" si="8"/>
        <v>27.478386,41.671909</v>
      </c>
      <c r="M146" s="7" t="s">
        <v>5967</v>
      </c>
      <c r="N146" s="7">
        <v>10041918087</v>
      </c>
      <c r="O146" s="7"/>
      <c r="P146" s="201"/>
      <c r="Q146" s="28" t="s">
        <v>11</v>
      </c>
      <c r="R146" s="28" t="s">
        <v>11</v>
      </c>
      <c r="S146" s="28" t="s">
        <v>11</v>
      </c>
      <c r="T146" s="28" t="s">
        <v>11</v>
      </c>
      <c r="U146" s="28" t="s">
        <v>9</v>
      </c>
      <c r="V146" s="28" t="s">
        <v>9</v>
      </c>
      <c r="W146" s="28" t="s">
        <v>9</v>
      </c>
      <c r="X146" s="28" t="s">
        <v>9</v>
      </c>
      <c r="Y146" s="28" t="s">
        <v>9</v>
      </c>
      <c r="Z146" s="28" t="s">
        <v>9</v>
      </c>
      <c r="AA146" s="28" t="s">
        <v>9</v>
      </c>
      <c r="AB146" s="28" t="s">
        <v>9</v>
      </c>
      <c r="AC146" s="28" t="s">
        <v>9</v>
      </c>
      <c r="AD146" s="28" t="s">
        <v>9</v>
      </c>
      <c r="AE146" s="28" t="s">
        <v>9</v>
      </c>
      <c r="AF146" s="28" t="s">
        <v>10</v>
      </c>
      <c r="AG146" s="24">
        <f t="shared" si="9"/>
        <v>11</v>
      </c>
      <c r="AH146" s="24">
        <f t="shared" si="10"/>
        <v>0</v>
      </c>
      <c r="AI146" s="24">
        <f t="shared" si="11"/>
        <v>4</v>
      </c>
      <c r="AJ146" s="41" t="str" cm="1">
        <f t="array" ref="AJ146">_xlfn.IFS(
$AG146=15,"Not Started",
$AI146&lt;15,"In Progress",
$AI146=15,"Completed",
SUM(AG146:AI146)&gt;15,"Error"
)</f>
        <v>In Progress</v>
      </c>
    </row>
    <row r="147" spans="1:36" ht="13" x14ac:dyDescent="0.25">
      <c r="A147" s="291"/>
      <c r="B147" s="64">
        <v>144</v>
      </c>
      <c r="C147" s="7" t="s">
        <v>1601</v>
      </c>
      <c r="D147" s="53" t="s">
        <v>5912</v>
      </c>
      <c r="E147" s="61" t="s">
        <v>5911</v>
      </c>
      <c r="F147" s="57" t="s">
        <v>43</v>
      </c>
      <c r="G147" s="10" t="s">
        <v>44</v>
      </c>
      <c r="H147" s="7" t="s">
        <v>5975</v>
      </c>
      <c r="I147" s="7" t="s">
        <v>5975</v>
      </c>
      <c r="J147" s="7">
        <v>27.575734000000001</v>
      </c>
      <c r="K147" s="7">
        <v>41.675758999999999</v>
      </c>
      <c r="L147" s="7" t="str">
        <f t="shared" si="8"/>
        <v>27.575734,41.675759</v>
      </c>
      <c r="M147" s="7" t="s">
        <v>5968</v>
      </c>
      <c r="N147" s="7">
        <v>10041818635</v>
      </c>
      <c r="O147" s="7"/>
      <c r="P147" s="201"/>
      <c r="Q147" s="28" t="s">
        <v>9</v>
      </c>
      <c r="R147" s="28" t="s">
        <v>9</v>
      </c>
      <c r="S147" s="28" t="s">
        <v>9</v>
      </c>
      <c r="T147" s="28" t="s">
        <v>9</v>
      </c>
      <c r="U147" s="28" t="s">
        <v>9</v>
      </c>
      <c r="V147" s="28" t="s">
        <v>9</v>
      </c>
      <c r="W147" s="28" t="s">
        <v>9</v>
      </c>
      <c r="X147" s="28" t="s">
        <v>9</v>
      </c>
      <c r="Y147" s="28" t="s">
        <v>9</v>
      </c>
      <c r="Z147" s="28" t="s">
        <v>9</v>
      </c>
      <c r="AA147" s="28" t="s">
        <v>9</v>
      </c>
      <c r="AB147" s="28" t="s">
        <v>9</v>
      </c>
      <c r="AC147" s="28" t="s">
        <v>9</v>
      </c>
      <c r="AD147" s="28" t="s">
        <v>9</v>
      </c>
      <c r="AE147" s="28" t="s">
        <v>9</v>
      </c>
      <c r="AF147" s="28" t="s">
        <v>9</v>
      </c>
      <c r="AG147" s="24">
        <f t="shared" si="9"/>
        <v>15</v>
      </c>
      <c r="AH147" s="24">
        <f t="shared" si="10"/>
        <v>0</v>
      </c>
      <c r="AI147" s="24">
        <f t="shared" si="11"/>
        <v>0</v>
      </c>
      <c r="AJ147" s="41" t="str" cm="1">
        <f t="array" ref="AJ147">_xlfn.IFS(
$AG147=15,"Not Started",
$AI147&lt;15,"In Progress",
$AI147=15,"Completed",
SUM(AG147:AI147)&gt;15,"Error"
)</f>
        <v>Not Started</v>
      </c>
    </row>
    <row r="148" spans="1:36" ht="13" x14ac:dyDescent="0.25">
      <c r="A148" s="291"/>
      <c r="B148" s="86">
        <v>145</v>
      </c>
      <c r="C148" s="14" t="s">
        <v>1602</v>
      </c>
      <c r="D148" s="53" t="s">
        <v>5914</v>
      </c>
      <c r="E148" s="61" t="s">
        <v>5913</v>
      </c>
      <c r="F148" s="57" t="s">
        <v>9670</v>
      </c>
      <c r="G148" s="10" t="s">
        <v>48</v>
      </c>
      <c r="H148" s="7" t="s">
        <v>5975</v>
      </c>
      <c r="I148" s="7" t="s">
        <v>5975</v>
      </c>
      <c r="J148" s="7">
        <v>27.578081000000001</v>
      </c>
      <c r="K148" s="7">
        <v>41.715167000000001</v>
      </c>
      <c r="L148" s="7" t="str">
        <f t="shared" si="8"/>
        <v>27.578081,41.715167</v>
      </c>
      <c r="M148" s="7" t="s">
        <v>5969</v>
      </c>
      <c r="N148" s="7">
        <v>10087165085</v>
      </c>
      <c r="O148" s="7"/>
      <c r="P148" s="202">
        <v>46151</v>
      </c>
      <c r="Q148" s="28" t="s">
        <v>11</v>
      </c>
      <c r="R148" s="28" t="s">
        <v>11</v>
      </c>
      <c r="S148" s="28" t="s">
        <v>11</v>
      </c>
      <c r="T148" s="28" t="s">
        <v>11</v>
      </c>
      <c r="U148" s="28" t="s">
        <v>9</v>
      </c>
      <c r="V148" s="28" t="s">
        <v>9</v>
      </c>
      <c r="W148" s="28" t="s">
        <v>9</v>
      </c>
      <c r="X148" s="28" t="s">
        <v>9</v>
      </c>
      <c r="Y148" s="28" t="s">
        <v>9</v>
      </c>
      <c r="Z148" s="28" t="s">
        <v>9</v>
      </c>
      <c r="AA148" s="28" t="s">
        <v>9</v>
      </c>
      <c r="AB148" s="28" t="s">
        <v>9</v>
      </c>
      <c r="AC148" s="28" t="s">
        <v>9</v>
      </c>
      <c r="AD148" s="28" t="s">
        <v>9</v>
      </c>
      <c r="AE148" s="28" t="s">
        <v>9</v>
      </c>
      <c r="AF148" s="28" t="s">
        <v>10</v>
      </c>
      <c r="AG148" s="24">
        <f t="shared" si="9"/>
        <v>11</v>
      </c>
      <c r="AH148" s="24">
        <f t="shared" si="10"/>
        <v>0</v>
      </c>
      <c r="AI148" s="24">
        <f t="shared" si="11"/>
        <v>4</v>
      </c>
      <c r="AJ148" s="41" t="str" cm="1">
        <f t="array" ref="AJ148">_xlfn.IFS(
$AG148=15,"Not Started",
$AI148&lt;15,"In Progress",
$AI148=15,"Completed",
SUM(AG148:AI148)&gt;15,"Error"
)</f>
        <v>In Progress</v>
      </c>
    </row>
    <row r="149" spans="1:36" ht="26" x14ac:dyDescent="0.25">
      <c r="A149" s="291"/>
      <c r="B149" s="64">
        <v>146</v>
      </c>
      <c r="C149" s="7" t="s">
        <v>1603</v>
      </c>
      <c r="D149" s="53" t="s">
        <v>5915</v>
      </c>
      <c r="E149" s="92" t="s">
        <v>10233</v>
      </c>
      <c r="F149" s="57" t="s">
        <v>51</v>
      </c>
      <c r="G149" s="10" t="s">
        <v>48</v>
      </c>
      <c r="H149" s="7" t="s">
        <v>5975</v>
      </c>
      <c r="I149" s="7" t="s">
        <v>5975</v>
      </c>
      <c r="J149" s="7">
        <v>27.578579999999999</v>
      </c>
      <c r="K149" s="7">
        <v>41.715465999999999</v>
      </c>
      <c r="L149" s="7" t="str">
        <f t="shared" si="8"/>
        <v>27.57858,41.715466</v>
      </c>
      <c r="M149" s="7" t="s">
        <v>5970</v>
      </c>
      <c r="N149" s="7">
        <v>10087163948</v>
      </c>
      <c r="O149" s="7"/>
      <c r="P149" s="202">
        <v>46151</v>
      </c>
      <c r="Q149" s="28" t="s">
        <v>11</v>
      </c>
      <c r="R149" s="28" t="s">
        <v>11</v>
      </c>
      <c r="S149" s="28" t="s">
        <v>11</v>
      </c>
      <c r="T149" s="28" t="s">
        <v>11</v>
      </c>
      <c r="U149" s="28" t="s">
        <v>9</v>
      </c>
      <c r="V149" s="28" t="s">
        <v>9</v>
      </c>
      <c r="W149" s="28" t="s">
        <v>9</v>
      </c>
      <c r="X149" s="28" t="s">
        <v>9</v>
      </c>
      <c r="Y149" s="28" t="s">
        <v>9</v>
      </c>
      <c r="Z149" s="28" t="s">
        <v>9</v>
      </c>
      <c r="AA149" s="28" t="s">
        <v>9</v>
      </c>
      <c r="AB149" s="28" t="s">
        <v>9</v>
      </c>
      <c r="AC149" s="28" t="s">
        <v>9</v>
      </c>
      <c r="AD149" s="28" t="s">
        <v>9</v>
      </c>
      <c r="AE149" s="28" t="s">
        <v>9</v>
      </c>
      <c r="AF149" s="28" t="s">
        <v>10</v>
      </c>
      <c r="AG149" s="24">
        <f t="shared" si="9"/>
        <v>11</v>
      </c>
      <c r="AH149" s="24">
        <f t="shared" si="10"/>
        <v>0</v>
      </c>
      <c r="AI149" s="24">
        <f t="shared" si="11"/>
        <v>4</v>
      </c>
      <c r="AJ149" s="41" t="str" cm="1">
        <f t="array" ref="AJ149">_xlfn.IFS(
$AG149=15,"Not Started",
$AI149&lt;15,"In Progress",
$AI149=15,"Completed",
SUM(AG149:AI149)&gt;15,"Error"
)</f>
        <v>In Progress</v>
      </c>
    </row>
    <row r="150" spans="1:36" ht="13" x14ac:dyDescent="0.25">
      <c r="A150" s="291"/>
      <c r="B150" s="86">
        <v>147</v>
      </c>
      <c r="C150" s="14" t="s">
        <v>1604</v>
      </c>
      <c r="D150" s="53" t="s">
        <v>5917</v>
      </c>
      <c r="E150" s="61" t="s">
        <v>5916</v>
      </c>
      <c r="F150" s="57" t="s">
        <v>43</v>
      </c>
      <c r="G150" s="10" t="s">
        <v>44</v>
      </c>
      <c r="H150" s="7" t="s">
        <v>5975</v>
      </c>
      <c r="I150" s="7" t="s">
        <v>5975</v>
      </c>
      <c r="J150" s="7">
        <v>27.470046</v>
      </c>
      <c r="K150" s="7">
        <v>41.717458999999998</v>
      </c>
      <c r="L150" s="7" t="str">
        <f t="shared" si="8"/>
        <v>27.470046,41.717459</v>
      </c>
      <c r="M150" s="7" t="s">
        <v>5971</v>
      </c>
      <c r="N150" s="7">
        <v>10041974891</v>
      </c>
      <c r="O150" s="7"/>
      <c r="P150" s="201"/>
      <c r="Q150" s="28" t="s">
        <v>11</v>
      </c>
      <c r="R150" s="28" t="s">
        <v>11</v>
      </c>
      <c r="S150" s="28" t="s">
        <v>11</v>
      </c>
      <c r="T150" s="28" t="s">
        <v>11</v>
      </c>
      <c r="U150" s="28" t="s">
        <v>9</v>
      </c>
      <c r="V150" s="28" t="s">
        <v>9</v>
      </c>
      <c r="W150" s="28" t="s">
        <v>9</v>
      </c>
      <c r="X150" s="28" t="s">
        <v>9</v>
      </c>
      <c r="Y150" s="28" t="s">
        <v>9</v>
      </c>
      <c r="Z150" s="28" t="s">
        <v>9</v>
      </c>
      <c r="AA150" s="28" t="s">
        <v>9</v>
      </c>
      <c r="AB150" s="28" t="s">
        <v>9</v>
      </c>
      <c r="AC150" s="28" t="s">
        <v>9</v>
      </c>
      <c r="AD150" s="28" t="s">
        <v>9</v>
      </c>
      <c r="AE150" s="28" t="s">
        <v>9</v>
      </c>
      <c r="AF150" s="28" t="s">
        <v>10</v>
      </c>
      <c r="AG150" s="24">
        <f t="shared" si="9"/>
        <v>11</v>
      </c>
      <c r="AH150" s="24">
        <f t="shared" si="10"/>
        <v>0</v>
      </c>
      <c r="AI150" s="24">
        <f t="shared" si="11"/>
        <v>4</v>
      </c>
      <c r="AJ150" s="41" t="str" cm="1">
        <f t="array" ref="AJ150">_xlfn.IFS(
$AG150=15,"Not Started",
$AI150&lt;15,"In Progress",
$AI150=15,"Completed",
SUM(AG150:AI150)&gt;15,"Error"
)</f>
        <v>In Progress</v>
      </c>
    </row>
    <row r="151" spans="1:36" ht="13" x14ac:dyDescent="0.25">
      <c r="A151" s="291"/>
      <c r="B151" s="64">
        <v>148</v>
      </c>
      <c r="C151" s="7" t="s">
        <v>1605</v>
      </c>
      <c r="D151" s="53" t="s">
        <v>8215</v>
      </c>
      <c r="E151" s="61" t="s">
        <v>7696</v>
      </c>
      <c r="F151" s="57" t="s">
        <v>9670</v>
      </c>
      <c r="G151" s="10" t="s">
        <v>48</v>
      </c>
      <c r="H151" s="7" t="s">
        <v>5975</v>
      </c>
      <c r="I151" s="7" t="s">
        <v>5975</v>
      </c>
      <c r="J151" s="7">
        <v>27.470548000000001</v>
      </c>
      <c r="K151" s="7">
        <v>41.720652999999999</v>
      </c>
      <c r="L151" s="7" t="str">
        <f t="shared" si="8"/>
        <v>27.470548,41.720653</v>
      </c>
      <c r="M151" s="7" t="s">
        <v>8412</v>
      </c>
      <c r="N151" s="7">
        <v>10041782158</v>
      </c>
      <c r="O151" s="7"/>
      <c r="P151" s="201"/>
      <c r="Q151" s="28" t="s">
        <v>11</v>
      </c>
      <c r="R151" s="28" t="s">
        <v>11</v>
      </c>
      <c r="S151" s="28" t="s">
        <v>11</v>
      </c>
      <c r="T151" s="28" t="s">
        <v>11</v>
      </c>
      <c r="U151" s="28" t="s">
        <v>9</v>
      </c>
      <c r="V151" s="28" t="s">
        <v>9</v>
      </c>
      <c r="W151" s="28" t="s">
        <v>9</v>
      </c>
      <c r="X151" s="28" t="s">
        <v>9</v>
      </c>
      <c r="Y151" s="28" t="s">
        <v>9</v>
      </c>
      <c r="Z151" s="28" t="s">
        <v>9</v>
      </c>
      <c r="AA151" s="28" t="s">
        <v>9</v>
      </c>
      <c r="AB151" s="28" t="s">
        <v>9</v>
      </c>
      <c r="AC151" s="28" t="s">
        <v>9</v>
      </c>
      <c r="AD151" s="28" t="s">
        <v>9</v>
      </c>
      <c r="AE151" s="28" t="s">
        <v>9</v>
      </c>
      <c r="AF151" s="28" t="s">
        <v>10</v>
      </c>
      <c r="AG151" s="24">
        <f t="shared" si="9"/>
        <v>11</v>
      </c>
      <c r="AH151" s="24">
        <f t="shared" si="10"/>
        <v>0</v>
      </c>
      <c r="AI151" s="24">
        <f t="shared" si="11"/>
        <v>4</v>
      </c>
      <c r="AJ151" s="41" t="str" cm="1">
        <f t="array" ref="AJ151">_xlfn.IFS(
$AG151=15,"Not Started",
$AI151&lt;15,"In Progress",
$AI151=15,"Completed",
SUM(AG151:AI151)&gt;15,"Error"
)</f>
        <v>In Progress</v>
      </c>
    </row>
    <row r="152" spans="1:36" ht="13" x14ac:dyDescent="0.25">
      <c r="A152" s="291"/>
      <c r="B152" s="86">
        <v>149</v>
      </c>
      <c r="C152" s="14" t="s">
        <v>1606</v>
      </c>
      <c r="D152" s="53" t="s">
        <v>8216</v>
      </c>
      <c r="E152" s="61" t="s">
        <v>7773</v>
      </c>
      <c r="F152" s="57" t="s">
        <v>51</v>
      </c>
      <c r="G152" s="10" t="s">
        <v>48</v>
      </c>
      <c r="H152" s="7" t="s">
        <v>5975</v>
      </c>
      <c r="I152" s="7" t="s">
        <v>5975</v>
      </c>
      <c r="J152" s="7">
        <v>27.469557999999999</v>
      </c>
      <c r="K152" s="7">
        <v>41.720042999999997</v>
      </c>
      <c r="L152" s="7" t="str">
        <f t="shared" si="8"/>
        <v>27.469558,41.720043</v>
      </c>
      <c r="M152" s="7" t="s">
        <v>8413</v>
      </c>
      <c r="N152" s="7">
        <v>10041782283</v>
      </c>
      <c r="O152" s="7"/>
      <c r="P152" s="201"/>
      <c r="Q152" s="28" t="s">
        <v>11</v>
      </c>
      <c r="R152" s="28" t="s">
        <v>11</v>
      </c>
      <c r="S152" s="28" t="s">
        <v>11</v>
      </c>
      <c r="T152" s="28" t="s">
        <v>11</v>
      </c>
      <c r="U152" s="28" t="s">
        <v>9</v>
      </c>
      <c r="V152" s="28" t="s">
        <v>9</v>
      </c>
      <c r="W152" s="28" t="s">
        <v>9</v>
      </c>
      <c r="X152" s="28" t="s">
        <v>9</v>
      </c>
      <c r="Y152" s="28" t="s">
        <v>9</v>
      </c>
      <c r="Z152" s="28" t="s">
        <v>9</v>
      </c>
      <c r="AA152" s="28" t="s">
        <v>9</v>
      </c>
      <c r="AB152" s="28" t="s">
        <v>9</v>
      </c>
      <c r="AC152" s="28" t="s">
        <v>9</v>
      </c>
      <c r="AD152" s="28" t="s">
        <v>9</v>
      </c>
      <c r="AE152" s="28" t="s">
        <v>9</v>
      </c>
      <c r="AF152" s="28" t="s">
        <v>10</v>
      </c>
      <c r="AG152" s="24">
        <f t="shared" si="9"/>
        <v>11</v>
      </c>
      <c r="AH152" s="24">
        <f t="shared" si="10"/>
        <v>0</v>
      </c>
      <c r="AI152" s="24">
        <f t="shared" si="11"/>
        <v>4</v>
      </c>
      <c r="AJ152" s="41" t="str" cm="1">
        <f t="array" ref="AJ152">_xlfn.IFS(
$AG152=15,"Not Started",
$AI152&lt;15,"In Progress",
$AI152=15,"Completed",
SUM(AG152:AI152)&gt;15,"Error"
)</f>
        <v>In Progress</v>
      </c>
    </row>
    <row r="153" spans="1:36" ht="13" x14ac:dyDescent="0.25">
      <c r="A153" s="291"/>
      <c r="B153" s="64">
        <v>150</v>
      </c>
      <c r="C153" s="7" t="s">
        <v>1607</v>
      </c>
      <c r="D153" s="53" t="s">
        <v>8218</v>
      </c>
      <c r="E153" s="61" t="s">
        <v>8217</v>
      </c>
      <c r="F153" s="57" t="s">
        <v>43</v>
      </c>
      <c r="G153" s="10" t="s">
        <v>48</v>
      </c>
      <c r="H153" s="7" t="s">
        <v>5975</v>
      </c>
      <c r="I153" s="7" t="s">
        <v>5975</v>
      </c>
      <c r="J153" s="7">
        <v>27.557839000000001</v>
      </c>
      <c r="K153" s="7">
        <v>41.714105000000004</v>
      </c>
      <c r="L153" s="7" t="str">
        <f t="shared" si="8"/>
        <v>27.557839,41.714105</v>
      </c>
      <c r="M153" s="7" t="s">
        <v>8414</v>
      </c>
      <c r="N153" s="7">
        <v>10041851498</v>
      </c>
      <c r="O153" s="7"/>
      <c r="P153" s="201"/>
      <c r="Q153" s="28" t="s">
        <v>11</v>
      </c>
      <c r="R153" s="28" t="s">
        <v>11</v>
      </c>
      <c r="S153" s="28" t="s">
        <v>11</v>
      </c>
      <c r="T153" s="28" t="s">
        <v>11</v>
      </c>
      <c r="U153" s="28" t="s">
        <v>9</v>
      </c>
      <c r="V153" s="28" t="s">
        <v>9</v>
      </c>
      <c r="W153" s="28" t="s">
        <v>9</v>
      </c>
      <c r="X153" s="28" t="s">
        <v>9</v>
      </c>
      <c r="Y153" s="28" t="s">
        <v>9</v>
      </c>
      <c r="Z153" s="28" t="s">
        <v>9</v>
      </c>
      <c r="AA153" s="28" t="s">
        <v>9</v>
      </c>
      <c r="AB153" s="28" t="s">
        <v>9</v>
      </c>
      <c r="AC153" s="28" t="s">
        <v>9</v>
      </c>
      <c r="AD153" s="28" t="s">
        <v>9</v>
      </c>
      <c r="AE153" s="28" t="s">
        <v>9</v>
      </c>
      <c r="AF153" s="28" t="s">
        <v>10</v>
      </c>
      <c r="AG153" s="24">
        <f t="shared" si="9"/>
        <v>11</v>
      </c>
      <c r="AH153" s="24">
        <f t="shared" si="10"/>
        <v>0</v>
      </c>
      <c r="AI153" s="24">
        <f t="shared" si="11"/>
        <v>4</v>
      </c>
      <c r="AJ153" s="41" t="str" cm="1">
        <f t="array" ref="AJ153">_xlfn.IFS(
$AG153=15,"Not Started",
$AI153&lt;15,"In Progress",
$AI153=15,"Completed",
SUM(AG153:AI153)&gt;15,"Error"
)</f>
        <v>In Progress</v>
      </c>
    </row>
    <row r="154" spans="1:36" ht="13" x14ac:dyDescent="0.25">
      <c r="A154" s="291"/>
      <c r="B154" s="86">
        <v>151</v>
      </c>
      <c r="C154" s="14" t="s">
        <v>1608</v>
      </c>
      <c r="D154" s="53" t="s">
        <v>8220</v>
      </c>
      <c r="E154" s="61" t="s">
        <v>8219</v>
      </c>
      <c r="F154" s="57" t="s">
        <v>43</v>
      </c>
      <c r="G154" s="10" t="s">
        <v>44</v>
      </c>
      <c r="H154" s="7" t="s">
        <v>5975</v>
      </c>
      <c r="I154" s="7" t="s">
        <v>5975</v>
      </c>
      <c r="J154" s="7">
        <v>27.464834</v>
      </c>
      <c r="K154" s="7">
        <v>41.656236</v>
      </c>
      <c r="L154" s="7" t="str">
        <f t="shared" si="8"/>
        <v>27.464834,41.656236</v>
      </c>
      <c r="M154" s="7" t="s">
        <v>8415</v>
      </c>
      <c r="N154" s="7">
        <v>10041757647</v>
      </c>
      <c r="O154" s="7"/>
      <c r="P154" s="201"/>
      <c r="Q154" s="28" t="s">
        <v>11</v>
      </c>
      <c r="R154" s="28" t="s">
        <v>11</v>
      </c>
      <c r="S154" s="28" t="s">
        <v>11</v>
      </c>
      <c r="T154" s="28" t="s">
        <v>11</v>
      </c>
      <c r="U154" s="28" t="s">
        <v>9</v>
      </c>
      <c r="V154" s="28" t="s">
        <v>9</v>
      </c>
      <c r="W154" s="28" t="s">
        <v>9</v>
      </c>
      <c r="X154" s="28" t="s">
        <v>9</v>
      </c>
      <c r="Y154" s="28" t="s">
        <v>9</v>
      </c>
      <c r="Z154" s="28" t="s">
        <v>9</v>
      </c>
      <c r="AA154" s="28" t="s">
        <v>9</v>
      </c>
      <c r="AB154" s="28" t="s">
        <v>9</v>
      </c>
      <c r="AC154" s="28" t="s">
        <v>9</v>
      </c>
      <c r="AD154" s="28" t="s">
        <v>9</v>
      </c>
      <c r="AE154" s="28" t="s">
        <v>9</v>
      </c>
      <c r="AF154" s="28" t="s">
        <v>10</v>
      </c>
      <c r="AG154" s="24">
        <f t="shared" si="9"/>
        <v>11</v>
      </c>
      <c r="AH154" s="24">
        <f t="shared" si="10"/>
        <v>0</v>
      </c>
      <c r="AI154" s="24">
        <f t="shared" si="11"/>
        <v>4</v>
      </c>
      <c r="AJ154" s="41" t="str" cm="1">
        <f t="array" ref="AJ154">_xlfn.IFS(
$AG154=15,"Not Started",
$AI154&lt;15,"In Progress",
$AI154=15,"Completed",
SUM(AG154:AI154)&gt;15,"Error"
)</f>
        <v>In Progress</v>
      </c>
    </row>
    <row r="155" spans="1:36" ht="13" x14ac:dyDescent="0.25">
      <c r="A155" s="291"/>
      <c r="B155" s="64">
        <v>152</v>
      </c>
      <c r="C155" s="7" t="s">
        <v>1609</v>
      </c>
      <c r="D155" s="53" t="s">
        <v>8222</v>
      </c>
      <c r="E155" s="61" t="s">
        <v>8221</v>
      </c>
      <c r="F155" s="57" t="s">
        <v>43</v>
      </c>
      <c r="G155" s="10" t="s">
        <v>44</v>
      </c>
      <c r="H155" s="7" t="s">
        <v>5975</v>
      </c>
      <c r="I155" s="7" t="s">
        <v>5975</v>
      </c>
      <c r="J155" s="7">
        <v>27.461207000000002</v>
      </c>
      <c r="K155" s="7">
        <v>41.651850000000003</v>
      </c>
      <c r="L155" s="7" t="str">
        <f t="shared" si="8"/>
        <v>27.461207,41.65185</v>
      </c>
      <c r="M155" s="7" t="s">
        <v>8416</v>
      </c>
      <c r="N155" s="7">
        <v>10041814144</v>
      </c>
      <c r="O155" s="7"/>
      <c r="P155" s="201"/>
      <c r="Q155" s="28" t="s">
        <v>11</v>
      </c>
      <c r="R155" s="28" t="s">
        <v>11</v>
      </c>
      <c r="S155" s="28" t="s">
        <v>11</v>
      </c>
      <c r="T155" s="28" t="s">
        <v>11</v>
      </c>
      <c r="U155" s="28" t="s">
        <v>9</v>
      </c>
      <c r="V155" s="28" t="s">
        <v>9</v>
      </c>
      <c r="W155" s="28" t="s">
        <v>9</v>
      </c>
      <c r="X155" s="28" t="s">
        <v>9</v>
      </c>
      <c r="Y155" s="28" t="s">
        <v>9</v>
      </c>
      <c r="Z155" s="28" t="s">
        <v>9</v>
      </c>
      <c r="AA155" s="28" t="s">
        <v>9</v>
      </c>
      <c r="AB155" s="28" t="s">
        <v>9</v>
      </c>
      <c r="AC155" s="28" t="s">
        <v>9</v>
      </c>
      <c r="AD155" s="28" t="s">
        <v>9</v>
      </c>
      <c r="AE155" s="28" t="s">
        <v>9</v>
      </c>
      <c r="AF155" s="28" t="s">
        <v>10</v>
      </c>
      <c r="AG155" s="24">
        <f t="shared" si="9"/>
        <v>11</v>
      </c>
      <c r="AH155" s="24">
        <f t="shared" si="10"/>
        <v>0</v>
      </c>
      <c r="AI155" s="24">
        <f t="shared" si="11"/>
        <v>4</v>
      </c>
      <c r="AJ155" s="41" t="str" cm="1">
        <f t="array" ref="AJ155">_xlfn.IFS(
$AG155=15,"Not Started",
$AI155&lt;15,"In Progress",
$AI155=15,"Completed",
SUM(AG155:AI155)&gt;15,"Error"
)</f>
        <v>In Progress</v>
      </c>
    </row>
    <row r="156" spans="1:36" ht="26" x14ac:dyDescent="0.25">
      <c r="A156" s="291"/>
      <c r="B156" s="86">
        <v>153</v>
      </c>
      <c r="C156" s="14" t="s">
        <v>1610</v>
      </c>
      <c r="D156" s="53" t="s">
        <v>8223</v>
      </c>
      <c r="E156" s="92" t="s">
        <v>10234</v>
      </c>
      <c r="F156" s="57" t="s">
        <v>47</v>
      </c>
      <c r="G156" s="10" t="s">
        <v>44</v>
      </c>
      <c r="H156" s="7" t="s">
        <v>5975</v>
      </c>
      <c r="I156" s="7" t="s">
        <v>5975</v>
      </c>
      <c r="J156" s="7">
        <v>27.462368000000001</v>
      </c>
      <c r="K156" s="7">
        <v>41.645226000000001</v>
      </c>
      <c r="L156" s="7" t="str">
        <f t="shared" si="8"/>
        <v>27.462368,41.645226</v>
      </c>
      <c r="M156" s="7" t="s">
        <v>8417</v>
      </c>
      <c r="N156" s="7">
        <v>10041814082</v>
      </c>
      <c r="O156" s="7"/>
      <c r="P156" s="201"/>
      <c r="Q156" s="28" t="s">
        <v>11</v>
      </c>
      <c r="R156" s="28" t="s">
        <v>11</v>
      </c>
      <c r="S156" s="28" t="s">
        <v>11</v>
      </c>
      <c r="T156" s="28" t="s">
        <v>11</v>
      </c>
      <c r="U156" s="28" t="s">
        <v>9</v>
      </c>
      <c r="V156" s="28" t="s">
        <v>9</v>
      </c>
      <c r="W156" s="28" t="s">
        <v>9</v>
      </c>
      <c r="X156" s="28" t="s">
        <v>9</v>
      </c>
      <c r="Y156" s="28" t="s">
        <v>9</v>
      </c>
      <c r="Z156" s="28" t="s">
        <v>9</v>
      </c>
      <c r="AA156" s="28" t="s">
        <v>9</v>
      </c>
      <c r="AB156" s="28" t="s">
        <v>9</v>
      </c>
      <c r="AC156" s="28" t="s">
        <v>9</v>
      </c>
      <c r="AD156" s="28" t="s">
        <v>9</v>
      </c>
      <c r="AE156" s="28" t="s">
        <v>9</v>
      </c>
      <c r="AF156" s="28" t="s">
        <v>10</v>
      </c>
      <c r="AG156" s="24">
        <f t="shared" si="9"/>
        <v>11</v>
      </c>
      <c r="AH156" s="24">
        <f t="shared" si="10"/>
        <v>0</v>
      </c>
      <c r="AI156" s="24">
        <f t="shared" si="11"/>
        <v>4</v>
      </c>
      <c r="AJ156" s="41" t="str" cm="1">
        <f t="array" ref="AJ156">_xlfn.IFS(
$AG156=15,"Not Started",
$AI156&lt;15,"In Progress",
$AI156=15,"Completed",
SUM(AG156:AI156)&gt;15,"Error"
)</f>
        <v>In Progress</v>
      </c>
    </row>
    <row r="157" spans="1:36" ht="13" x14ac:dyDescent="0.25">
      <c r="A157" s="291"/>
      <c r="B157" s="64">
        <v>154</v>
      </c>
      <c r="C157" s="7" t="s">
        <v>1611</v>
      </c>
      <c r="D157" s="53" t="s">
        <v>5919</v>
      </c>
      <c r="E157" s="61" t="s">
        <v>5918</v>
      </c>
      <c r="F157" s="57" t="s">
        <v>51</v>
      </c>
      <c r="G157" s="10" t="s">
        <v>44</v>
      </c>
      <c r="H157" s="7" t="s">
        <v>5975</v>
      </c>
      <c r="I157" s="7" t="s">
        <v>5975</v>
      </c>
      <c r="J157" s="7">
        <v>27.455902999999999</v>
      </c>
      <c r="K157" s="7">
        <v>41.645403000000002</v>
      </c>
      <c r="L157" s="7" t="str">
        <f t="shared" si="8"/>
        <v>27.455903,41.645403</v>
      </c>
      <c r="M157" s="7" t="s">
        <v>5972</v>
      </c>
      <c r="N157" s="7">
        <v>10041936540</v>
      </c>
      <c r="O157" s="7"/>
      <c r="P157" s="201"/>
      <c r="Q157" s="28" t="s">
        <v>11</v>
      </c>
      <c r="R157" s="28" t="s">
        <v>11</v>
      </c>
      <c r="S157" s="28" t="s">
        <v>11</v>
      </c>
      <c r="T157" s="28" t="s">
        <v>11</v>
      </c>
      <c r="U157" s="28" t="s">
        <v>9</v>
      </c>
      <c r="V157" s="28" t="s">
        <v>9</v>
      </c>
      <c r="W157" s="28" t="s">
        <v>9</v>
      </c>
      <c r="X157" s="28" t="s">
        <v>9</v>
      </c>
      <c r="Y157" s="28" t="s">
        <v>9</v>
      </c>
      <c r="Z157" s="28" t="s">
        <v>9</v>
      </c>
      <c r="AA157" s="28" t="s">
        <v>9</v>
      </c>
      <c r="AB157" s="28" t="s">
        <v>9</v>
      </c>
      <c r="AC157" s="28" t="s">
        <v>9</v>
      </c>
      <c r="AD157" s="28" t="s">
        <v>9</v>
      </c>
      <c r="AE157" s="28" t="s">
        <v>9</v>
      </c>
      <c r="AF157" s="28" t="s">
        <v>10</v>
      </c>
      <c r="AG157" s="24">
        <f t="shared" si="9"/>
        <v>11</v>
      </c>
      <c r="AH157" s="24">
        <f t="shared" si="10"/>
        <v>0</v>
      </c>
      <c r="AI157" s="24">
        <f t="shared" si="11"/>
        <v>4</v>
      </c>
      <c r="AJ157" s="41" t="str" cm="1">
        <f t="array" ref="AJ157">_xlfn.IFS(
$AG157=15,"Not Started",
$AI157&lt;15,"In Progress",
$AI157=15,"Completed",
SUM(AG157:AI157)&gt;15,"Error"
)</f>
        <v>In Progress</v>
      </c>
    </row>
    <row r="158" spans="1:36" ht="26" x14ac:dyDescent="0.25">
      <c r="A158" s="291"/>
      <c r="B158" s="86">
        <v>155</v>
      </c>
      <c r="C158" s="14" t="s">
        <v>1612</v>
      </c>
      <c r="D158" s="53" t="s">
        <v>8225</v>
      </c>
      <c r="E158" s="92" t="s">
        <v>8224</v>
      </c>
      <c r="F158" s="57" t="s">
        <v>43</v>
      </c>
      <c r="G158" s="10" t="s">
        <v>48</v>
      </c>
      <c r="H158" s="7" t="s">
        <v>5975</v>
      </c>
      <c r="I158" s="7" t="s">
        <v>5975</v>
      </c>
      <c r="J158" s="7">
        <v>27.447856999999999</v>
      </c>
      <c r="K158" s="7">
        <v>41.638373000000001</v>
      </c>
      <c r="L158" s="7" t="str">
        <f t="shared" si="8"/>
        <v>27.447857,41.638373</v>
      </c>
      <c r="M158" s="7" t="s">
        <v>8418</v>
      </c>
      <c r="N158" s="7">
        <v>10041922796</v>
      </c>
      <c r="O158" s="7"/>
      <c r="P158" s="202">
        <v>46144</v>
      </c>
      <c r="Q158" s="28" t="s">
        <v>11</v>
      </c>
      <c r="R158" s="28" t="s">
        <v>11</v>
      </c>
      <c r="S158" s="28" t="s">
        <v>11</v>
      </c>
      <c r="T158" s="28" t="s">
        <v>11</v>
      </c>
      <c r="U158" s="28" t="s">
        <v>9</v>
      </c>
      <c r="V158" s="28" t="s">
        <v>9</v>
      </c>
      <c r="W158" s="28" t="s">
        <v>9</v>
      </c>
      <c r="X158" s="28" t="s">
        <v>9</v>
      </c>
      <c r="Y158" s="28" t="s">
        <v>9</v>
      </c>
      <c r="Z158" s="28" t="s">
        <v>9</v>
      </c>
      <c r="AA158" s="28" t="s">
        <v>9</v>
      </c>
      <c r="AB158" s="28" t="s">
        <v>9</v>
      </c>
      <c r="AC158" s="28" t="s">
        <v>9</v>
      </c>
      <c r="AD158" s="28" t="s">
        <v>9</v>
      </c>
      <c r="AE158" s="28" t="s">
        <v>9</v>
      </c>
      <c r="AF158" s="28" t="s">
        <v>10</v>
      </c>
      <c r="AG158" s="24">
        <f t="shared" si="9"/>
        <v>11</v>
      </c>
      <c r="AH158" s="24">
        <f t="shared" si="10"/>
        <v>0</v>
      </c>
      <c r="AI158" s="24">
        <f t="shared" si="11"/>
        <v>4</v>
      </c>
      <c r="AJ158" s="41" t="str" cm="1">
        <f t="array" ref="AJ158">_xlfn.IFS(
$AG158=15,"Not Started",
$AI158&lt;15,"In Progress",
$AI158=15,"Completed",
SUM(AG158:AI158)&gt;15,"Error"
)</f>
        <v>In Progress</v>
      </c>
    </row>
    <row r="159" spans="1:36" ht="13" x14ac:dyDescent="0.25">
      <c r="A159" s="291"/>
      <c r="B159" s="64">
        <v>156</v>
      </c>
      <c r="C159" s="7" t="s">
        <v>1613</v>
      </c>
      <c r="D159" s="53" t="s">
        <v>8227</v>
      </c>
      <c r="E159" s="61" t="s">
        <v>8226</v>
      </c>
      <c r="F159" s="57" t="s">
        <v>51</v>
      </c>
      <c r="G159" s="10" t="s">
        <v>48</v>
      </c>
      <c r="H159" s="7" t="s">
        <v>5975</v>
      </c>
      <c r="I159" s="7" t="s">
        <v>5975</v>
      </c>
      <c r="J159" s="7">
        <v>27.448699000000001</v>
      </c>
      <c r="K159" s="7">
        <v>41.638303000000001</v>
      </c>
      <c r="L159" s="7" t="str">
        <f t="shared" si="8"/>
        <v>27.448699,41.638303</v>
      </c>
      <c r="M159" s="7" t="s">
        <v>8419</v>
      </c>
      <c r="N159" s="7">
        <v>10041639017</v>
      </c>
      <c r="O159" s="7"/>
      <c r="P159" s="201"/>
      <c r="Q159" s="28" t="s">
        <v>11</v>
      </c>
      <c r="R159" s="28" t="s">
        <v>11</v>
      </c>
      <c r="S159" s="28" t="s">
        <v>11</v>
      </c>
      <c r="T159" s="28" t="s">
        <v>11</v>
      </c>
      <c r="U159" s="28" t="s">
        <v>9</v>
      </c>
      <c r="V159" s="28" t="s">
        <v>9</v>
      </c>
      <c r="W159" s="28" t="s">
        <v>9</v>
      </c>
      <c r="X159" s="28" t="s">
        <v>9</v>
      </c>
      <c r="Y159" s="28" t="s">
        <v>9</v>
      </c>
      <c r="Z159" s="28" t="s">
        <v>9</v>
      </c>
      <c r="AA159" s="28" t="s">
        <v>9</v>
      </c>
      <c r="AB159" s="28" t="s">
        <v>9</v>
      </c>
      <c r="AC159" s="28" t="s">
        <v>9</v>
      </c>
      <c r="AD159" s="28" t="s">
        <v>9</v>
      </c>
      <c r="AE159" s="28" t="s">
        <v>9</v>
      </c>
      <c r="AF159" s="28" t="s">
        <v>10</v>
      </c>
      <c r="AG159" s="24">
        <f t="shared" si="9"/>
        <v>11</v>
      </c>
      <c r="AH159" s="24">
        <f t="shared" si="10"/>
        <v>0</v>
      </c>
      <c r="AI159" s="24">
        <f t="shared" si="11"/>
        <v>4</v>
      </c>
      <c r="AJ159" s="41" t="str" cm="1">
        <f t="array" ref="AJ159">_xlfn.IFS(
$AG159=15,"Not Started",
$AI159&lt;15,"In Progress",
$AI159=15,"Completed",
SUM(AG159:AI159)&gt;15,"Error"
)</f>
        <v>In Progress</v>
      </c>
    </row>
    <row r="160" spans="1:36" ht="13" x14ac:dyDescent="0.25">
      <c r="A160" s="291"/>
      <c r="B160" s="86">
        <v>157</v>
      </c>
      <c r="C160" s="14" t="s">
        <v>1614</v>
      </c>
      <c r="D160" s="53" t="s">
        <v>8229</v>
      </c>
      <c r="E160" s="61" t="s">
        <v>8228</v>
      </c>
      <c r="F160" s="57" t="s">
        <v>43</v>
      </c>
      <c r="G160" s="10" t="s">
        <v>48</v>
      </c>
      <c r="H160" s="7" t="s">
        <v>5975</v>
      </c>
      <c r="I160" s="7" t="s">
        <v>5975</v>
      </c>
      <c r="J160" s="7">
        <v>27.625861</v>
      </c>
      <c r="K160" s="7">
        <v>41.690747999999999</v>
      </c>
      <c r="L160" s="7" t="str">
        <f t="shared" si="8"/>
        <v>27.625861,41.690748</v>
      </c>
      <c r="M160" s="7" t="s">
        <v>8420</v>
      </c>
      <c r="N160" s="7">
        <v>10041567661</v>
      </c>
      <c r="O160" s="7"/>
      <c r="P160" s="201">
        <v>46142</v>
      </c>
      <c r="Q160" s="28" t="s">
        <v>11</v>
      </c>
      <c r="R160" s="28" t="s">
        <v>11</v>
      </c>
      <c r="S160" s="28" t="s">
        <v>11</v>
      </c>
      <c r="T160" s="28" t="s">
        <v>11</v>
      </c>
      <c r="U160" s="28" t="s">
        <v>9</v>
      </c>
      <c r="V160" s="28" t="s">
        <v>9</v>
      </c>
      <c r="W160" s="28" t="s">
        <v>9</v>
      </c>
      <c r="X160" s="28" t="s">
        <v>9</v>
      </c>
      <c r="Y160" s="28" t="s">
        <v>9</v>
      </c>
      <c r="Z160" s="28" t="s">
        <v>9</v>
      </c>
      <c r="AA160" s="28" t="s">
        <v>9</v>
      </c>
      <c r="AB160" s="28" t="s">
        <v>9</v>
      </c>
      <c r="AC160" s="28" t="s">
        <v>9</v>
      </c>
      <c r="AD160" s="28" t="s">
        <v>9</v>
      </c>
      <c r="AE160" s="28" t="s">
        <v>9</v>
      </c>
      <c r="AF160" s="28" t="s">
        <v>10</v>
      </c>
      <c r="AG160" s="24">
        <f t="shared" si="9"/>
        <v>11</v>
      </c>
      <c r="AH160" s="24">
        <f t="shared" si="10"/>
        <v>0</v>
      </c>
      <c r="AI160" s="24">
        <f t="shared" si="11"/>
        <v>4</v>
      </c>
      <c r="AJ160" s="41" t="str" cm="1">
        <f t="array" ref="AJ160">_xlfn.IFS(
$AG160=15,"Not Started",
$AI160&lt;15,"In Progress",
$AI160=15,"Completed",
SUM(AG160:AI160)&gt;15,"Error"
)</f>
        <v>In Progress</v>
      </c>
    </row>
    <row r="161" spans="1:36" ht="13" x14ac:dyDescent="0.25">
      <c r="A161" s="291"/>
      <c r="B161" s="64">
        <v>158</v>
      </c>
      <c r="C161" s="7" t="s">
        <v>1615</v>
      </c>
      <c r="D161" s="53" t="s">
        <v>8231</v>
      </c>
      <c r="E161" s="61" t="s">
        <v>8230</v>
      </c>
      <c r="F161" s="57" t="s">
        <v>47</v>
      </c>
      <c r="G161" s="10" t="s">
        <v>48</v>
      </c>
      <c r="H161" s="7" t="s">
        <v>5975</v>
      </c>
      <c r="I161" s="7" t="s">
        <v>5975</v>
      </c>
      <c r="J161" s="7">
        <v>27.633030999999999</v>
      </c>
      <c r="K161" s="7">
        <v>41.702164000000003</v>
      </c>
      <c r="L161" s="7" t="str">
        <f t="shared" si="8"/>
        <v>27.633031,41.702164</v>
      </c>
      <c r="M161" s="7" t="s">
        <v>8421</v>
      </c>
      <c r="N161" s="7">
        <v>10041568176</v>
      </c>
      <c r="O161" s="7"/>
      <c r="P161" s="201"/>
      <c r="Q161" s="28" t="s">
        <v>9</v>
      </c>
      <c r="R161" s="28" t="s">
        <v>9</v>
      </c>
      <c r="S161" s="28" t="s">
        <v>9</v>
      </c>
      <c r="T161" s="28" t="s">
        <v>9</v>
      </c>
      <c r="U161" s="28" t="s">
        <v>9</v>
      </c>
      <c r="V161" s="28" t="s">
        <v>9</v>
      </c>
      <c r="W161" s="28" t="s">
        <v>9</v>
      </c>
      <c r="X161" s="28" t="s">
        <v>9</v>
      </c>
      <c r="Y161" s="28" t="s">
        <v>9</v>
      </c>
      <c r="Z161" s="28" t="s">
        <v>9</v>
      </c>
      <c r="AA161" s="28" t="s">
        <v>9</v>
      </c>
      <c r="AB161" s="28" t="s">
        <v>9</v>
      </c>
      <c r="AC161" s="28" t="s">
        <v>9</v>
      </c>
      <c r="AD161" s="28" t="s">
        <v>9</v>
      </c>
      <c r="AE161" s="28" t="s">
        <v>9</v>
      </c>
      <c r="AF161" s="28" t="s">
        <v>9</v>
      </c>
      <c r="AG161" s="24">
        <f t="shared" si="9"/>
        <v>15</v>
      </c>
      <c r="AH161" s="24">
        <f t="shared" si="10"/>
        <v>0</v>
      </c>
      <c r="AI161" s="24">
        <f t="shared" si="11"/>
        <v>0</v>
      </c>
      <c r="AJ161" s="41" t="str" cm="1">
        <f t="array" ref="AJ161">_xlfn.IFS(
$AG161=15,"Not Started",
$AI161&lt;15,"In Progress",
$AI161=15,"Completed",
SUM(AG161:AI161)&gt;15,"Error"
)</f>
        <v>Not Started</v>
      </c>
    </row>
    <row r="162" spans="1:36" ht="13" x14ac:dyDescent="0.25">
      <c r="A162" s="291"/>
      <c r="B162" s="86">
        <v>159</v>
      </c>
      <c r="C162" s="14" t="s">
        <v>1616</v>
      </c>
      <c r="D162" s="53" t="s">
        <v>8233</v>
      </c>
      <c r="E162" s="61" t="s">
        <v>8232</v>
      </c>
      <c r="F162" s="57" t="s">
        <v>43</v>
      </c>
      <c r="G162" s="10" t="s">
        <v>44</v>
      </c>
      <c r="H162" s="7" t="s">
        <v>5975</v>
      </c>
      <c r="I162" s="7" t="s">
        <v>5975</v>
      </c>
      <c r="J162" s="7">
        <v>27.631978</v>
      </c>
      <c r="K162" s="7">
        <v>41.646777999999998</v>
      </c>
      <c r="L162" s="7" t="str">
        <f t="shared" si="8"/>
        <v>27.631978,41.646778</v>
      </c>
      <c r="M162" s="7" t="s">
        <v>8422</v>
      </c>
      <c r="N162" s="7">
        <v>10041570479</v>
      </c>
      <c r="O162" s="7"/>
      <c r="P162" s="202">
        <v>46145</v>
      </c>
      <c r="Q162" s="28" t="s">
        <v>11</v>
      </c>
      <c r="R162" s="28" t="s">
        <v>11</v>
      </c>
      <c r="S162" s="28" t="s">
        <v>11</v>
      </c>
      <c r="T162" s="28" t="s">
        <v>11</v>
      </c>
      <c r="U162" s="28" t="s">
        <v>9</v>
      </c>
      <c r="V162" s="28" t="s">
        <v>9</v>
      </c>
      <c r="W162" s="28" t="s">
        <v>9</v>
      </c>
      <c r="X162" s="28" t="s">
        <v>9</v>
      </c>
      <c r="Y162" s="28" t="s">
        <v>9</v>
      </c>
      <c r="Z162" s="28" t="s">
        <v>9</v>
      </c>
      <c r="AA162" s="28" t="s">
        <v>9</v>
      </c>
      <c r="AB162" s="28" t="s">
        <v>9</v>
      </c>
      <c r="AC162" s="28" t="s">
        <v>9</v>
      </c>
      <c r="AD162" s="28" t="s">
        <v>9</v>
      </c>
      <c r="AE162" s="28" t="s">
        <v>9</v>
      </c>
      <c r="AF162" s="28" t="s">
        <v>10</v>
      </c>
      <c r="AG162" s="24">
        <f t="shared" si="9"/>
        <v>11</v>
      </c>
      <c r="AH162" s="24">
        <f t="shared" si="10"/>
        <v>0</v>
      </c>
      <c r="AI162" s="24">
        <f t="shared" si="11"/>
        <v>4</v>
      </c>
      <c r="AJ162" s="41" t="str" cm="1">
        <f t="array" ref="AJ162">_xlfn.IFS(
$AG162=15,"Not Started",
$AI162&lt;15,"In Progress",
$AI162=15,"Completed",
SUM(AG162:AI162)&gt;15,"Error"
)</f>
        <v>In Progress</v>
      </c>
    </row>
    <row r="163" spans="1:36" ht="13" x14ac:dyDescent="0.25">
      <c r="A163" s="291"/>
      <c r="B163" s="64">
        <v>160</v>
      </c>
      <c r="C163" s="7" t="s">
        <v>1617</v>
      </c>
      <c r="D163" s="53" t="s">
        <v>8235</v>
      </c>
      <c r="E163" s="61" t="s">
        <v>8234</v>
      </c>
      <c r="F163" s="57" t="s">
        <v>51</v>
      </c>
      <c r="G163" s="10" t="s">
        <v>44</v>
      </c>
      <c r="H163" s="7" t="s">
        <v>5975</v>
      </c>
      <c r="I163" s="7" t="s">
        <v>5975</v>
      </c>
      <c r="J163" s="7">
        <v>27.410112999999999</v>
      </c>
      <c r="K163" s="7">
        <v>41.622081999999999</v>
      </c>
      <c r="L163" s="7" t="str">
        <f t="shared" si="8"/>
        <v>27.410113,41.622082</v>
      </c>
      <c r="M163" s="7" t="s">
        <v>8423</v>
      </c>
      <c r="N163" s="7">
        <v>10041796734</v>
      </c>
      <c r="O163" s="7"/>
      <c r="P163" s="201">
        <v>46140</v>
      </c>
      <c r="Q163" s="28" t="s">
        <v>11</v>
      </c>
      <c r="R163" s="28" t="s">
        <v>11</v>
      </c>
      <c r="S163" s="28" t="s">
        <v>11</v>
      </c>
      <c r="T163" s="28" t="s">
        <v>11</v>
      </c>
      <c r="U163" s="28" t="s">
        <v>9</v>
      </c>
      <c r="V163" s="28" t="s">
        <v>9</v>
      </c>
      <c r="W163" s="28" t="s">
        <v>9</v>
      </c>
      <c r="X163" s="28" t="s">
        <v>9</v>
      </c>
      <c r="Y163" s="28" t="s">
        <v>9</v>
      </c>
      <c r="Z163" s="28" t="s">
        <v>9</v>
      </c>
      <c r="AA163" s="28" t="s">
        <v>9</v>
      </c>
      <c r="AB163" s="28" t="s">
        <v>9</v>
      </c>
      <c r="AC163" s="28" t="s">
        <v>9</v>
      </c>
      <c r="AD163" s="28" t="s">
        <v>9</v>
      </c>
      <c r="AE163" s="28" t="s">
        <v>9</v>
      </c>
      <c r="AF163" s="28" t="s">
        <v>10</v>
      </c>
      <c r="AG163" s="24">
        <f t="shared" si="9"/>
        <v>11</v>
      </c>
      <c r="AH163" s="24">
        <f t="shared" si="10"/>
        <v>0</v>
      </c>
      <c r="AI163" s="24">
        <f t="shared" si="11"/>
        <v>4</v>
      </c>
      <c r="AJ163" s="41" t="str" cm="1">
        <f t="array" ref="AJ163">_xlfn.IFS(
$AG163=15,"Not Started",
$AI163&lt;15,"In Progress",
$AI163=15,"Completed",
SUM(AG163:AI163)&gt;15,"Error"
)</f>
        <v>In Progress</v>
      </c>
    </row>
    <row r="164" spans="1:36" ht="13" x14ac:dyDescent="0.25">
      <c r="A164" s="291"/>
      <c r="B164" s="86">
        <v>161</v>
      </c>
      <c r="C164" s="14" t="s">
        <v>1618</v>
      </c>
      <c r="D164" s="53" t="s">
        <v>5921</v>
      </c>
      <c r="E164" s="61" t="s">
        <v>5920</v>
      </c>
      <c r="F164" s="57" t="s">
        <v>47</v>
      </c>
      <c r="G164" s="10" t="s">
        <v>44</v>
      </c>
      <c r="H164" s="7" t="s">
        <v>5975</v>
      </c>
      <c r="I164" s="7" t="s">
        <v>5975</v>
      </c>
      <c r="J164" s="7">
        <v>27.405346000000002</v>
      </c>
      <c r="K164" s="7">
        <v>41.588115999999999</v>
      </c>
      <c r="L164" s="7" t="str">
        <f t="shared" si="8"/>
        <v>27.405346,41.588116</v>
      </c>
      <c r="M164" s="7" t="s">
        <v>5973</v>
      </c>
      <c r="N164" s="7">
        <v>10041588562</v>
      </c>
      <c r="O164" s="7"/>
      <c r="P164" s="201"/>
      <c r="Q164" s="28" t="s">
        <v>11</v>
      </c>
      <c r="R164" s="28" t="s">
        <v>11</v>
      </c>
      <c r="S164" s="28" t="s">
        <v>11</v>
      </c>
      <c r="T164" s="28" t="s">
        <v>11</v>
      </c>
      <c r="U164" s="28" t="s">
        <v>9</v>
      </c>
      <c r="V164" s="28" t="s">
        <v>9</v>
      </c>
      <c r="W164" s="28" t="s">
        <v>9</v>
      </c>
      <c r="X164" s="28" t="s">
        <v>9</v>
      </c>
      <c r="Y164" s="28" t="s">
        <v>9</v>
      </c>
      <c r="Z164" s="28" t="s">
        <v>9</v>
      </c>
      <c r="AA164" s="28" t="s">
        <v>9</v>
      </c>
      <c r="AB164" s="28" t="s">
        <v>9</v>
      </c>
      <c r="AC164" s="28" t="s">
        <v>9</v>
      </c>
      <c r="AD164" s="28" t="s">
        <v>9</v>
      </c>
      <c r="AE164" s="28" t="s">
        <v>9</v>
      </c>
      <c r="AF164" s="28" t="s">
        <v>10</v>
      </c>
      <c r="AG164" s="24">
        <f t="shared" si="9"/>
        <v>11</v>
      </c>
      <c r="AH164" s="24">
        <f t="shared" si="10"/>
        <v>0</v>
      </c>
      <c r="AI164" s="24">
        <f t="shared" si="11"/>
        <v>4</v>
      </c>
      <c r="AJ164" s="41" t="str" cm="1">
        <f t="array" ref="AJ164">_xlfn.IFS(
$AG164=15,"Not Started",
$AI164&lt;15,"In Progress",
$AI164=15,"Completed",
SUM(AG164:AI164)&gt;15,"Error"
)</f>
        <v>In Progress</v>
      </c>
    </row>
    <row r="165" spans="1:36" ht="13" x14ac:dyDescent="0.25">
      <c r="A165" s="291"/>
      <c r="B165" s="64">
        <v>162</v>
      </c>
      <c r="C165" s="7" t="s">
        <v>1619</v>
      </c>
      <c r="D165" s="53" t="s">
        <v>8237</v>
      </c>
      <c r="E165" s="61" t="s">
        <v>8236</v>
      </c>
      <c r="F165" s="57" t="s">
        <v>51</v>
      </c>
      <c r="G165" s="10" t="s">
        <v>44</v>
      </c>
      <c r="H165" s="7" t="s">
        <v>5975</v>
      </c>
      <c r="I165" s="7" t="s">
        <v>5975</v>
      </c>
      <c r="J165" s="7">
        <v>27.403158999999999</v>
      </c>
      <c r="K165" s="7">
        <v>41.585813999999999</v>
      </c>
      <c r="L165" s="7" t="str">
        <f t="shared" si="8"/>
        <v>27.403159,41.585814</v>
      </c>
      <c r="M165" s="7" t="s">
        <v>8424</v>
      </c>
      <c r="N165" s="7">
        <v>10041568499</v>
      </c>
      <c r="O165" s="7"/>
      <c r="P165" s="201">
        <v>46140</v>
      </c>
      <c r="Q165" s="28" t="s">
        <v>11</v>
      </c>
      <c r="R165" s="28" t="s">
        <v>11</v>
      </c>
      <c r="S165" s="28" t="s">
        <v>11</v>
      </c>
      <c r="T165" s="28" t="s">
        <v>11</v>
      </c>
      <c r="U165" s="28" t="s">
        <v>9</v>
      </c>
      <c r="V165" s="28" t="s">
        <v>9</v>
      </c>
      <c r="W165" s="28" t="s">
        <v>9</v>
      </c>
      <c r="X165" s="28" t="s">
        <v>9</v>
      </c>
      <c r="Y165" s="28" t="s">
        <v>9</v>
      </c>
      <c r="Z165" s="28" t="s">
        <v>9</v>
      </c>
      <c r="AA165" s="28" t="s">
        <v>9</v>
      </c>
      <c r="AB165" s="28" t="s">
        <v>9</v>
      </c>
      <c r="AC165" s="28" t="s">
        <v>9</v>
      </c>
      <c r="AD165" s="28" t="s">
        <v>9</v>
      </c>
      <c r="AE165" s="28" t="s">
        <v>9</v>
      </c>
      <c r="AF165" s="28" t="s">
        <v>10</v>
      </c>
      <c r="AG165" s="24">
        <f t="shared" si="9"/>
        <v>11</v>
      </c>
      <c r="AH165" s="24">
        <f t="shared" si="10"/>
        <v>0</v>
      </c>
      <c r="AI165" s="24">
        <f t="shared" si="11"/>
        <v>4</v>
      </c>
      <c r="AJ165" s="41" t="str" cm="1">
        <f t="array" ref="AJ165">_xlfn.IFS(
$AG165=15,"Not Started",
$AI165&lt;15,"In Progress",
$AI165=15,"Completed",
SUM(AG165:AI165)&gt;15,"Error"
)</f>
        <v>In Progress</v>
      </c>
    </row>
    <row r="166" spans="1:36" ht="13" x14ac:dyDescent="0.25">
      <c r="A166" s="291"/>
      <c r="B166" s="86">
        <v>163</v>
      </c>
      <c r="C166" s="14" t="s">
        <v>1620</v>
      </c>
      <c r="D166" s="53" t="s">
        <v>8239</v>
      </c>
      <c r="E166" s="61" t="s">
        <v>8238</v>
      </c>
      <c r="F166" s="57" t="s">
        <v>43</v>
      </c>
      <c r="G166" s="10" t="s">
        <v>44</v>
      </c>
      <c r="H166" s="7" t="s">
        <v>5975</v>
      </c>
      <c r="I166" s="7" t="s">
        <v>5975</v>
      </c>
      <c r="J166" s="7">
        <v>27.359427</v>
      </c>
      <c r="K166" s="7">
        <v>41.644796999999997</v>
      </c>
      <c r="L166" s="7" t="str">
        <f t="shared" si="8"/>
        <v>27.359427,41.644797</v>
      </c>
      <c r="M166" s="7" t="s">
        <v>8425</v>
      </c>
      <c r="N166" s="7">
        <v>10041588301</v>
      </c>
      <c r="O166" s="7"/>
      <c r="P166" s="201">
        <v>46138</v>
      </c>
      <c r="Q166" s="28" t="s">
        <v>11</v>
      </c>
      <c r="R166" s="28" t="s">
        <v>11</v>
      </c>
      <c r="S166" s="28" t="s">
        <v>11</v>
      </c>
      <c r="T166" s="28" t="s">
        <v>11</v>
      </c>
      <c r="U166" s="28" t="s">
        <v>9</v>
      </c>
      <c r="V166" s="28" t="s">
        <v>9</v>
      </c>
      <c r="W166" s="28" t="s">
        <v>9</v>
      </c>
      <c r="X166" s="28" t="s">
        <v>9</v>
      </c>
      <c r="Y166" s="28" t="s">
        <v>9</v>
      </c>
      <c r="Z166" s="28" t="s">
        <v>9</v>
      </c>
      <c r="AA166" s="28" t="s">
        <v>9</v>
      </c>
      <c r="AB166" s="28" t="s">
        <v>9</v>
      </c>
      <c r="AC166" s="28" t="s">
        <v>9</v>
      </c>
      <c r="AD166" s="28" t="s">
        <v>9</v>
      </c>
      <c r="AE166" s="28" t="s">
        <v>9</v>
      </c>
      <c r="AF166" s="28" t="s">
        <v>10</v>
      </c>
      <c r="AG166" s="24">
        <f t="shared" si="9"/>
        <v>11</v>
      </c>
      <c r="AH166" s="24">
        <f t="shared" si="10"/>
        <v>0</v>
      </c>
      <c r="AI166" s="24">
        <f t="shared" si="11"/>
        <v>4</v>
      </c>
      <c r="AJ166" s="41" t="str" cm="1">
        <f t="array" ref="AJ166">_xlfn.IFS(
$AG166=15,"Not Started",
$AI166&lt;15,"In Progress",
$AI166=15,"Completed",
SUM(AG166:AI166)&gt;15,"Error"
)</f>
        <v>In Progress</v>
      </c>
    </row>
    <row r="167" spans="1:36" ht="13" x14ac:dyDescent="0.25">
      <c r="A167" s="291"/>
      <c r="B167" s="64">
        <v>164</v>
      </c>
      <c r="C167" s="7" t="s">
        <v>1621</v>
      </c>
      <c r="D167" s="53" t="s">
        <v>8241</v>
      </c>
      <c r="E167" s="61" t="s">
        <v>8240</v>
      </c>
      <c r="F167" s="57" t="s">
        <v>43</v>
      </c>
      <c r="G167" s="10" t="s">
        <v>48</v>
      </c>
      <c r="H167" s="7" t="s">
        <v>5975</v>
      </c>
      <c r="I167" s="7" t="s">
        <v>5975</v>
      </c>
      <c r="J167" s="7">
        <v>27.378440999999999</v>
      </c>
      <c r="K167" s="7">
        <v>41.544060999999999</v>
      </c>
      <c r="L167" s="7" t="str">
        <f t="shared" si="8"/>
        <v>27.378441,41.544061</v>
      </c>
      <c r="M167" s="7" t="s">
        <v>8426</v>
      </c>
      <c r="N167" s="7">
        <v>10041588698</v>
      </c>
      <c r="O167" s="7"/>
      <c r="P167" s="201">
        <v>46135</v>
      </c>
      <c r="Q167" s="28" t="s">
        <v>11</v>
      </c>
      <c r="R167" s="28" t="s">
        <v>11</v>
      </c>
      <c r="S167" s="28" t="s">
        <v>11</v>
      </c>
      <c r="T167" s="28" t="s">
        <v>11</v>
      </c>
      <c r="U167" s="28" t="s">
        <v>9</v>
      </c>
      <c r="V167" s="28" t="s">
        <v>9</v>
      </c>
      <c r="W167" s="28" t="s">
        <v>9</v>
      </c>
      <c r="X167" s="28" t="s">
        <v>9</v>
      </c>
      <c r="Y167" s="28" t="s">
        <v>9</v>
      </c>
      <c r="Z167" s="28" t="s">
        <v>9</v>
      </c>
      <c r="AA167" s="28" t="s">
        <v>9</v>
      </c>
      <c r="AB167" s="28" t="s">
        <v>9</v>
      </c>
      <c r="AC167" s="28" t="s">
        <v>9</v>
      </c>
      <c r="AD167" s="28" t="s">
        <v>9</v>
      </c>
      <c r="AE167" s="28" t="s">
        <v>9</v>
      </c>
      <c r="AF167" s="28" t="s">
        <v>10</v>
      </c>
      <c r="AG167" s="24">
        <f t="shared" si="9"/>
        <v>11</v>
      </c>
      <c r="AH167" s="24">
        <f t="shared" si="10"/>
        <v>0</v>
      </c>
      <c r="AI167" s="24">
        <f t="shared" si="11"/>
        <v>4</v>
      </c>
      <c r="AJ167" s="41" t="str" cm="1">
        <f t="array" ref="AJ167">_xlfn.IFS(
$AG167=15,"Not Started",
$AI167&lt;15,"In Progress",
$AI167=15,"Completed",
SUM(AG167:AI167)&gt;15,"Error"
)</f>
        <v>In Progress</v>
      </c>
    </row>
    <row r="168" spans="1:36" ht="13" x14ac:dyDescent="0.25">
      <c r="A168" s="291"/>
      <c r="B168" s="86">
        <v>165</v>
      </c>
      <c r="C168" s="14" t="s">
        <v>1622</v>
      </c>
      <c r="D168" s="53" t="s">
        <v>5923</v>
      </c>
      <c r="E168" s="61" t="s">
        <v>5922</v>
      </c>
      <c r="F168" s="57" t="s">
        <v>43</v>
      </c>
      <c r="G168" s="10" t="s">
        <v>48</v>
      </c>
      <c r="H168" s="7" t="s">
        <v>5975</v>
      </c>
      <c r="I168" s="7" t="s">
        <v>5975</v>
      </c>
      <c r="J168" s="7">
        <v>27.364021999999999</v>
      </c>
      <c r="K168" s="7">
        <v>41.540129</v>
      </c>
      <c r="L168" s="7" t="str">
        <f t="shared" si="8"/>
        <v>27.364022,41.540129</v>
      </c>
      <c r="M168" s="7" t="s">
        <v>5974</v>
      </c>
      <c r="N168" s="7">
        <v>10041572858</v>
      </c>
      <c r="O168" s="7"/>
      <c r="P168" s="201">
        <v>46124</v>
      </c>
      <c r="Q168" s="28" t="s">
        <v>11</v>
      </c>
      <c r="R168" s="28" t="s">
        <v>11</v>
      </c>
      <c r="S168" s="28" t="s">
        <v>11</v>
      </c>
      <c r="T168" s="28" t="s">
        <v>11</v>
      </c>
      <c r="U168" s="28" t="s">
        <v>9</v>
      </c>
      <c r="V168" s="28" t="s">
        <v>9</v>
      </c>
      <c r="W168" s="28" t="s">
        <v>9</v>
      </c>
      <c r="X168" s="28" t="s">
        <v>9</v>
      </c>
      <c r="Y168" s="28" t="s">
        <v>9</v>
      </c>
      <c r="Z168" s="28" t="s">
        <v>9</v>
      </c>
      <c r="AA168" s="28" t="s">
        <v>9</v>
      </c>
      <c r="AB168" s="28" t="s">
        <v>9</v>
      </c>
      <c r="AC168" s="28" t="s">
        <v>9</v>
      </c>
      <c r="AD168" s="28" t="s">
        <v>9</v>
      </c>
      <c r="AE168" s="28" t="s">
        <v>9</v>
      </c>
      <c r="AF168" s="28" t="s">
        <v>10</v>
      </c>
      <c r="AG168" s="24">
        <f t="shared" si="9"/>
        <v>11</v>
      </c>
      <c r="AH168" s="24">
        <f t="shared" si="10"/>
        <v>0</v>
      </c>
      <c r="AI168" s="24">
        <f t="shared" si="11"/>
        <v>4</v>
      </c>
      <c r="AJ168" s="41" t="str" cm="1">
        <f t="array" ref="AJ168">_xlfn.IFS(
$AG168=15,"Not Started",
$AI168&lt;15,"In Progress",
$AI168=15,"Completed",
SUM(AG168:AI168)&gt;15,"Error"
)</f>
        <v>In Progress</v>
      </c>
    </row>
    <row r="169" spans="1:36" ht="13" x14ac:dyDescent="0.25">
      <c r="A169" s="291"/>
      <c r="B169" s="64">
        <v>166</v>
      </c>
      <c r="C169" s="7" t="s">
        <v>1623</v>
      </c>
      <c r="D169" s="53" t="s">
        <v>8243</v>
      </c>
      <c r="E169" s="61" t="s">
        <v>8242</v>
      </c>
      <c r="F169" s="57" t="s">
        <v>43</v>
      </c>
      <c r="G169" s="10" t="s">
        <v>44</v>
      </c>
      <c r="H169" s="7" t="s">
        <v>5975</v>
      </c>
      <c r="I169" s="7" t="s">
        <v>5975</v>
      </c>
      <c r="J169" s="7">
        <v>27.318368</v>
      </c>
      <c r="K169" s="7">
        <v>41.426957000000002</v>
      </c>
      <c r="L169" s="7" t="str">
        <f t="shared" si="8"/>
        <v>27.318368,41.426957</v>
      </c>
      <c r="M169" s="7" t="s">
        <v>8427</v>
      </c>
      <c r="N169" s="7">
        <v>10041956711</v>
      </c>
      <c r="O169" s="7"/>
      <c r="P169" s="201"/>
      <c r="Q169" s="28" t="s">
        <v>9</v>
      </c>
      <c r="R169" s="28" t="s">
        <v>9</v>
      </c>
      <c r="S169" s="28" t="s">
        <v>9</v>
      </c>
      <c r="T169" s="28" t="s">
        <v>9</v>
      </c>
      <c r="U169" s="28" t="s">
        <v>9</v>
      </c>
      <c r="V169" s="28" t="s">
        <v>9</v>
      </c>
      <c r="W169" s="28" t="s">
        <v>9</v>
      </c>
      <c r="X169" s="28" t="s">
        <v>9</v>
      </c>
      <c r="Y169" s="28" t="s">
        <v>9</v>
      </c>
      <c r="Z169" s="28" t="s">
        <v>9</v>
      </c>
      <c r="AA169" s="28" t="s">
        <v>9</v>
      </c>
      <c r="AB169" s="28" t="s">
        <v>9</v>
      </c>
      <c r="AC169" s="28" t="s">
        <v>9</v>
      </c>
      <c r="AD169" s="28" t="s">
        <v>9</v>
      </c>
      <c r="AE169" s="28" t="s">
        <v>9</v>
      </c>
      <c r="AF169" s="28" t="s">
        <v>9</v>
      </c>
      <c r="AG169" s="24">
        <f t="shared" si="9"/>
        <v>15</v>
      </c>
      <c r="AH169" s="24">
        <f t="shared" si="10"/>
        <v>0</v>
      </c>
      <c r="AI169" s="24">
        <f t="shared" si="11"/>
        <v>0</v>
      </c>
      <c r="AJ169" s="41" t="str" cm="1">
        <f t="array" ref="AJ169">_xlfn.IFS(
$AG169=15,"Not Started",
$AI169&lt;15,"In Progress",
$AI169=15,"Completed",
SUM(AG169:AI169)&gt;15,"Error"
)</f>
        <v>Not Started</v>
      </c>
    </row>
    <row r="170" spans="1:36" ht="13" x14ac:dyDescent="0.25">
      <c r="A170" s="291"/>
      <c r="B170" s="86">
        <v>167</v>
      </c>
      <c r="C170" s="14" t="s">
        <v>1624</v>
      </c>
      <c r="D170" s="53" t="s">
        <v>8245</v>
      </c>
      <c r="E170" s="61" t="s">
        <v>8244</v>
      </c>
      <c r="F170" s="57" t="s">
        <v>47</v>
      </c>
      <c r="G170" s="10" t="s">
        <v>44</v>
      </c>
      <c r="H170" s="7" t="s">
        <v>5975</v>
      </c>
      <c r="I170" s="7" t="s">
        <v>5975</v>
      </c>
      <c r="J170" s="7">
        <v>27.847127</v>
      </c>
      <c r="K170" s="7">
        <v>41.715820999999998</v>
      </c>
      <c r="L170" s="7" t="str">
        <f t="shared" si="8"/>
        <v>27.847127,41.715821</v>
      </c>
      <c r="M170" s="7" t="s">
        <v>8428</v>
      </c>
      <c r="N170" s="7">
        <v>10041846881</v>
      </c>
      <c r="O170" s="7"/>
      <c r="P170" s="201">
        <v>46142</v>
      </c>
      <c r="Q170" s="28" t="s">
        <v>11</v>
      </c>
      <c r="R170" s="28" t="s">
        <v>11</v>
      </c>
      <c r="S170" s="28" t="s">
        <v>11</v>
      </c>
      <c r="T170" s="28" t="s">
        <v>11</v>
      </c>
      <c r="U170" s="28" t="s">
        <v>9</v>
      </c>
      <c r="V170" s="28" t="s">
        <v>9</v>
      </c>
      <c r="W170" s="28" t="s">
        <v>9</v>
      </c>
      <c r="X170" s="28" t="s">
        <v>9</v>
      </c>
      <c r="Y170" s="28" t="s">
        <v>9</v>
      </c>
      <c r="Z170" s="28" t="s">
        <v>9</v>
      </c>
      <c r="AA170" s="28" t="s">
        <v>9</v>
      </c>
      <c r="AB170" s="28" t="s">
        <v>9</v>
      </c>
      <c r="AC170" s="28" t="s">
        <v>9</v>
      </c>
      <c r="AD170" s="28" t="s">
        <v>9</v>
      </c>
      <c r="AE170" s="28" t="s">
        <v>9</v>
      </c>
      <c r="AF170" s="28" t="s">
        <v>10</v>
      </c>
      <c r="AG170" s="24">
        <f t="shared" si="9"/>
        <v>11</v>
      </c>
      <c r="AH170" s="24">
        <f t="shared" si="10"/>
        <v>0</v>
      </c>
      <c r="AI170" s="24">
        <f t="shared" si="11"/>
        <v>4</v>
      </c>
      <c r="AJ170" s="41" t="str" cm="1">
        <f t="array" ref="AJ170">_xlfn.IFS(
$AG170=15,"Not Started",
$AI170&lt;15,"In Progress",
$AI170=15,"Completed",
SUM(AG170:AI170)&gt;15,"Error"
)</f>
        <v>In Progress</v>
      </c>
    </row>
    <row r="171" spans="1:36" ht="13" x14ac:dyDescent="0.25">
      <c r="A171" s="291"/>
      <c r="B171" s="64">
        <v>168</v>
      </c>
      <c r="C171" s="7" t="s">
        <v>1625</v>
      </c>
      <c r="D171" s="53" t="s">
        <v>8247</v>
      </c>
      <c r="E171" s="61" t="s">
        <v>8246</v>
      </c>
      <c r="F171" s="57" t="s">
        <v>51</v>
      </c>
      <c r="G171" s="10" t="s">
        <v>44</v>
      </c>
      <c r="H171" s="7" t="s">
        <v>5975</v>
      </c>
      <c r="I171" s="7" t="s">
        <v>5975</v>
      </c>
      <c r="J171" s="7">
        <v>27.846709000000001</v>
      </c>
      <c r="K171" s="7">
        <v>41.727798</v>
      </c>
      <c r="L171" s="7" t="str">
        <f t="shared" si="8"/>
        <v>27.846709,41.727798</v>
      </c>
      <c r="M171" s="7" t="s">
        <v>8429</v>
      </c>
      <c r="N171" s="7">
        <v>10041769970</v>
      </c>
      <c r="O171" s="7"/>
      <c r="P171" s="202">
        <v>46145</v>
      </c>
      <c r="Q171" s="28" t="s">
        <v>11</v>
      </c>
      <c r="R171" s="28" t="s">
        <v>11</v>
      </c>
      <c r="S171" s="28" t="s">
        <v>11</v>
      </c>
      <c r="T171" s="28" t="s">
        <v>11</v>
      </c>
      <c r="U171" s="28" t="s">
        <v>9</v>
      </c>
      <c r="V171" s="28" t="s">
        <v>9</v>
      </c>
      <c r="W171" s="28" t="s">
        <v>9</v>
      </c>
      <c r="X171" s="28" t="s">
        <v>9</v>
      </c>
      <c r="Y171" s="28" t="s">
        <v>9</v>
      </c>
      <c r="Z171" s="28" t="s">
        <v>9</v>
      </c>
      <c r="AA171" s="28" t="s">
        <v>9</v>
      </c>
      <c r="AB171" s="28" t="s">
        <v>9</v>
      </c>
      <c r="AC171" s="28" t="s">
        <v>9</v>
      </c>
      <c r="AD171" s="28" t="s">
        <v>9</v>
      </c>
      <c r="AE171" s="28" t="s">
        <v>9</v>
      </c>
      <c r="AF171" s="28" t="s">
        <v>10</v>
      </c>
      <c r="AG171" s="24">
        <f t="shared" si="9"/>
        <v>11</v>
      </c>
      <c r="AH171" s="24">
        <f t="shared" si="10"/>
        <v>0</v>
      </c>
      <c r="AI171" s="24">
        <f t="shared" si="11"/>
        <v>4</v>
      </c>
      <c r="AJ171" s="41" t="str" cm="1">
        <f t="array" ref="AJ171">_xlfn.IFS(
$AG171=15,"Not Started",
$AI171&lt;15,"In Progress",
$AI171=15,"Completed",
SUM(AG171:AI171)&gt;15,"Error"
)</f>
        <v>In Progress</v>
      </c>
    </row>
    <row r="172" spans="1:36" ht="13" x14ac:dyDescent="0.25">
      <c r="A172" s="291"/>
      <c r="B172" s="86">
        <v>169</v>
      </c>
      <c r="C172" s="14" t="s">
        <v>1626</v>
      </c>
      <c r="D172" s="53" t="s">
        <v>8249</v>
      </c>
      <c r="E172" s="61" t="s">
        <v>8248</v>
      </c>
      <c r="F172" s="57" t="s">
        <v>43</v>
      </c>
      <c r="G172" s="10" t="s">
        <v>44</v>
      </c>
      <c r="H172" s="7" t="s">
        <v>5975</v>
      </c>
      <c r="I172" s="7" t="s">
        <v>5975</v>
      </c>
      <c r="J172" s="7">
        <v>27.848309</v>
      </c>
      <c r="K172" s="7">
        <v>41.721617000000002</v>
      </c>
      <c r="L172" s="7" t="str">
        <f t="shared" si="8"/>
        <v>27.848309,41.721617</v>
      </c>
      <c r="M172" s="7" t="s">
        <v>8430</v>
      </c>
      <c r="N172" s="7">
        <v>10041711773</v>
      </c>
      <c r="O172" s="7"/>
      <c r="P172" s="201"/>
      <c r="Q172" s="28" t="s">
        <v>9</v>
      </c>
      <c r="R172" s="28" t="s">
        <v>9</v>
      </c>
      <c r="S172" s="28" t="s">
        <v>9</v>
      </c>
      <c r="T172" s="28" t="s">
        <v>9</v>
      </c>
      <c r="U172" s="28" t="s">
        <v>9</v>
      </c>
      <c r="V172" s="28" t="s">
        <v>9</v>
      </c>
      <c r="W172" s="28" t="s">
        <v>9</v>
      </c>
      <c r="X172" s="28" t="s">
        <v>9</v>
      </c>
      <c r="Y172" s="28" t="s">
        <v>9</v>
      </c>
      <c r="Z172" s="28" t="s">
        <v>9</v>
      </c>
      <c r="AA172" s="28" t="s">
        <v>9</v>
      </c>
      <c r="AB172" s="28" t="s">
        <v>9</v>
      </c>
      <c r="AC172" s="28" t="s">
        <v>9</v>
      </c>
      <c r="AD172" s="28" t="s">
        <v>9</v>
      </c>
      <c r="AE172" s="28" t="s">
        <v>9</v>
      </c>
      <c r="AF172" s="28" t="s">
        <v>9</v>
      </c>
      <c r="AG172" s="24">
        <f t="shared" si="9"/>
        <v>15</v>
      </c>
      <c r="AH172" s="24">
        <f t="shared" si="10"/>
        <v>0</v>
      </c>
      <c r="AI172" s="24">
        <f t="shared" si="11"/>
        <v>0</v>
      </c>
      <c r="AJ172" s="41" t="str" cm="1">
        <f t="array" ref="AJ172">_xlfn.IFS(
$AG172=15,"Not Started",
$AI172&lt;15,"In Progress",
$AI172=15,"Completed",
SUM(AG172:AI172)&gt;15,"Error"
)</f>
        <v>Not Started</v>
      </c>
    </row>
    <row r="173" spans="1:36" ht="13" x14ac:dyDescent="0.25">
      <c r="A173" s="291"/>
      <c r="B173" s="64">
        <v>170</v>
      </c>
      <c r="C173" s="7" t="s">
        <v>1627</v>
      </c>
      <c r="D173" s="53" t="s">
        <v>8251</v>
      </c>
      <c r="E173" s="61" t="s">
        <v>8250</v>
      </c>
      <c r="F173" s="57" t="s">
        <v>43</v>
      </c>
      <c r="G173" s="10" t="s">
        <v>44</v>
      </c>
      <c r="H173" s="7" t="s">
        <v>5975</v>
      </c>
      <c r="I173" s="7" t="s">
        <v>5975</v>
      </c>
      <c r="J173" s="7">
        <v>27.271218999999999</v>
      </c>
      <c r="K173" s="7">
        <v>41.269013000000001</v>
      </c>
      <c r="L173" s="7" t="str">
        <f t="shared" si="8"/>
        <v>27.271219,41.269013</v>
      </c>
      <c r="M173" s="7" t="s">
        <v>8431</v>
      </c>
      <c r="N173" s="7">
        <v>10041794892</v>
      </c>
      <c r="O173" s="7"/>
      <c r="P173" s="201"/>
      <c r="Q173" s="28" t="s">
        <v>9</v>
      </c>
      <c r="R173" s="28" t="s">
        <v>9</v>
      </c>
      <c r="S173" s="28" t="s">
        <v>9</v>
      </c>
      <c r="T173" s="28" t="s">
        <v>9</v>
      </c>
      <c r="U173" s="28" t="s">
        <v>9</v>
      </c>
      <c r="V173" s="28" t="s">
        <v>9</v>
      </c>
      <c r="W173" s="28" t="s">
        <v>9</v>
      </c>
      <c r="X173" s="28" t="s">
        <v>9</v>
      </c>
      <c r="Y173" s="28" t="s">
        <v>9</v>
      </c>
      <c r="Z173" s="28" t="s">
        <v>9</v>
      </c>
      <c r="AA173" s="28" t="s">
        <v>9</v>
      </c>
      <c r="AB173" s="28" t="s">
        <v>9</v>
      </c>
      <c r="AC173" s="28" t="s">
        <v>9</v>
      </c>
      <c r="AD173" s="28" t="s">
        <v>9</v>
      </c>
      <c r="AE173" s="28" t="s">
        <v>9</v>
      </c>
      <c r="AF173" s="28" t="s">
        <v>9</v>
      </c>
      <c r="AG173" s="24">
        <f t="shared" si="9"/>
        <v>15</v>
      </c>
      <c r="AH173" s="24">
        <f t="shared" si="10"/>
        <v>0</v>
      </c>
      <c r="AI173" s="24">
        <f t="shared" si="11"/>
        <v>0</v>
      </c>
      <c r="AJ173" s="41" t="str" cm="1">
        <f t="array" ref="AJ173">_xlfn.IFS(
$AG173=15,"Not Started",
$AI173&lt;15,"In Progress",
$AI173=15,"Completed",
SUM(AG173:AI173)&gt;15,"Error"
)</f>
        <v>Not Started</v>
      </c>
    </row>
    <row r="174" spans="1:36" ht="13" x14ac:dyDescent="0.25">
      <c r="A174" s="291"/>
      <c r="B174" s="86">
        <v>171</v>
      </c>
      <c r="C174" s="14" t="s">
        <v>1628</v>
      </c>
      <c r="D174" s="53" t="s">
        <v>8253</v>
      </c>
      <c r="E174" s="61" t="s">
        <v>8252</v>
      </c>
      <c r="F174" s="57" t="s">
        <v>43</v>
      </c>
      <c r="G174" s="10" t="s">
        <v>48</v>
      </c>
      <c r="H174" s="7" t="s">
        <v>5975</v>
      </c>
      <c r="I174" s="7" t="s">
        <v>5975</v>
      </c>
      <c r="J174" s="7">
        <v>27.378727999999999</v>
      </c>
      <c r="K174" s="7">
        <v>41.195469000000003</v>
      </c>
      <c r="L174" s="7" t="str">
        <f t="shared" si="8"/>
        <v>27.378728,41.195469</v>
      </c>
      <c r="M174" s="7" t="s">
        <v>8432</v>
      </c>
      <c r="N174" s="7">
        <v>10041508543</v>
      </c>
      <c r="O174" s="7"/>
      <c r="P174" s="201"/>
      <c r="Q174" s="28" t="s">
        <v>9</v>
      </c>
      <c r="R174" s="28" t="s">
        <v>9</v>
      </c>
      <c r="S174" s="28" t="s">
        <v>9</v>
      </c>
      <c r="T174" s="28" t="s">
        <v>9</v>
      </c>
      <c r="U174" s="28" t="s">
        <v>9</v>
      </c>
      <c r="V174" s="28" t="s">
        <v>9</v>
      </c>
      <c r="W174" s="28" t="s">
        <v>9</v>
      </c>
      <c r="X174" s="28" t="s">
        <v>9</v>
      </c>
      <c r="Y174" s="28" t="s">
        <v>9</v>
      </c>
      <c r="Z174" s="28" t="s">
        <v>9</v>
      </c>
      <c r="AA174" s="28" t="s">
        <v>9</v>
      </c>
      <c r="AB174" s="28" t="s">
        <v>9</v>
      </c>
      <c r="AC174" s="28" t="s">
        <v>9</v>
      </c>
      <c r="AD174" s="28" t="s">
        <v>9</v>
      </c>
      <c r="AE174" s="28" t="s">
        <v>9</v>
      </c>
      <c r="AF174" s="28" t="s">
        <v>9</v>
      </c>
      <c r="AG174" s="24">
        <f t="shared" si="9"/>
        <v>15</v>
      </c>
      <c r="AH174" s="24">
        <f t="shared" si="10"/>
        <v>0</v>
      </c>
      <c r="AI174" s="24">
        <f t="shared" si="11"/>
        <v>0</v>
      </c>
      <c r="AJ174" s="41" t="str" cm="1">
        <f t="array" ref="AJ174">_xlfn.IFS(
$AG174=15,"Not Started",
$AI174&lt;15,"In Progress",
$AI174=15,"Completed",
SUM(AG174:AI174)&gt;15,"Error"
)</f>
        <v>Not Started</v>
      </c>
    </row>
    <row r="175" spans="1:36" ht="13" x14ac:dyDescent="0.25">
      <c r="A175" s="291"/>
      <c r="B175" s="64">
        <v>172</v>
      </c>
      <c r="C175" s="7" t="s">
        <v>1629</v>
      </c>
      <c r="D175" s="53" t="s">
        <v>8255</v>
      </c>
      <c r="E175" s="61" t="s">
        <v>8254</v>
      </c>
      <c r="F175" s="57" t="s">
        <v>47</v>
      </c>
      <c r="G175" s="10" t="s">
        <v>48</v>
      </c>
      <c r="H175" s="7" t="s">
        <v>5975</v>
      </c>
      <c r="I175" s="7" t="s">
        <v>5975</v>
      </c>
      <c r="J175" s="7">
        <v>27.386427000000001</v>
      </c>
      <c r="K175" s="7">
        <v>41.187530000000002</v>
      </c>
      <c r="L175" s="7" t="str">
        <f t="shared" si="8"/>
        <v>27.386427,41.18753</v>
      </c>
      <c r="M175" s="7" t="s">
        <v>8433</v>
      </c>
      <c r="N175" s="7">
        <v>10041538631</v>
      </c>
      <c r="O175" s="7"/>
      <c r="P175" s="201"/>
      <c r="Q175" s="28" t="s">
        <v>9</v>
      </c>
      <c r="R175" s="28" t="s">
        <v>9</v>
      </c>
      <c r="S175" s="28" t="s">
        <v>9</v>
      </c>
      <c r="T175" s="28" t="s">
        <v>9</v>
      </c>
      <c r="U175" s="28" t="s">
        <v>9</v>
      </c>
      <c r="V175" s="28" t="s">
        <v>9</v>
      </c>
      <c r="W175" s="28" t="s">
        <v>9</v>
      </c>
      <c r="X175" s="28" t="s">
        <v>9</v>
      </c>
      <c r="Y175" s="28" t="s">
        <v>9</v>
      </c>
      <c r="Z175" s="28" t="s">
        <v>9</v>
      </c>
      <c r="AA175" s="28" t="s">
        <v>9</v>
      </c>
      <c r="AB175" s="28" t="s">
        <v>9</v>
      </c>
      <c r="AC175" s="28" t="s">
        <v>9</v>
      </c>
      <c r="AD175" s="28" t="s">
        <v>9</v>
      </c>
      <c r="AE175" s="28" t="s">
        <v>9</v>
      </c>
      <c r="AF175" s="28" t="s">
        <v>9</v>
      </c>
      <c r="AG175" s="24">
        <f t="shared" si="9"/>
        <v>15</v>
      </c>
      <c r="AH175" s="24">
        <f t="shared" si="10"/>
        <v>0</v>
      </c>
      <c r="AI175" s="24">
        <f t="shared" si="11"/>
        <v>0</v>
      </c>
      <c r="AJ175" s="41" t="str" cm="1">
        <f t="array" ref="AJ175">_xlfn.IFS(
$AG175=15,"Not Started",
$AI175&lt;15,"In Progress",
$AI175=15,"Completed",
SUM(AG175:AI175)&gt;15,"Error"
)</f>
        <v>Not Started</v>
      </c>
    </row>
    <row r="176" spans="1:36" ht="13" x14ac:dyDescent="0.25">
      <c r="A176" s="291"/>
      <c r="B176" s="86">
        <v>173</v>
      </c>
      <c r="C176" s="14" t="s">
        <v>1630</v>
      </c>
      <c r="D176" s="53" t="s">
        <v>8257</v>
      </c>
      <c r="E176" s="61" t="s">
        <v>8256</v>
      </c>
      <c r="F176" s="57" t="s">
        <v>43</v>
      </c>
      <c r="G176" s="10" t="s">
        <v>44</v>
      </c>
      <c r="H176" s="7" t="s">
        <v>5975</v>
      </c>
      <c r="I176" s="7" t="s">
        <v>5975</v>
      </c>
      <c r="J176" s="7">
        <v>27.516686</v>
      </c>
      <c r="K176" s="7">
        <v>41.083691999999999</v>
      </c>
      <c r="L176" s="7" t="str">
        <f t="shared" si="8"/>
        <v>27.516686,41.083692</v>
      </c>
      <c r="M176" s="7" t="s">
        <v>8434</v>
      </c>
      <c r="N176" s="7">
        <v>10041536154</v>
      </c>
      <c r="O176" s="7"/>
      <c r="P176" s="201">
        <v>46138</v>
      </c>
      <c r="Q176" s="28" t="s">
        <v>11</v>
      </c>
      <c r="R176" s="28" t="s">
        <v>11</v>
      </c>
      <c r="S176" s="28" t="s">
        <v>11</v>
      </c>
      <c r="T176" s="28" t="s">
        <v>11</v>
      </c>
      <c r="U176" s="28" t="s">
        <v>9</v>
      </c>
      <c r="V176" s="28" t="s">
        <v>9</v>
      </c>
      <c r="W176" s="28" t="s">
        <v>9</v>
      </c>
      <c r="X176" s="28" t="s">
        <v>9</v>
      </c>
      <c r="Y176" s="28" t="s">
        <v>9</v>
      </c>
      <c r="Z176" s="28" t="s">
        <v>9</v>
      </c>
      <c r="AA176" s="28" t="s">
        <v>9</v>
      </c>
      <c r="AB176" s="28" t="s">
        <v>9</v>
      </c>
      <c r="AC176" s="28" t="s">
        <v>9</v>
      </c>
      <c r="AD176" s="28" t="s">
        <v>9</v>
      </c>
      <c r="AE176" s="28" t="s">
        <v>9</v>
      </c>
      <c r="AF176" s="28" t="s">
        <v>10</v>
      </c>
      <c r="AG176" s="24">
        <f t="shared" si="9"/>
        <v>11</v>
      </c>
      <c r="AH176" s="24">
        <f t="shared" si="10"/>
        <v>0</v>
      </c>
      <c r="AI176" s="24">
        <f t="shared" si="11"/>
        <v>4</v>
      </c>
      <c r="AJ176" s="41" t="str" cm="1">
        <f t="array" ref="AJ176">_xlfn.IFS(
$AG176=15,"Not Started",
$AI176&lt;15,"In Progress",
$AI176=15,"Completed",
SUM(AG176:AI176)&gt;15,"Error"
)</f>
        <v>In Progress</v>
      </c>
    </row>
    <row r="177" spans="1:36" ht="13" x14ac:dyDescent="0.25">
      <c r="A177" s="291"/>
      <c r="B177" s="64">
        <v>174</v>
      </c>
      <c r="C177" s="7" t="s">
        <v>1631</v>
      </c>
      <c r="D177" s="53" t="s">
        <v>8259</v>
      </c>
      <c r="E177" s="61" t="s">
        <v>8258</v>
      </c>
      <c r="F177" s="57" t="s">
        <v>43</v>
      </c>
      <c r="G177" s="10" t="s">
        <v>44</v>
      </c>
      <c r="H177" s="7" t="s">
        <v>5975</v>
      </c>
      <c r="I177" s="7" t="s">
        <v>5975</v>
      </c>
      <c r="J177" s="7">
        <v>27.102283</v>
      </c>
      <c r="K177" s="7">
        <v>41.281055000000002</v>
      </c>
      <c r="L177" s="7" t="str">
        <f t="shared" si="8"/>
        <v>27.102283,41.281055</v>
      </c>
      <c r="M177" s="7" t="s">
        <v>8435</v>
      </c>
      <c r="N177" s="7">
        <v>10041857339</v>
      </c>
      <c r="O177" s="7"/>
      <c r="P177" s="201">
        <v>46133</v>
      </c>
      <c r="Q177" s="28" t="s">
        <v>11</v>
      </c>
      <c r="R177" s="28" t="s">
        <v>11</v>
      </c>
      <c r="S177" s="28" t="s">
        <v>11</v>
      </c>
      <c r="T177" s="28" t="s">
        <v>11</v>
      </c>
      <c r="U177" s="28" t="s">
        <v>9</v>
      </c>
      <c r="V177" s="28" t="s">
        <v>9</v>
      </c>
      <c r="W177" s="28" t="s">
        <v>9</v>
      </c>
      <c r="X177" s="28" t="s">
        <v>9</v>
      </c>
      <c r="Y177" s="28" t="s">
        <v>9</v>
      </c>
      <c r="Z177" s="28" t="s">
        <v>9</v>
      </c>
      <c r="AA177" s="28" t="s">
        <v>9</v>
      </c>
      <c r="AB177" s="28" t="s">
        <v>9</v>
      </c>
      <c r="AC177" s="28" t="s">
        <v>9</v>
      </c>
      <c r="AD177" s="28" t="s">
        <v>9</v>
      </c>
      <c r="AE177" s="28" t="s">
        <v>9</v>
      </c>
      <c r="AF177" s="28" t="s">
        <v>10</v>
      </c>
      <c r="AG177" s="24">
        <f t="shared" si="9"/>
        <v>11</v>
      </c>
      <c r="AH177" s="24">
        <f t="shared" si="10"/>
        <v>0</v>
      </c>
      <c r="AI177" s="24">
        <f t="shared" si="11"/>
        <v>4</v>
      </c>
      <c r="AJ177" s="41" t="str" cm="1">
        <f t="array" ref="AJ177">_xlfn.IFS(
$AG177=15,"Not Started",
$AI177&lt;15,"In Progress",
$AI177=15,"Completed",
SUM(AG177:AI177)&gt;15,"Error"
)</f>
        <v>In Progress</v>
      </c>
    </row>
    <row r="178" spans="1:36" ht="13" x14ac:dyDescent="0.25">
      <c r="A178" s="291"/>
      <c r="B178" s="86">
        <v>175</v>
      </c>
      <c r="C178" s="14" t="s">
        <v>1632</v>
      </c>
      <c r="D178" s="53" t="s">
        <v>8261</v>
      </c>
      <c r="E178" s="61" t="s">
        <v>8260</v>
      </c>
      <c r="F178" s="57" t="s">
        <v>47</v>
      </c>
      <c r="G178" s="10" t="s">
        <v>44</v>
      </c>
      <c r="H178" s="7" t="s">
        <v>5975</v>
      </c>
      <c r="I178" s="7" t="s">
        <v>5975</v>
      </c>
      <c r="J178" s="7">
        <v>27.102283</v>
      </c>
      <c r="K178" s="7">
        <v>41.281055000000002</v>
      </c>
      <c r="L178" s="7" t="str">
        <f t="shared" si="8"/>
        <v>27.102283,41.281055</v>
      </c>
      <c r="M178" s="7" t="s">
        <v>8436</v>
      </c>
      <c r="N178" s="7">
        <v>10041430315</v>
      </c>
      <c r="O178" s="7"/>
      <c r="P178" s="201">
        <v>46134</v>
      </c>
      <c r="Q178" s="28" t="s">
        <v>11</v>
      </c>
      <c r="R178" s="28" t="s">
        <v>11</v>
      </c>
      <c r="S178" s="28" t="s">
        <v>11</v>
      </c>
      <c r="T178" s="28" t="s">
        <v>11</v>
      </c>
      <c r="U178" s="28" t="s">
        <v>9</v>
      </c>
      <c r="V178" s="28" t="s">
        <v>9</v>
      </c>
      <c r="W178" s="28" t="s">
        <v>9</v>
      </c>
      <c r="X178" s="28" t="s">
        <v>9</v>
      </c>
      <c r="Y178" s="28" t="s">
        <v>9</v>
      </c>
      <c r="Z178" s="28" t="s">
        <v>9</v>
      </c>
      <c r="AA178" s="28" t="s">
        <v>9</v>
      </c>
      <c r="AB178" s="28" t="s">
        <v>9</v>
      </c>
      <c r="AC178" s="28" t="s">
        <v>9</v>
      </c>
      <c r="AD178" s="28" t="s">
        <v>9</v>
      </c>
      <c r="AE178" s="28" t="s">
        <v>9</v>
      </c>
      <c r="AF178" s="28" t="s">
        <v>10</v>
      </c>
      <c r="AG178" s="24">
        <f t="shared" si="9"/>
        <v>11</v>
      </c>
      <c r="AH178" s="24">
        <f t="shared" si="10"/>
        <v>0</v>
      </c>
      <c r="AI178" s="24">
        <f t="shared" si="11"/>
        <v>4</v>
      </c>
      <c r="AJ178" s="41" t="str" cm="1">
        <f t="array" ref="AJ178">_xlfn.IFS(
$AG178=15,"Not Started",
$AI178&lt;15,"In Progress",
$AI178=15,"Completed",
SUM(AG178:AI178)&gt;15,"Error"
)</f>
        <v>In Progress</v>
      </c>
    </row>
    <row r="179" spans="1:36" ht="13" x14ac:dyDescent="0.25">
      <c r="A179" s="291"/>
      <c r="B179" s="64">
        <v>176</v>
      </c>
      <c r="C179" s="7" t="s">
        <v>1633</v>
      </c>
      <c r="D179" s="53" t="s">
        <v>8263</v>
      </c>
      <c r="E179" s="61" t="s">
        <v>8262</v>
      </c>
      <c r="F179" s="57" t="s">
        <v>47</v>
      </c>
      <c r="G179" s="10" t="s">
        <v>44</v>
      </c>
      <c r="H179" s="7" t="s">
        <v>5975</v>
      </c>
      <c r="I179" s="7" t="s">
        <v>5975</v>
      </c>
      <c r="J179" s="7">
        <v>27.317444999999999</v>
      </c>
      <c r="K179" s="7">
        <v>41.051318999999999</v>
      </c>
      <c r="L179" s="7" t="str">
        <f t="shared" si="8"/>
        <v>27.317445,41.051319</v>
      </c>
      <c r="M179" s="7" t="s">
        <v>8437</v>
      </c>
      <c r="N179" s="7">
        <v>10041536403</v>
      </c>
      <c r="O179" s="7"/>
      <c r="P179" s="201">
        <v>46127</v>
      </c>
      <c r="Q179" s="28" t="s">
        <v>11</v>
      </c>
      <c r="R179" s="28" t="s">
        <v>11</v>
      </c>
      <c r="S179" s="28" t="s">
        <v>11</v>
      </c>
      <c r="T179" s="28" t="s">
        <v>11</v>
      </c>
      <c r="U179" s="28" t="s">
        <v>9</v>
      </c>
      <c r="V179" s="28" t="s">
        <v>9</v>
      </c>
      <c r="W179" s="28" t="s">
        <v>9</v>
      </c>
      <c r="X179" s="28" t="s">
        <v>9</v>
      </c>
      <c r="Y179" s="28" t="s">
        <v>9</v>
      </c>
      <c r="Z179" s="28" t="s">
        <v>9</v>
      </c>
      <c r="AA179" s="28" t="s">
        <v>9</v>
      </c>
      <c r="AB179" s="28" t="s">
        <v>9</v>
      </c>
      <c r="AC179" s="28" t="s">
        <v>9</v>
      </c>
      <c r="AD179" s="28" t="s">
        <v>9</v>
      </c>
      <c r="AE179" s="28" t="s">
        <v>9</v>
      </c>
      <c r="AF179" s="28" t="s">
        <v>10</v>
      </c>
      <c r="AG179" s="24">
        <f t="shared" si="9"/>
        <v>11</v>
      </c>
      <c r="AH179" s="24">
        <f t="shared" si="10"/>
        <v>0</v>
      </c>
      <c r="AI179" s="24">
        <f t="shared" si="11"/>
        <v>4</v>
      </c>
      <c r="AJ179" s="41" t="str" cm="1">
        <f t="array" ref="AJ179">_xlfn.IFS(
$AG179=15,"Not Started",
$AI179&lt;15,"In Progress",
$AI179=15,"Completed",
SUM(AG179:AI179)&gt;15,"Error"
)</f>
        <v>In Progress</v>
      </c>
    </row>
    <row r="180" spans="1:36" ht="13" x14ac:dyDescent="0.25">
      <c r="A180" s="291"/>
      <c r="B180" s="86">
        <v>177</v>
      </c>
      <c r="C180" s="14" t="s">
        <v>1634</v>
      </c>
      <c r="D180" s="53" t="s">
        <v>8265</v>
      </c>
      <c r="E180" s="61" t="s">
        <v>8264</v>
      </c>
      <c r="F180" s="57" t="s">
        <v>43</v>
      </c>
      <c r="G180" s="10" t="s">
        <v>44</v>
      </c>
      <c r="H180" s="7" t="s">
        <v>5975</v>
      </c>
      <c r="I180" s="7" t="s">
        <v>5975</v>
      </c>
      <c r="J180" s="7">
        <v>27.289598999999999</v>
      </c>
      <c r="K180" s="7">
        <v>40.969838000000003</v>
      </c>
      <c r="L180" s="7" t="str">
        <f t="shared" si="8"/>
        <v>27.289599,40.969838</v>
      </c>
      <c r="M180" s="7" t="s">
        <v>8438</v>
      </c>
      <c r="N180" s="7">
        <v>10041844054</v>
      </c>
      <c r="O180" s="7"/>
      <c r="P180" s="201">
        <v>46130</v>
      </c>
      <c r="Q180" s="28" t="s">
        <v>11</v>
      </c>
      <c r="R180" s="28" t="s">
        <v>11</v>
      </c>
      <c r="S180" s="28" t="s">
        <v>11</v>
      </c>
      <c r="T180" s="28" t="s">
        <v>11</v>
      </c>
      <c r="U180" s="28" t="s">
        <v>9</v>
      </c>
      <c r="V180" s="28" t="s">
        <v>9</v>
      </c>
      <c r="W180" s="28" t="s">
        <v>9</v>
      </c>
      <c r="X180" s="28" t="s">
        <v>9</v>
      </c>
      <c r="Y180" s="28" t="s">
        <v>9</v>
      </c>
      <c r="Z180" s="28" t="s">
        <v>9</v>
      </c>
      <c r="AA180" s="28" t="s">
        <v>9</v>
      </c>
      <c r="AB180" s="28" t="s">
        <v>9</v>
      </c>
      <c r="AC180" s="28" t="s">
        <v>9</v>
      </c>
      <c r="AD180" s="28" t="s">
        <v>9</v>
      </c>
      <c r="AE180" s="28" t="s">
        <v>9</v>
      </c>
      <c r="AF180" s="28" t="s">
        <v>10</v>
      </c>
      <c r="AG180" s="24">
        <f t="shared" si="9"/>
        <v>11</v>
      </c>
      <c r="AH180" s="24">
        <f t="shared" si="10"/>
        <v>0</v>
      </c>
      <c r="AI180" s="24">
        <f t="shared" si="11"/>
        <v>4</v>
      </c>
      <c r="AJ180" s="41" t="str" cm="1">
        <f t="array" ref="AJ180">_xlfn.IFS(
$AG180=15,"Not Started",
$AI180&lt;15,"In Progress",
$AI180=15,"Completed",
SUM(AG180:AI180)&gt;15,"Error"
)</f>
        <v>In Progress</v>
      </c>
    </row>
    <row r="181" spans="1:36" ht="13" x14ac:dyDescent="0.25">
      <c r="A181" s="291"/>
      <c r="B181" s="196">
        <v>177</v>
      </c>
      <c r="C181" s="14" t="s">
        <v>1634</v>
      </c>
      <c r="D181" s="197" t="s">
        <v>10899</v>
      </c>
      <c r="E181" s="198" t="s">
        <v>10900</v>
      </c>
      <c r="F181" s="199" t="s">
        <v>43</v>
      </c>
      <c r="G181" s="200" t="s">
        <v>44</v>
      </c>
      <c r="H181" s="160" t="s">
        <v>5975</v>
      </c>
      <c r="I181" s="160" t="s">
        <v>5975</v>
      </c>
      <c r="J181" s="160">
        <v>33.291498881002198</v>
      </c>
      <c r="K181" s="160">
        <v>44.550745825837602</v>
      </c>
      <c r="L181" s="160" t="s">
        <v>10901</v>
      </c>
      <c r="M181" s="160">
        <v>10041685056</v>
      </c>
      <c r="N181" s="160"/>
      <c r="O181" s="160"/>
      <c r="P181" s="201">
        <v>46131</v>
      </c>
      <c r="Q181" s="28" t="s">
        <v>11</v>
      </c>
      <c r="R181" s="28" t="s">
        <v>11</v>
      </c>
      <c r="S181" s="28" t="s">
        <v>11</v>
      </c>
      <c r="T181" s="28" t="s">
        <v>11</v>
      </c>
      <c r="U181" s="28" t="s">
        <v>9</v>
      </c>
      <c r="V181" s="28" t="s">
        <v>9</v>
      </c>
      <c r="W181" s="28" t="s">
        <v>9</v>
      </c>
      <c r="X181" s="28" t="s">
        <v>9</v>
      </c>
      <c r="Y181" s="28" t="s">
        <v>9</v>
      </c>
      <c r="Z181" s="28" t="s">
        <v>9</v>
      </c>
      <c r="AA181" s="28" t="s">
        <v>9</v>
      </c>
      <c r="AB181" s="28" t="s">
        <v>9</v>
      </c>
      <c r="AC181" s="28" t="s">
        <v>9</v>
      </c>
      <c r="AD181" s="28" t="s">
        <v>9</v>
      </c>
      <c r="AE181" s="28" t="s">
        <v>9</v>
      </c>
      <c r="AF181" s="28" t="s">
        <v>10</v>
      </c>
      <c r="AG181" s="24">
        <f>COUNTIF(Q181:AD181,$AG$2)</f>
        <v>10</v>
      </c>
      <c r="AH181" s="24">
        <f>COUNTIF(Q181:AD181,$AH$2)</f>
        <v>0</v>
      </c>
      <c r="AI181" s="41" t="str" cm="1">
        <f t="array" ref="AI181">_xlfn.IFS(
$AF181=15,"Not Started",
$AH181&lt;15,"In Progress",
$AH181=15,"Completed",
SUM(AF181:AH181)&gt;15,"Error"
)</f>
        <v>In Progress</v>
      </c>
      <c r="AJ181" s="41" t="str" cm="1">
        <f t="array" ref="AJ181">_xlfn.IFS(
$AG182=15,"Not Started",
$AI182&lt;15,"In Progress",
$AI182=15,"Completed",
SUM(AG182:AI182)&gt;15,"Error"
)</f>
        <v>In Progress</v>
      </c>
    </row>
    <row r="182" spans="1:36" ht="13" x14ac:dyDescent="0.25">
      <c r="A182" s="291"/>
      <c r="B182" s="64">
        <v>178</v>
      </c>
      <c r="C182" s="7" t="s">
        <v>1635</v>
      </c>
      <c r="D182" s="53" t="s">
        <v>8267</v>
      </c>
      <c r="E182" s="61" t="s">
        <v>8266</v>
      </c>
      <c r="F182" s="57" t="s">
        <v>51</v>
      </c>
      <c r="G182" s="10" t="s">
        <v>44</v>
      </c>
      <c r="H182" s="7" t="s">
        <v>5975</v>
      </c>
      <c r="I182" s="7" t="s">
        <v>5975</v>
      </c>
      <c r="J182" s="7">
        <v>27.428155</v>
      </c>
      <c r="K182" s="7">
        <v>40.909146</v>
      </c>
      <c r="L182" s="7" t="str">
        <f t="shared" si="8"/>
        <v>27.428155,40.909146</v>
      </c>
      <c r="M182" s="7" t="s">
        <v>8439</v>
      </c>
      <c r="N182" s="7">
        <v>10041743051</v>
      </c>
      <c r="O182" s="7"/>
      <c r="P182" s="201">
        <v>46134</v>
      </c>
      <c r="Q182" s="28" t="s">
        <v>11</v>
      </c>
      <c r="R182" s="28" t="s">
        <v>11</v>
      </c>
      <c r="S182" s="28" t="s">
        <v>11</v>
      </c>
      <c r="T182" s="28" t="s">
        <v>11</v>
      </c>
      <c r="U182" s="28" t="s">
        <v>9</v>
      </c>
      <c r="V182" s="28" t="s">
        <v>9</v>
      </c>
      <c r="W182" s="28" t="s">
        <v>9</v>
      </c>
      <c r="X182" s="28" t="s">
        <v>9</v>
      </c>
      <c r="Y182" s="28" t="s">
        <v>9</v>
      </c>
      <c r="Z182" s="28" t="s">
        <v>9</v>
      </c>
      <c r="AA182" s="28" t="s">
        <v>9</v>
      </c>
      <c r="AB182" s="28" t="s">
        <v>9</v>
      </c>
      <c r="AC182" s="28" t="s">
        <v>9</v>
      </c>
      <c r="AD182" s="28" t="s">
        <v>9</v>
      </c>
      <c r="AE182" s="28" t="s">
        <v>9</v>
      </c>
      <c r="AF182" s="28" t="s">
        <v>10</v>
      </c>
      <c r="AG182" s="24">
        <f t="shared" si="9"/>
        <v>11</v>
      </c>
      <c r="AH182" s="24">
        <f t="shared" si="10"/>
        <v>0</v>
      </c>
      <c r="AI182" s="24">
        <f t="shared" si="11"/>
        <v>4</v>
      </c>
      <c r="AJ182" s="41" t="str" cm="1">
        <f t="array" ref="AJ182">_xlfn.IFS(
$AG183=15,"Not Started",
$AI183&lt;15,"In Progress",
$AI183=15,"Completed",
SUM(AG183:AI183)&gt;15,"Error"
)</f>
        <v>Not Started</v>
      </c>
    </row>
    <row r="183" spans="1:36" ht="13" x14ac:dyDescent="0.25">
      <c r="A183" s="291"/>
      <c r="B183" s="86">
        <v>179</v>
      </c>
      <c r="C183" s="14" t="s">
        <v>1636</v>
      </c>
      <c r="D183" s="53" t="s">
        <v>8269</v>
      </c>
      <c r="E183" s="61" t="s">
        <v>8268</v>
      </c>
      <c r="F183" s="57" t="s">
        <v>43</v>
      </c>
      <c r="G183" s="10" t="s">
        <v>44</v>
      </c>
      <c r="H183" s="7" t="s">
        <v>5975</v>
      </c>
      <c r="I183" s="7" t="s">
        <v>5975</v>
      </c>
      <c r="J183" s="7">
        <v>27.427188000000001</v>
      </c>
      <c r="K183" s="7">
        <v>40.906073999999997</v>
      </c>
      <c r="L183" s="7" t="str">
        <f t="shared" si="8"/>
        <v>27.427188,40.906074</v>
      </c>
      <c r="M183" s="7" t="s">
        <v>8440</v>
      </c>
      <c r="N183" s="7">
        <v>10041851282</v>
      </c>
      <c r="O183" s="7"/>
      <c r="P183" s="201"/>
      <c r="Q183" s="28" t="s">
        <v>9</v>
      </c>
      <c r="R183" s="28" t="s">
        <v>9</v>
      </c>
      <c r="S183" s="28" t="s">
        <v>9</v>
      </c>
      <c r="T183" s="28" t="s">
        <v>9</v>
      </c>
      <c r="U183" s="28" t="s">
        <v>9</v>
      </c>
      <c r="V183" s="28" t="s">
        <v>9</v>
      </c>
      <c r="W183" s="28" t="s">
        <v>9</v>
      </c>
      <c r="X183" s="28" t="s">
        <v>9</v>
      </c>
      <c r="Y183" s="28" t="s">
        <v>9</v>
      </c>
      <c r="Z183" s="28" t="s">
        <v>9</v>
      </c>
      <c r="AA183" s="28" t="s">
        <v>9</v>
      </c>
      <c r="AB183" s="28" t="s">
        <v>9</v>
      </c>
      <c r="AC183" s="28" t="s">
        <v>9</v>
      </c>
      <c r="AD183" s="28" t="s">
        <v>9</v>
      </c>
      <c r="AE183" s="28" t="s">
        <v>9</v>
      </c>
      <c r="AF183" s="28" t="s">
        <v>9</v>
      </c>
      <c r="AG183" s="24">
        <f t="shared" si="9"/>
        <v>15</v>
      </c>
      <c r="AH183" s="24">
        <f t="shared" si="10"/>
        <v>0</v>
      </c>
      <c r="AI183" s="24">
        <f t="shared" si="11"/>
        <v>0</v>
      </c>
      <c r="AJ183" s="41" t="str" cm="1">
        <f t="array" ref="AJ183">_xlfn.IFS(
$AG184=15,"Not Started",
$AI184&lt;15,"In Progress",
$AI184=15,"Completed",
SUM(AG184:AI184)&gt;15,"Error"
)</f>
        <v>In Progress</v>
      </c>
    </row>
    <row r="184" spans="1:36" ht="13" x14ac:dyDescent="0.25">
      <c r="A184" s="291"/>
      <c r="B184" s="64">
        <v>180</v>
      </c>
      <c r="C184" s="7" t="s">
        <v>1637</v>
      </c>
      <c r="D184" s="53" t="s">
        <v>8271</v>
      </c>
      <c r="E184" s="61" t="s">
        <v>8270</v>
      </c>
      <c r="F184" s="57" t="s">
        <v>47</v>
      </c>
      <c r="G184" s="10" t="s">
        <v>44</v>
      </c>
      <c r="H184" s="7" t="s">
        <v>5975</v>
      </c>
      <c r="I184" s="7" t="s">
        <v>5975</v>
      </c>
      <c r="J184" s="7">
        <v>27.426456000000002</v>
      </c>
      <c r="K184" s="7">
        <v>40.905462999999997</v>
      </c>
      <c r="L184" s="7" t="str">
        <f t="shared" si="8"/>
        <v>27.426456,40.905463</v>
      </c>
      <c r="M184" s="7" t="s">
        <v>8441</v>
      </c>
      <c r="N184" s="7">
        <v>10041534866</v>
      </c>
      <c r="O184" s="7"/>
      <c r="P184" s="201">
        <v>46130</v>
      </c>
      <c r="Q184" s="28" t="s">
        <v>11</v>
      </c>
      <c r="R184" s="28" t="s">
        <v>11</v>
      </c>
      <c r="S184" s="28" t="s">
        <v>11</v>
      </c>
      <c r="T184" s="28" t="s">
        <v>11</v>
      </c>
      <c r="U184" s="28" t="s">
        <v>9</v>
      </c>
      <c r="V184" s="28" t="s">
        <v>9</v>
      </c>
      <c r="W184" s="28" t="s">
        <v>9</v>
      </c>
      <c r="X184" s="28" t="s">
        <v>9</v>
      </c>
      <c r="Y184" s="28" t="s">
        <v>9</v>
      </c>
      <c r="Z184" s="28" t="s">
        <v>9</v>
      </c>
      <c r="AA184" s="28" t="s">
        <v>9</v>
      </c>
      <c r="AB184" s="28" t="s">
        <v>9</v>
      </c>
      <c r="AC184" s="28" t="s">
        <v>9</v>
      </c>
      <c r="AD184" s="28" t="s">
        <v>9</v>
      </c>
      <c r="AE184" s="28" t="s">
        <v>9</v>
      </c>
      <c r="AF184" s="28" t="s">
        <v>10</v>
      </c>
      <c r="AG184" s="24">
        <f t="shared" si="9"/>
        <v>11</v>
      </c>
      <c r="AH184" s="24">
        <f t="shared" si="10"/>
        <v>0</v>
      </c>
      <c r="AI184" s="24">
        <f t="shared" si="11"/>
        <v>4</v>
      </c>
      <c r="AJ184" s="41" t="str" cm="1">
        <f t="array" ref="AJ184">_xlfn.IFS(
$AG185=15,"Not Started",
$AI185&lt;15,"In Progress",
$AI185=15,"Completed",
SUM(AG185:AI185)&gt;15,"Error"
)</f>
        <v>Not Started</v>
      </c>
    </row>
    <row r="185" spans="1:36" ht="13" x14ac:dyDescent="0.25">
      <c r="A185" s="291"/>
      <c r="B185" s="86">
        <v>181</v>
      </c>
      <c r="C185" s="14" t="s">
        <v>1638</v>
      </c>
      <c r="D185" s="53" t="s">
        <v>8273</v>
      </c>
      <c r="E185" s="61" t="s">
        <v>8272</v>
      </c>
      <c r="F185" s="57" t="s">
        <v>47</v>
      </c>
      <c r="G185" s="10" t="s">
        <v>44</v>
      </c>
      <c r="H185" s="7" t="s">
        <v>5975</v>
      </c>
      <c r="I185" s="7" t="s">
        <v>5975</v>
      </c>
      <c r="J185" s="7">
        <v>27.308602</v>
      </c>
      <c r="K185" s="7">
        <v>40.929693</v>
      </c>
      <c r="L185" s="7" t="str">
        <f t="shared" si="8"/>
        <v>27.308602,40.929693</v>
      </c>
      <c r="M185" s="7" t="s">
        <v>8442</v>
      </c>
      <c r="N185" s="7">
        <v>10041743258</v>
      </c>
      <c r="O185" s="7"/>
      <c r="P185" s="201"/>
      <c r="Q185" s="28" t="s">
        <v>9</v>
      </c>
      <c r="R185" s="28" t="s">
        <v>9</v>
      </c>
      <c r="S185" s="28" t="s">
        <v>9</v>
      </c>
      <c r="T185" s="28" t="s">
        <v>9</v>
      </c>
      <c r="U185" s="28" t="s">
        <v>9</v>
      </c>
      <c r="V185" s="28" t="s">
        <v>9</v>
      </c>
      <c r="W185" s="28" t="s">
        <v>9</v>
      </c>
      <c r="X185" s="28" t="s">
        <v>9</v>
      </c>
      <c r="Y185" s="28" t="s">
        <v>9</v>
      </c>
      <c r="Z185" s="28" t="s">
        <v>9</v>
      </c>
      <c r="AA185" s="28" t="s">
        <v>9</v>
      </c>
      <c r="AB185" s="28" t="s">
        <v>9</v>
      </c>
      <c r="AC185" s="28" t="s">
        <v>9</v>
      </c>
      <c r="AD185" s="28" t="s">
        <v>9</v>
      </c>
      <c r="AE185" s="28" t="s">
        <v>9</v>
      </c>
      <c r="AF185" s="28" t="s">
        <v>9</v>
      </c>
      <c r="AG185" s="24">
        <f t="shared" si="9"/>
        <v>15</v>
      </c>
      <c r="AH185" s="24">
        <f t="shared" si="10"/>
        <v>0</v>
      </c>
      <c r="AI185" s="24">
        <f t="shared" si="11"/>
        <v>0</v>
      </c>
      <c r="AJ185" s="41" t="str" cm="1">
        <f t="array" ref="AJ185">_xlfn.IFS(
$AG186=15,"Not Started",
$AI186&lt;15,"In Progress",
$AI186=15,"Completed",
SUM(AG186:AI186)&gt;15,"Error"
)</f>
        <v>Not Started</v>
      </c>
    </row>
    <row r="186" spans="1:36" ht="13" x14ac:dyDescent="0.25">
      <c r="A186" s="291"/>
      <c r="B186" s="64">
        <v>182</v>
      </c>
      <c r="C186" s="7" t="s">
        <v>1639</v>
      </c>
      <c r="D186" s="53" t="s">
        <v>8275</v>
      </c>
      <c r="E186" s="61" t="s">
        <v>8274</v>
      </c>
      <c r="F186" s="57" t="s">
        <v>51</v>
      </c>
      <c r="G186" s="10" t="s">
        <v>44</v>
      </c>
      <c r="H186" s="7" t="s">
        <v>5975</v>
      </c>
      <c r="I186" s="7" t="s">
        <v>5975</v>
      </c>
      <c r="J186" s="7">
        <v>27.307859000000001</v>
      </c>
      <c r="K186" s="7">
        <v>40.922834000000002</v>
      </c>
      <c r="L186" s="7" t="str">
        <f t="shared" si="8"/>
        <v>27.307859,40.922834</v>
      </c>
      <c r="M186" s="7" t="s">
        <v>8443</v>
      </c>
      <c r="N186" s="7">
        <v>10042010422</v>
      </c>
      <c r="O186" s="7"/>
      <c r="P186" s="201"/>
      <c r="Q186" s="28" t="s">
        <v>9</v>
      </c>
      <c r="R186" s="28" t="s">
        <v>9</v>
      </c>
      <c r="S186" s="28" t="s">
        <v>9</v>
      </c>
      <c r="T186" s="28" t="s">
        <v>9</v>
      </c>
      <c r="U186" s="28" t="s">
        <v>9</v>
      </c>
      <c r="V186" s="28" t="s">
        <v>9</v>
      </c>
      <c r="W186" s="28" t="s">
        <v>9</v>
      </c>
      <c r="X186" s="28" t="s">
        <v>9</v>
      </c>
      <c r="Y186" s="28" t="s">
        <v>9</v>
      </c>
      <c r="Z186" s="28" t="s">
        <v>9</v>
      </c>
      <c r="AA186" s="28" t="s">
        <v>9</v>
      </c>
      <c r="AB186" s="28" t="s">
        <v>9</v>
      </c>
      <c r="AC186" s="28" t="s">
        <v>9</v>
      </c>
      <c r="AD186" s="28" t="s">
        <v>9</v>
      </c>
      <c r="AE186" s="28" t="s">
        <v>9</v>
      </c>
      <c r="AF186" s="28" t="s">
        <v>9</v>
      </c>
      <c r="AG186" s="24">
        <f t="shared" si="9"/>
        <v>15</v>
      </c>
      <c r="AH186" s="24">
        <f t="shared" si="10"/>
        <v>0</v>
      </c>
      <c r="AI186" s="24">
        <f t="shared" si="11"/>
        <v>0</v>
      </c>
      <c r="AJ186" s="41" t="str" cm="1">
        <f t="array" ref="AJ186">_xlfn.IFS(
$AG187=15,"Not Started",
$AI187&lt;15,"In Progress",
$AI187=15,"Completed",
SUM(AG187:AI187)&gt;15,"Error"
)</f>
        <v>In Progress</v>
      </c>
    </row>
    <row r="187" spans="1:36" ht="13" x14ac:dyDescent="0.25">
      <c r="A187" s="291"/>
      <c r="B187" s="86">
        <v>183</v>
      </c>
      <c r="C187" s="14" t="s">
        <v>1640</v>
      </c>
      <c r="D187" s="53" t="s">
        <v>8277</v>
      </c>
      <c r="E187" s="61" t="s">
        <v>8276</v>
      </c>
      <c r="F187" s="57" t="s">
        <v>47</v>
      </c>
      <c r="G187" s="10" t="s">
        <v>44</v>
      </c>
      <c r="H187" s="7" t="s">
        <v>5975</v>
      </c>
      <c r="I187" s="7" t="s">
        <v>5975</v>
      </c>
      <c r="J187" s="7">
        <v>27.526183</v>
      </c>
      <c r="K187" s="7">
        <v>41.647032000000003</v>
      </c>
      <c r="L187" s="7" t="str">
        <f t="shared" si="8"/>
        <v>27.526183,41.647032</v>
      </c>
      <c r="M187" s="7" t="s">
        <v>8444</v>
      </c>
      <c r="N187" s="7">
        <v>10042010567</v>
      </c>
      <c r="O187" s="7"/>
      <c r="P187" s="201">
        <v>46142</v>
      </c>
      <c r="Q187" s="28" t="s">
        <v>11</v>
      </c>
      <c r="R187" s="28" t="s">
        <v>11</v>
      </c>
      <c r="S187" s="28" t="s">
        <v>11</v>
      </c>
      <c r="T187" s="28" t="s">
        <v>11</v>
      </c>
      <c r="U187" s="28" t="s">
        <v>9</v>
      </c>
      <c r="V187" s="28" t="s">
        <v>9</v>
      </c>
      <c r="W187" s="28" t="s">
        <v>9</v>
      </c>
      <c r="X187" s="28" t="s">
        <v>9</v>
      </c>
      <c r="Y187" s="28" t="s">
        <v>9</v>
      </c>
      <c r="Z187" s="28" t="s">
        <v>9</v>
      </c>
      <c r="AA187" s="28" t="s">
        <v>9</v>
      </c>
      <c r="AB187" s="28" t="s">
        <v>9</v>
      </c>
      <c r="AC187" s="28" t="s">
        <v>9</v>
      </c>
      <c r="AD187" s="28" t="s">
        <v>9</v>
      </c>
      <c r="AE187" s="28" t="s">
        <v>9</v>
      </c>
      <c r="AF187" s="28" t="s">
        <v>10</v>
      </c>
      <c r="AG187" s="24">
        <f t="shared" si="9"/>
        <v>11</v>
      </c>
      <c r="AH187" s="24">
        <f t="shared" si="10"/>
        <v>0</v>
      </c>
      <c r="AI187" s="24">
        <f t="shared" si="11"/>
        <v>4</v>
      </c>
      <c r="AJ187" s="41" t="str" cm="1">
        <f t="array" ref="AJ187">_xlfn.IFS(
$AG188=15,"Not Started",
$AI188&lt;15,"In Progress",
$AI188=15,"Completed",
SUM(AG188:AI188)&gt;15,"Error"
)</f>
        <v>In Progress</v>
      </c>
    </row>
    <row r="188" spans="1:36" ht="13" x14ac:dyDescent="0.25">
      <c r="A188" s="291"/>
      <c r="B188" s="64">
        <v>184</v>
      </c>
      <c r="C188" s="7" t="s">
        <v>1641</v>
      </c>
      <c r="D188" s="53" t="s">
        <v>8279</v>
      </c>
      <c r="E188" s="61" t="s">
        <v>8278</v>
      </c>
      <c r="F188" s="57" t="s">
        <v>51</v>
      </c>
      <c r="G188" s="10" t="s">
        <v>44</v>
      </c>
      <c r="H188" s="7" t="s">
        <v>5975</v>
      </c>
      <c r="I188" s="7" t="s">
        <v>5975</v>
      </c>
      <c r="J188" s="7">
        <v>27.616358999999999</v>
      </c>
      <c r="K188" s="7">
        <v>41.688612999999997</v>
      </c>
      <c r="L188" s="7" t="str">
        <f t="shared" si="8"/>
        <v>27.616359,41.688613</v>
      </c>
      <c r="M188" s="7" t="s">
        <v>8445</v>
      </c>
      <c r="N188" s="7">
        <v>10041646432</v>
      </c>
      <c r="O188" s="7"/>
      <c r="P188" s="201"/>
      <c r="Q188" s="28" t="s">
        <v>11</v>
      </c>
      <c r="R188" s="28" t="s">
        <v>11</v>
      </c>
      <c r="S188" s="28" t="s">
        <v>11</v>
      </c>
      <c r="T188" s="28" t="s">
        <v>11</v>
      </c>
      <c r="U188" s="28" t="s">
        <v>9</v>
      </c>
      <c r="V188" s="28" t="s">
        <v>9</v>
      </c>
      <c r="W188" s="28" t="s">
        <v>9</v>
      </c>
      <c r="X188" s="28" t="s">
        <v>9</v>
      </c>
      <c r="Y188" s="28" t="s">
        <v>9</v>
      </c>
      <c r="Z188" s="28" t="s">
        <v>9</v>
      </c>
      <c r="AA188" s="28" t="s">
        <v>9</v>
      </c>
      <c r="AB188" s="28" t="s">
        <v>9</v>
      </c>
      <c r="AC188" s="28" t="s">
        <v>9</v>
      </c>
      <c r="AD188" s="28" t="s">
        <v>9</v>
      </c>
      <c r="AE188" s="28" t="s">
        <v>9</v>
      </c>
      <c r="AF188" s="28" t="s">
        <v>10</v>
      </c>
      <c r="AG188" s="24">
        <f t="shared" si="9"/>
        <v>11</v>
      </c>
      <c r="AH188" s="24">
        <f t="shared" si="10"/>
        <v>0</v>
      </c>
      <c r="AI188" s="24">
        <f t="shared" si="11"/>
        <v>4</v>
      </c>
      <c r="AJ188" s="41" t="str" cm="1">
        <f t="array" ref="AJ188">_xlfn.IFS(
$AG189=15,"Not Started",
$AI189&lt;15,"In Progress",
$AI189=15,"Completed",
SUM(AG189:AI189)&gt;15,"Error"
)</f>
        <v>In Progress</v>
      </c>
    </row>
    <row r="189" spans="1:36" ht="13" x14ac:dyDescent="0.25">
      <c r="A189" s="291"/>
      <c r="B189" s="86">
        <v>185</v>
      </c>
      <c r="C189" s="14" t="s">
        <v>1642</v>
      </c>
      <c r="D189" s="53" t="s">
        <v>8281</v>
      </c>
      <c r="E189" s="61" t="s">
        <v>8280</v>
      </c>
      <c r="F189" s="57" t="s">
        <v>51</v>
      </c>
      <c r="G189" s="10" t="s">
        <v>48</v>
      </c>
      <c r="H189" s="7" t="s">
        <v>5975</v>
      </c>
      <c r="I189" s="7" t="s">
        <v>5975</v>
      </c>
      <c r="J189" s="7">
        <v>27.50270609</v>
      </c>
      <c r="K189" s="7">
        <v>41.722128240000004</v>
      </c>
      <c r="L189" s="7" t="str">
        <f t="shared" si="8"/>
        <v>27.50270609,41.72212824</v>
      </c>
      <c r="M189" s="7" t="s">
        <v>8446</v>
      </c>
      <c r="N189" s="7">
        <v>10041699481</v>
      </c>
      <c r="O189" s="7"/>
      <c r="P189" s="202">
        <v>46147</v>
      </c>
      <c r="Q189" s="28" t="s">
        <v>11</v>
      </c>
      <c r="R189" s="28" t="s">
        <v>11</v>
      </c>
      <c r="S189" s="28" t="s">
        <v>11</v>
      </c>
      <c r="T189" s="28" t="s">
        <v>11</v>
      </c>
      <c r="U189" s="28" t="s">
        <v>9</v>
      </c>
      <c r="V189" s="28" t="s">
        <v>9</v>
      </c>
      <c r="W189" s="28" t="s">
        <v>9</v>
      </c>
      <c r="X189" s="28" t="s">
        <v>9</v>
      </c>
      <c r="Y189" s="28" t="s">
        <v>9</v>
      </c>
      <c r="Z189" s="28" t="s">
        <v>9</v>
      </c>
      <c r="AA189" s="28" t="s">
        <v>9</v>
      </c>
      <c r="AB189" s="28" t="s">
        <v>9</v>
      </c>
      <c r="AC189" s="28" t="s">
        <v>9</v>
      </c>
      <c r="AD189" s="28" t="s">
        <v>9</v>
      </c>
      <c r="AE189" s="28" t="s">
        <v>9</v>
      </c>
      <c r="AF189" s="28" t="s">
        <v>10</v>
      </c>
      <c r="AG189" s="24">
        <f t="shared" si="9"/>
        <v>11</v>
      </c>
      <c r="AH189" s="24">
        <f t="shared" si="10"/>
        <v>0</v>
      </c>
      <c r="AI189" s="24">
        <f t="shared" si="11"/>
        <v>4</v>
      </c>
      <c r="AJ189" s="41" t="str" cm="1">
        <f t="array" ref="AJ189">_xlfn.IFS(
$AG190=15,"Not Started",
$AI190&lt;15,"In Progress",
$AI190=15,"Completed",
SUM(AG190:AI190)&gt;15,"Error"
)</f>
        <v>In Progress</v>
      </c>
    </row>
    <row r="190" spans="1:36" ht="13" x14ac:dyDescent="0.25">
      <c r="A190" s="291"/>
      <c r="B190" s="64">
        <v>186</v>
      </c>
      <c r="C190" s="7" t="s">
        <v>1643</v>
      </c>
      <c r="D190" s="53" t="s">
        <v>8283</v>
      </c>
      <c r="E190" s="61" t="s">
        <v>8282</v>
      </c>
      <c r="F190" s="57" t="s">
        <v>43</v>
      </c>
      <c r="G190" s="10" t="s">
        <v>44</v>
      </c>
      <c r="H190" s="7" t="s">
        <v>5975</v>
      </c>
      <c r="I190" s="7" t="s">
        <v>5975</v>
      </c>
      <c r="J190" s="7">
        <v>27.550501910000001</v>
      </c>
      <c r="K190" s="7">
        <v>41.674025950000001</v>
      </c>
      <c r="L190" s="7" t="str">
        <f t="shared" si="8"/>
        <v>27.55050191,41.67402595</v>
      </c>
      <c r="M190" s="7" t="s">
        <v>8447</v>
      </c>
      <c r="N190" s="7">
        <v>10041507312</v>
      </c>
      <c r="O190" s="7"/>
      <c r="P190" s="201"/>
      <c r="Q190" s="28" t="s">
        <v>11</v>
      </c>
      <c r="R190" s="28" t="s">
        <v>11</v>
      </c>
      <c r="S190" s="28" t="s">
        <v>11</v>
      </c>
      <c r="T190" s="28" t="s">
        <v>11</v>
      </c>
      <c r="U190" s="28" t="s">
        <v>9</v>
      </c>
      <c r="V190" s="28" t="s">
        <v>9</v>
      </c>
      <c r="W190" s="28" t="s">
        <v>9</v>
      </c>
      <c r="X190" s="28" t="s">
        <v>9</v>
      </c>
      <c r="Y190" s="28" t="s">
        <v>9</v>
      </c>
      <c r="Z190" s="28" t="s">
        <v>9</v>
      </c>
      <c r="AA190" s="28" t="s">
        <v>9</v>
      </c>
      <c r="AB190" s="28" t="s">
        <v>9</v>
      </c>
      <c r="AC190" s="28" t="s">
        <v>9</v>
      </c>
      <c r="AD190" s="28" t="s">
        <v>9</v>
      </c>
      <c r="AE190" s="28" t="s">
        <v>9</v>
      </c>
      <c r="AF190" s="28" t="s">
        <v>10</v>
      </c>
      <c r="AG190" s="24">
        <f t="shared" si="9"/>
        <v>11</v>
      </c>
      <c r="AH190" s="24">
        <f t="shared" si="10"/>
        <v>0</v>
      </c>
      <c r="AI190" s="24">
        <f t="shared" si="11"/>
        <v>4</v>
      </c>
      <c r="AJ190" s="41" t="str" cm="1">
        <f t="array" ref="AJ190">_xlfn.IFS(
$AG191=15,"Not Started",
$AI191&lt;15,"In Progress",
$AI191=15,"Completed",
SUM(AG191:AI191)&gt;15,"Error"
)</f>
        <v>In Progress</v>
      </c>
    </row>
    <row r="191" spans="1:36" ht="13" x14ac:dyDescent="0.25">
      <c r="A191" s="291"/>
      <c r="B191" s="86">
        <v>187</v>
      </c>
      <c r="C191" s="14" t="s">
        <v>1644</v>
      </c>
      <c r="D191" s="53" t="s">
        <v>8285</v>
      </c>
      <c r="E191" s="61" t="s">
        <v>8284</v>
      </c>
      <c r="F191" s="57" t="s">
        <v>51</v>
      </c>
      <c r="G191" s="10" t="s">
        <v>48</v>
      </c>
      <c r="H191" s="7" t="s">
        <v>5975</v>
      </c>
      <c r="I191" s="7" t="s">
        <v>5975</v>
      </c>
      <c r="J191" s="7">
        <v>27.521129250000001</v>
      </c>
      <c r="K191" s="7">
        <v>41.684433339999998</v>
      </c>
      <c r="L191" s="7" t="str">
        <f t="shared" si="8"/>
        <v>27.52112925,41.68443334</v>
      </c>
      <c r="M191" s="7" t="s">
        <v>8448</v>
      </c>
      <c r="N191" s="7">
        <v>10041482376</v>
      </c>
      <c r="O191" s="7"/>
      <c r="P191" s="202">
        <v>46148</v>
      </c>
      <c r="Q191" s="28" t="s">
        <v>11</v>
      </c>
      <c r="R191" s="28" t="s">
        <v>11</v>
      </c>
      <c r="S191" s="28" t="s">
        <v>11</v>
      </c>
      <c r="T191" s="28" t="s">
        <v>11</v>
      </c>
      <c r="U191" s="28" t="s">
        <v>9</v>
      </c>
      <c r="V191" s="28" t="s">
        <v>9</v>
      </c>
      <c r="W191" s="28" t="s">
        <v>9</v>
      </c>
      <c r="X191" s="28" t="s">
        <v>9</v>
      </c>
      <c r="Y191" s="28" t="s">
        <v>9</v>
      </c>
      <c r="Z191" s="28" t="s">
        <v>9</v>
      </c>
      <c r="AA191" s="28" t="s">
        <v>9</v>
      </c>
      <c r="AB191" s="28" t="s">
        <v>9</v>
      </c>
      <c r="AC191" s="28" t="s">
        <v>9</v>
      </c>
      <c r="AD191" s="28" t="s">
        <v>9</v>
      </c>
      <c r="AE191" s="28" t="s">
        <v>9</v>
      </c>
      <c r="AF191" s="28" t="s">
        <v>10</v>
      </c>
      <c r="AG191" s="24">
        <f t="shared" si="9"/>
        <v>11</v>
      </c>
      <c r="AH191" s="24">
        <f t="shared" si="10"/>
        <v>0</v>
      </c>
      <c r="AI191" s="24">
        <f t="shared" si="11"/>
        <v>4</v>
      </c>
      <c r="AJ191" s="41" t="str" cm="1">
        <f t="array" ref="AJ191">_xlfn.IFS(
$AG192=15,"Not Started",
$AI192&lt;15,"In Progress",
$AI192=15,"Completed",
SUM(AG192:AI192)&gt;15,"Error"
)</f>
        <v>Not Started</v>
      </c>
    </row>
    <row r="192" spans="1:36" ht="13" x14ac:dyDescent="0.25">
      <c r="A192" s="291"/>
      <c r="B192" s="64">
        <v>188</v>
      </c>
      <c r="C192" s="7" t="s">
        <v>1645</v>
      </c>
      <c r="D192" s="53" t="s">
        <v>8287</v>
      </c>
      <c r="E192" s="61" t="s">
        <v>8286</v>
      </c>
      <c r="F192" s="57" t="s">
        <v>43</v>
      </c>
      <c r="G192" s="10" t="s">
        <v>44</v>
      </c>
      <c r="H192" s="7" t="s">
        <v>5975</v>
      </c>
      <c r="I192" s="7" t="s">
        <v>5975</v>
      </c>
      <c r="J192" s="7">
        <v>27.524202219999999</v>
      </c>
      <c r="K192" s="7">
        <v>41.664927900000002</v>
      </c>
      <c r="L192" s="7" t="str">
        <f t="shared" si="8"/>
        <v>27.52420222,41.6649279</v>
      </c>
      <c r="M192" s="7" t="s">
        <v>8449</v>
      </c>
      <c r="N192" s="7">
        <v>10041685172</v>
      </c>
      <c r="O192" s="7"/>
      <c r="P192" s="201"/>
      <c r="Q192" s="28" t="s">
        <v>9</v>
      </c>
      <c r="R192" s="28" t="s">
        <v>9</v>
      </c>
      <c r="S192" s="28" t="s">
        <v>9</v>
      </c>
      <c r="T192" s="28" t="s">
        <v>9</v>
      </c>
      <c r="U192" s="28" t="s">
        <v>9</v>
      </c>
      <c r="V192" s="28" t="s">
        <v>9</v>
      </c>
      <c r="W192" s="28" t="s">
        <v>9</v>
      </c>
      <c r="X192" s="28" t="s">
        <v>9</v>
      </c>
      <c r="Y192" s="28" t="s">
        <v>9</v>
      </c>
      <c r="Z192" s="28" t="s">
        <v>9</v>
      </c>
      <c r="AA192" s="28" t="s">
        <v>9</v>
      </c>
      <c r="AB192" s="28" t="s">
        <v>9</v>
      </c>
      <c r="AC192" s="28" t="s">
        <v>9</v>
      </c>
      <c r="AD192" s="28" t="s">
        <v>9</v>
      </c>
      <c r="AE192" s="28" t="s">
        <v>9</v>
      </c>
      <c r="AF192" s="28" t="s">
        <v>9</v>
      </c>
      <c r="AG192" s="24">
        <f t="shared" si="9"/>
        <v>15</v>
      </c>
      <c r="AH192" s="24">
        <f t="shared" si="10"/>
        <v>0</v>
      </c>
      <c r="AI192" s="24">
        <f t="shared" si="11"/>
        <v>0</v>
      </c>
      <c r="AJ192" s="41" t="str" cm="1">
        <f t="array" ref="AJ192">_xlfn.IFS(
$AG193=15,"Not Started",
$AI193&lt;15,"In Progress",
$AI193=15,"Completed",
SUM(AG193:AI193)&gt;15,"Error"
)</f>
        <v>In Progress</v>
      </c>
    </row>
    <row r="193" spans="1:36" ht="13" x14ac:dyDescent="0.25">
      <c r="A193" s="291"/>
      <c r="B193" s="86">
        <v>189</v>
      </c>
      <c r="C193" s="14" t="s">
        <v>1646</v>
      </c>
      <c r="D193" s="53" t="s">
        <v>8289</v>
      </c>
      <c r="E193" s="61" t="s">
        <v>8288</v>
      </c>
      <c r="F193" s="57" t="s">
        <v>43</v>
      </c>
      <c r="G193" s="10" t="s">
        <v>44</v>
      </c>
      <c r="H193" s="7" t="s">
        <v>5975</v>
      </c>
      <c r="I193" s="7" t="s">
        <v>5975</v>
      </c>
      <c r="J193" s="7">
        <v>27.50449875</v>
      </c>
      <c r="K193" s="7">
        <v>41.678787300000003</v>
      </c>
      <c r="L193" s="7" t="str">
        <f t="shared" si="8"/>
        <v>27.50449875,41.6787873</v>
      </c>
      <c r="M193" s="7" t="s">
        <v>8450</v>
      </c>
      <c r="N193" s="7">
        <v>10041588947</v>
      </c>
      <c r="O193" s="7"/>
      <c r="P193" s="201"/>
      <c r="Q193" s="28" t="s">
        <v>11</v>
      </c>
      <c r="R193" s="28" t="s">
        <v>11</v>
      </c>
      <c r="S193" s="28" t="s">
        <v>11</v>
      </c>
      <c r="T193" s="28" t="s">
        <v>11</v>
      </c>
      <c r="U193" s="28" t="s">
        <v>9</v>
      </c>
      <c r="V193" s="28" t="s">
        <v>9</v>
      </c>
      <c r="W193" s="28" t="s">
        <v>9</v>
      </c>
      <c r="X193" s="28" t="s">
        <v>9</v>
      </c>
      <c r="Y193" s="28" t="s">
        <v>9</v>
      </c>
      <c r="Z193" s="28" t="s">
        <v>9</v>
      </c>
      <c r="AA193" s="28" t="s">
        <v>9</v>
      </c>
      <c r="AB193" s="28" t="s">
        <v>9</v>
      </c>
      <c r="AC193" s="28" t="s">
        <v>9</v>
      </c>
      <c r="AD193" s="28" t="s">
        <v>9</v>
      </c>
      <c r="AE193" s="28" t="s">
        <v>9</v>
      </c>
      <c r="AF193" s="28" t="s">
        <v>10</v>
      </c>
      <c r="AG193" s="24">
        <f t="shared" si="9"/>
        <v>11</v>
      </c>
      <c r="AH193" s="24">
        <f t="shared" si="10"/>
        <v>0</v>
      </c>
      <c r="AI193" s="24">
        <f t="shared" si="11"/>
        <v>4</v>
      </c>
      <c r="AJ193" s="41" t="str" cm="1">
        <f t="array" ref="AJ193">_xlfn.IFS(
$AG194=15,"Not Started",
$AI194&lt;15,"In Progress",
$AI194=15,"Completed",
SUM(AG194:AI194)&gt;15,"Error"
)</f>
        <v>In Progress</v>
      </c>
    </row>
    <row r="194" spans="1:36" ht="13" x14ac:dyDescent="0.25">
      <c r="A194" s="291"/>
      <c r="B194" s="64">
        <v>190</v>
      </c>
      <c r="C194" s="7" t="s">
        <v>1647</v>
      </c>
      <c r="D194" s="53" t="s">
        <v>8291</v>
      </c>
      <c r="E194" s="61" t="s">
        <v>8290</v>
      </c>
      <c r="F194" s="57" t="s">
        <v>43</v>
      </c>
      <c r="G194" s="10" t="s">
        <v>48</v>
      </c>
      <c r="H194" s="7" t="s">
        <v>5975</v>
      </c>
      <c r="I194" s="7" t="s">
        <v>5975</v>
      </c>
      <c r="J194" s="7">
        <v>27.48761202</v>
      </c>
      <c r="K194" s="7">
        <v>41.680154190000003</v>
      </c>
      <c r="L194" s="7" t="str">
        <f t="shared" si="8"/>
        <v>27.48761202,41.68015419</v>
      </c>
      <c r="M194" s="7" t="s">
        <v>8451</v>
      </c>
      <c r="N194" s="7">
        <v>10098333957</v>
      </c>
      <c r="O194" s="7"/>
      <c r="P194" s="201"/>
      <c r="Q194" s="28" t="s">
        <v>11</v>
      </c>
      <c r="R194" s="28" t="s">
        <v>11</v>
      </c>
      <c r="S194" s="28" t="s">
        <v>11</v>
      </c>
      <c r="T194" s="28" t="s">
        <v>11</v>
      </c>
      <c r="U194" s="28" t="s">
        <v>9</v>
      </c>
      <c r="V194" s="28" t="s">
        <v>9</v>
      </c>
      <c r="W194" s="28" t="s">
        <v>9</v>
      </c>
      <c r="X194" s="28" t="s">
        <v>9</v>
      </c>
      <c r="Y194" s="28" t="s">
        <v>9</v>
      </c>
      <c r="Z194" s="28" t="s">
        <v>9</v>
      </c>
      <c r="AA194" s="28" t="s">
        <v>9</v>
      </c>
      <c r="AB194" s="28" t="s">
        <v>9</v>
      </c>
      <c r="AC194" s="28" t="s">
        <v>9</v>
      </c>
      <c r="AD194" s="28" t="s">
        <v>9</v>
      </c>
      <c r="AE194" s="28" t="s">
        <v>9</v>
      </c>
      <c r="AF194" s="28" t="s">
        <v>10</v>
      </c>
      <c r="AG194" s="24">
        <f t="shared" si="9"/>
        <v>11</v>
      </c>
      <c r="AH194" s="24">
        <f t="shared" si="10"/>
        <v>0</v>
      </c>
      <c r="AI194" s="24">
        <f t="shared" si="11"/>
        <v>4</v>
      </c>
      <c r="AJ194" s="41" t="str" cm="1">
        <f t="array" ref="AJ194">_xlfn.IFS(
$AG195=15,"Not Started",
$AI195&lt;15,"In Progress",
$AI195=15,"Completed",
SUM(AG195:AI195)&gt;15,"Error"
)</f>
        <v>In Progress</v>
      </c>
    </row>
    <row r="195" spans="1:36" ht="13" x14ac:dyDescent="0.25">
      <c r="A195" s="291"/>
      <c r="B195" s="86">
        <v>191</v>
      </c>
      <c r="C195" s="14" t="s">
        <v>1648</v>
      </c>
      <c r="D195" s="53" t="s">
        <v>8293</v>
      </c>
      <c r="E195" s="61" t="s">
        <v>8292</v>
      </c>
      <c r="F195" s="57" t="s">
        <v>43</v>
      </c>
      <c r="G195" s="10" t="s">
        <v>48</v>
      </c>
      <c r="H195" s="7" t="s">
        <v>5975</v>
      </c>
      <c r="I195" s="7" t="s">
        <v>5975</v>
      </c>
      <c r="J195" s="7">
        <v>27.555734999999999</v>
      </c>
      <c r="K195" s="7">
        <v>41.744456999999997</v>
      </c>
      <c r="L195" s="7" t="str">
        <f t="shared" si="8"/>
        <v>27.555735,41.744457</v>
      </c>
      <c r="M195" s="7" t="s">
        <v>8452</v>
      </c>
      <c r="N195" s="7">
        <v>10093505610</v>
      </c>
      <c r="O195" s="7"/>
      <c r="P195" s="201"/>
      <c r="Q195" s="28" t="s">
        <v>11</v>
      </c>
      <c r="R195" s="28" t="s">
        <v>11</v>
      </c>
      <c r="S195" s="28" t="s">
        <v>11</v>
      </c>
      <c r="T195" s="28" t="s">
        <v>11</v>
      </c>
      <c r="U195" s="28" t="s">
        <v>9</v>
      </c>
      <c r="V195" s="28" t="s">
        <v>9</v>
      </c>
      <c r="W195" s="28" t="s">
        <v>9</v>
      </c>
      <c r="X195" s="28" t="s">
        <v>9</v>
      </c>
      <c r="Y195" s="28" t="s">
        <v>9</v>
      </c>
      <c r="Z195" s="28" t="s">
        <v>9</v>
      </c>
      <c r="AA195" s="28" t="s">
        <v>9</v>
      </c>
      <c r="AB195" s="28" t="s">
        <v>9</v>
      </c>
      <c r="AC195" s="28" t="s">
        <v>9</v>
      </c>
      <c r="AD195" s="28" t="s">
        <v>9</v>
      </c>
      <c r="AE195" s="28" t="s">
        <v>9</v>
      </c>
      <c r="AF195" s="28" t="s">
        <v>10</v>
      </c>
      <c r="AG195" s="24">
        <f t="shared" si="9"/>
        <v>11</v>
      </c>
      <c r="AH195" s="24">
        <f t="shared" si="10"/>
        <v>0</v>
      </c>
      <c r="AI195" s="24">
        <f t="shared" si="11"/>
        <v>4</v>
      </c>
      <c r="AJ195" s="41" t="str" cm="1">
        <f t="array" ref="AJ195">_xlfn.IFS(
$AG196=15,"Not Started",
$AI196&lt;15,"In Progress",
$AI196=15,"Completed",
SUM(AG196:AI196)&gt;15,"Error"
)</f>
        <v>In Progress</v>
      </c>
    </row>
    <row r="196" spans="1:36" ht="13" x14ac:dyDescent="0.25">
      <c r="A196" s="291"/>
      <c r="B196" s="64">
        <v>192</v>
      </c>
      <c r="C196" s="7" t="s">
        <v>1649</v>
      </c>
      <c r="D196" s="53" t="s">
        <v>8295</v>
      </c>
      <c r="E196" s="61" t="s">
        <v>8294</v>
      </c>
      <c r="F196" s="57" t="s">
        <v>43</v>
      </c>
      <c r="G196" s="10" t="s">
        <v>44</v>
      </c>
      <c r="H196" s="7" t="s">
        <v>5975</v>
      </c>
      <c r="I196" s="7" t="s">
        <v>5975</v>
      </c>
      <c r="J196" s="7">
        <v>27.408283000000001</v>
      </c>
      <c r="K196" s="7">
        <v>41.578363000000003</v>
      </c>
      <c r="L196" s="7" t="str">
        <f t="shared" si="8"/>
        <v>27.408283,41.578363</v>
      </c>
      <c r="M196" s="7" t="s">
        <v>8453</v>
      </c>
      <c r="N196" s="7">
        <v>10041937402</v>
      </c>
      <c r="O196" s="7"/>
      <c r="P196" s="201"/>
      <c r="Q196" s="28" t="s">
        <v>11</v>
      </c>
      <c r="R196" s="28" t="s">
        <v>11</v>
      </c>
      <c r="S196" s="28" t="s">
        <v>11</v>
      </c>
      <c r="T196" s="28" t="s">
        <v>11</v>
      </c>
      <c r="U196" s="28" t="s">
        <v>9</v>
      </c>
      <c r="V196" s="28" t="s">
        <v>9</v>
      </c>
      <c r="W196" s="28" t="s">
        <v>9</v>
      </c>
      <c r="X196" s="28" t="s">
        <v>9</v>
      </c>
      <c r="Y196" s="28" t="s">
        <v>9</v>
      </c>
      <c r="Z196" s="28" t="s">
        <v>9</v>
      </c>
      <c r="AA196" s="28" t="s">
        <v>9</v>
      </c>
      <c r="AB196" s="28" t="s">
        <v>9</v>
      </c>
      <c r="AC196" s="28" t="s">
        <v>9</v>
      </c>
      <c r="AD196" s="28" t="s">
        <v>9</v>
      </c>
      <c r="AE196" s="28" t="s">
        <v>9</v>
      </c>
      <c r="AF196" s="28" t="s">
        <v>10</v>
      </c>
      <c r="AG196" s="24">
        <f t="shared" si="9"/>
        <v>11</v>
      </c>
      <c r="AH196" s="24">
        <f t="shared" si="10"/>
        <v>0</v>
      </c>
      <c r="AI196" s="24">
        <f t="shared" si="11"/>
        <v>4</v>
      </c>
      <c r="AJ196" s="41" t="str" cm="1">
        <f t="array" ref="AJ196">_xlfn.IFS(
$AG197=15,"Not Started",
$AI197&lt;15,"In Progress",
$AI197=15,"Completed",
SUM(AG197:AI197)&gt;15,"Error"
)</f>
        <v>In Progress</v>
      </c>
    </row>
    <row r="197" spans="1:36" ht="13" x14ac:dyDescent="0.25">
      <c r="A197" s="291"/>
      <c r="B197" s="86">
        <v>193</v>
      </c>
      <c r="C197" s="14" t="s">
        <v>1650</v>
      </c>
      <c r="D197" s="53" t="s">
        <v>8297</v>
      </c>
      <c r="E197" s="61" t="s">
        <v>8296</v>
      </c>
      <c r="F197" s="57" t="s">
        <v>51</v>
      </c>
      <c r="G197" s="10" t="s">
        <v>48</v>
      </c>
      <c r="H197" s="7" t="s">
        <v>5975</v>
      </c>
      <c r="I197" s="7" t="s">
        <v>5975</v>
      </c>
      <c r="J197" s="7">
        <v>27.329436999999999</v>
      </c>
      <c r="K197" s="7">
        <v>41.454647000000001</v>
      </c>
      <c r="L197" s="7" t="str">
        <f t="shared" si="8"/>
        <v>27.329437,41.454647</v>
      </c>
      <c r="M197" s="7" t="s">
        <v>8454</v>
      </c>
      <c r="N197" s="7">
        <v>10101912976</v>
      </c>
      <c r="O197" s="7"/>
      <c r="P197" s="201">
        <v>46126</v>
      </c>
      <c r="Q197" s="28" t="s">
        <v>11</v>
      </c>
      <c r="R197" s="28" t="s">
        <v>11</v>
      </c>
      <c r="S197" s="28" t="s">
        <v>11</v>
      </c>
      <c r="T197" s="28" t="s">
        <v>11</v>
      </c>
      <c r="U197" s="28" t="s">
        <v>9</v>
      </c>
      <c r="V197" s="28" t="s">
        <v>9</v>
      </c>
      <c r="W197" s="28" t="s">
        <v>9</v>
      </c>
      <c r="X197" s="28" t="s">
        <v>9</v>
      </c>
      <c r="Y197" s="28" t="s">
        <v>9</v>
      </c>
      <c r="Z197" s="28" t="s">
        <v>9</v>
      </c>
      <c r="AA197" s="28" t="s">
        <v>9</v>
      </c>
      <c r="AB197" s="28" t="s">
        <v>9</v>
      </c>
      <c r="AC197" s="28" t="s">
        <v>9</v>
      </c>
      <c r="AD197" s="28" t="s">
        <v>9</v>
      </c>
      <c r="AE197" s="28" t="s">
        <v>9</v>
      </c>
      <c r="AF197" s="28" t="s">
        <v>10</v>
      </c>
      <c r="AG197" s="24">
        <f t="shared" si="9"/>
        <v>11</v>
      </c>
      <c r="AH197" s="24">
        <f t="shared" si="10"/>
        <v>0</v>
      </c>
      <c r="AI197" s="24">
        <f t="shared" si="11"/>
        <v>4</v>
      </c>
      <c r="AJ197" s="41" t="str" cm="1">
        <f t="array" ref="AJ197">_xlfn.IFS(
$AG198=15,"Not Started",
$AI198&lt;15,"In Progress",
$AI198=15,"Completed",
SUM(AG198:AI198)&gt;15,"Error"
)</f>
        <v>Not Started</v>
      </c>
    </row>
    <row r="198" spans="1:36" ht="13" x14ac:dyDescent="0.25">
      <c r="A198" s="291"/>
      <c r="B198" s="64">
        <v>194</v>
      </c>
      <c r="C198" s="7" t="s">
        <v>1651</v>
      </c>
      <c r="D198" s="53" t="s">
        <v>8299</v>
      </c>
      <c r="E198" s="61" t="s">
        <v>8298</v>
      </c>
      <c r="F198" s="57" t="s">
        <v>47</v>
      </c>
      <c r="G198" s="10" t="s">
        <v>48</v>
      </c>
      <c r="H198" s="7" t="s">
        <v>5975</v>
      </c>
      <c r="I198" s="7" t="s">
        <v>5975</v>
      </c>
      <c r="J198" s="7">
        <v>27.509870070000002</v>
      </c>
      <c r="K198" s="7">
        <v>41.692967709999998</v>
      </c>
      <c r="L198" s="7" t="str">
        <f t="shared" ref="L198:L204" si="12">_xlfn.CONCAT(J198,",",K198)</f>
        <v>27.50987007,41.69296771</v>
      </c>
      <c r="M198" s="7" t="s">
        <v>8455</v>
      </c>
      <c r="N198" s="7">
        <v>10041731963</v>
      </c>
      <c r="O198" s="7"/>
      <c r="P198" s="201"/>
      <c r="Q198" s="28" t="s">
        <v>9</v>
      </c>
      <c r="R198" s="28" t="s">
        <v>9</v>
      </c>
      <c r="S198" s="28" t="s">
        <v>9</v>
      </c>
      <c r="T198" s="28" t="s">
        <v>9</v>
      </c>
      <c r="U198" s="28" t="s">
        <v>9</v>
      </c>
      <c r="V198" s="28" t="s">
        <v>9</v>
      </c>
      <c r="W198" s="28" t="s">
        <v>9</v>
      </c>
      <c r="X198" s="28" t="s">
        <v>9</v>
      </c>
      <c r="Y198" s="28" t="s">
        <v>9</v>
      </c>
      <c r="Z198" s="28" t="s">
        <v>9</v>
      </c>
      <c r="AA198" s="28" t="s">
        <v>9</v>
      </c>
      <c r="AB198" s="28" t="s">
        <v>9</v>
      </c>
      <c r="AC198" s="28" t="s">
        <v>9</v>
      </c>
      <c r="AD198" s="28" t="s">
        <v>9</v>
      </c>
      <c r="AE198" s="28" t="s">
        <v>9</v>
      </c>
      <c r="AF198" s="28" t="s">
        <v>9</v>
      </c>
      <c r="AG198" s="24">
        <f t="shared" ref="AG198:AG205" si="13">COUNTIF(Q198:AE198,$AG$2)</f>
        <v>15</v>
      </c>
      <c r="AH198" s="24">
        <f t="shared" ref="AH198:AH205" si="14">COUNTIF(Q198:AE198,$AH$2)</f>
        <v>0</v>
      </c>
      <c r="AI198" s="24">
        <f t="shared" ref="AI198:AI205" si="15">COUNTIF(Q198:AE198,$AI$2)</f>
        <v>0</v>
      </c>
      <c r="AJ198" s="41" t="str" cm="1">
        <f t="array" ref="AJ198">_xlfn.IFS(
$AG199=15,"Not Started",
$AI199&lt;15,"In Progress",
$AI199=15,"Completed",
SUM(AG199:AI199)&gt;15,"Error"
)</f>
        <v>Not Started</v>
      </c>
    </row>
    <row r="199" spans="1:36" ht="26" x14ac:dyDescent="0.25">
      <c r="A199" s="291"/>
      <c r="B199" s="86">
        <v>195</v>
      </c>
      <c r="C199" s="14" t="s">
        <v>1652</v>
      </c>
      <c r="D199" s="53" t="s">
        <v>8300</v>
      </c>
      <c r="E199" s="92" t="s">
        <v>10235</v>
      </c>
      <c r="F199" s="57" t="s">
        <v>43</v>
      </c>
      <c r="G199" s="10" t="s">
        <v>44</v>
      </c>
      <c r="H199" s="7" t="s">
        <v>5975</v>
      </c>
      <c r="I199" s="7" t="s">
        <v>5975</v>
      </c>
      <c r="J199" s="7">
        <v>27.532091000000001</v>
      </c>
      <c r="K199" s="7">
        <v>41.689574999999998</v>
      </c>
      <c r="L199" s="7" t="str">
        <f t="shared" si="12"/>
        <v>27.532091,41.689575</v>
      </c>
      <c r="M199" s="7" t="s">
        <v>8456</v>
      </c>
      <c r="N199" s="7">
        <v>10041482241</v>
      </c>
      <c r="O199" s="7"/>
      <c r="P199" s="201"/>
      <c r="Q199" s="28" t="s">
        <v>9</v>
      </c>
      <c r="R199" s="28" t="s">
        <v>9</v>
      </c>
      <c r="S199" s="28" t="s">
        <v>9</v>
      </c>
      <c r="T199" s="28" t="s">
        <v>9</v>
      </c>
      <c r="U199" s="28" t="s">
        <v>9</v>
      </c>
      <c r="V199" s="28" t="s">
        <v>9</v>
      </c>
      <c r="W199" s="28" t="s">
        <v>9</v>
      </c>
      <c r="X199" s="28" t="s">
        <v>9</v>
      </c>
      <c r="Y199" s="28" t="s">
        <v>9</v>
      </c>
      <c r="Z199" s="28" t="s">
        <v>9</v>
      </c>
      <c r="AA199" s="28" t="s">
        <v>9</v>
      </c>
      <c r="AB199" s="28" t="s">
        <v>9</v>
      </c>
      <c r="AC199" s="28" t="s">
        <v>9</v>
      </c>
      <c r="AD199" s="28" t="s">
        <v>9</v>
      </c>
      <c r="AE199" s="28" t="s">
        <v>9</v>
      </c>
      <c r="AF199" s="28" t="s">
        <v>9</v>
      </c>
      <c r="AG199" s="24">
        <f t="shared" si="13"/>
        <v>15</v>
      </c>
      <c r="AH199" s="24">
        <f t="shared" si="14"/>
        <v>0</v>
      </c>
      <c r="AI199" s="24">
        <f t="shared" si="15"/>
        <v>0</v>
      </c>
      <c r="AJ199" s="41" t="str" cm="1">
        <f t="array" ref="AJ199">_xlfn.IFS(
$AG200=15,"Not Started",
$AI200&lt;15,"In Progress",
$AI200=15,"Completed",
SUM(AG200:AI200)&gt;15,"Error"
)</f>
        <v>In Progress</v>
      </c>
    </row>
    <row r="200" spans="1:36" ht="13" x14ac:dyDescent="0.25">
      <c r="A200" s="291"/>
      <c r="B200" s="64">
        <v>196</v>
      </c>
      <c r="C200" s="7" t="s">
        <v>1653</v>
      </c>
      <c r="D200" s="53" t="s">
        <v>8302</v>
      </c>
      <c r="E200" s="61" t="s">
        <v>8301</v>
      </c>
      <c r="F200" s="57" t="s">
        <v>43</v>
      </c>
      <c r="G200" s="10" t="s">
        <v>48</v>
      </c>
      <c r="H200" s="7" t="s">
        <v>5975</v>
      </c>
      <c r="I200" s="7" t="s">
        <v>5975</v>
      </c>
      <c r="J200" s="7">
        <v>27.53560238</v>
      </c>
      <c r="K200" s="7">
        <v>41.685782080000003</v>
      </c>
      <c r="L200" s="7" t="str">
        <f t="shared" si="12"/>
        <v>27.53560238,41.68578208</v>
      </c>
      <c r="M200" s="7" t="s">
        <v>8457</v>
      </c>
      <c r="N200" s="7">
        <v>10041683098</v>
      </c>
      <c r="O200" s="7"/>
      <c r="P200" s="201">
        <v>46125</v>
      </c>
      <c r="Q200" s="28" t="s">
        <v>11</v>
      </c>
      <c r="R200" s="28" t="s">
        <v>11</v>
      </c>
      <c r="S200" s="28" t="s">
        <v>11</v>
      </c>
      <c r="T200" s="28" t="s">
        <v>11</v>
      </c>
      <c r="U200" s="28" t="s">
        <v>9</v>
      </c>
      <c r="V200" s="28" t="s">
        <v>9</v>
      </c>
      <c r="W200" s="28" t="s">
        <v>9</v>
      </c>
      <c r="X200" s="28" t="s">
        <v>9</v>
      </c>
      <c r="Y200" s="28" t="s">
        <v>9</v>
      </c>
      <c r="Z200" s="28" t="s">
        <v>9</v>
      </c>
      <c r="AA200" s="28" t="s">
        <v>9</v>
      </c>
      <c r="AB200" s="28" t="s">
        <v>9</v>
      </c>
      <c r="AC200" s="28" t="s">
        <v>9</v>
      </c>
      <c r="AD200" s="28" t="s">
        <v>9</v>
      </c>
      <c r="AE200" s="28" t="s">
        <v>9</v>
      </c>
      <c r="AF200" s="28" t="s">
        <v>10</v>
      </c>
      <c r="AG200" s="24">
        <f t="shared" si="13"/>
        <v>11</v>
      </c>
      <c r="AH200" s="24">
        <f t="shared" si="14"/>
        <v>0</v>
      </c>
      <c r="AI200" s="24">
        <f t="shared" si="15"/>
        <v>4</v>
      </c>
      <c r="AJ200" s="41" t="str" cm="1">
        <f t="array" ref="AJ200">_xlfn.IFS(
$AG201=15,"Not Started",
$AI201&lt;15,"In Progress",
$AI201=15,"Completed",
SUM(AG201:AI201)&gt;15,"Error"
)</f>
        <v>In Progress</v>
      </c>
    </row>
    <row r="201" spans="1:36" ht="13" x14ac:dyDescent="0.25">
      <c r="A201" s="291"/>
      <c r="B201" s="86">
        <v>197</v>
      </c>
      <c r="C201" s="14" t="s">
        <v>1654</v>
      </c>
      <c r="D201" s="53" t="s">
        <v>8304</v>
      </c>
      <c r="E201" s="61" t="s">
        <v>8303</v>
      </c>
      <c r="F201" s="57" t="s">
        <v>51</v>
      </c>
      <c r="G201" s="10" t="s">
        <v>48</v>
      </c>
      <c r="H201" s="7" t="s">
        <v>5975</v>
      </c>
      <c r="I201" s="7" t="s">
        <v>5975</v>
      </c>
      <c r="J201" s="7">
        <v>27.52333835</v>
      </c>
      <c r="K201" s="7">
        <v>41.710855969999997</v>
      </c>
      <c r="L201" s="7" t="str">
        <f t="shared" si="12"/>
        <v>27.52333835,41.71085597</v>
      </c>
      <c r="M201" s="7" t="s">
        <v>8458</v>
      </c>
      <c r="N201" s="7">
        <v>10041556611</v>
      </c>
      <c r="O201" s="7"/>
      <c r="P201" s="201"/>
      <c r="Q201" s="28" t="s">
        <v>11</v>
      </c>
      <c r="R201" s="28" t="s">
        <v>11</v>
      </c>
      <c r="S201" s="28" t="s">
        <v>11</v>
      </c>
      <c r="T201" s="28" t="s">
        <v>11</v>
      </c>
      <c r="U201" s="28" t="s">
        <v>9</v>
      </c>
      <c r="V201" s="28" t="s">
        <v>9</v>
      </c>
      <c r="W201" s="28" t="s">
        <v>9</v>
      </c>
      <c r="X201" s="28" t="s">
        <v>9</v>
      </c>
      <c r="Y201" s="28" t="s">
        <v>9</v>
      </c>
      <c r="Z201" s="28" t="s">
        <v>9</v>
      </c>
      <c r="AA201" s="28" t="s">
        <v>9</v>
      </c>
      <c r="AB201" s="28" t="s">
        <v>9</v>
      </c>
      <c r="AC201" s="28" t="s">
        <v>9</v>
      </c>
      <c r="AD201" s="28" t="s">
        <v>9</v>
      </c>
      <c r="AE201" s="28" t="s">
        <v>9</v>
      </c>
      <c r="AF201" s="28" t="s">
        <v>10</v>
      </c>
      <c r="AG201" s="24">
        <f t="shared" si="13"/>
        <v>11</v>
      </c>
      <c r="AH201" s="24">
        <f t="shared" si="14"/>
        <v>0</v>
      </c>
      <c r="AI201" s="24">
        <f t="shared" si="15"/>
        <v>4</v>
      </c>
      <c r="AJ201" s="41" t="str" cm="1">
        <f t="array" ref="AJ201">_xlfn.IFS(
$AG202=15,"Not Started",
$AI202&lt;15,"In Progress",
$AI202=15,"Completed",
SUM(AG202:AI202)&gt;15,"Error"
)</f>
        <v>In Progress</v>
      </c>
    </row>
    <row r="202" spans="1:36" ht="13" x14ac:dyDescent="0.25">
      <c r="A202" s="291"/>
      <c r="B202" s="64">
        <v>198</v>
      </c>
      <c r="C202" s="7" t="s">
        <v>1655</v>
      </c>
      <c r="D202" s="53" t="s">
        <v>8306</v>
      </c>
      <c r="E202" s="61" t="s">
        <v>8305</v>
      </c>
      <c r="F202" s="57" t="s">
        <v>47</v>
      </c>
      <c r="G202" s="10" t="s">
        <v>48</v>
      </c>
      <c r="H202" s="7" t="s">
        <v>5975</v>
      </c>
      <c r="I202" s="7" t="s">
        <v>5975</v>
      </c>
      <c r="J202" s="7">
        <v>27.54661372</v>
      </c>
      <c r="K202" s="7">
        <v>41.684349779999998</v>
      </c>
      <c r="L202" s="7" t="str">
        <f t="shared" si="12"/>
        <v>27.54661372,41.68434978</v>
      </c>
      <c r="M202" s="7" t="s">
        <v>8459</v>
      </c>
      <c r="N202" s="7">
        <v>10041908714</v>
      </c>
      <c r="O202" s="7"/>
      <c r="P202" s="201"/>
      <c r="Q202" s="28" t="s">
        <v>11</v>
      </c>
      <c r="R202" s="28" t="s">
        <v>11</v>
      </c>
      <c r="S202" s="28" t="s">
        <v>11</v>
      </c>
      <c r="T202" s="28" t="s">
        <v>11</v>
      </c>
      <c r="U202" s="28" t="s">
        <v>9</v>
      </c>
      <c r="V202" s="28" t="s">
        <v>9</v>
      </c>
      <c r="W202" s="28" t="s">
        <v>9</v>
      </c>
      <c r="X202" s="28" t="s">
        <v>9</v>
      </c>
      <c r="Y202" s="28" t="s">
        <v>9</v>
      </c>
      <c r="Z202" s="28" t="s">
        <v>9</v>
      </c>
      <c r="AA202" s="28" t="s">
        <v>9</v>
      </c>
      <c r="AB202" s="28" t="s">
        <v>9</v>
      </c>
      <c r="AC202" s="28" t="s">
        <v>9</v>
      </c>
      <c r="AD202" s="28" t="s">
        <v>9</v>
      </c>
      <c r="AE202" s="28" t="s">
        <v>9</v>
      </c>
      <c r="AF202" s="28" t="s">
        <v>10</v>
      </c>
      <c r="AG202" s="24">
        <f t="shared" si="13"/>
        <v>11</v>
      </c>
      <c r="AH202" s="24">
        <f t="shared" si="14"/>
        <v>0</v>
      </c>
      <c r="AI202" s="24">
        <f t="shared" si="15"/>
        <v>4</v>
      </c>
      <c r="AJ202" s="41" t="str" cm="1">
        <f t="array" ref="AJ202">_xlfn.IFS(
$AG203=15,"Not Started",
$AI203&lt;15,"In Progress",
$AI203=15,"Completed",
SUM(AG203:AI203)&gt;15,"Error"
)</f>
        <v>In Progress</v>
      </c>
    </row>
    <row r="203" spans="1:36" ht="13" x14ac:dyDescent="0.25">
      <c r="A203" s="291"/>
      <c r="B203" s="86">
        <v>199</v>
      </c>
      <c r="C203" s="14" t="s">
        <v>1656</v>
      </c>
      <c r="D203" s="53" t="s">
        <v>8308</v>
      </c>
      <c r="E203" s="61" t="s">
        <v>8307</v>
      </c>
      <c r="F203" s="57" t="s">
        <v>43</v>
      </c>
      <c r="G203" s="10" t="s">
        <v>48</v>
      </c>
      <c r="H203" s="7" t="s">
        <v>5975</v>
      </c>
      <c r="I203" s="7" t="s">
        <v>5975</v>
      </c>
      <c r="J203" s="7">
        <v>27.539434</v>
      </c>
      <c r="K203" s="7">
        <v>41.701034</v>
      </c>
      <c r="L203" s="7" t="str">
        <f t="shared" si="12"/>
        <v>27.539434,41.701034</v>
      </c>
      <c r="M203" s="7" t="s">
        <v>8460</v>
      </c>
      <c r="N203" s="7">
        <v>10041655315</v>
      </c>
      <c r="O203" s="7"/>
      <c r="P203" s="201"/>
      <c r="Q203" s="83" t="s">
        <v>11</v>
      </c>
      <c r="R203" s="83" t="s">
        <v>11</v>
      </c>
      <c r="S203" s="83" t="s">
        <v>11</v>
      </c>
      <c r="T203" s="83" t="s">
        <v>11</v>
      </c>
      <c r="U203" s="83" t="s">
        <v>9</v>
      </c>
      <c r="V203" s="83" t="s">
        <v>9</v>
      </c>
      <c r="W203" s="83" t="s">
        <v>9</v>
      </c>
      <c r="X203" s="83" t="s">
        <v>9</v>
      </c>
      <c r="Y203" s="83" t="s">
        <v>9</v>
      </c>
      <c r="Z203" s="83" t="s">
        <v>9</v>
      </c>
      <c r="AA203" s="83" t="s">
        <v>9</v>
      </c>
      <c r="AB203" s="83" t="s">
        <v>9</v>
      </c>
      <c r="AC203" s="83" t="s">
        <v>9</v>
      </c>
      <c r="AD203" s="83" t="s">
        <v>9</v>
      </c>
      <c r="AE203" s="83" t="s">
        <v>9</v>
      </c>
      <c r="AF203" s="28" t="s">
        <v>10</v>
      </c>
      <c r="AG203" s="24">
        <f t="shared" si="13"/>
        <v>11</v>
      </c>
      <c r="AH203" s="24">
        <f t="shared" si="14"/>
        <v>0</v>
      </c>
      <c r="AI203" s="24">
        <f t="shared" si="15"/>
        <v>4</v>
      </c>
      <c r="AJ203" s="41" t="str" cm="1">
        <f t="array" ref="AJ203">_xlfn.IFS(
$AG204=15,"Not Started",
$AI204&lt;15,"In Progress",
$AI204=15,"Completed",
SUM(AG204:AI204)&gt;15,"Error"
)</f>
        <v>In Progress</v>
      </c>
    </row>
    <row r="204" spans="1:36" ht="15.75" customHeight="1" x14ac:dyDescent="0.25">
      <c r="B204" s="64">
        <v>200</v>
      </c>
      <c r="C204" s="7" t="s">
        <v>1657</v>
      </c>
      <c r="D204" s="53" t="s">
        <v>8310</v>
      </c>
      <c r="E204" s="61" t="s">
        <v>8309</v>
      </c>
      <c r="F204" s="57" t="s">
        <v>9670</v>
      </c>
      <c r="G204" s="10" t="s">
        <v>48</v>
      </c>
      <c r="H204" s="7" t="s">
        <v>5975</v>
      </c>
      <c r="I204" s="7" t="s">
        <v>5975</v>
      </c>
      <c r="J204" s="7">
        <v>27.542746000000001</v>
      </c>
      <c r="K204" s="7">
        <v>41.714089999999999</v>
      </c>
      <c r="L204" s="7" t="str">
        <f t="shared" si="12"/>
        <v>27.542746,41.71409</v>
      </c>
      <c r="M204" s="7" t="s">
        <v>8461</v>
      </c>
      <c r="N204" s="7">
        <v>10041736020</v>
      </c>
      <c r="O204" s="19"/>
      <c r="P204" s="19"/>
      <c r="Q204" s="83" t="s">
        <v>11</v>
      </c>
      <c r="R204" s="83" t="s">
        <v>11</v>
      </c>
      <c r="S204" s="83" t="s">
        <v>11</v>
      </c>
      <c r="T204" s="83" t="s">
        <v>11</v>
      </c>
      <c r="U204" s="83" t="s">
        <v>9</v>
      </c>
      <c r="V204" s="83" t="s">
        <v>9</v>
      </c>
      <c r="W204" s="83" t="s">
        <v>9</v>
      </c>
      <c r="X204" s="83" t="s">
        <v>9</v>
      </c>
      <c r="Y204" s="83" t="s">
        <v>9</v>
      </c>
      <c r="Z204" s="83" t="s">
        <v>9</v>
      </c>
      <c r="AA204" s="83" t="s">
        <v>9</v>
      </c>
      <c r="AB204" s="83" t="s">
        <v>9</v>
      </c>
      <c r="AC204" s="83" t="s">
        <v>9</v>
      </c>
      <c r="AD204" s="83" t="s">
        <v>9</v>
      </c>
      <c r="AE204" s="83" t="s">
        <v>9</v>
      </c>
      <c r="AF204" s="28" t="s">
        <v>10</v>
      </c>
      <c r="AG204" s="24">
        <f t="shared" si="13"/>
        <v>11</v>
      </c>
      <c r="AH204" s="24">
        <f t="shared" si="14"/>
        <v>0</v>
      </c>
      <c r="AI204" s="24">
        <f t="shared" si="15"/>
        <v>4</v>
      </c>
      <c r="AJ204" s="40" cm="1">
        <f t="array" ref="AJ204">SUM(Q205:AE205/15)</f>
        <v>41.133333333333333</v>
      </c>
    </row>
    <row r="205" spans="1:36" ht="15.75" customHeight="1" x14ac:dyDescent="0.25"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7"/>
      <c r="M205" s="67"/>
      <c r="N205" s="81"/>
      <c r="O205" s="292" t="s">
        <v>251</v>
      </c>
      <c r="P205" s="82" t="s">
        <v>11</v>
      </c>
      <c r="Q205" s="72">
        <f t="shared" ref="Q205:AF205" si="16">COUNTIF(Q$3:Q$204,"Completed")</f>
        <v>152</v>
      </c>
      <c r="R205" s="72">
        <f t="shared" si="16"/>
        <v>152</v>
      </c>
      <c r="S205" s="72">
        <f t="shared" si="16"/>
        <v>151</v>
      </c>
      <c r="T205" s="72">
        <f t="shared" si="16"/>
        <v>152</v>
      </c>
      <c r="U205" s="72">
        <f t="shared" si="16"/>
        <v>0</v>
      </c>
      <c r="V205" s="72">
        <f t="shared" si="16"/>
        <v>10</v>
      </c>
      <c r="W205" s="72">
        <f t="shared" si="16"/>
        <v>0</v>
      </c>
      <c r="X205" s="72">
        <f t="shared" si="16"/>
        <v>0</v>
      </c>
      <c r="Y205" s="72">
        <f t="shared" si="16"/>
        <v>0</v>
      </c>
      <c r="Z205" s="72">
        <f t="shared" si="16"/>
        <v>0</v>
      </c>
      <c r="AA205" s="72">
        <f t="shared" si="16"/>
        <v>0</v>
      </c>
      <c r="AB205" s="72">
        <f t="shared" si="16"/>
        <v>0</v>
      </c>
      <c r="AC205" s="72">
        <f t="shared" si="16"/>
        <v>0</v>
      </c>
      <c r="AD205" s="72">
        <f t="shared" si="16"/>
        <v>0</v>
      </c>
      <c r="AE205" s="72">
        <f t="shared" si="16"/>
        <v>0</v>
      </c>
      <c r="AF205" s="72">
        <f t="shared" si="16"/>
        <v>0</v>
      </c>
      <c r="AG205" s="24">
        <f t="shared" si="13"/>
        <v>0</v>
      </c>
      <c r="AH205" s="24">
        <f t="shared" si="14"/>
        <v>0</v>
      </c>
      <c r="AI205" s="24">
        <f t="shared" si="15"/>
        <v>0</v>
      </c>
    </row>
    <row r="206" spans="1:36" ht="15.75" customHeight="1" x14ac:dyDescent="0.25">
      <c r="L206" s="7"/>
      <c r="O206" s="292"/>
      <c r="P206" s="82" t="s">
        <v>10</v>
      </c>
      <c r="Q206" s="73">
        <f t="shared" ref="Q206:AF206" si="17">COUNTIF(Q$3:Q$204,"In Progress")</f>
        <v>0</v>
      </c>
      <c r="R206" s="73">
        <f t="shared" si="17"/>
        <v>0</v>
      </c>
      <c r="S206" s="73">
        <f t="shared" si="17"/>
        <v>1</v>
      </c>
      <c r="T206" s="73">
        <f t="shared" si="17"/>
        <v>0</v>
      </c>
      <c r="U206" s="73">
        <f t="shared" si="17"/>
        <v>10</v>
      </c>
      <c r="V206" s="73">
        <f t="shared" si="17"/>
        <v>0</v>
      </c>
      <c r="W206" s="73">
        <f t="shared" si="17"/>
        <v>0</v>
      </c>
      <c r="X206" s="73">
        <f t="shared" si="17"/>
        <v>0</v>
      </c>
      <c r="Y206" s="73">
        <f t="shared" si="17"/>
        <v>0</v>
      </c>
      <c r="Z206" s="73">
        <f t="shared" si="17"/>
        <v>0</v>
      </c>
      <c r="AA206" s="73">
        <f t="shared" si="17"/>
        <v>0</v>
      </c>
      <c r="AB206" s="73">
        <f t="shared" si="17"/>
        <v>0</v>
      </c>
      <c r="AC206" s="73">
        <f t="shared" si="17"/>
        <v>0</v>
      </c>
      <c r="AD206" s="73">
        <f t="shared" si="17"/>
        <v>0</v>
      </c>
      <c r="AE206" s="73">
        <f t="shared" si="17"/>
        <v>0</v>
      </c>
      <c r="AF206" s="73">
        <f t="shared" si="17"/>
        <v>152</v>
      </c>
    </row>
    <row r="207" spans="1:36" ht="15.75" customHeight="1" x14ac:dyDescent="0.25">
      <c r="L207" s="7"/>
      <c r="O207" s="292"/>
      <c r="P207" s="82" t="s">
        <v>9</v>
      </c>
      <c r="Q207" s="74">
        <f t="shared" ref="Q207:AF207" si="18">COUNTIF(Q$3:Q$204,"Not Started")</f>
        <v>49</v>
      </c>
      <c r="R207" s="74">
        <f t="shared" si="18"/>
        <v>49</v>
      </c>
      <c r="S207" s="74">
        <f t="shared" si="18"/>
        <v>49</v>
      </c>
      <c r="T207" s="74">
        <f t="shared" si="18"/>
        <v>49</v>
      </c>
      <c r="U207" s="74">
        <f t="shared" si="18"/>
        <v>191</v>
      </c>
      <c r="V207" s="74">
        <f t="shared" si="18"/>
        <v>191</v>
      </c>
      <c r="W207" s="74">
        <f t="shared" si="18"/>
        <v>201</v>
      </c>
      <c r="X207" s="74">
        <f t="shared" si="18"/>
        <v>201</v>
      </c>
      <c r="Y207" s="74">
        <f t="shared" si="18"/>
        <v>201</v>
      </c>
      <c r="Z207" s="74">
        <f t="shared" si="18"/>
        <v>201</v>
      </c>
      <c r="AA207" s="74">
        <f t="shared" si="18"/>
        <v>201</v>
      </c>
      <c r="AB207" s="74">
        <f t="shared" si="18"/>
        <v>201</v>
      </c>
      <c r="AC207" s="74">
        <f t="shared" si="18"/>
        <v>201</v>
      </c>
      <c r="AD207" s="74">
        <f t="shared" si="18"/>
        <v>201</v>
      </c>
      <c r="AE207" s="74">
        <f t="shared" si="18"/>
        <v>201</v>
      </c>
      <c r="AF207" s="74">
        <f t="shared" si="18"/>
        <v>49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Q204:AF204" name="Range1"/>
    <protectedRange sqref="B181:O181" name="Range1_4"/>
    <protectedRange sqref="P4:AF203" name="Range1_2"/>
  </protectedRanges>
  <autoFilter ref="B3:AQ206" xr:uid="{FB3143C2-14D6-4D55-B1F1-91BBB8D990AD}">
    <filterColumn colId="8" showButton="0"/>
  </autoFilter>
  <mergeCells count="14">
    <mergeCell ref="AH2:AH3"/>
    <mergeCell ref="AI2:AI3"/>
    <mergeCell ref="AJ2:AJ3"/>
    <mergeCell ref="C2:O2"/>
    <mergeCell ref="P2:P3"/>
    <mergeCell ref="Q2:T2"/>
    <mergeCell ref="U2:AC2"/>
    <mergeCell ref="AD2:AD3"/>
    <mergeCell ref="J3:K3"/>
    <mergeCell ref="A4:A203"/>
    <mergeCell ref="AE2:AE3"/>
    <mergeCell ref="AF2:AF3"/>
    <mergeCell ref="AG2:AG3"/>
    <mergeCell ref="O205:O207"/>
  </mergeCells>
  <phoneticPr fontId="14" type="noConversion"/>
  <conditionalFormatting sqref="AG4:AI180 B4:C180 D5:D180 L5:O180 E8:K180 M204:AF204 L182:L207 B182:K204 AG182:AI205 AG181:AH181 M182:O203">
    <cfRule type="cellIs" dxfId="542" priority="108" operator="equal">
      <formula>"In Progress"</formula>
    </cfRule>
    <cfRule type="cellIs" dxfId="541" priority="109" operator="equal">
      <formula>"Completed"</formula>
    </cfRule>
  </conditionalFormatting>
  <conditionalFormatting sqref="AJ4:AJ203">
    <cfRule type="cellIs" dxfId="540" priority="105" operator="equal">
      <formula>"In Progress"</formula>
    </cfRule>
    <cfRule type="cellIs" dxfId="539" priority="106" operator="equal">
      <formula>"Completed"</formula>
    </cfRule>
    <cfRule type="cellIs" dxfId="538" priority="107" operator="equal">
      <formula>"Not Started"</formula>
    </cfRule>
  </conditionalFormatting>
  <conditionalFormatting sqref="D4">
    <cfRule type="cellIs" dxfId="537" priority="97" operator="equal">
      <formula>"In Progress"</formula>
    </cfRule>
    <cfRule type="cellIs" dxfId="536" priority="98" operator="equal">
      <formula>"Completed"</formula>
    </cfRule>
  </conditionalFormatting>
  <conditionalFormatting sqref="E4:O4 G5:G7">
    <cfRule type="cellIs" dxfId="535" priority="95" operator="equal">
      <formula>"In Progress"</formula>
    </cfRule>
    <cfRule type="cellIs" dxfId="534" priority="96" operator="equal">
      <formula>"Completed"</formula>
    </cfRule>
  </conditionalFormatting>
  <conditionalFormatting sqref="E5:F7 H5:K7">
    <cfRule type="cellIs" dxfId="533" priority="91" operator="equal">
      <formula>"In Progress"</formula>
    </cfRule>
    <cfRule type="cellIs" dxfId="532" priority="92" operator="equal">
      <formula>"Completed"</formula>
    </cfRule>
  </conditionalFormatting>
  <conditionalFormatting sqref="G1:G180 G182:G1048576">
    <cfRule type="containsText" dxfId="531" priority="89" operator="containsText" text="Girls">
      <formula>NOT(ISERROR(SEARCH("Girls",G1)))</formula>
    </cfRule>
    <cfRule type="containsText" dxfId="530" priority="90" operator="containsText" text="Boys">
      <formula>NOT(ISERROR(SEARCH("Boys",G1)))</formula>
    </cfRule>
  </conditionalFormatting>
  <conditionalFormatting sqref="Q204:AF204">
    <cfRule type="cellIs" dxfId="529" priority="68" operator="equal">
      <formula>"Not Started"</formula>
    </cfRule>
  </conditionalFormatting>
  <conditionalFormatting sqref="B181:C181">
    <cfRule type="cellIs" dxfId="528" priority="57" operator="equal">
      <formula>"In Progress"</formula>
    </cfRule>
    <cfRule type="cellIs" dxfId="527" priority="58" operator="equal">
      <formula>"Completed"</formula>
    </cfRule>
  </conditionalFormatting>
  <conditionalFormatting sqref="AI181">
    <cfRule type="cellIs" dxfId="526" priority="54" operator="equal">
      <formula>"In Progress"</formula>
    </cfRule>
    <cfRule type="cellIs" dxfId="525" priority="55" operator="equal">
      <formula>"Completed"</formula>
    </cfRule>
    <cfRule type="cellIs" dxfId="524" priority="56" operator="equal">
      <formula>"Not Started"</formula>
    </cfRule>
  </conditionalFormatting>
  <conditionalFormatting sqref="D181 O181">
    <cfRule type="cellIs" dxfId="523" priority="51" operator="equal">
      <formula>"In Progress"</formula>
    </cfRule>
    <cfRule type="cellIs" dxfId="522" priority="52" operator="equal">
      <formula>"Completed"</formula>
    </cfRule>
  </conditionalFormatting>
  <conditionalFormatting sqref="E181:N181">
    <cfRule type="cellIs" dxfId="521" priority="49" operator="equal">
      <formula>"In Progress"</formula>
    </cfRule>
    <cfRule type="cellIs" dxfId="520" priority="50" operator="equal">
      <formula>"Completed"</formula>
    </cfRule>
  </conditionalFormatting>
  <conditionalFormatting sqref="G181">
    <cfRule type="containsText" dxfId="519" priority="47" operator="containsText" text="Girls">
      <formula>NOT(ISERROR(SEARCH("Girls",G181)))</formula>
    </cfRule>
    <cfRule type="containsText" dxfId="518" priority="48" operator="containsText" text="Boys">
      <formula>NOT(ISERROR(SEARCH("Boys",G181)))</formula>
    </cfRule>
  </conditionalFormatting>
  <conditionalFormatting sqref="Q4:AF203">
    <cfRule type="cellIs" dxfId="34" priority="18" operator="equal">
      <formula>"In Progress"</formula>
    </cfRule>
    <cfRule type="cellIs" dxfId="33" priority="19" operator="equal">
      <formula>"Completed"</formula>
    </cfRule>
  </conditionalFormatting>
  <conditionalFormatting sqref="Q4:AF203">
    <cfRule type="cellIs" dxfId="32" priority="17" operator="equal">
      <formula>"Not Started"</formula>
    </cfRule>
  </conditionalFormatting>
  <conditionalFormatting sqref="P45">
    <cfRule type="cellIs" dxfId="31" priority="15" operator="equal">
      <formula>"In Progress"</formula>
    </cfRule>
    <cfRule type="cellIs" dxfId="30" priority="16" operator="equal">
      <formula>"Completed"</formula>
    </cfRule>
  </conditionalFormatting>
  <conditionalFormatting sqref="P45">
    <cfRule type="cellIs" dxfId="29" priority="13" operator="equal">
      <formula>"In Progress"</formula>
    </cfRule>
    <cfRule type="cellIs" dxfId="28" priority="14" operator="equal">
      <formula>"Completed"</formula>
    </cfRule>
  </conditionalFormatting>
  <conditionalFormatting sqref="P46:P203">
    <cfRule type="cellIs" dxfId="27" priority="11" operator="equal">
      <formula>"In Progress"</formula>
    </cfRule>
    <cfRule type="cellIs" dxfId="26" priority="12" operator="equal">
      <formula>"Completed"</formula>
    </cfRule>
  </conditionalFormatting>
  <conditionalFormatting sqref="P46:P203">
    <cfRule type="cellIs" dxfId="25" priority="9" operator="equal">
      <formula>"In Progress"</formula>
    </cfRule>
    <cfRule type="cellIs" dxfId="24" priority="10" operator="equal">
      <formula>"Completed"</formula>
    </cfRule>
  </conditionalFormatting>
  <conditionalFormatting sqref="P4:P43">
    <cfRule type="cellIs" dxfId="23" priority="7" operator="equal">
      <formula>"In Progress"</formula>
    </cfRule>
    <cfRule type="cellIs" dxfId="22" priority="8" operator="equal">
      <formula>"Completed"</formula>
    </cfRule>
  </conditionalFormatting>
  <conditionalFormatting sqref="P4:P43">
    <cfRule type="cellIs" dxfId="21" priority="5" operator="equal">
      <formula>"In Progress"</formula>
    </cfRule>
    <cfRule type="cellIs" dxfId="20" priority="6" operator="equal">
      <formula>"Completed"</formula>
    </cfRule>
  </conditionalFormatting>
  <conditionalFormatting sqref="P44">
    <cfRule type="cellIs" dxfId="19" priority="3" operator="equal">
      <formula>"In Progress"</formula>
    </cfRule>
    <cfRule type="cellIs" dxfId="18" priority="4" operator="equal">
      <formula>"Completed"</formula>
    </cfRule>
  </conditionalFormatting>
  <conditionalFormatting sqref="P44">
    <cfRule type="cellIs" dxfId="17" priority="1" operator="equal">
      <formula>"In Progress"</formula>
    </cfRule>
    <cfRule type="cellIs" dxfId="16" priority="2" operator="equal">
      <formula>"Completed"</formula>
    </cfRule>
  </conditionalFormatting>
  <dataValidations count="5">
    <dataValidation type="list" allowBlank="1" showInputMessage="1" showErrorMessage="1" sqref="F4:F180 F182:F204" xr:uid="{665C0766-DD71-4DB1-BEEA-646714FCB7AA}">
      <formula1>$AM$4:$AM$9</formula1>
    </dataValidation>
    <dataValidation type="list" allowBlank="1" showInputMessage="1" showErrorMessage="1" sqref="G4:G180 G182:G204" xr:uid="{3E9FBD31-4594-412B-B913-E6F2AB010B98}">
      <formula1>$AN$4:$AN$6</formula1>
    </dataValidation>
    <dataValidation type="list" allowBlank="1" showInputMessage="1" showErrorMessage="1" sqref="Q4:AF204" xr:uid="{91EAB371-E51F-41C1-8C86-EAE0F27D25CF}">
      <formula1>$AN$4:$AN$7</formula1>
    </dataValidation>
    <dataValidation type="list" allowBlank="1" showInputMessage="1" showErrorMessage="1" sqref="G181" xr:uid="{D8D1B482-261E-410C-BC61-E22525B58CF0}">
      <formula1>$AM$4:$AM$6</formula1>
    </dataValidation>
    <dataValidation type="list" allowBlank="1" showInputMessage="1" showErrorMessage="1" sqref="F181" xr:uid="{FE20C441-064F-413A-96E6-093B0D6906B6}">
      <formula1>$AL$4:$AL$9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9EE0-5B77-4C60-A0DF-4F45EBFC7383}">
  <sheetPr>
    <outlinePr summaryBelow="0" summaryRight="0"/>
  </sheetPr>
  <dimension ref="A1:AM206"/>
  <sheetViews>
    <sheetView showGridLines="0" topLeftCell="C1" zoomScale="72" zoomScaleNormal="72" workbookViewId="0">
      <selection activeCell="N201" sqref="N201"/>
    </sheetView>
  </sheetViews>
  <sheetFormatPr defaultColWidth="12.54296875" defaultRowHeight="15.75" customHeight="1" x14ac:dyDescent="0.25"/>
  <cols>
    <col min="1" max="1" width="12.54296875" style="1"/>
    <col min="2" max="2" width="8.453125" style="1" bestFit="1" customWidth="1"/>
    <col min="3" max="3" width="20.1796875" style="1" bestFit="1" customWidth="1"/>
    <col min="4" max="4" width="28.81640625" style="106" bestFit="1" customWidth="1"/>
    <col min="5" max="5" width="43.26953125" style="58" bestFit="1" customWidth="1"/>
    <col min="6" max="6" width="11.90625" style="1" bestFit="1" customWidth="1"/>
    <col min="7" max="7" width="10.90625" style="1" customWidth="1"/>
    <col min="8" max="8" width="10.6328125" style="1" customWidth="1"/>
    <col min="9" max="9" width="7.81640625" style="1" customWidth="1"/>
    <col min="10" max="10" width="34.81640625" style="1" bestFit="1" customWidth="1"/>
    <col min="11" max="11" width="18.54296875" style="1" customWidth="1"/>
    <col min="12" max="16" width="12.54296875" style="1"/>
    <col min="17" max="17" width="14.81640625" style="1" customWidth="1"/>
    <col min="18" max="18" width="14.7265625" style="1" customWidth="1"/>
    <col min="19" max="19" width="12.54296875" style="1"/>
    <col min="20" max="20" width="15.81640625" style="1" customWidth="1"/>
    <col min="21" max="21" width="20.1796875" style="1" customWidth="1"/>
    <col min="22" max="35" width="12.54296875" style="1"/>
    <col min="36" max="36" width="37.81640625" style="1" hidden="1" customWidth="1"/>
    <col min="37" max="37" width="18.453125" style="1" hidden="1" customWidth="1"/>
    <col min="38" max="38" width="0" style="1" hidden="1" customWidth="1"/>
    <col min="39" max="16384" width="12.54296875" style="1"/>
  </cols>
  <sheetData>
    <row r="1" spans="1:39" ht="37" customHeight="1" x14ac:dyDescent="0.25">
      <c r="C1" s="44" t="s">
        <v>0</v>
      </c>
      <c r="D1" s="105">
        <v>46152</v>
      </c>
    </row>
    <row r="2" spans="1:39" ht="13" customHeight="1" x14ac:dyDescent="0.25">
      <c r="A2" s="236" t="s">
        <v>1</v>
      </c>
      <c r="B2" s="274" t="s">
        <v>2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40" t="s">
        <v>3</v>
      </c>
      <c r="O2" s="241" t="s">
        <v>4</v>
      </c>
      <c r="P2" s="242"/>
      <c r="Q2" s="242"/>
      <c r="R2" s="242"/>
      <c r="S2" s="243" t="s">
        <v>5</v>
      </c>
      <c r="T2" s="243"/>
      <c r="U2" s="243"/>
      <c r="V2" s="243"/>
      <c r="W2" s="243"/>
      <c r="X2" s="243"/>
      <c r="Y2" s="243"/>
      <c r="Z2" s="243"/>
      <c r="AA2" s="243"/>
      <c r="AB2" s="244" t="s">
        <v>6</v>
      </c>
      <c r="AC2" s="251" t="s">
        <v>7</v>
      </c>
      <c r="AD2" s="252" t="s">
        <v>8</v>
      </c>
      <c r="AE2" s="235" t="s">
        <v>9</v>
      </c>
      <c r="AF2" s="235" t="s">
        <v>10</v>
      </c>
      <c r="AG2" s="235" t="s">
        <v>11</v>
      </c>
      <c r="AH2" s="235" t="s">
        <v>12</v>
      </c>
    </row>
    <row r="3" spans="1:39" s="2" customFormat="1" ht="44.5" x14ac:dyDescent="0.25">
      <c r="A3" s="236"/>
      <c r="B3" s="23" t="s">
        <v>9669</v>
      </c>
      <c r="C3" s="23" t="s">
        <v>13</v>
      </c>
      <c r="D3" s="52" t="s">
        <v>14</v>
      </c>
      <c r="E3" s="56" t="s">
        <v>15</v>
      </c>
      <c r="F3" s="23" t="s">
        <v>16</v>
      </c>
      <c r="G3" s="23" t="s">
        <v>17</v>
      </c>
      <c r="H3" s="23" t="s">
        <v>18</v>
      </c>
      <c r="I3" s="23" t="s">
        <v>19</v>
      </c>
      <c r="J3" s="111" t="s">
        <v>20</v>
      </c>
      <c r="K3" s="23" t="s">
        <v>21</v>
      </c>
      <c r="L3" s="23" t="s">
        <v>22</v>
      </c>
      <c r="M3" s="23" t="s">
        <v>23</v>
      </c>
      <c r="N3" s="240"/>
      <c r="O3" s="42" t="s">
        <v>24</v>
      </c>
      <c r="P3" s="42" t="s">
        <v>25</v>
      </c>
      <c r="Q3" s="42" t="s">
        <v>26</v>
      </c>
      <c r="R3" s="42" t="s">
        <v>27</v>
      </c>
      <c r="S3" s="43" t="s">
        <v>28</v>
      </c>
      <c r="T3" s="43" t="s">
        <v>29</v>
      </c>
      <c r="U3" s="43" t="s">
        <v>30</v>
      </c>
      <c r="V3" s="43" t="s">
        <v>31</v>
      </c>
      <c r="W3" s="43" t="s">
        <v>32</v>
      </c>
      <c r="X3" s="43" t="s">
        <v>33</v>
      </c>
      <c r="Y3" s="43" t="s">
        <v>34</v>
      </c>
      <c r="Z3" s="43" t="s">
        <v>35</v>
      </c>
      <c r="AA3" s="43" t="s">
        <v>36</v>
      </c>
      <c r="AB3" s="244"/>
      <c r="AC3" s="251"/>
      <c r="AD3" s="252"/>
      <c r="AE3" s="235"/>
      <c r="AF3" s="235"/>
      <c r="AG3" s="235"/>
      <c r="AH3" s="235"/>
      <c r="AK3" s="5" t="s">
        <v>16</v>
      </c>
      <c r="AL3" s="5" t="s">
        <v>17</v>
      </c>
      <c r="AM3" s="5" t="s">
        <v>37</v>
      </c>
    </row>
    <row r="4" spans="1:39" ht="26" x14ac:dyDescent="0.25">
      <c r="A4" s="247" t="s">
        <v>1256</v>
      </c>
      <c r="B4" s="14">
        <v>1</v>
      </c>
      <c r="C4" s="14" t="s">
        <v>1056</v>
      </c>
      <c r="D4" s="150" t="s">
        <v>10313</v>
      </c>
      <c r="E4" s="80" t="s">
        <v>10314</v>
      </c>
      <c r="F4" s="7" t="s">
        <v>51</v>
      </c>
      <c r="G4" s="7" t="s">
        <v>44</v>
      </c>
      <c r="H4" s="7" t="s">
        <v>5822</v>
      </c>
      <c r="I4" s="7" t="s">
        <v>8882</v>
      </c>
      <c r="J4" s="7" t="s">
        <v>9287</v>
      </c>
      <c r="K4" s="7" t="s">
        <v>8728</v>
      </c>
      <c r="L4" s="76">
        <v>10006039710</v>
      </c>
      <c r="M4" s="3"/>
      <c r="N4" s="201">
        <v>46120</v>
      </c>
      <c r="O4" s="28" t="s">
        <v>11</v>
      </c>
      <c r="P4" s="28" t="s">
        <v>11</v>
      </c>
      <c r="Q4" s="28" t="s">
        <v>11</v>
      </c>
      <c r="R4" s="28" t="s">
        <v>11</v>
      </c>
      <c r="S4" s="28" t="s">
        <v>10</v>
      </c>
      <c r="T4" s="28" t="s">
        <v>11</v>
      </c>
      <c r="U4" s="28" t="s">
        <v>9</v>
      </c>
      <c r="V4" s="28" t="s">
        <v>9</v>
      </c>
      <c r="W4" s="28" t="s">
        <v>9</v>
      </c>
      <c r="X4" s="28" t="s">
        <v>9</v>
      </c>
      <c r="Y4" s="28" t="s">
        <v>9</v>
      </c>
      <c r="Z4" s="28" t="s">
        <v>9</v>
      </c>
      <c r="AA4" s="28" t="s">
        <v>9</v>
      </c>
      <c r="AB4" s="28" t="s">
        <v>9</v>
      </c>
      <c r="AC4" s="28" t="s">
        <v>9</v>
      </c>
      <c r="AD4" s="28" t="s">
        <v>10</v>
      </c>
      <c r="AE4" s="24">
        <f t="shared" ref="AE4" si="0">COUNTIF(O4:AC4,$AF$2)</f>
        <v>1</v>
      </c>
      <c r="AF4" s="24">
        <f t="shared" ref="AF4:AF35" si="1">COUNTIF(O4:AC4,$AF$2)</f>
        <v>1</v>
      </c>
      <c r="AG4" s="24">
        <f t="shared" ref="AG4:AG35" si="2">COUNTIF(O4:AC4,$AG$2)</f>
        <v>5</v>
      </c>
      <c r="AH4" s="41" t="str" cm="1">
        <f t="array" ref="AH4">_xlfn.IFS(
$AE4=15,"Not Started",
$AG4&lt;15,"In Progress",
$AG4=15,"Completed",
SUM(AE4:AG4)&gt;15,"Error"
)</f>
        <v>In Progress</v>
      </c>
      <c r="AK4" s="3" t="s">
        <v>43</v>
      </c>
      <c r="AL4" s="3" t="s">
        <v>44</v>
      </c>
      <c r="AM4" s="3" t="s">
        <v>9</v>
      </c>
    </row>
    <row r="5" spans="1:39" ht="26" x14ac:dyDescent="0.25">
      <c r="A5" s="248"/>
      <c r="B5" s="14">
        <v>2</v>
      </c>
      <c r="C5" s="7" t="s">
        <v>1057</v>
      </c>
      <c r="D5" s="150" t="s">
        <v>10312</v>
      </c>
      <c r="E5" s="80" t="s">
        <v>10315</v>
      </c>
      <c r="F5" s="7" t="s">
        <v>47</v>
      </c>
      <c r="G5" s="7" t="s">
        <v>44</v>
      </c>
      <c r="H5" s="7" t="s">
        <v>5822</v>
      </c>
      <c r="I5" s="7" t="s">
        <v>8882</v>
      </c>
      <c r="J5" s="7" t="s">
        <v>9288</v>
      </c>
      <c r="K5" s="7" t="s">
        <v>8729</v>
      </c>
      <c r="L5" s="76">
        <v>10006039451</v>
      </c>
      <c r="M5" s="3"/>
      <c r="N5" s="201">
        <v>46119</v>
      </c>
      <c r="O5" s="28" t="s">
        <v>11</v>
      </c>
      <c r="P5" s="28" t="s">
        <v>11</v>
      </c>
      <c r="Q5" s="28" t="s">
        <v>11</v>
      </c>
      <c r="R5" s="28" t="s">
        <v>11</v>
      </c>
      <c r="S5" s="28" t="s">
        <v>10</v>
      </c>
      <c r="T5" s="28" t="s">
        <v>11</v>
      </c>
      <c r="U5" s="28" t="s">
        <v>9</v>
      </c>
      <c r="V5" s="28" t="s">
        <v>9</v>
      </c>
      <c r="W5" s="28" t="s">
        <v>9</v>
      </c>
      <c r="X5" s="28" t="s">
        <v>9</v>
      </c>
      <c r="Y5" s="28" t="s">
        <v>9</v>
      </c>
      <c r="Z5" s="28" t="s">
        <v>9</v>
      </c>
      <c r="AA5" s="28" t="s">
        <v>9</v>
      </c>
      <c r="AB5" s="28" t="s">
        <v>9</v>
      </c>
      <c r="AC5" s="28" t="s">
        <v>9</v>
      </c>
      <c r="AD5" s="28" t="s">
        <v>10</v>
      </c>
      <c r="AE5" s="28"/>
      <c r="AF5" s="24">
        <f t="shared" si="1"/>
        <v>1</v>
      </c>
      <c r="AG5" s="24">
        <f t="shared" si="2"/>
        <v>5</v>
      </c>
      <c r="AH5" s="41" t="str" cm="1">
        <f t="array" ref="AH5">_xlfn.IFS(
$AE5=15,"Not Started",
$AG5&lt;15,"In Progress",
$AG5=15,"Completed",
SUM(AE5:AG5)&gt;15,"Error"
)</f>
        <v>In Progress</v>
      </c>
      <c r="AK5" s="3" t="s">
        <v>47</v>
      </c>
      <c r="AL5" s="3" t="s">
        <v>48</v>
      </c>
      <c r="AM5" s="3" t="s">
        <v>10</v>
      </c>
    </row>
    <row r="6" spans="1:39" ht="26" x14ac:dyDescent="0.25">
      <c r="A6" s="248"/>
      <c r="B6" s="14">
        <v>3</v>
      </c>
      <c r="C6" s="14" t="s">
        <v>1058</v>
      </c>
      <c r="D6" s="150" t="s">
        <v>10311</v>
      </c>
      <c r="E6" s="57" t="s">
        <v>8462</v>
      </c>
      <c r="F6" s="7" t="s">
        <v>43</v>
      </c>
      <c r="G6" s="7" t="s">
        <v>44</v>
      </c>
      <c r="H6" s="7" t="s">
        <v>5822</v>
      </c>
      <c r="I6" s="7" t="s">
        <v>8882</v>
      </c>
      <c r="J6" s="7" t="s">
        <v>9289</v>
      </c>
      <c r="K6" s="7" t="s">
        <v>8730</v>
      </c>
      <c r="L6" s="76">
        <v>10006038427</v>
      </c>
      <c r="M6" s="3"/>
      <c r="N6" s="201">
        <v>46140</v>
      </c>
      <c r="O6" s="28" t="s">
        <v>11</v>
      </c>
      <c r="P6" s="28" t="s">
        <v>11</v>
      </c>
      <c r="Q6" s="28" t="s">
        <v>11</v>
      </c>
      <c r="R6" s="28" t="s">
        <v>11</v>
      </c>
      <c r="S6" s="28" t="s">
        <v>10</v>
      </c>
      <c r="T6" s="28" t="s">
        <v>11</v>
      </c>
      <c r="U6" s="28" t="s">
        <v>9</v>
      </c>
      <c r="V6" s="28" t="s">
        <v>9</v>
      </c>
      <c r="W6" s="28" t="s">
        <v>9</v>
      </c>
      <c r="X6" s="28" t="s">
        <v>9</v>
      </c>
      <c r="Y6" s="28" t="s">
        <v>9</v>
      </c>
      <c r="Z6" s="28" t="s">
        <v>9</v>
      </c>
      <c r="AA6" s="28" t="s">
        <v>9</v>
      </c>
      <c r="AB6" s="28" t="s">
        <v>9</v>
      </c>
      <c r="AC6" s="28" t="s">
        <v>9</v>
      </c>
      <c r="AD6" s="28" t="s">
        <v>10</v>
      </c>
      <c r="AE6" s="28"/>
      <c r="AF6" s="24">
        <f t="shared" si="1"/>
        <v>1</v>
      </c>
      <c r="AG6" s="24">
        <f t="shared" si="2"/>
        <v>5</v>
      </c>
      <c r="AH6" s="41" t="str" cm="1">
        <f t="array" ref="AH6">_xlfn.IFS(
$AE6=15,"Not Started",
$AG6&lt;15,"In Progress",
$AG6=15,"Completed",
SUM(AE6:AG6)&gt;15,"Error"
)</f>
        <v>In Progress</v>
      </c>
      <c r="AJ6" s="1" t="s">
        <v>9</v>
      </c>
      <c r="AK6" s="3" t="s">
        <v>51</v>
      </c>
      <c r="AL6" s="3" t="s">
        <v>52</v>
      </c>
      <c r="AM6" s="3" t="s">
        <v>11</v>
      </c>
    </row>
    <row r="7" spans="1:39" ht="13" x14ac:dyDescent="0.25">
      <c r="A7" s="248"/>
      <c r="B7" s="14">
        <v>4</v>
      </c>
      <c r="C7" s="7" t="s">
        <v>1059</v>
      </c>
      <c r="D7" s="151" t="s">
        <v>8589</v>
      </c>
      <c r="E7" s="57" t="s">
        <v>8463</v>
      </c>
      <c r="F7" s="7" t="s">
        <v>51</v>
      </c>
      <c r="G7" s="7" t="s">
        <v>44</v>
      </c>
      <c r="H7" s="7" t="s">
        <v>5822</v>
      </c>
      <c r="I7" s="7" t="s">
        <v>8882</v>
      </c>
      <c r="J7" s="7" t="s">
        <v>9290</v>
      </c>
      <c r="K7" s="7" t="s">
        <v>8731</v>
      </c>
      <c r="L7" s="76">
        <v>10005991831</v>
      </c>
      <c r="M7" s="3"/>
      <c r="N7" s="201">
        <v>46128</v>
      </c>
      <c r="O7" s="28" t="s">
        <v>11</v>
      </c>
      <c r="P7" s="28" t="s">
        <v>11</v>
      </c>
      <c r="Q7" s="28" t="s">
        <v>11</v>
      </c>
      <c r="R7" s="28" t="s">
        <v>11</v>
      </c>
      <c r="S7" s="28" t="s">
        <v>10</v>
      </c>
      <c r="T7" s="28" t="s">
        <v>11</v>
      </c>
      <c r="U7" s="28" t="s">
        <v>9</v>
      </c>
      <c r="V7" s="28" t="s">
        <v>9</v>
      </c>
      <c r="W7" s="28" t="s">
        <v>9</v>
      </c>
      <c r="X7" s="28" t="s">
        <v>9</v>
      </c>
      <c r="Y7" s="28" t="s">
        <v>9</v>
      </c>
      <c r="Z7" s="28" t="s">
        <v>9</v>
      </c>
      <c r="AA7" s="28" t="s">
        <v>9</v>
      </c>
      <c r="AB7" s="28" t="s">
        <v>9</v>
      </c>
      <c r="AC7" s="28" t="s">
        <v>9</v>
      </c>
      <c r="AD7" s="28" t="s">
        <v>10</v>
      </c>
      <c r="AE7" s="28"/>
      <c r="AF7" s="24">
        <f t="shared" si="1"/>
        <v>1</v>
      </c>
      <c r="AG7" s="24">
        <f t="shared" si="2"/>
        <v>5</v>
      </c>
      <c r="AH7" s="41" t="str" cm="1">
        <f t="array" ref="AH7">_xlfn.IFS(
$AE7=15,"Not Started",
$AG7&lt;15,"In Progress",
$AG7=15,"Completed",
SUM(AE7:AG7)&gt;15,"Error"
)</f>
        <v>In Progress</v>
      </c>
      <c r="AJ7" s="1" t="s">
        <v>11</v>
      </c>
      <c r="AK7" s="3" t="s">
        <v>52</v>
      </c>
      <c r="AL7" s="3"/>
      <c r="AM7" s="3" t="s">
        <v>52</v>
      </c>
    </row>
    <row r="8" spans="1:39" ht="26" x14ac:dyDescent="0.25">
      <c r="A8" s="248"/>
      <c r="B8" s="14">
        <v>5</v>
      </c>
      <c r="C8" s="14" t="s">
        <v>1060</v>
      </c>
      <c r="D8" s="150" t="s">
        <v>10310</v>
      </c>
      <c r="E8" s="57" t="s">
        <v>8464</v>
      </c>
      <c r="F8" s="7" t="s">
        <v>43</v>
      </c>
      <c r="G8" s="7" t="s">
        <v>44</v>
      </c>
      <c r="H8" s="7" t="s">
        <v>5822</v>
      </c>
      <c r="I8" s="7" t="s">
        <v>8882</v>
      </c>
      <c r="J8" s="7" t="s">
        <v>9291</v>
      </c>
      <c r="K8" s="7" t="s">
        <v>8732</v>
      </c>
      <c r="L8" s="76">
        <v>10006036244</v>
      </c>
      <c r="M8" s="3"/>
      <c r="N8" s="201">
        <v>46123</v>
      </c>
      <c r="O8" s="28" t="s">
        <v>11</v>
      </c>
      <c r="P8" s="28" t="s">
        <v>11</v>
      </c>
      <c r="Q8" s="28" t="s">
        <v>11</v>
      </c>
      <c r="R8" s="28" t="s">
        <v>11</v>
      </c>
      <c r="S8" s="28" t="s">
        <v>9</v>
      </c>
      <c r="T8" s="28" t="s">
        <v>9</v>
      </c>
      <c r="U8" s="28" t="s">
        <v>9</v>
      </c>
      <c r="V8" s="28" t="s">
        <v>9</v>
      </c>
      <c r="W8" s="28" t="s">
        <v>9</v>
      </c>
      <c r="X8" s="28" t="s">
        <v>9</v>
      </c>
      <c r="Y8" s="28" t="s">
        <v>9</v>
      </c>
      <c r="Z8" s="28" t="s">
        <v>9</v>
      </c>
      <c r="AA8" s="28" t="s">
        <v>9</v>
      </c>
      <c r="AB8" s="28" t="s">
        <v>9</v>
      </c>
      <c r="AC8" s="28" t="s">
        <v>9</v>
      </c>
      <c r="AD8" s="28" t="s">
        <v>10</v>
      </c>
      <c r="AE8" s="28"/>
      <c r="AF8" s="24">
        <f t="shared" si="1"/>
        <v>0</v>
      </c>
      <c r="AG8" s="24">
        <f t="shared" si="2"/>
        <v>4</v>
      </c>
      <c r="AH8" s="41" t="str" cm="1">
        <f t="array" ref="AH8">_xlfn.IFS(
$AE8=15,"Not Started",
$AG8&lt;15,"In Progress",
$AG8=15,"Completed",
SUM(AE8:AG8)&gt;15,"Error"
)</f>
        <v>In Progress</v>
      </c>
    </row>
    <row r="9" spans="1:39" ht="26" x14ac:dyDescent="0.25">
      <c r="A9" s="248"/>
      <c r="B9" s="14">
        <v>6</v>
      </c>
      <c r="C9" s="7" t="s">
        <v>1061</v>
      </c>
      <c r="D9" s="150" t="s">
        <v>10309</v>
      </c>
      <c r="E9" s="57" t="s">
        <v>8465</v>
      </c>
      <c r="F9" s="7" t="s">
        <v>51</v>
      </c>
      <c r="G9" s="7" t="s">
        <v>48</v>
      </c>
      <c r="H9" s="7" t="s">
        <v>5822</v>
      </c>
      <c r="I9" s="7" t="s">
        <v>8882</v>
      </c>
      <c r="J9" s="7" t="s">
        <v>9292</v>
      </c>
      <c r="K9" s="7" t="s">
        <v>8733</v>
      </c>
      <c r="L9" s="76">
        <v>10006030376</v>
      </c>
      <c r="M9" s="3"/>
      <c r="N9" s="201">
        <v>46121</v>
      </c>
      <c r="O9" s="28" t="s">
        <v>11</v>
      </c>
      <c r="P9" s="28" t="s">
        <v>11</v>
      </c>
      <c r="Q9" s="28" t="s">
        <v>11</v>
      </c>
      <c r="R9" s="28" t="s">
        <v>11</v>
      </c>
      <c r="S9" s="28" t="s">
        <v>9</v>
      </c>
      <c r="T9" s="28" t="s">
        <v>9</v>
      </c>
      <c r="U9" s="28" t="s">
        <v>9</v>
      </c>
      <c r="V9" s="28" t="s">
        <v>9</v>
      </c>
      <c r="W9" s="28" t="s">
        <v>9</v>
      </c>
      <c r="X9" s="28" t="s">
        <v>9</v>
      </c>
      <c r="Y9" s="28" t="s">
        <v>9</v>
      </c>
      <c r="Z9" s="28" t="s">
        <v>9</v>
      </c>
      <c r="AA9" s="28" t="s">
        <v>9</v>
      </c>
      <c r="AB9" s="28" t="s">
        <v>9</v>
      </c>
      <c r="AC9" s="28" t="s">
        <v>9</v>
      </c>
      <c r="AD9" s="28" t="s">
        <v>10</v>
      </c>
      <c r="AE9" s="28"/>
      <c r="AF9" s="24">
        <f t="shared" si="1"/>
        <v>0</v>
      </c>
      <c r="AG9" s="24">
        <f t="shared" si="2"/>
        <v>4</v>
      </c>
      <c r="AH9" s="41" t="str" cm="1">
        <f t="array" ref="AH9">_xlfn.IFS(
$AE9=15,"Not Started",
$AG9&lt;15,"In Progress",
$AG9=15,"Completed",
SUM(AE9:AG9)&gt;15,"Error"
)</f>
        <v>In Progress</v>
      </c>
    </row>
    <row r="10" spans="1:39" ht="26" x14ac:dyDescent="0.25">
      <c r="A10" s="248"/>
      <c r="B10" s="14">
        <v>7</v>
      </c>
      <c r="C10" s="14" t="s">
        <v>1062</v>
      </c>
      <c r="D10" s="150" t="s">
        <v>10308</v>
      </c>
      <c r="E10" s="80" t="s">
        <v>10316</v>
      </c>
      <c r="F10" s="7" t="s">
        <v>51</v>
      </c>
      <c r="G10" s="7" t="s">
        <v>48</v>
      </c>
      <c r="H10" s="7" t="s">
        <v>5822</v>
      </c>
      <c r="I10" s="7" t="s">
        <v>8882</v>
      </c>
      <c r="J10" s="7" t="s">
        <v>9293</v>
      </c>
      <c r="K10" s="7" t="s">
        <v>8734</v>
      </c>
      <c r="L10" s="76">
        <v>10006039273</v>
      </c>
      <c r="M10" s="3"/>
      <c r="N10" s="201">
        <v>46131</v>
      </c>
      <c r="O10" s="28" t="s">
        <v>11</v>
      </c>
      <c r="P10" s="28" t="s">
        <v>11</v>
      </c>
      <c r="Q10" s="28" t="s">
        <v>11</v>
      </c>
      <c r="R10" s="28" t="s">
        <v>11</v>
      </c>
      <c r="S10" s="28" t="s">
        <v>10</v>
      </c>
      <c r="T10" s="28" t="s">
        <v>11</v>
      </c>
      <c r="U10" s="28" t="s">
        <v>9</v>
      </c>
      <c r="V10" s="28" t="s">
        <v>9</v>
      </c>
      <c r="W10" s="28" t="s">
        <v>9</v>
      </c>
      <c r="X10" s="28" t="s">
        <v>9</v>
      </c>
      <c r="Y10" s="28" t="s">
        <v>9</v>
      </c>
      <c r="Z10" s="28" t="s">
        <v>9</v>
      </c>
      <c r="AA10" s="28" t="s">
        <v>9</v>
      </c>
      <c r="AB10" s="28" t="s">
        <v>9</v>
      </c>
      <c r="AC10" s="28" t="s">
        <v>9</v>
      </c>
      <c r="AD10" s="28" t="s">
        <v>10</v>
      </c>
      <c r="AE10" s="28"/>
      <c r="AF10" s="24">
        <f t="shared" si="1"/>
        <v>1</v>
      </c>
      <c r="AG10" s="24">
        <f t="shared" si="2"/>
        <v>5</v>
      </c>
      <c r="AH10" s="41" t="str" cm="1">
        <f t="array" ref="AH10">_xlfn.IFS(
$AE10=15,"Not Started",
$AG10&lt;15,"In Progress",
$AG10=15,"Completed",
SUM(AE10:AG10)&gt;15,"Error"
)</f>
        <v>In Progress</v>
      </c>
    </row>
    <row r="11" spans="1:39" ht="26" x14ac:dyDescent="0.25">
      <c r="A11" s="248"/>
      <c r="B11" s="14">
        <v>8</v>
      </c>
      <c r="C11" s="7" t="s">
        <v>1063</v>
      </c>
      <c r="D11" s="150" t="s">
        <v>10307</v>
      </c>
      <c r="E11" s="80" t="s">
        <v>10318</v>
      </c>
      <c r="F11" s="7" t="s">
        <v>43</v>
      </c>
      <c r="G11" s="7" t="s">
        <v>44</v>
      </c>
      <c r="H11" s="7" t="s">
        <v>5822</v>
      </c>
      <c r="I11" s="7" t="s">
        <v>8882</v>
      </c>
      <c r="J11" s="7" t="s">
        <v>9294</v>
      </c>
      <c r="K11" s="7" t="s">
        <v>8735</v>
      </c>
      <c r="L11" s="76">
        <v>10006040176</v>
      </c>
      <c r="M11" s="3"/>
      <c r="N11" s="201">
        <v>46134</v>
      </c>
      <c r="O11" s="28" t="s">
        <v>11</v>
      </c>
      <c r="P11" s="28" t="s">
        <v>11</v>
      </c>
      <c r="Q11" s="28" t="s">
        <v>11</v>
      </c>
      <c r="R11" s="28" t="s">
        <v>11</v>
      </c>
      <c r="S11" s="28" t="s">
        <v>9</v>
      </c>
      <c r="T11" s="28" t="s">
        <v>9</v>
      </c>
      <c r="U11" s="28" t="s">
        <v>9</v>
      </c>
      <c r="V11" s="28" t="s">
        <v>9</v>
      </c>
      <c r="W11" s="28" t="s">
        <v>9</v>
      </c>
      <c r="X11" s="28" t="s">
        <v>9</v>
      </c>
      <c r="Y11" s="28" t="s">
        <v>9</v>
      </c>
      <c r="Z11" s="28" t="s">
        <v>9</v>
      </c>
      <c r="AA11" s="28" t="s">
        <v>9</v>
      </c>
      <c r="AB11" s="28" t="s">
        <v>9</v>
      </c>
      <c r="AC11" s="28" t="s">
        <v>9</v>
      </c>
      <c r="AD11" s="28" t="s">
        <v>10</v>
      </c>
      <c r="AE11" s="28"/>
      <c r="AF11" s="24">
        <f t="shared" si="1"/>
        <v>0</v>
      </c>
      <c r="AG11" s="24">
        <f t="shared" si="2"/>
        <v>4</v>
      </c>
      <c r="AH11" s="41" t="str" cm="1">
        <f t="array" ref="AH11">_xlfn.IFS(
$AE11=15,"Not Started",
$AG11&lt;15,"In Progress",
$AG11=15,"Completed",
SUM(AE11:AG11)&gt;15,"Error"
)</f>
        <v>In Progress</v>
      </c>
    </row>
    <row r="12" spans="1:39" ht="26" x14ac:dyDescent="0.25">
      <c r="A12" s="248"/>
      <c r="B12" s="14">
        <v>9</v>
      </c>
      <c r="C12" s="14" t="s">
        <v>1064</v>
      </c>
      <c r="D12" s="150" t="s">
        <v>10306</v>
      </c>
      <c r="E12" s="80" t="s">
        <v>10317</v>
      </c>
      <c r="F12" s="7" t="s">
        <v>47</v>
      </c>
      <c r="G12" s="7" t="s">
        <v>48</v>
      </c>
      <c r="H12" s="7" t="s">
        <v>5822</v>
      </c>
      <c r="I12" s="7" t="s">
        <v>8882</v>
      </c>
      <c r="J12" s="7" t="s">
        <v>9295</v>
      </c>
      <c r="K12" s="7" t="s">
        <v>8736</v>
      </c>
      <c r="L12" s="76">
        <v>10006039264</v>
      </c>
      <c r="M12" s="3"/>
      <c r="N12" s="201">
        <v>46128</v>
      </c>
      <c r="O12" s="28" t="s">
        <v>11</v>
      </c>
      <c r="P12" s="28" t="s">
        <v>11</v>
      </c>
      <c r="Q12" s="28" t="s">
        <v>11</v>
      </c>
      <c r="R12" s="28" t="s">
        <v>11</v>
      </c>
      <c r="S12" s="28" t="s">
        <v>10</v>
      </c>
      <c r="T12" s="28" t="s">
        <v>11</v>
      </c>
      <c r="U12" s="28" t="s">
        <v>9</v>
      </c>
      <c r="V12" s="28" t="s">
        <v>9</v>
      </c>
      <c r="W12" s="28" t="s">
        <v>9</v>
      </c>
      <c r="X12" s="28" t="s">
        <v>9</v>
      </c>
      <c r="Y12" s="28" t="s">
        <v>9</v>
      </c>
      <c r="Z12" s="28" t="s">
        <v>9</v>
      </c>
      <c r="AA12" s="28" t="s">
        <v>9</v>
      </c>
      <c r="AB12" s="28" t="s">
        <v>9</v>
      </c>
      <c r="AC12" s="28" t="s">
        <v>9</v>
      </c>
      <c r="AD12" s="28" t="s">
        <v>10</v>
      </c>
      <c r="AE12" s="28"/>
      <c r="AF12" s="24">
        <f t="shared" si="1"/>
        <v>1</v>
      </c>
      <c r="AG12" s="24">
        <f t="shared" si="2"/>
        <v>5</v>
      </c>
      <c r="AH12" s="41" t="str" cm="1">
        <f t="array" ref="AH12">_xlfn.IFS(
$AE12=15,"Not Started",
$AG12&lt;15,"In Progress",
$AG12=15,"Completed",
SUM(AE12:AG12)&gt;15,"Error"
)</f>
        <v>In Progress</v>
      </c>
    </row>
    <row r="13" spans="1:39" ht="13" x14ac:dyDescent="0.25">
      <c r="A13" s="248"/>
      <c r="B13" s="14">
        <v>10</v>
      </c>
      <c r="C13" s="7" t="s">
        <v>1065</v>
      </c>
      <c r="D13" s="151" t="s">
        <v>8590</v>
      </c>
      <c r="E13" s="57" t="s">
        <v>8466</v>
      </c>
      <c r="F13" s="7" t="s">
        <v>9670</v>
      </c>
      <c r="G13" s="7" t="s">
        <v>48</v>
      </c>
      <c r="H13" s="7" t="s">
        <v>5822</v>
      </c>
      <c r="I13" s="7" t="s">
        <v>8882</v>
      </c>
      <c r="J13" s="7" t="s">
        <v>9296</v>
      </c>
      <c r="K13" s="7" t="s">
        <v>8737</v>
      </c>
      <c r="L13" s="76">
        <v>10104624016</v>
      </c>
      <c r="M13" s="3"/>
      <c r="N13" s="201">
        <v>46138</v>
      </c>
      <c r="O13" s="28" t="s">
        <v>11</v>
      </c>
      <c r="P13" s="28" t="s">
        <v>11</v>
      </c>
      <c r="Q13" s="28" t="s">
        <v>11</v>
      </c>
      <c r="R13" s="28" t="s">
        <v>11</v>
      </c>
      <c r="S13" s="28" t="s">
        <v>9</v>
      </c>
      <c r="T13" s="28" t="s">
        <v>9</v>
      </c>
      <c r="U13" s="28" t="s">
        <v>9</v>
      </c>
      <c r="V13" s="28" t="s">
        <v>9</v>
      </c>
      <c r="W13" s="28" t="s">
        <v>9</v>
      </c>
      <c r="X13" s="28" t="s">
        <v>9</v>
      </c>
      <c r="Y13" s="28" t="s">
        <v>9</v>
      </c>
      <c r="Z13" s="28" t="s">
        <v>9</v>
      </c>
      <c r="AA13" s="28" t="s">
        <v>9</v>
      </c>
      <c r="AB13" s="28" t="s">
        <v>9</v>
      </c>
      <c r="AC13" s="28" t="s">
        <v>9</v>
      </c>
      <c r="AD13" s="28" t="s">
        <v>10</v>
      </c>
      <c r="AE13" s="28"/>
      <c r="AF13" s="24">
        <f t="shared" si="1"/>
        <v>0</v>
      </c>
      <c r="AG13" s="24">
        <f t="shared" si="2"/>
        <v>4</v>
      </c>
      <c r="AH13" s="41" t="str" cm="1">
        <f t="array" ref="AH13">_xlfn.IFS(
$AE13=15,"Not Started",
$AG13&lt;15,"In Progress",
$AG13=15,"Completed",
SUM(AE13:AG13)&gt;15,"Error"
)</f>
        <v>In Progress</v>
      </c>
    </row>
    <row r="14" spans="1:39" ht="15.75" customHeight="1" x14ac:dyDescent="0.25">
      <c r="A14" s="248"/>
      <c r="B14" s="14">
        <v>11</v>
      </c>
      <c r="C14" s="14" t="s">
        <v>1066</v>
      </c>
      <c r="D14" s="151" t="s">
        <v>8591</v>
      </c>
      <c r="E14" s="57" t="s">
        <v>8467</v>
      </c>
      <c r="F14" s="7" t="s">
        <v>43</v>
      </c>
      <c r="G14" s="7" t="s">
        <v>48</v>
      </c>
      <c r="H14" s="7" t="s">
        <v>5822</v>
      </c>
      <c r="I14" s="7" t="s">
        <v>8882</v>
      </c>
      <c r="J14" s="7" t="s">
        <v>9297</v>
      </c>
      <c r="K14" s="7" t="s">
        <v>8738</v>
      </c>
      <c r="L14" s="76">
        <v>10082788080</v>
      </c>
      <c r="M14" s="3"/>
      <c r="N14" s="201">
        <v>46139</v>
      </c>
      <c r="O14" s="28" t="s">
        <v>11</v>
      </c>
      <c r="P14" s="28" t="s">
        <v>11</v>
      </c>
      <c r="Q14" s="28" t="s">
        <v>11</v>
      </c>
      <c r="R14" s="28" t="s">
        <v>11</v>
      </c>
      <c r="S14" s="28" t="s">
        <v>9</v>
      </c>
      <c r="T14" s="28" t="s">
        <v>9</v>
      </c>
      <c r="U14" s="28" t="s">
        <v>9</v>
      </c>
      <c r="V14" s="28" t="s">
        <v>9</v>
      </c>
      <c r="W14" s="28" t="s">
        <v>9</v>
      </c>
      <c r="X14" s="28" t="s">
        <v>9</v>
      </c>
      <c r="Y14" s="28" t="s">
        <v>9</v>
      </c>
      <c r="Z14" s="28" t="s">
        <v>9</v>
      </c>
      <c r="AA14" s="28" t="s">
        <v>9</v>
      </c>
      <c r="AB14" s="28" t="s">
        <v>9</v>
      </c>
      <c r="AC14" s="28" t="s">
        <v>9</v>
      </c>
      <c r="AD14" s="28" t="s">
        <v>10</v>
      </c>
      <c r="AE14" s="28"/>
      <c r="AF14" s="24">
        <f t="shared" si="1"/>
        <v>0</v>
      </c>
      <c r="AG14" s="24">
        <f t="shared" si="2"/>
        <v>4</v>
      </c>
      <c r="AH14" s="41" t="str" cm="1">
        <f t="array" ref="AH14">_xlfn.IFS(
$AE14=15,"Not Started",
$AG14&lt;15,"In Progress",
$AG14=15,"Completed",
SUM(AE14:AG14)&gt;15,"Error"
)</f>
        <v>In Progress</v>
      </c>
    </row>
    <row r="15" spans="1:39" ht="15.75" customHeight="1" x14ac:dyDescent="0.25">
      <c r="A15" s="248"/>
      <c r="B15" s="14">
        <v>12</v>
      </c>
      <c r="C15" s="7" t="s">
        <v>1067</v>
      </c>
      <c r="D15" s="151" t="s">
        <v>8592</v>
      </c>
      <c r="E15" s="57" t="s">
        <v>8468</v>
      </c>
      <c r="F15" s="7" t="s">
        <v>43</v>
      </c>
      <c r="G15" s="7" t="s">
        <v>44</v>
      </c>
      <c r="H15" s="7" t="s">
        <v>5822</v>
      </c>
      <c r="I15" s="7" t="s">
        <v>8882</v>
      </c>
      <c r="J15" s="7" t="s">
        <v>9298</v>
      </c>
      <c r="K15" s="7" t="s">
        <v>8739</v>
      </c>
      <c r="L15" s="76">
        <v>10006023531</v>
      </c>
      <c r="M15" s="3"/>
      <c r="N15" s="201">
        <v>46133</v>
      </c>
      <c r="O15" s="28" t="s">
        <v>11</v>
      </c>
      <c r="P15" s="28" t="s">
        <v>11</v>
      </c>
      <c r="Q15" s="28" t="s">
        <v>11</v>
      </c>
      <c r="R15" s="28" t="s">
        <v>11</v>
      </c>
      <c r="S15" s="28" t="s">
        <v>10</v>
      </c>
      <c r="T15" s="28" t="s">
        <v>11</v>
      </c>
      <c r="U15" s="28" t="s">
        <v>9</v>
      </c>
      <c r="V15" s="28" t="s">
        <v>9</v>
      </c>
      <c r="W15" s="28" t="s">
        <v>9</v>
      </c>
      <c r="X15" s="28" t="s">
        <v>9</v>
      </c>
      <c r="Y15" s="28" t="s">
        <v>9</v>
      </c>
      <c r="Z15" s="28" t="s">
        <v>9</v>
      </c>
      <c r="AA15" s="28" t="s">
        <v>9</v>
      </c>
      <c r="AB15" s="28" t="s">
        <v>9</v>
      </c>
      <c r="AC15" s="28" t="s">
        <v>9</v>
      </c>
      <c r="AD15" s="28" t="s">
        <v>10</v>
      </c>
      <c r="AE15" s="28"/>
      <c r="AF15" s="24">
        <f t="shared" si="1"/>
        <v>1</v>
      </c>
      <c r="AG15" s="24">
        <f t="shared" si="2"/>
        <v>5</v>
      </c>
      <c r="AH15" s="41" t="str" cm="1">
        <f t="array" ref="AH15">_xlfn.IFS(
$AE15=15,"Not Started",
$AG15&lt;15,"In Progress",
$AG15=15,"Completed",
SUM(AE15:AG15)&gt;15,"Error"
)</f>
        <v>In Progress</v>
      </c>
    </row>
    <row r="16" spans="1:39" ht="15.75" customHeight="1" x14ac:dyDescent="0.25">
      <c r="A16" s="248"/>
      <c r="B16" s="14">
        <v>13</v>
      </c>
      <c r="C16" s="14" t="s">
        <v>1068</v>
      </c>
      <c r="D16" s="151" t="s">
        <v>8593</v>
      </c>
      <c r="E16" s="57" t="s">
        <v>8469</v>
      </c>
      <c r="F16" s="7" t="s">
        <v>47</v>
      </c>
      <c r="G16" s="7" t="s">
        <v>44</v>
      </c>
      <c r="H16" s="7" t="s">
        <v>5822</v>
      </c>
      <c r="I16" s="7" t="s">
        <v>8882</v>
      </c>
      <c r="J16" s="7" t="s">
        <v>9299</v>
      </c>
      <c r="K16" s="7" t="s">
        <v>8740</v>
      </c>
      <c r="L16" s="76">
        <v>10006023881</v>
      </c>
      <c r="M16" s="3"/>
      <c r="N16" s="201">
        <v>46131</v>
      </c>
      <c r="O16" s="28" t="s">
        <v>11</v>
      </c>
      <c r="P16" s="28" t="s">
        <v>11</v>
      </c>
      <c r="Q16" s="28" t="s">
        <v>11</v>
      </c>
      <c r="R16" s="28" t="s">
        <v>11</v>
      </c>
      <c r="S16" s="28" t="s">
        <v>10</v>
      </c>
      <c r="T16" s="28" t="s">
        <v>11</v>
      </c>
      <c r="U16" s="28" t="s">
        <v>9</v>
      </c>
      <c r="V16" s="28" t="s">
        <v>9</v>
      </c>
      <c r="W16" s="28" t="s">
        <v>9</v>
      </c>
      <c r="X16" s="28" t="s">
        <v>9</v>
      </c>
      <c r="Y16" s="28" t="s">
        <v>9</v>
      </c>
      <c r="Z16" s="28" t="s">
        <v>9</v>
      </c>
      <c r="AA16" s="28" t="s">
        <v>9</v>
      </c>
      <c r="AB16" s="28" t="s">
        <v>9</v>
      </c>
      <c r="AC16" s="28" t="s">
        <v>9</v>
      </c>
      <c r="AD16" s="28" t="s">
        <v>9</v>
      </c>
      <c r="AE16" s="28"/>
      <c r="AF16" s="24">
        <f t="shared" si="1"/>
        <v>1</v>
      </c>
      <c r="AG16" s="24">
        <f t="shared" si="2"/>
        <v>5</v>
      </c>
      <c r="AH16" s="41" t="str" cm="1">
        <f t="array" ref="AH16">_xlfn.IFS(
$AE16=15,"Not Started",
$AG16&lt;15,"In Progress",
$AG16=15,"Completed",
SUM(AE16:AG16)&gt;15,"Error"
)</f>
        <v>In Progress</v>
      </c>
    </row>
    <row r="17" spans="1:34" ht="15.75" customHeight="1" x14ac:dyDescent="0.25">
      <c r="A17" s="248"/>
      <c r="B17" s="14">
        <v>14</v>
      </c>
      <c r="C17" s="7" t="s">
        <v>1069</v>
      </c>
      <c r="D17" s="151" t="s">
        <v>8594</v>
      </c>
      <c r="E17" s="57" t="s">
        <v>8470</v>
      </c>
      <c r="F17" s="7" t="s">
        <v>47</v>
      </c>
      <c r="G17" s="7" t="s">
        <v>44</v>
      </c>
      <c r="H17" s="7" t="s">
        <v>5822</v>
      </c>
      <c r="I17" s="7" t="s">
        <v>8882</v>
      </c>
      <c r="J17" s="7" t="s">
        <v>9300</v>
      </c>
      <c r="K17" s="7" t="s">
        <v>8741</v>
      </c>
      <c r="L17" s="76">
        <v>10006036281</v>
      </c>
      <c r="M17" s="3"/>
      <c r="N17" s="201">
        <v>46141</v>
      </c>
      <c r="O17" s="28" t="s">
        <v>11</v>
      </c>
      <c r="P17" s="28" t="s">
        <v>11</v>
      </c>
      <c r="Q17" s="28" t="s">
        <v>11</v>
      </c>
      <c r="R17" s="28" t="s">
        <v>11</v>
      </c>
      <c r="S17" s="28" t="s">
        <v>10</v>
      </c>
      <c r="T17" s="28" t="s">
        <v>11</v>
      </c>
      <c r="U17" s="28" t="s">
        <v>9</v>
      </c>
      <c r="V17" s="28" t="s">
        <v>9</v>
      </c>
      <c r="W17" s="28" t="s">
        <v>9</v>
      </c>
      <c r="X17" s="28" t="s">
        <v>9</v>
      </c>
      <c r="Y17" s="28" t="s">
        <v>9</v>
      </c>
      <c r="Z17" s="28" t="s">
        <v>9</v>
      </c>
      <c r="AA17" s="28" t="s">
        <v>9</v>
      </c>
      <c r="AB17" s="28" t="s">
        <v>9</v>
      </c>
      <c r="AC17" s="28" t="s">
        <v>9</v>
      </c>
      <c r="AD17" s="28" t="s">
        <v>10</v>
      </c>
      <c r="AE17" s="28"/>
      <c r="AF17" s="24">
        <f t="shared" si="1"/>
        <v>1</v>
      </c>
      <c r="AG17" s="24">
        <f t="shared" si="2"/>
        <v>5</v>
      </c>
      <c r="AH17" s="41" t="str" cm="1">
        <f t="array" ref="AH17">_xlfn.IFS(
$AE17=15,"Not Started",
$AG17&lt;15,"In Progress",
$AG17=15,"Completed",
SUM(AE17:AG17)&gt;15,"Error"
)</f>
        <v>In Progress</v>
      </c>
    </row>
    <row r="18" spans="1:34" ht="15.75" customHeight="1" x14ac:dyDescent="0.25">
      <c r="A18" s="248"/>
      <c r="B18" s="14">
        <v>15</v>
      </c>
      <c r="C18" s="14" t="s">
        <v>1070</v>
      </c>
      <c r="D18" s="151" t="s">
        <v>8595</v>
      </c>
      <c r="E18" s="57" t="s">
        <v>8471</v>
      </c>
      <c r="F18" s="7" t="s">
        <v>43</v>
      </c>
      <c r="G18" s="7" t="s">
        <v>44</v>
      </c>
      <c r="H18" s="7" t="s">
        <v>5822</v>
      </c>
      <c r="I18" s="7" t="s">
        <v>8882</v>
      </c>
      <c r="J18" s="7" t="s">
        <v>9301</v>
      </c>
      <c r="K18" s="7" t="s">
        <v>8742</v>
      </c>
      <c r="L18" s="76">
        <v>10006035381</v>
      </c>
      <c r="M18" s="3"/>
      <c r="N18" s="201">
        <v>46126</v>
      </c>
      <c r="O18" s="28" t="s">
        <v>11</v>
      </c>
      <c r="P18" s="28" t="s">
        <v>11</v>
      </c>
      <c r="Q18" s="28" t="s">
        <v>11</v>
      </c>
      <c r="R18" s="28" t="s">
        <v>11</v>
      </c>
      <c r="S18" s="28" t="s">
        <v>10</v>
      </c>
      <c r="T18" s="28" t="s">
        <v>11</v>
      </c>
      <c r="U18" s="28" t="s">
        <v>9</v>
      </c>
      <c r="V18" s="28" t="s">
        <v>9</v>
      </c>
      <c r="W18" s="28" t="s">
        <v>9</v>
      </c>
      <c r="X18" s="28" t="s">
        <v>9</v>
      </c>
      <c r="Y18" s="28" t="s">
        <v>9</v>
      </c>
      <c r="Z18" s="28" t="s">
        <v>9</v>
      </c>
      <c r="AA18" s="28" t="s">
        <v>9</v>
      </c>
      <c r="AB18" s="28" t="s">
        <v>9</v>
      </c>
      <c r="AC18" s="28" t="s">
        <v>9</v>
      </c>
      <c r="AD18" s="28" t="s">
        <v>10</v>
      </c>
      <c r="AE18" s="28"/>
      <c r="AF18" s="24">
        <f t="shared" si="1"/>
        <v>1</v>
      </c>
      <c r="AG18" s="24">
        <f t="shared" si="2"/>
        <v>5</v>
      </c>
      <c r="AH18" s="41" t="str" cm="1">
        <f t="array" ref="AH18">_xlfn.IFS(
$AE18=15,"Not Started",
$AG18&lt;15,"In Progress",
$AG18=15,"Completed",
SUM(AE18:AG18)&gt;15,"Error"
)</f>
        <v>In Progress</v>
      </c>
    </row>
    <row r="19" spans="1:34" ht="15.75" customHeight="1" x14ac:dyDescent="0.25">
      <c r="A19" s="248"/>
      <c r="B19" s="14">
        <v>16</v>
      </c>
      <c r="C19" s="7" t="s">
        <v>1071</v>
      </c>
      <c r="D19" s="151" t="s">
        <v>8596</v>
      </c>
      <c r="E19" s="57" t="s">
        <v>8472</v>
      </c>
      <c r="F19" s="7" t="s">
        <v>51</v>
      </c>
      <c r="G19" s="7" t="s">
        <v>44</v>
      </c>
      <c r="H19" s="7" t="s">
        <v>5822</v>
      </c>
      <c r="I19" s="7" t="s">
        <v>8882</v>
      </c>
      <c r="J19" s="7" t="s">
        <v>9302</v>
      </c>
      <c r="K19" s="7" t="s">
        <v>8743</v>
      </c>
      <c r="L19" s="76">
        <v>10006039442</v>
      </c>
      <c r="M19" s="3"/>
      <c r="N19" s="201">
        <v>46124</v>
      </c>
      <c r="O19" s="28" t="s">
        <v>11</v>
      </c>
      <c r="P19" s="28" t="s">
        <v>11</v>
      </c>
      <c r="Q19" s="28" t="s">
        <v>11</v>
      </c>
      <c r="R19" s="28" t="s">
        <v>11</v>
      </c>
      <c r="S19" s="28" t="s">
        <v>10</v>
      </c>
      <c r="T19" s="28" t="s">
        <v>11</v>
      </c>
      <c r="U19" s="28" t="s">
        <v>9</v>
      </c>
      <c r="V19" s="28" t="s">
        <v>9</v>
      </c>
      <c r="W19" s="28" t="s">
        <v>9</v>
      </c>
      <c r="X19" s="28" t="s">
        <v>9</v>
      </c>
      <c r="Y19" s="28" t="s">
        <v>9</v>
      </c>
      <c r="Z19" s="28" t="s">
        <v>9</v>
      </c>
      <c r="AA19" s="28" t="s">
        <v>9</v>
      </c>
      <c r="AB19" s="28" t="s">
        <v>9</v>
      </c>
      <c r="AC19" s="28" t="s">
        <v>9</v>
      </c>
      <c r="AD19" s="28" t="s">
        <v>10</v>
      </c>
      <c r="AE19" s="28"/>
      <c r="AF19" s="24">
        <f t="shared" si="1"/>
        <v>1</v>
      </c>
      <c r="AG19" s="24">
        <f t="shared" si="2"/>
        <v>5</v>
      </c>
      <c r="AH19" s="41" t="str" cm="1">
        <f t="array" ref="AH19">_xlfn.IFS(
$AE19=15,"Not Started",
$AG19&lt;15,"In Progress",
$AG19=15,"Completed",
SUM(AE19:AG19)&gt;15,"Error"
)</f>
        <v>In Progress</v>
      </c>
    </row>
    <row r="20" spans="1:34" ht="15.75" customHeight="1" x14ac:dyDescent="0.25">
      <c r="A20" s="248"/>
      <c r="B20" s="14">
        <v>17</v>
      </c>
      <c r="C20" s="14" t="s">
        <v>1072</v>
      </c>
      <c r="D20" s="151" t="s">
        <v>8597</v>
      </c>
      <c r="E20" s="80" t="s">
        <v>10337</v>
      </c>
      <c r="F20" s="7" t="s">
        <v>47</v>
      </c>
      <c r="G20" s="7" t="s">
        <v>44</v>
      </c>
      <c r="H20" s="7" t="s">
        <v>5822</v>
      </c>
      <c r="I20" s="7" t="s">
        <v>8882</v>
      </c>
      <c r="J20" s="7" t="s">
        <v>9303</v>
      </c>
      <c r="K20" s="7" t="s">
        <v>8744</v>
      </c>
      <c r="L20" s="76">
        <v>10006030438</v>
      </c>
      <c r="M20" s="3"/>
      <c r="N20" s="201">
        <v>46135</v>
      </c>
      <c r="O20" s="28" t="s">
        <v>11</v>
      </c>
      <c r="P20" s="28" t="s">
        <v>11</v>
      </c>
      <c r="Q20" s="28" t="s">
        <v>11</v>
      </c>
      <c r="R20" s="28" t="s">
        <v>11</v>
      </c>
      <c r="S20" s="28" t="s">
        <v>10</v>
      </c>
      <c r="T20" s="28" t="s">
        <v>11</v>
      </c>
      <c r="U20" s="28" t="s">
        <v>9</v>
      </c>
      <c r="V20" s="28" t="s">
        <v>9</v>
      </c>
      <c r="W20" s="28" t="s">
        <v>9</v>
      </c>
      <c r="X20" s="28" t="s">
        <v>9</v>
      </c>
      <c r="Y20" s="28" t="s">
        <v>9</v>
      </c>
      <c r="Z20" s="28" t="s">
        <v>9</v>
      </c>
      <c r="AA20" s="28" t="s">
        <v>9</v>
      </c>
      <c r="AB20" s="28" t="s">
        <v>9</v>
      </c>
      <c r="AC20" s="28" t="s">
        <v>9</v>
      </c>
      <c r="AD20" s="28" t="s">
        <v>10</v>
      </c>
      <c r="AE20" s="28"/>
      <c r="AF20" s="24">
        <f t="shared" si="1"/>
        <v>1</v>
      </c>
      <c r="AG20" s="24">
        <f t="shared" si="2"/>
        <v>5</v>
      </c>
      <c r="AH20" s="41" t="str" cm="1">
        <f t="array" ref="AH20">_xlfn.IFS(
$AE20=15,"Not Started",
$AG20&lt;15,"In Progress",
$AG20=15,"Completed",
SUM(AE20:AG20)&gt;15,"Error"
)</f>
        <v>In Progress</v>
      </c>
    </row>
    <row r="21" spans="1:34" ht="13" x14ac:dyDescent="0.25">
      <c r="A21" s="248"/>
      <c r="B21" s="14">
        <v>18</v>
      </c>
      <c r="C21" s="7" t="s">
        <v>1073</v>
      </c>
      <c r="D21" s="151" t="s">
        <v>8598</v>
      </c>
      <c r="E21" s="57" t="s">
        <v>8473</v>
      </c>
      <c r="F21" s="7" t="s">
        <v>47</v>
      </c>
      <c r="G21" s="7" t="s">
        <v>48</v>
      </c>
      <c r="H21" s="7" t="s">
        <v>5822</v>
      </c>
      <c r="I21" s="7" t="s">
        <v>8882</v>
      </c>
      <c r="J21" s="7" t="s">
        <v>9304</v>
      </c>
      <c r="K21" s="7" t="s">
        <v>8745</v>
      </c>
      <c r="L21" s="76">
        <v>10006036763</v>
      </c>
      <c r="M21" s="3"/>
      <c r="N21" s="201">
        <v>46121</v>
      </c>
      <c r="O21" s="28" t="s">
        <v>11</v>
      </c>
      <c r="P21" s="28" t="s">
        <v>11</v>
      </c>
      <c r="Q21" s="28" t="s">
        <v>11</v>
      </c>
      <c r="R21" s="28" t="s">
        <v>11</v>
      </c>
      <c r="S21" s="28" t="s">
        <v>9</v>
      </c>
      <c r="T21" s="28" t="s">
        <v>9</v>
      </c>
      <c r="U21" s="28" t="s">
        <v>9</v>
      </c>
      <c r="V21" s="28" t="s">
        <v>9</v>
      </c>
      <c r="W21" s="28" t="s">
        <v>9</v>
      </c>
      <c r="X21" s="28" t="s">
        <v>9</v>
      </c>
      <c r="Y21" s="28" t="s">
        <v>9</v>
      </c>
      <c r="Z21" s="28" t="s">
        <v>9</v>
      </c>
      <c r="AA21" s="28" t="s">
        <v>9</v>
      </c>
      <c r="AB21" s="28" t="s">
        <v>9</v>
      </c>
      <c r="AC21" s="28" t="s">
        <v>9</v>
      </c>
      <c r="AD21" s="28" t="s">
        <v>10</v>
      </c>
      <c r="AE21" s="28"/>
      <c r="AF21" s="24">
        <f t="shared" si="1"/>
        <v>0</v>
      </c>
      <c r="AG21" s="24">
        <f t="shared" si="2"/>
        <v>4</v>
      </c>
      <c r="AH21" s="41" t="str" cm="1">
        <f t="array" ref="AH21">_xlfn.IFS(
$AE21=15,"Not Started",
$AG21&lt;15,"In Progress",
$AG21=15,"Completed",
SUM(AE21:AG21)&gt;15,"Error"
)</f>
        <v>In Progress</v>
      </c>
    </row>
    <row r="22" spans="1:34" ht="13" x14ac:dyDescent="0.25">
      <c r="A22" s="248"/>
      <c r="B22" s="14">
        <v>19</v>
      </c>
      <c r="C22" s="14" t="s">
        <v>1074</v>
      </c>
      <c r="D22" s="151" t="s">
        <v>8599</v>
      </c>
      <c r="E22" s="57" t="s">
        <v>8474</v>
      </c>
      <c r="F22" s="7" t="s">
        <v>43</v>
      </c>
      <c r="G22" s="7" t="s">
        <v>48</v>
      </c>
      <c r="H22" s="7" t="s">
        <v>5822</v>
      </c>
      <c r="I22" s="7" t="s">
        <v>8882</v>
      </c>
      <c r="J22" s="7" t="s">
        <v>9305</v>
      </c>
      <c r="K22" s="7" t="s">
        <v>8746</v>
      </c>
      <c r="L22" s="76">
        <v>10096361738</v>
      </c>
      <c r="M22" s="3"/>
      <c r="N22" s="202"/>
      <c r="O22" s="28" t="s">
        <v>11</v>
      </c>
      <c r="P22" s="28" t="s">
        <v>11</v>
      </c>
      <c r="Q22" s="28" t="s">
        <v>11</v>
      </c>
      <c r="R22" s="28" t="s">
        <v>11</v>
      </c>
      <c r="S22" s="28" t="s">
        <v>10</v>
      </c>
      <c r="T22" s="28" t="s">
        <v>9</v>
      </c>
      <c r="U22" s="28" t="s">
        <v>9</v>
      </c>
      <c r="V22" s="28" t="s">
        <v>9</v>
      </c>
      <c r="W22" s="28" t="s">
        <v>9</v>
      </c>
      <c r="X22" s="28" t="s">
        <v>9</v>
      </c>
      <c r="Y22" s="28" t="s">
        <v>9</v>
      </c>
      <c r="Z22" s="28" t="s">
        <v>9</v>
      </c>
      <c r="AA22" s="28" t="s">
        <v>9</v>
      </c>
      <c r="AB22" s="28" t="s">
        <v>9</v>
      </c>
      <c r="AC22" s="28" t="s">
        <v>9</v>
      </c>
      <c r="AD22" s="28" t="s">
        <v>10</v>
      </c>
      <c r="AE22" s="28"/>
      <c r="AF22" s="24">
        <f t="shared" si="1"/>
        <v>1</v>
      </c>
      <c r="AG22" s="24">
        <f t="shared" si="2"/>
        <v>4</v>
      </c>
      <c r="AH22" s="41" t="str" cm="1">
        <f t="array" ref="AH22">_xlfn.IFS(
$AE22=15,"Not Started",
$AG22&lt;15,"In Progress",
$AG22=15,"Completed",
SUM(AE22:AG22)&gt;15,"Error"
)</f>
        <v>In Progress</v>
      </c>
    </row>
    <row r="23" spans="1:34" ht="13" x14ac:dyDescent="0.25">
      <c r="A23" s="248"/>
      <c r="B23" s="14">
        <v>20</v>
      </c>
      <c r="C23" s="7" t="s">
        <v>1075</v>
      </c>
      <c r="D23" s="151" t="s">
        <v>8600</v>
      </c>
      <c r="E23" s="57" t="s">
        <v>8475</v>
      </c>
      <c r="F23" s="7" t="s">
        <v>47</v>
      </c>
      <c r="G23" s="7" t="s">
        <v>48</v>
      </c>
      <c r="H23" s="7" t="s">
        <v>5822</v>
      </c>
      <c r="I23" s="7" t="s">
        <v>8882</v>
      </c>
      <c r="J23" s="7" t="s">
        <v>9306</v>
      </c>
      <c r="K23" s="7" t="s">
        <v>8747</v>
      </c>
      <c r="L23" s="76">
        <v>10096202689</v>
      </c>
      <c r="M23" s="3"/>
      <c r="N23" s="202"/>
      <c r="O23" s="28" t="s">
        <v>11</v>
      </c>
      <c r="P23" s="28" t="s">
        <v>11</v>
      </c>
      <c r="Q23" s="28" t="s">
        <v>11</v>
      </c>
      <c r="R23" s="28" t="s">
        <v>11</v>
      </c>
      <c r="S23" s="28" t="s">
        <v>10</v>
      </c>
      <c r="T23" s="28" t="s">
        <v>9</v>
      </c>
      <c r="U23" s="28" t="s">
        <v>9</v>
      </c>
      <c r="V23" s="28" t="s">
        <v>9</v>
      </c>
      <c r="W23" s="28" t="s">
        <v>9</v>
      </c>
      <c r="X23" s="28" t="s">
        <v>9</v>
      </c>
      <c r="Y23" s="28" t="s">
        <v>9</v>
      </c>
      <c r="Z23" s="28" t="s">
        <v>9</v>
      </c>
      <c r="AA23" s="28" t="s">
        <v>9</v>
      </c>
      <c r="AB23" s="28" t="s">
        <v>9</v>
      </c>
      <c r="AC23" s="28" t="s">
        <v>9</v>
      </c>
      <c r="AD23" s="28" t="s">
        <v>10</v>
      </c>
      <c r="AE23" s="28"/>
      <c r="AF23" s="24">
        <f t="shared" si="1"/>
        <v>1</v>
      </c>
      <c r="AG23" s="24">
        <f t="shared" si="2"/>
        <v>4</v>
      </c>
      <c r="AH23" s="41" t="str" cm="1">
        <f t="array" ref="AH23">_xlfn.IFS(
$AE23=15,"Not Started",
$AG23&lt;15,"In Progress",
$AG23=15,"Completed",
SUM(AE23:AG23)&gt;15,"Error"
)</f>
        <v>In Progress</v>
      </c>
    </row>
    <row r="24" spans="1:34" ht="26" x14ac:dyDescent="0.25">
      <c r="A24" s="248"/>
      <c r="B24" s="14">
        <v>21</v>
      </c>
      <c r="C24" s="14" t="s">
        <v>1076</v>
      </c>
      <c r="D24" s="150" t="s">
        <v>10304</v>
      </c>
      <c r="E24" s="80" t="s">
        <v>10336</v>
      </c>
      <c r="F24" s="7" t="s">
        <v>47</v>
      </c>
      <c r="G24" s="7" t="s">
        <v>48</v>
      </c>
      <c r="H24" s="7" t="s">
        <v>5822</v>
      </c>
      <c r="I24" s="7" t="s">
        <v>8882</v>
      </c>
      <c r="J24" s="7" t="s">
        <v>9307</v>
      </c>
      <c r="K24" s="7" t="s">
        <v>8748</v>
      </c>
      <c r="L24" s="76">
        <v>10089327594</v>
      </c>
      <c r="M24" s="3"/>
      <c r="N24" s="201">
        <v>46140</v>
      </c>
      <c r="O24" s="28" t="s">
        <v>11</v>
      </c>
      <c r="P24" s="28" t="s">
        <v>11</v>
      </c>
      <c r="Q24" s="28" t="s">
        <v>11</v>
      </c>
      <c r="R24" s="28" t="s">
        <v>11</v>
      </c>
      <c r="S24" s="28" t="s">
        <v>9</v>
      </c>
      <c r="T24" s="28" t="s">
        <v>9</v>
      </c>
      <c r="U24" s="28" t="s">
        <v>9</v>
      </c>
      <c r="V24" s="28" t="s">
        <v>9</v>
      </c>
      <c r="W24" s="28" t="s">
        <v>9</v>
      </c>
      <c r="X24" s="28" t="s">
        <v>9</v>
      </c>
      <c r="Y24" s="28" t="s">
        <v>9</v>
      </c>
      <c r="Z24" s="28" t="s">
        <v>9</v>
      </c>
      <c r="AA24" s="28" t="s">
        <v>9</v>
      </c>
      <c r="AB24" s="28" t="s">
        <v>9</v>
      </c>
      <c r="AC24" s="28" t="s">
        <v>9</v>
      </c>
      <c r="AD24" s="28" t="s">
        <v>10</v>
      </c>
      <c r="AE24" s="28"/>
      <c r="AF24" s="24">
        <f t="shared" si="1"/>
        <v>0</v>
      </c>
      <c r="AG24" s="24">
        <f t="shared" si="2"/>
        <v>4</v>
      </c>
      <c r="AH24" s="41" t="str" cm="1">
        <f t="array" ref="AH24">_xlfn.IFS(
$AE24=15,"Not Started",
$AG24&lt;15,"In Progress",
$AG24=15,"Completed",
SUM(AE24:AG24)&gt;15,"Error"
)</f>
        <v>In Progress</v>
      </c>
    </row>
    <row r="25" spans="1:34" ht="13" x14ac:dyDescent="0.25">
      <c r="A25" s="248"/>
      <c r="B25" s="14">
        <v>22</v>
      </c>
      <c r="C25" s="7" t="s">
        <v>1077</v>
      </c>
      <c r="D25" s="151" t="s">
        <v>8601</v>
      </c>
      <c r="E25" s="57" t="s">
        <v>8476</v>
      </c>
      <c r="F25" s="7" t="s">
        <v>47</v>
      </c>
      <c r="G25" s="7" t="s">
        <v>48</v>
      </c>
      <c r="H25" s="7" t="s">
        <v>5822</v>
      </c>
      <c r="I25" s="7" t="s">
        <v>8882</v>
      </c>
      <c r="J25" s="7" t="s">
        <v>9308</v>
      </c>
      <c r="K25" s="7" t="s">
        <v>8749</v>
      </c>
      <c r="L25" s="76">
        <v>10089332001</v>
      </c>
      <c r="M25" s="3"/>
      <c r="N25" s="201">
        <v>46141</v>
      </c>
      <c r="O25" s="28" t="s">
        <v>11</v>
      </c>
      <c r="P25" s="28" t="s">
        <v>11</v>
      </c>
      <c r="Q25" s="28" t="s">
        <v>11</v>
      </c>
      <c r="R25" s="28" t="s">
        <v>11</v>
      </c>
      <c r="S25" s="28" t="s">
        <v>9</v>
      </c>
      <c r="T25" s="28" t="s">
        <v>9</v>
      </c>
      <c r="U25" s="28" t="s">
        <v>9</v>
      </c>
      <c r="V25" s="28" t="s">
        <v>9</v>
      </c>
      <c r="W25" s="28" t="s">
        <v>9</v>
      </c>
      <c r="X25" s="28" t="s">
        <v>9</v>
      </c>
      <c r="Y25" s="28" t="s">
        <v>9</v>
      </c>
      <c r="Z25" s="28" t="s">
        <v>9</v>
      </c>
      <c r="AA25" s="28" t="s">
        <v>9</v>
      </c>
      <c r="AB25" s="28" t="s">
        <v>9</v>
      </c>
      <c r="AC25" s="28" t="s">
        <v>9</v>
      </c>
      <c r="AD25" s="28" t="s">
        <v>10</v>
      </c>
      <c r="AE25" s="28"/>
      <c r="AF25" s="24">
        <f t="shared" si="1"/>
        <v>0</v>
      </c>
      <c r="AG25" s="24">
        <f t="shared" si="2"/>
        <v>4</v>
      </c>
      <c r="AH25" s="41" t="str" cm="1">
        <f t="array" ref="AH25">_xlfn.IFS(
$AE25=15,"Not Started",
$AG25&lt;15,"In Progress",
$AG25=15,"Completed",
SUM(AE25:AG25)&gt;15,"Error"
)</f>
        <v>In Progress</v>
      </c>
    </row>
    <row r="26" spans="1:34" ht="26" x14ac:dyDescent="0.25">
      <c r="A26" s="248"/>
      <c r="B26" s="14">
        <v>23</v>
      </c>
      <c r="C26" s="14" t="s">
        <v>1078</v>
      </c>
      <c r="D26" s="151" t="s">
        <v>8602</v>
      </c>
      <c r="E26" s="80" t="s">
        <v>10335</v>
      </c>
      <c r="F26" s="7" t="s">
        <v>51</v>
      </c>
      <c r="G26" s="7" t="s">
        <v>44</v>
      </c>
      <c r="H26" s="7" t="s">
        <v>5822</v>
      </c>
      <c r="I26" s="7" t="s">
        <v>8882</v>
      </c>
      <c r="J26" s="7" t="s">
        <v>9309</v>
      </c>
      <c r="K26" s="7" t="s">
        <v>8750</v>
      </c>
      <c r="L26" s="76">
        <v>10006023157</v>
      </c>
      <c r="M26" s="3"/>
      <c r="N26" s="201"/>
      <c r="O26" s="28" t="s">
        <v>11</v>
      </c>
      <c r="P26" s="28" t="s">
        <v>11</v>
      </c>
      <c r="Q26" s="28" t="s">
        <v>11</v>
      </c>
      <c r="R26" s="28" t="s">
        <v>11</v>
      </c>
      <c r="S26" s="28" t="s">
        <v>10</v>
      </c>
      <c r="T26" s="28" t="s">
        <v>11</v>
      </c>
      <c r="U26" s="28" t="s">
        <v>9</v>
      </c>
      <c r="V26" s="28" t="s">
        <v>9</v>
      </c>
      <c r="W26" s="28" t="s">
        <v>9</v>
      </c>
      <c r="X26" s="28" t="s">
        <v>9</v>
      </c>
      <c r="Y26" s="28" t="s">
        <v>9</v>
      </c>
      <c r="Z26" s="28" t="s">
        <v>9</v>
      </c>
      <c r="AA26" s="28" t="s">
        <v>9</v>
      </c>
      <c r="AB26" s="28" t="s">
        <v>9</v>
      </c>
      <c r="AC26" s="28" t="s">
        <v>9</v>
      </c>
      <c r="AD26" s="28" t="s">
        <v>10</v>
      </c>
      <c r="AE26" s="28"/>
      <c r="AF26" s="24">
        <f t="shared" si="1"/>
        <v>1</v>
      </c>
      <c r="AG26" s="24">
        <f t="shared" si="2"/>
        <v>5</v>
      </c>
      <c r="AH26" s="41" t="str" cm="1">
        <f t="array" ref="AH26">_xlfn.IFS(
$AE26=15,"Not Started",
$AG26&lt;15,"In Progress",
$AG26=15,"Completed",
SUM(AE26:AG26)&gt;15,"Error"
)</f>
        <v>In Progress</v>
      </c>
    </row>
    <row r="27" spans="1:34" ht="13" x14ac:dyDescent="0.25">
      <c r="A27" s="248"/>
      <c r="B27" s="14">
        <v>24</v>
      </c>
      <c r="C27" s="7" t="s">
        <v>1079</v>
      </c>
      <c r="D27" s="151" t="s">
        <v>8603</v>
      </c>
      <c r="E27" s="57" t="s">
        <v>8477</v>
      </c>
      <c r="F27" s="7" t="s">
        <v>9670</v>
      </c>
      <c r="G27" s="7" t="s">
        <v>48</v>
      </c>
      <c r="H27" s="7" t="s">
        <v>5822</v>
      </c>
      <c r="I27" s="7" t="s">
        <v>8882</v>
      </c>
      <c r="J27" s="7" t="s">
        <v>9310</v>
      </c>
      <c r="K27" s="7" t="s">
        <v>8751</v>
      </c>
      <c r="L27" s="76">
        <v>10042315981</v>
      </c>
      <c r="M27" s="3"/>
      <c r="N27" s="201">
        <v>46124</v>
      </c>
      <c r="O27" s="28" t="s">
        <v>11</v>
      </c>
      <c r="P27" s="28" t="s">
        <v>11</v>
      </c>
      <c r="Q27" s="28" t="s">
        <v>11</v>
      </c>
      <c r="R27" s="28" t="s">
        <v>11</v>
      </c>
      <c r="S27" s="28" t="s">
        <v>10</v>
      </c>
      <c r="T27" s="28" t="s">
        <v>11</v>
      </c>
      <c r="U27" s="28" t="s">
        <v>9</v>
      </c>
      <c r="V27" s="28" t="s">
        <v>9</v>
      </c>
      <c r="W27" s="28" t="s">
        <v>9</v>
      </c>
      <c r="X27" s="28" t="s">
        <v>9</v>
      </c>
      <c r="Y27" s="28" t="s">
        <v>9</v>
      </c>
      <c r="Z27" s="28" t="s">
        <v>9</v>
      </c>
      <c r="AA27" s="28" t="s">
        <v>9</v>
      </c>
      <c r="AB27" s="28" t="s">
        <v>9</v>
      </c>
      <c r="AC27" s="28" t="s">
        <v>9</v>
      </c>
      <c r="AD27" s="28" t="s">
        <v>10</v>
      </c>
      <c r="AE27" s="28"/>
      <c r="AF27" s="24">
        <f t="shared" si="1"/>
        <v>1</v>
      </c>
      <c r="AG27" s="24">
        <f t="shared" si="2"/>
        <v>5</v>
      </c>
      <c r="AH27" s="41" t="str" cm="1">
        <f t="array" ref="AH27">_xlfn.IFS(
$AE27=15,"Not Started",
$AG27&lt;15,"In Progress",
$AG27=15,"Completed",
SUM(AE27:AG27)&gt;15,"Error"
)</f>
        <v>In Progress</v>
      </c>
    </row>
    <row r="28" spans="1:34" ht="13" x14ac:dyDescent="0.25">
      <c r="A28" s="248"/>
      <c r="B28" s="14">
        <v>25</v>
      </c>
      <c r="C28" s="14" t="s">
        <v>1080</v>
      </c>
      <c r="D28" s="151" t="s">
        <v>8604</v>
      </c>
      <c r="E28" s="57" t="s">
        <v>8478</v>
      </c>
      <c r="F28" s="7" t="s">
        <v>47</v>
      </c>
      <c r="G28" s="7" t="s">
        <v>44</v>
      </c>
      <c r="H28" s="7" t="s">
        <v>5822</v>
      </c>
      <c r="I28" s="7" t="s">
        <v>8882</v>
      </c>
      <c r="J28" s="7" t="s">
        <v>9311</v>
      </c>
      <c r="K28" s="7" t="s">
        <v>8752</v>
      </c>
      <c r="L28" s="76">
        <v>10006039433</v>
      </c>
      <c r="M28" s="3"/>
      <c r="N28" s="201"/>
      <c r="O28" s="28" t="s">
        <v>9</v>
      </c>
      <c r="P28" s="28" t="s">
        <v>9</v>
      </c>
      <c r="Q28" s="28" t="s">
        <v>9</v>
      </c>
      <c r="R28" s="28" t="s">
        <v>9</v>
      </c>
      <c r="S28" s="28" t="s">
        <v>9</v>
      </c>
      <c r="T28" s="28" t="s">
        <v>9</v>
      </c>
      <c r="U28" s="28" t="s">
        <v>9</v>
      </c>
      <c r="V28" s="28" t="s">
        <v>9</v>
      </c>
      <c r="W28" s="28" t="s">
        <v>9</v>
      </c>
      <c r="X28" s="28" t="s">
        <v>9</v>
      </c>
      <c r="Y28" s="28" t="s">
        <v>9</v>
      </c>
      <c r="Z28" s="28" t="s">
        <v>9</v>
      </c>
      <c r="AA28" s="28" t="s">
        <v>9</v>
      </c>
      <c r="AB28" s="28" t="s">
        <v>9</v>
      </c>
      <c r="AC28" s="28" t="s">
        <v>9</v>
      </c>
      <c r="AD28" s="28" t="s">
        <v>9</v>
      </c>
      <c r="AE28" s="28"/>
      <c r="AF28" s="24">
        <f t="shared" si="1"/>
        <v>0</v>
      </c>
      <c r="AG28" s="24">
        <f t="shared" si="2"/>
        <v>0</v>
      </c>
      <c r="AH28" s="41" t="str" cm="1">
        <f t="array" ref="AH28">_xlfn.IFS(
$AE28=15,"Not Started",
$AG28&lt;15,"In Progress",
$AG28=15,"Completed",
SUM(AE28:AG28)&gt;15,"Error"
)</f>
        <v>In Progress</v>
      </c>
    </row>
    <row r="29" spans="1:34" ht="13" x14ac:dyDescent="0.25">
      <c r="A29" s="248"/>
      <c r="B29" s="14">
        <v>26</v>
      </c>
      <c r="C29" s="7" t="s">
        <v>1081</v>
      </c>
      <c r="D29" s="151" t="s">
        <v>8605</v>
      </c>
      <c r="E29" s="57" t="s">
        <v>8479</v>
      </c>
      <c r="F29" s="7" t="s">
        <v>43</v>
      </c>
      <c r="G29" s="7" t="s">
        <v>44</v>
      </c>
      <c r="H29" s="7" t="s">
        <v>5822</v>
      </c>
      <c r="I29" s="7" t="s">
        <v>8882</v>
      </c>
      <c r="J29" s="7" t="s">
        <v>9312</v>
      </c>
      <c r="K29" s="7" t="s">
        <v>8753</v>
      </c>
      <c r="L29" s="76">
        <v>10006035434</v>
      </c>
      <c r="M29" s="3"/>
      <c r="N29" s="201"/>
      <c r="O29" s="28" t="s">
        <v>9</v>
      </c>
      <c r="P29" s="28" t="s">
        <v>9</v>
      </c>
      <c r="Q29" s="28" t="s">
        <v>9</v>
      </c>
      <c r="R29" s="28" t="s">
        <v>9</v>
      </c>
      <c r="S29" s="28" t="s">
        <v>9</v>
      </c>
      <c r="T29" s="28" t="s">
        <v>9</v>
      </c>
      <c r="U29" s="28" t="s">
        <v>9</v>
      </c>
      <c r="V29" s="28" t="s">
        <v>9</v>
      </c>
      <c r="W29" s="28" t="s">
        <v>9</v>
      </c>
      <c r="X29" s="28" t="s">
        <v>9</v>
      </c>
      <c r="Y29" s="28" t="s">
        <v>9</v>
      </c>
      <c r="Z29" s="28" t="s">
        <v>9</v>
      </c>
      <c r="AA29" s="28" t="s">
        <v>9</v>
      </c>
      <c r="AB29" s="28" t="s">
        <v>9</v>
      </c>
      <c r="AC29" s="28" t="s">
        <v>9</v>
      </c>
      <c r="AD29" s="28" t="s">
        <v>9</v>
      </c>
      <c r="AE29" s="28"/>
      <c r="AF29" s="24">
        <f t="shared" si="1"/>
        <v>0</v>
      </c>
      <c r="AG29" s="24">
        <f t="shared" si="2"/>
        <v>0</v>
      </c>
      <c r="AH29" s="41" t="str" cm="1">
        <f t="array" ref="AH29">_xlfn.IFS(
$AE29=15,"Not Started",
$AG29&lt;15,"In Progress",
$AG29=15,"Completed",
SUM(AE29:AG29)&gt;15,"Error"
)</f>
        <v>In Progress</v>
      </c>
    </row>
    <row r="30" spans="1:34" ht="13" x14ac:dyDescent="0.25">
      <c r="A30" s="248"/>
      <c r="B30" s="14">
        <v>27</v>
      </c>
      <c r="C30" s="14" t="s">
        <v>1082</v>
      </c>
      <c r="D30" s="151" t="s">
        <v>8606</v>
      </c>
      <c r="E30" s="57" t="s">
        <v>8480</v>
      </c>
      <c r="F30" s="7" t="s">
        <v>9670</v>
      </c>
      <c r="G30" s="7" t="s">
        <v>48</v>
      </c>
      <c r="H30" s="7" t="s">
        <v>5822</v>
      </c>
      <c r="I30" s="7" t="s">
        <v>8882</v>
      </c>
      <c r="J30" s="7" t="s">
        <v>9313</v>
      </c>
      <c r="K30" s="7" t="s">
        <v>8754</v>
      </c>
      <c r="L30" s="76">
        <v>10104030020</v>
      </c>
      <c r="M30" s="3"/>
      <c r="N30" s="201"/>
      <c r="O30" s="28" t="s">
        <v>9</v>
      </c>
      <c r="P30" s="28" t="s">
        <v>9</v>
      </c>
      <c r="Q30" s="28" t="s">
        <v>9</v>
      </c>
      <c r="R30" s="28" t="s">
        <v>9</v>
      </c>
      <c r="S30" s="28" t="s">
        <v>9</v>
      </c>
      <c r="T30" s="28" t="s">
        <v>9</v>
      </c>
      <c r="U30" s="28" t="s">
        <v>9</v>
      </c>
      <c r="V30" s="28" t="s">
        <v>9</v>
      </c>
      <c r="W30" s="28" t="s">
        <v>9</v>
      </c>
      <c r="X30" s="28" t="s">
        <v>9</v>
      </c>
      <c r="Y30" s="28" t="s">
        <v>9</v>
      </c>
      <c r="Z30" s="28" t="s">
        <v>9</v>
      </c>
      <c r="AA30" s="28" t="s">
        <v>9</v>
      </c>
      <c r="AB30" s="28" t="s">
        <v>9</v>
      </c>
      <c r="AC30" s="28" t="s">
        <v>9</v>
      </c>
      <c r="AD30" s="28" t="s">
        <v>9</v>
      </c>
      <c r="AE30" s="28"/>
      <c r="AF30" s="24">
        <f t="shared" si="1"/>
        <v>0</v>
      </c>
      <c r="AG30" s="24">
        <f t="shared" si="2"/>
        <v>0</v>
      </c>
      <c r="AH30" s="41" t="str" cm="1">
        <f t="array" ref="AH30">_xlfn.IFS(
$AE30=15,"Not Started",
$AG30&lt;15,"In Progress",
$AG30=15,"Completed",
SUM(AE30:AG30)&gt;15,"Error"
)</f>
        <v>In Progress</v>
      </c>
    </row>
    <row r="31" spans="1:34" ht="13" x14ac:dyDescent="0.25">
      <c r="A31" s="248"/>
      <c r="B31" s="14">
        <v>28</v>
      </c>
      <c r="C31" s="7" t="s">
        <v>1083</v>
      </c>
      <c r="D31" s="151" t="s">
        <v>8607</v>
      </c>
      <c r="E31" s="57" t="s">
        <v>8481</v>
      </c>
      <c r="F31" s="7" t="s">
        <v>47</v>
      </c>
      <c r="G31" s="7" t="s">
        <v>44</v>
      </c>
      <c r="H31" s="7" t="s">
        <v>5822</v>
      </c>
      <c r="I31" s="7" t="s">
        <v>8882</v>
      </c>
      <c r="J31" s="7" t="s">
        <v>9314</v>
      </c>
      <c r="K31" s="7" t="s">
        <v>8755</v>
      </c>
      <c r="L31" s="76">
        <v>10006041843</v>
      </c>
      <c r="M31" s="3"/>
      <c r="N31" s="202"/>
      <c r="O31" s="28" t="s">
        <v>11</v>
      </c>
      <c r="P31" s="28" t="s">
        <v>11</v>
      </c>
      <c r="Q31" s="28" t="s">
        <v>11</v>
      </c>
      <c r="R31" s="28" t="s">
        <v>11</v>
      </c>
      <c r="S31" s="28" t="s">
        <v>9</v>
      </c>
      <c r="T31" s="28" t="s">
        <v>9</v>
      </c>
      <c r="U31" s="28" t="s">
        <v>9</v>
      </c>
      <c r="V31" s="28" t="s">
        <v>9</v>
      </c>
      <c r="W31" s="28" t="s">
        <v>9</v>
      </c>
      <c r="X31" s="28" t="s">
        <v>9</v>
      </c>
      <c r="Y31" s="28" t="s">
        <v>9</v>
      </c>
      <c r="Z31" s="28" t="s">
        <v>9</v>
      </c>
      <c r="AA31" s="28" t="s">
        <v>9</v>
      </c>
      <c r="AB31" s="28" t="s">
        <v>9</v>
      </c>
      <c r="AC31" s="28" t="s">
        <v>9</v>
      </c>
      <c r="AD31" s="28" t="s">
        <v>10</v>
      </c>
      <c r="AE31" s="28"/>
      <c r="AF31" s="24">
        <f t="shared" si="1"/>
        <v>0</v>
      </c>
      <c r="AG31" s="24">
        <f t="shared" si="2"/>
        <v>4</v>
      </c>
      <c r="AH31" s="41" t="str" cm="1">
        <f t="array" ref="AH31">_xlfn.IFS(
$AE31=15,"Not Started",
$AG31&lt;15,"In Progress",
$AG31=15,"Completed",
SUM(AE31:AG31)&gt;15,"Error"
)</f>
        <v>In Progress</v>
      </c>
    </row>
    <row r="32" spans="1:34" ht="26" x14ac:dyDescent="0.25">
      <c r="A32" s="248"/>
      <c r="B32" s="14">
        <v>29</v>
      </c>
      <c r="C32" s="14" t="s">
        <v>1084</v>
      </c>
      <c r="D32" s="151" t="s">
        <v>8608</v>
      </c>
      <c r="E32" s="80" t="s">
        <v>10334</v>
      </c>
      <c r="F32" s="7" t="s">
        <v>51</v>
      </c>
      <c r="G32" s="7" t="s">
        <v>48</v>
      </c>
      <c r="H32" s="7" t="s">
        <v>5822</v>
      </c>
      <c r="I32" s="7" t="s">
        <v>8882</v>
      </c>
      <c r="J32" s="7" t="s">
        <v>9315</v>
      </c>
      <c r="K32" s="7" t="s">
        <v>8756</v>
      </c>
      <c r="L32" s="76">
        <v>10006037591</v>
      </c>
      <c r="M32" s="3"/>
      <c r="N32" s="201">
        <v>46138</v>
      </c>
      <c r="O32" s="28" t="s">
        <v>11</v>
      </c>
      <c r="P32" s="28" t="s">
        <v>11</v>
      </c>
      <c r="Q32" s="28" t="s">
        <v>11</v>
      </c>
      <c r="R32" s="28" t="s">
        <v>11</v>
      </c>
      <c r="S32" s="28" t="s">
        <v>9</v>
      </c>
      <c r="T32" s="28" t="s">
        <v>9</v>
      </c>
      <c r="U32" s="28" t="s">
        <v>9</v>
      </c>
      <c r="V32" s="28" t="s">
        <v>9</v>
      </c>
      <c r="W32" s="28" t="s">
        <v>9</v>
      </c>
      <c r="X32" s="28" t="s">
        <v>9</v>
      </c>
      <c r="Y32" s="28" t="s">
        <v>9</v>
      </c>
      <c r="Z32" s="28" t="s">
        <v>9</v>
      </c>
      <c r="AA32" s="28" t="s">
        <v>9</v>
      </c>
      <c r="AB32" s="28" t="s">
        <v>9</v>
      </c>
      <c r="AC32" s="28" t="s">
        <v>9</v>
      </c>
      <c r="AD32" s="28" t="s">
        <v>10</v>
      </c>
      <c r="AE32" s="28"/>
      <c r="AF32" s="24">
        <f t="shared" si="1"/>
        <v>0</v>
      </c>
      <c r="AG32" s="24">
        <f t="shared" si="2"/>
        <v>4</v>
      </c>
      <c r="AH32" s="41" t="str" cm="1">
        <f t="array" ref="AH32">_xlfn.IFS(
$AE32=15,"Not Started",
$AG32&lt;15,"In Progress",
$AG32=15,"Completed",
SUM(AE32:AG32)&gt;15,"Error"
)</f>
        <v>In Progress</v>
      </c>
    </row>
    <row r="33" spans="1:34" ht="26" x14ac:dyDescent="0.25">
      <c r="A33" s="248"/>
      <c r="B33" s="14">
        <v>30</v>
      </c>
      <c r="C33" s="7" t="s">
        <v>1085</v>
      </c>
      <c r="D33" s="150" t="s">
        <v>10305</v>
      </c>
      <c r="E33" s="80" t="s">
        <v>10333</v>
      </c>
      <c r="F33" s="7" t="s">
        <v>43</v>
      </c>
      <c r="G33" s="7" t="s">
        <v>48</v>
      </c>
      <c r="H33" s="7" t="s">
        <v>5822</v>
      </c>
      <c r="I33" s="7" t="s">
        <v>8882</v>
      </c>
      <c r="J33" s="7" t="s">
        <v>9316</v>
      </c>
      <c r="K33" s="7" t="s">
        <v>8757</v>
      </c>
      <c r="L33" s="76">
        <v>10006035247</v>
      </c>
      <c r="M33" s="3"/>
      <c r="N33" s="201">
        <v>46134</v>
      </c>
      <c r="O33" s="28" t="s">
        <v>11</v>
      </c>
      <c r="P33" s="28" t="s">
        <v>11</v>
      </c>
      <c r="Q33" s="28" t="s">
        <v>11</v>
      </c>
      <c r="R33" s="28" t="s">
        <v>11</v>
      </c>
      <c r="S33" s="28" t="s">
        <v>10</v>
      </c>
      <c r="T33" s="28" t="s">
        <v>9</v>
      </c>
      <c r="U33" s="28" t="s">
        <v>9</v>
      </c>
      <c r="V33" s="28" t="s">
        <v>9</v>
      </c>
      <c r="W33" s="28" t="s">
        <v>9</v>
      </c>
      <c r="X33" s="28" t="s">
        <v>9</v>
      </c>
      <c r="Y33" s="28" t="s">
        <v>9</v>
      </c>
      <c r="Z33" s="28" t="s">
        <v>9</v>
      </c>
      <c r="AA33" s="28" t="s">
        <v>9</v>
      </c>
      <c r="AB33" s="28" t="s">
        <v>9</v>
      </c>
      <c r="AC33" s="28" t="s">
        <v>9</v>
      </c>
      <c r="AD33" s="28" t="s">
        <v>10</v>
      </c>
      <c r="AE33" s="28"/>
      <c r="AF33" s="24">
        <f t="shared" si="1"/>
        <v>1</v>
      </c>
      <c r="AG33" s="24">
        <f t="shared" si="2"/>
        <v>4</v>
      </c>
      <c r="AH33" s="41" t="str" cm="1">
        <f t="array" ref="AH33">_xlfn.IFS(
$AE33=15,"Not Started",
$AG33&lt;15,"In Progress",
$AG33=15,"Completed",
SUM(AE33:AG33)&gt;15,"Error"
)</f>
        <v>In Progress</v>
      </c>
    </row>
    <row r="34" spans="1:34" ht="13" x14ac:dyDescent="0.25">
      <c r="A34" s="248"/>
      <c r="B34" s="14">
        <v>31</v>
      </c>
      <c r="C34" s="14" t="s">
        <v>1086</v>
      </c>
      <c r="D34" s="151" t="s">
        <v>8609</v>
      </c>
      <c r="E34" s="57" t="s">
        <v>8482</v>
      </c>
      <c r="F34" s="7" t="s">
        <v>43</v>
      </c>
      <c r="G34" s="7" t="s">
        <v>48</v>
      </c>
      <c r="H34" s="7" t="s">
        <v>5822</v>
      </c>
      <c r="I34" s="7" t="s">
        <v>8882</v>
      </c>
      <c r="J34" s="7" t="s">
        <v>9317</v>
      </c>
      <c r="K34" s="7" t="s">
        <v>8758</v>
      </c>
      <c r="L34" s="76">
        <v>10006024216</v>
      </c>
      <c r="M34" s="3"/>
      <c r="N34" s="201"/>
      <c r="O34" s="28" t="s">
        <v>9</v>
      </c>
      <c r="P34" s="28" t="s">
        <v>9</v>
      </c>
      <c r="Q34" s="28" t="s">
        <v>9</v>
      </c>
      <c r="R34" s="28" t="s">
        <v>9</v>
      </c>
      <c r="S34" s="28" t="s">
        <v>9</v>
      </c>
      <c r="T34" s="28" t="s">
        <v>9</v>
      </c>
      <c r="U34" s="28" t="s">
        <v>9</v>
      </c>
      <c r="V34" s="28" t="s">
        <v>9</v>
      </c>
      <c r="W34" s="28" t="s">
        <v>9</v>
      </c>
      <c r="X34" s="28" t="s">
        <v>9</v>
      </c>
      <c r="Y34" s="28" t="s">
        <v>9</v>
      </c>
      <c r="Z34" s="28" t="s">
        <v>9</v>
      </c>
      <c r="AA34" s="28" t="s">
        <v>9</v>
      </c>
      <c r="AB34" s="28" t="s">
        <v>9</v>
      </c>
      <c r="AC34" s="28" t="s">
        <v>9</v>
      </c>
      <c r="AD34" s="28" t="s">
        <v>9</v>
      </c>
      <c r="AE34" s="28"/>
      <c r="AF34" s="24">
        <f t="shared" si="1"/>
        <v>0</v>
      </c>
      <c r="AG34" s="24">
        <f t="shared" si="2"/>
        <v>0</v>
      </c>
      <c r="AH34" s="41" t="str" cm="1">
        <f t="array" ref="AH34">_xlfn.IFS(
$AE34=15,"Not Started",
$AG34&lt;15,"In Progress",
$AG34=15,"Completed",
SUM(AE34:AG34)&gt;15,"Error"
)</f>
        <v>In Progress</v>
      </c>
    </row>
    <row r="35" spans="1:34" ht="26" x14ac:dyDescent="0.25">
      <c r="A35" s="248"/>
      <c r="B35" s="14">
        <v>32</v>
      </c>
      <c r="C35" s="7" t="s">
        <v>1087</v>
      </c>
      <c r="D35" s="151" t="s">
        <v>8610</v>
      </c>
      <c r="E35" s="80" t="s">
        <v>10332</v>
      </c>
      <c r="F35" s="7" t="s">
        <v>51</v>
      </c>
      <c r="G35" s="7" t="s">
        <v>44</v>
      </c>
      <c r="H35" s="7" t="s">
        <v>5822</v>
      </c>
      <c r="I35" s="7" t="s">
        <v>8882</v>
      </c>
      <c r="J35" s="7" t="s">
        <v>9318</v>
      </c>
      <c r="K35" s="7" t="s">
        <v>8759</v>
      </c>
      <c r="L35" s="76">
        <v>10006030591</v>
      </c>
      <c r="M35" s="3"/>
      <c r="N35" s="201"/>
      <c r="O35" s="28" t="s">
        <v>9</v>
      </c>
      <c r="P35" s="28" t="s">
        <v>9</v>
      </c>
      <c r="Q35" s="28" t="s">
        <v>9</v>
      </c>
      <c r="R35" s="28" t="s">
        <v>9</v>
      </c>
      <c r="S35" s="28" t="s">
        <v>9</v>
      </c>
      <c r="T35" s="28" t="s">
        <v>9</v>
      </c>
      <c r="U35" s="28" t="s">
        <v>9</v>
      </c>
      <c r="V35" s="28" t="s">
        <v>9</v>
      </c>
      <c r="W35" s="28" t="s">
        <v>9</v>
      </c>
      <c r="X35" s="28" t="s">
        <v>9</v>
      </c>
      <c r="Y35" s="28" t="s">
        <v>9</v>
      </c>
      <c r="Z35" s="28" t="s">
        <v>9</v>
      </c>
      <c r="AA35" s="28" t="s">
        <v>9</v>
      </c>
      <c r="AB35" s="28" t="s">
        <v>9</v>
      </c>
      <c r="AC35" s="28" t="s">
        <v>9</v>
      </c>
      <c r="AD35" s="28" t="s">
        <v>9</v>
      </c>
      <c r="AE35" s="28"/>
      <c r="AF35" s="24">
        <f t="shared" si="1"/>
        <v>0</v>
      </c>
      <c r="AG35" s="24">
        <f t="shared" si="2"/>
        <v>0</v>
      </c>
      <c r="AH35" s="41" t="str" cm="1">
        <f t="array" ref="AH35">_xlfn.IFS(
$AE35=15,"Not Started",
$AG35&lt;15,"In Progress",
$AG35=15,"Completed",
SUM(AE35:AG35)&gt;15,"Error"
)</f>
        <v>In Progress</v>
      </c>
    </row>
    <row r="36" spans="1:34" ht="13" x14ac:dyDescent="0.25">
      <c r="A36" s="248"/>
      <c r="B36" s="14">
        <v>33</v>
      </c>
      <c r="C36" s="14" t="s">
        <v>1088</v>
      </c>
      <c r="D36" s="151" t="s">
        <v>8611</v>
      </c>
      <c r="E36" s="57" t="s">
        <v>8483</v>
      </c>
      <c r="F36" s="7" t="s">
        <v>43</v>
      </c>
      <c r="G36" s="7" t="s">
        <v>44</v>
      </c>
      <c r="H36" s="7" t="s">
        <v>5822</v>
      </c>
      <c r="I36" s="7" t="s">
        <v>8882</v>
      </c>
      <c r="J36" s="7" t="s">
        <v>9319</v>
      </c>
      <c r="K36" s="7" t="s">
        <v>8760</v>
      </c>
      <c r="L36" s="76">
        <v>10087048294</v>
      </c>
      <c r="M36" s="3"/>
      <c r="N36" s="201"/>
      <c r="O36" s="28" t="s">
        <v>9</v>
      </c>
      <c r="P36" s="28" t="s">
        <v>9</v>
      </c>
      <c r="Q36" s="28" t="s">
        <v>9</v>
      </c>
      <c r="R36" s="28" t="s">
        <v>9</v>
      </c>
      <c r="S36" s="28" t="s">
        <v>9</v>
      </c>
      <c r="T36" s="28" t="s">
        <v>9</v>
      </c>
      <c r="U36" s="28" t="s">
        <v>9</v>
      </c>
      <c r="V36" s="28" t="s">
        <v>9</v>
      </c>
      <c r="W36" s="28" t="s">
        <v>9</v>
      </c>
      <c r="X36" s="28" t="s">
        <v>9</v>
      </c>
      <c r="Y36" s="28" t="s">
        <v>9</v>
      </c>
      <c r="Z36" s="28" t="s">
        <v>9</v>
      </c>
      <c r="AA36" s="28" t="s">
        <v>9</v>
      </c>
      <c r="AB36" s="28" t="s">
        <v>9</v>
      </c>
      <c r="AC36" s="28" t="s">
        <v>9</v>
      </c>
      <c r="AD36" s="28" t="s">
        <v>9</v>
      </c>
      <c r="AE36" s="28"/>
      <c r="AF36" s="24">
        <f t="shared" ref="AF36:AF67" si="3">COUNTIF(O36:AC36,$AF$2)</f>
        <v>0</v>
      </c>
      <c r="AG36" s="24">
        <f t="shared" ref="AG36:AG67" si="4">COUNTIF(O36:AC36,$AG$2)</f>
        <v>0</v>
      </c>
      <c r="AH36" s="41" t="str" cm="1">
        <f t="array" ref="AH36">_xlfn.IFS(
$AE36=15,"Not Started",
$AG36&lt;15,"In Progress",
$AG36=15,"Completed",
SUM(AE36:AG36)&gt;15,"Error"
)</f>
        <v>In Progress</v>
      </c>
    </row>
    <row r="37" spans="1:34" ht="26" x14ac:dyDescent="0.25">
      <c r="A37" s="248"/>
      <c r="B37" s="14">
        <v>34</v>
      </c>
      <c r="C37" s="7" t="s">
        <v>1089</v>
      </c>
      <c r="D37" s="150" t="s">
        <v>10303</v>
      </c>
      <c r="E37" s="80" t="s">
        <v>10319</v>
      </c>
      <c r="F37" s="7" t="s">
        <v>47</v>
      </c>
      <c r="G37" s="7" t="s">
        <v>48</v>
      </c>
      <c r="H37" s="7" t="s">
        <v>5822</v>
      </c>
      <c r="I37" s="7" t="s">
        <v>8882</v>
      </c>
      <c r="J37" s="7" t="s">
        <v>9320</v>
      </c>
      <c r="K37" s="7" t="s">
        <v>8761</v>
      </c>
      <c r="L37" s="76">
        <v>10006041502</v>
      </c>
      <c r="M37" s="3"/>
      <c r="N37" s="201"/>
      <c r="O37" s="28" t="s">
        <v>9</v>
      </c>
      <c r="P37" s="28" t="s">
        <v>9</v>
      </c>
      <c r="Q37" s="28" t="s">
        <v>9</v>
      </c>
      <c r="R37" s="28" t="s">
        <v>9</v>
      </c>
      <c r="S37" s="28" t="s">
        <v>9</v>
      </c>
      <c r="T37" s="28" t="s">
        <v>9</v>
      </c>
      <c r="U37" s="28" t="s">
        <v>9</v>
      </c>
      <c r="V37" s="28" t="s">
        <v>9</v>
      </c>
      <c r="W37" s="28" t="s">
        <v>9</v>
      </c>
      <c r="X37" s="28" t="s">
        <v>9</v>
      </c>
      <c r="Y37" s="28" t="s">
        <v>9</v>
      </c>
      <c r="Z37" s="28" t="s">
        <v>9</v>
      </c>
      <c r="AA37" s="28" t="s">
        <v>9</v>
      </c>
      <c r="AB37" s="28" t="s">
        <v>9</v>
      </c>
      <c r="AC37" s="28" t="s">
        <v>9</v>
      </c>
      <c r="AD37" s="28" t="s">
        <v>9</v>
      </c>
      <c r="AE37" s="28"/>
      <c r="AF37" s="24">
        <f t="shared" si="3"/>
        <v>0</v>
      </c>
      <c r="AG37" s="24">
        <f t="shared" si="4"/>
        <v>0</v>
      </c>
      <c r="AH37" s="41" t="str" cm="1">
        <f t="array" ref="AH37">_xlfn.IFS(
$AE37=15,"Not Started",
$AG37&lt;15,"In Progress",
$AG37=15,"Completed",
SUM(AE37:AG37)&gt;15,"Error"
)</f>
        <v>In Progress</v>
      </c>
    </row>
    <row r="38" spans="1:34" ht="13" x14ac:dyDescent="0.25">
      <c r="A38" s="248"/>
      <c r="B38" s="14">
        <v>35</v>
      </c>
      <c r="C38" s="14" t="s">
        <v>1090</v>
      </c>
      <c r="D38" s="151" t="s">
        <v>8612</v>
      </c>
      <c r="E38" s="57" t="s">
        <v>8484</v>
      </c>
      <c r="F38" s="7" t="s">
        <v>43</v>
      </c>
      <c r="G38" s="7" t="s">
        <v>48</v>
      </c>
      <c r="H38" s="7" t="s">
        <v>5822</v>
      </c>
      <c r="I38" s="7" t="s">
        <v>8882</v>
      </c>
      <c r="J38" s="7" t="s">
        <v>9321</v>
      </c>
      <c r="K38" s="7" t="s">
        <v>8762</v>
      </c>
      <c r="L38" s="76">
        <v>10006030053</v>
      </c>
      <c r="M38" s="3"/>
      <c r="N38" s="201"/>
      <c r="O38" s="28" t="s">
        <v>9</v>
      </c>
      <c r="P38" s="28" t="s">
        <v>9</v>
      </c>
      <c r="Q38" s="28" t="s">
        <v>9</v>
      </c>
      <c r="R38" s="28" t="s">
        <v>9</v>
      </c>
      <c r="S38" s="28" t="s">
        <v>9</v>
      </c>
      <c r="T38" s="28" t="s">
        <v>9</v>
      </c>
      <c r="U38" s="28" t="s">
        <v>9</v>
      </c>
      <c r="V38" s="28" t="s">
        <v>9</v>
      </c>
      <c r="W38" s="28" t="s">
        <v>9</v>
      </c>
      <c r="X38" s="28" t="s">
        <v>9</v>
      </c>
      <c r="Y38" s="28" t="s">
        <v>9</v>
      </c>
      <c r="Z38" s="28" t="s">
        <v>9</v>
      </c>
      <c r="AA38" s="28" t="s">
        <v>9</v>
      </c>
      <c r="AB38" s="28" t="s">
        <v>9</v>
      </c>
      <c r="AC38" s="28" t="s">
        <v>9</v>
      </c>
      <c r="AD38" s="28" t="s">
        <v>9</v>
      </c>
      <c r="AE38" s="28"/>
      <c r="AF38" s="24">
        <f t="shared" si="3"/>
        <v>0</v>
      </c>
      <c r="AG38" s="24">
        <f t="shared" si="4"/>
        <v>0</v>
      </c>
      <c r="AH38" s="41" t="str" cm="1">
        <f t="array" ref="AH38">_xlfn.IFS(
$AE38=15,"Not Started",
$AG38&lt;15,"In Progress",
$AG38=15,"Completed",
SUM(AE38:AG38)&gt;15,"Error"
)</f>
        <v>In Progress</v>
      </c>
    </row>
    <row r="39" spans="1:34" ht="13" x14ac:dyDescent="0.25">
      <c r="A39" s="248"/>
      <c r="B39" s="14">
        <v>36</v>
      </c>
      <c r="C39" s="7" t="s">
        <v>1091</v>
      </c>
      <c r="D39" s="151" t="s">
        <v>8613</v>
      </c>
      <c r="E39" s="57" t="s">
        <v>8485</v>
      </c>
      <c r="F39" s="7" t="s">
        <v>47</v>
      </c>
      <c r="G39" s="7" t="s">
        <v>44</v>
      </c>
      <c r="H39" s="7" t="s">
        <v>5822</v>
      </c>
      <c r="I39" s="7" t="s">
        <v>8882</v>
      </c>
      <c r="J39" s="7" t="s">
        <v>9322</v>
      </c>
      <c r="K39" s="7" t="s">
        <v>8763</v>
      </c>
      <c r="L39" s="76">
        <v>10006025634</v>
      </c>
      <c r="M39" s="3"/>
      <c r="N39" s="201"/>
      <c r="O39" s="28" t="s">
        <v>9</v>
      </c>
      <c r="P39" s="28" t="s">
        <v>9</v>
      </c>
      <c r="Q39" s="28" t="s">
        <v>9</v>
      </c>
      <c r="R39" s="28" t="s">
        <v>9</v>
      </c>
      <c r="S39" s="28" t="s">
        <v>9</v>
      </c>
      <c r="T39" s="28" t="s">
        <v>9</v>
      </c>
      <c r="U39" s="28" t="s">
        <v>9</v>
      </c>
      <c r="V39" s="28" t="s">
        <v>9</v>
      </c>
      <c r="W39" s="28" t="s">
        <v>9</v>
      </c>
      <c r="X39" s="28" t="s">
        <v>9</v>
      </c>
      <c r="Y39" s="28" t="s">
        <v>9</v>
      </c>
      <c r="Z39" s="28" t="s">
        <v>9</v>
      </c>
      <c r="AA39" s="28" t="s">
        <v>9</v>
      </c>
      <c r="AB39" s="28" t="s">
        <v>9</v>
      </c>
      <c r="AC39" s="28" t="s">
        <v>9</v>
      </c>
      <c r="AD39" s="28" t="s">
        <v>9</v>
      </c>
      <c r="AE39" s="28"/>
      <c r="AF39" s="24">
        <f t="shared" si="3"/>
        <v>0</v>
      </c>
      <c r="AG39" s="24">
        <f t="shared" si="4"/>
        <v>0</v>
      </c>
      <c r="AH39" s="41" t="str" cm="1">
        <f t="array" ref="AH39">_xlfn.IFS(
$AE39=15,"Not Started",
$AG39&lt;15,"In Progress",
$AG39=15,"Completed",
SUM(AE39:AG39)&gt;15,"Error"
)</f>
        <v>In Progress</v>
      </c>
    </row>
    <row r="40" spans="1:34" ht="26" x14ac:dyDescent="0.25">
      <c r="A40" s="248"/>
      <c r="B40" s="14">
        <v>37</v>
      </c>
      <c r="C40" s="14" t="s">
        <v>1092</v>
      </c>
      <c r="D40" s="150" t="s">
        <v>10302</v>
      </c>
      <c r="E40" s="80" t="s">
        <v>10320</v>
      </c>
      <c r="F40" s="7" t="s">
        <v>51</v>
      </c>
      <c r="G40" s="7" t="s">
        <v>48</v>
      </c>
      <c r="H40" s="7" t="s">
        <v>5822</v>
      </c>
      <c r="I40" s="7" t="s">
        <v>8882</v>
      </c>
      <c r="J40" s="7" t="s">
        <v>9323</v>
      </c>
      <c r="K40" s="7" t="s">
        <v>8764</v>
      </c>
      <c r="L40" s="76">
        <v>10006035345</v>
      </c>
      <c r="M40" s="3"/>
      <c r="N40" s="201">
        <v>46137</v>
      </c>
      <c r="O40" s="28" t="s">
        <v>11</v>
      </c>
      <c r="P40" s="28" t="s">
        <v>11</v>
      </c>
      <c r="Q40" s="28" t="s">
        <v>11</v>
      </c>
      <c r="R40" s="28" t="s">
        <v>11</v>
      </c>
      <c r="S40" s="28" t="s">
        <v>9</v>
      </c>
      <c r="T40" s="28" t="s">
        <v>9</v>
      </c>
      <c r="U40" s="28" t="s">
        <v>9</v>
      </c>
      <c r="V40" s="28" t="s">
        <v>9</v>
      </c>
      <c r="W40" s="28" t="s">
        <v>9</v>
      </c>
      <c r="X40" s="28" t="s">
        <v>9</v>
      </c>
      <c r="Y40" s="28" t="s">
        <v>9</v>
      </c>
      <c r="Z40" s="28" t="s">
        <v>9</v>
      </c>
      <c r="AA40" s="28" t="s">
        <v>9</v>
      </c>
      <c r="AB40" s="28" t="s">
        <v>9</v>
      </c>
      <c r="AC40" s="28" t="s">
        <v>9</v>
      </c>
      <c r="AD40" s="28" t="s">
        <v>10</v>
      </c>
      <c r="AE40" s="28"/>
      <c r="AF40" s="24">
        <f t="shared" si="3"/>
        <v>0</v>
      </c>
      <c r="AG40" s="24">
        <f t="shared" si="4"/>
        <v>4</v>
      </c>
      <c r="AH40" s="41" t="str" cm="1">
        <f t="array" ref="AH40">_xlfn.IFS(
$AE40=15,"Not Started",
$AG40&lt;15,"In Progress",
$AG40=15,"Completed",
SUM(AE40:AG40)&gt;15,"Error"
)</f>
        <v>In Progress</v>
      </c>
    </row>
    <row r="41" spans="1:34" ht="13" x14ac:dyDescent="0.25">
      <c r="A41" s="248"/>
      <c r="B41" s="14">
        <v>38</v>
      </c>
      <c r="C41" s="7" t="s">
        <v>1093</v>
      </c>
      <c r="D41" s="151" t="s">
        <v>8614</v>
      </c>
      <c r="E41" s="57" t="s">
        <v>8486</v>
      </c>
      <c r="F41" s="7" t="s">
        <v>43</v>
      </c>
      <c r="G41" s="7" t="s">
        <v>48</v>
      </c>
      <c r="H41" s="7" t="s">
        <v>5822</v>
      </c>
      <c r="I41" s="7" t="s">
        <v>8882</v>
      </c>
      <c r="J41" s="7" t="s">
        <v>9324</v>
      </c>
      <c r="K41" s="7" t="s">
        <v>8765</v>
      </c>
      <c r="L41" s="76">
        <v>10006037537</v>
      </c>
      <c r="M41" s="3"/>
      <c r="N41" s="201"/>
      <c r="O41" s="28" t="s">
        <v>9</v>
      </c>
      <c r="P41" s="28" t="s">
        <v>9</v>
      </c>
      <c r="Q41" s="28" t="s">
        <v>9</v>
      </c>
      <c r="R41" s="28" t="s">
        <v>9</v>
      </c>
      <c r="S41" s="28" t="s">
        <v>9</v>
      </c>
      <c r="T41" s="28" t="s">
        <v>9</v>
      </c>
      <c r="U41" s="28" t="s">
        <v>9</v>
      </c>
      <c r="V41" s="28" t="s">
        <v>9</v>
      </c>
      <c r="W41" s="28" t="s">
        <v>9</v>
      </c>
      <c r="X41" s="28" t="s">
        <v>9</v>
      </c>
      <c r="Y41" s="28" t="s">
        <v>9</v>
      </c>
      <c r="Z41" s="28" t="s">
        <v>9</v>
      </c>
      <c r="AA41" s="28" t="s">
        <v>9</v>
      </c>
      <c r="AB41" s="28" t="s">
        <v>9</v>
      </c>
      <c r="AC41" s="28" t="s">
        <v>9</v>
      </c>
      <c r="AD41" s="28" t="s">
        <v>9</v>
      </c>
      <c r="AE41" s="28"/>
      <c r="AF41" s="24">
        <f t="shared" si="3"/>
        <v>0</v>
      </c>
      <c r="AG41" s="24">
        <f t="shared" si="4"/>
        <v>0</v>
      </c>
      <c r="AH41" s="41" t="str" cm="1">
        <f t="array" ref="AH41">_xlfn.IFS(
$AE41=15,"Not Started",
$AG41&lt;15,"In Progress",
$AG41=15,"Completed",
SUM(AE41:AG41)&gt;15,"Error"
)</f>
        <v>In Progress</v>
      </c>
    </row>
    <row r="42" spans="1:34" ht="13" x14ac:dyDescent="0.25">
      <c r="A42" s="248"/>
      <c r="B42" s="14">
        <v>39</v>
      </c>
      <c r="C42" s="14" t="s">
        <v>1094</v>
      </c>
      <c r="D42" s="151" t="s">
        <v>8615</v>
      </c>
      <c r="E42" s="57" t="s">
        <v>8487</v>
      </c>
      <c r="F42" s="7" t="s">
        <v>9670</v>
      </c>
      <c r="G42" s="7" t="s">
        <v>48</v>
      </c>
      <c r="H42" s="7" t="s">
        <v>5822</v>
      </c>
      <c r="I42" s="7" t="s">
        <v>8882</v>
      </c>
      <c r="J42" s="7" t="s">
        <v>9325</v>
      </c>
      <c r="K42" s="7" t="s">
        <v>8766</v>
      </c>
      <c r="L42" s="76">
        <v>10103920716</v>
      </c>
      <c r="M42" s="3"/>
      <c r="N42" s="202"/>
      <c r="O42" s="28" t="s">
        <v>11</v>
      </c>
      <c r="P42" s="28" t="s">
        <v>11</v>
      </c>
      <c r="Q42" s="28" t="s">
        <v>11</v>
      </c>
      <c r="R42" s="28" t="s">
        <v>11</v>
      </c>
      <c r="S42" s="28" t="s">
        <v>10</v>
      </c>
      <c r="T42" s="28" t="s">
        <v>9</v>
      </c>
      <c r="U42" s="28" t="s">
        <v>9</v>
      </c>
      <c r="V42" s="28" t="s">
        <v>9</v>
      </c>
      <c r="W42" s="28" t="s">
        <v>9</v>
      </c>
      <c r="X42" s="28" t="s">
        <v>9</v>
      </c>
      <c r="Y42" s="28" t="s">
        <v>9</v>
      </c>
      <c r="Z42" s="28" t="s">
        <v>9</v>
      </c>
      <c r="AA42" s="28" t="s">
        <v>9</v>
      </c>
      <c r="AB42" s="28" t="s">
        <v>9</v>
      </c>
      <c r="AC42" s="28" t="s">
        <v>9</v>
      </c>
      <c r="AD42" s="28" t="s">
        <v>10</v>
      </c>
      <c r="AE42" s="28"/>
      <c r="AF42" s="24">
        <f t="shared" si="3"/>
        <v>1</v>
      </c>
      <c r="AG42" s="24">
        <f t="shared" si="4"/>
        <v>4</v>
      </c>
      <c r="AH42" s="41" t="str" cm="1">
        <f t="array" ref="AH42">_xlfn.IFS(
$AE42=15,"Not Started",
$AG42&lt;15,"In Progress",
$AG42=15,"Completed",
SUM(AE42:AG42)&gt;15,"Error"
)</f>
        <v>In Progress</v>
      </c>
    </row>
    <row r="43" spans="1:34" ht="13" x14ac:dyDescent="0.25">
      <c r="A43" s="248"/>
      <c r="B43" s="14">
        <v>40</v>
      </c>
      <c r="C43" s="7" t="s">
        <v>1095</v>
      </c>
      <c r="D43" s="151" t="s">
        <v>8616</v>
      </c>
      <c r="E43" s="57" t="s">
        <v>8488</v>
      </c>
      <c r="F43" s="7" t="s">
        <v>43</v>
      </c>
      <c r="G43" s="7"/>
      <c r="H43" s="7" t="s">
        <v>5822</v>
      </c>
      <c r="I43" s="7" t="s">
        <v>8882</v>
      </c>
      <c r="J43" s="7" t="s">
        <v>9326</v>
      </c>
      <c r="K43" s="7" t="s">
        <v>8767</v>
      </c>
      <c r="L43" s="76">
        <v>10006037813</v>
      </c>
      <c r="M43" s="3"/>
      <c r="N43" s="201">
        <v>46130</v>
      </c>
      <c r="O43" s="28" t="s">
        <v>11</v>
      </c>
      <c r="P43" s="28" t="s">
        <v>11</v>
      </c>
      <c r="Q43" s="28" t="s">
        <v>11</v>
      </c>
      <c r="R43" s="28" t="s">
        <v>11</v>
      </c>
      <c r="S43" s="28" t="s">
        <v>10</v>
      </c>
      <c r="T43" s="28" t="s">
        <v>11</v>
      </c>
      <c r="U43" s="28" t="s">
        <v>9</v>
      </c>
      <c r="V43" s="28" t="s">
        <v>9</v>
      </c>
      <c r="W43" s="28" t="s">
        <v>9</v>
      </c>
      <c r="X43" s="28" t="s">
        <v>9</v>
      </c>
      <c r="Y43" s="28" t="s">
        <v>9</v>
      </c>
      <c r="Z43" s="28" t="s">
        <v>9</v>
      </c>
      <c r="AA43" s="28" t="s">
        <v>9</v>
      </c>
      <c r="AB43" s="28" t="s">
        <v>9</v>
      </c>
      <c r="AC43" s="28" t="s">
        <v>9</v>
      </c>
      <c r="AD43" s="28" t="s">
        <v>10</v>
      </c>
      <c r="AE43" s="28"/>
      <c r="AF43" s="24">
        <f t="shared" si="3"/>
        <v>1</v>
      </c>
      <c r="AG43" s="24">
        <f t="shared" si="4"/>
        <v>5</v>
      </c>
      <c r="AH43" s="41" t="str" cm="1">
        <f t="array" ref="AH43">_xlfn.IFS(
$AE43=15,"Not Started",
$AG43&lt;15,"In Progress",
$AG43=15,"Completed",
SUM(AE43:AG43)&gt;15,"Error"
)</f>
        <v>In Progress</v>
      </c>
    </row>
    <row r="44" spans="1:34" ht="13" x14ac:dyDescent="0.25">
      <c r="A44" s="248"/>
      <c r="B44" s="14">
        <v>41</v>
      </c>
      <c r="C44" s="14" t="s">
        <v>1096</v>
      </c>
      <c r="D44" s="151" t="s">
        <v>8617</v>
      </c>
      <c r="E44" s="57" t="s">
        <v>8489</v>
      </c>
      <c r="F44" s="7" t="s">
        <v>51</v>
      </c>
      <c r="G44" s="7" t="s">
        <v>44</v>
      </c>
      <c r="H44" s="7" t="s">
        <v>5822</v>
      </c>
      <c r="I44" s="7" t="s">
        <v>8882</v>
      </c>
      <c r="J44" s="7" t="s">
        <v>9327</v>
      </c>
      <c r="K44" s="7" t="s">
        <v>8768</v>
      </c>
      <c r="L44" s="76">
        <v>10006029689</v>
      </c>
      <c r="M44" s="3"/>
      <c r="N44" s="201"/>
      <c r="O44" s="28" t="s">
        <v>9</v>
      </c>
      <c r="P44" s="28" t="s">
        <v>9</v>
      </c>
      <c r="Q44" s="28" t="s">
        <v>9</v>
      </c>
      <c r="R44" s="28" t="s">
        <v>9</v>
      </c>
      <c r="S44" s="28" t="s">
        <v>9</v>
      </c>
      <c r="T44" s="28" t="s">
        <v>9</v>
      </c>
      <c r="U44" s="28" t="s">
        <v>9</v>
      </c>
      <c r="V44" s="28" t="s">
        <v>9</v>
      </c>
      <c r="W44" s="28" t="s">
        <v>9</v>
      </c>
      <c r="X44" s="28" t="s">
        <v>9</v>
      </c>
      <c r="Y44" s="28" t="s">
        <v>9</v>
      </c>
      <c r="Z44" s="28" t="s">
        <v>9</v>
      </c>
      <c r="AA44" s="28" t="s">
        <v>9</v>
      </c>
      <c r="AB44" s="28" t="s">
        <v>9</v>
      </c>
      <c r="AC44" s="28" t="s">
        <v>9</v>
      </c>
      <c r="AD44" s="28" t="s">
        <v>9</v>
      </c>
      <c r="AE44" s="28"/>
      <c r="AF44" s="24">
        <f t="shared" si="3"/>
        <v>0</v>
      </c>
      <c r="AG44" s="24">
        <f t="shared" si="4"/>
        <v>0</v>
      </c>
      <c r="AH44" s="41" t="str" cm="1">
        <f t="array" ref="AH44">_xlfn.IFS(
$AE44=15,"Not Started",
$AG44&lt;15,"In Progress",
$AG44=15,"Completed",
SUM(AE44:AG44)&gt;15,"Error"
)</f>
        <v>In Progress</v>
      </c>
    </row>
    <row r="45" spans="1:34" ht="26" x14ac:dyDescent="0.25">
      <c r="A45" s="248"/>
      <c r="B45" s="14">
        <v>42</v>
      </c>
      <c r="C45" s="7" t="s">
        <v>1097</v>
      </c>
      <c r="D45" s="151" t="s">
        <v>8618</v>
      </c>
      <c r="E45" s="80" t="s">
        <v>10331</v>
      </c>
      <c r="F45" s="7" t="s">
        <v>43</v>
      </c>
      <c r="G45" s="7" t="s">
        <v>44</v>
      </c>
      <c r="H45" s="7" t="s">
        <v>5822</v>
      </c>
      <c r="I45" s="7" t="s">
        <v>8882</v>
      </c>
      <c r="J45" s="7" t="s">
        <v>9328</v>
      </c>
      <c r="K45" s="7" t="s">
        <v>8769</v>
      </c>
      <c r="L45" s="76">
        <v>10006034670</v>
      </c>
      <c r="M45" s="3"/>
      <c r="N45" s="201"/>
      <c r="O45" s="28" t="s">
        <v>9</v>
      </c>
      <c r="P45" s="28" t="s">
        <v>9</v>
      </c>
      <c r="Q45" s="28" t="s">
        <v>9</v>
      </c>
      <c r="R45" s="28" t="s">
        <v>9</v>
      </c>
      <c r="S45" s="28" t="s">
        <v>9</v>
      </c>
      <c r="T45" s="28" t="s">
        <v>9</v>
      </c>
      <c r="U45" s="28" t="s">
        <v>9</v>
      </c>
      <c r="V45" s="28" t="s">
        <v>9</v>
      </c>
      <c r="W45" s="28" t="s">
        <v>9</v>
      </c>
      <c r="X45" s="28" t="s">
        <v>9</v>
      </c>
      <c r="Y45" s="28" t="s">
        <v>9</v>
      </c>
      <c r="Z45" s="28" t="s">
        <v>9</v>
      </c>
      <c r="AA45" s="28" t="s">
        <v>9</v>
      </c>
      <c r="AB45" s="28" t="s">
        <v>9</v>
      </c>
      <c r="AC45" s="28" t="s">
        <v>9</v>
      </c>
      <c r="AD45" s="28" t="s">
        <v>9</v>
      </c>
      <c r="AE45" s="28"/>
      <c r="AF45" s="24">
        <f t="shared" si="3"/>
        <v>0</v>
      </c>
      <c r="AG45" s="24">
        <f t="shared" si="4"/>
        <v>0</v>
      </c>
      <c r="AH45" s="41" t="str" cm="1">
        <f t="array" ref="AH45">_xlfn.IFS(
$AE45=15,"Not Started",
$AG45&lt;15,"In Progress",
$AG45=15,"Completed",
SUM(AE45:AG45)&gt;15,"Error"
)</f>
        <v>In Progress</v>
      </c>
    </row>
    <row r="46" spans="1:34" ht="26" x14ac:dyDescent="0.25">
      <c r="A46" s="248"/>
      <c r="B46" s="14">
        <v>43</v>
      </c>
      <c r="C46" s="14" t="s">
        <v>1098</v>
      </c>
      <c r="D46" s="151" t="s">
        <v>8619</v>
      </c>
      <c r="E46" s="80" t="s">
        <v>10330</v>
      </c>
      <c r="F46" s="7" t="s">
        <v>47</v>
      </c>
      <c r="G46" s="7" t="s">
        <v>48</v>
      </c>
      <c r="H46" s="7" t="s">
        <v>5822</v>
      </c>
      <c r="I46" s="7" t="s">
        <v>8882</v>
      </c>
      <c r="J46" s="7" t="s">
        <v>9329</v>
      </c>
      <c r="K46" s="7" t="s">
        <v>8770</v>
      </c>
      <c r="L46" s="76">
        <v>10006033663</v>
      </c>
      <c r="M46" s="3"/>
      <c r="N46" s="201"/>
      <c r="O46" s="28" t="s">
        <v>9</v>
      </c>
      <c r="P46" s="28" t="s">
        <v>9</v>
      </c>
      <c r="Q46" s="28" t="s">
        <v>9</v>
      </c>
      <c r="R46" s="28" t="s">
        <v>9</v>
      </c>
      <c r="S46" s="28" t="s">
        <v>9</v>
      </c>
      <c r="T46" s="28" t="s">
        <v>9</v>
      </c>
      <c r="U46" s="28" t="s">
        <v>9</v>
      </c>
      <c r="V46" s="28" t="s">
        <v>9</v>
      </c>
      <c r="W46" s="28" t="s">
        <v>9</v>
      </c>
      <c r="X46" s="28" t="s">
        <v>9</v>
      </c>
      <c r="Y46" s="28" t="s">
        <v>9</v>
      </c>
      <c r="Z46" s="28" t="s">
        <v>9</v>
      </c>
      <c r="AA46" s="28" t="s">
        <v>9</v>
      </c>
      <c r="AB46" s="28" t="s">
        <v>9</v>
      </c>
      <c r="AC46" s="28" t="s">
        <v>9</v>
      </c>
      <c r="AD46" s="28" t="s">
        <v>9</v>
      </c>
      <c r="AE46" s="28"/>
      <c r="AF46" s="24">
        <f t="shared" si="3"/>
        <v>0</v>
      </c>
      <c r="AG46" s="24">
        <f t="shared" si="4"/>
        <v>0</v>
      </c>
      <c r="AH46" s="41" t="str" cm="1">
        <f t="array" ref="AH46">_xlfn.IFS(
$AE46=15,"Not Started",
$AG46&lt;15,"In Progress",
$AG46=15,"Completed",
SUM(AE46:AG46)&gt;15,"Error"
)</f>
        <v>In Progress</v>
      </c>
    </row>
    <row r="47" spans="1:34" ht="13" x14ac:dyDescent="0.25">
      <c r="A47" s="248"/>
      <c r="B47" s="14">
        <v>44</v>
      </c>
      <c r="C47" s="7" t="s">
        <v>1099</v>
      </c>
      <c r="D47" s="151" t="s">
        <v>8620</v>
      </c>
      <c r="E47" s="57" t="s">
        <v>8490</v>
      </c>
      <c r="F47" s="7" t="s">
        <v>43</v>
      </c>
      <c r="G47" s="7" t="s">
        <v>44</v>
      </c>
      <c r="H47" s="7" t="s">
        <v>5822</v>
      </c>
      <c r="I47" s="7" t="s">
        <v>8882</v>
      </c>
      <c r="J47" s="7" t="s">
        <v>9330</v>
      </c>
      <c r="K47" s="7" t="s">
        <v>8771</v>
      </c>
      <c r="L47" s="76">
        <v>10006029713</v>
      </c>
      <c r="M47" s="3"/>
      <c r="N47" s="201"/>
      <c r="O47" s="28" t="s">
        <v>9</v>
      </c>
      <c r="P47" s="28" t="s">
        <v>9</v>
      </c>
      <c r="Q47" s="28" t="s">
        <v>9</v>
      </c>
      <c r="R47" s="28" t="s">
        <v>9</v>
      </c>
      <c r="S47" s="28" t="s">
        <v>9</v>
      </c>
      <c r="T47" s="28" t="s">
        <v>9</v>
      </c>
      <c r="U47" s="28" t="s">
        <v>9</v>
      </c>
      <c r="V47" s="28" t="s">
        <v>9</v>
      </c>
      <c r="W47" s="28" t="s">
        <v>9</v>
      </c>
      <c r="X47" s="28" t="s">
        <v>9</v>
      </c>
      <c r="Y47" s="28" t="s">
        <v>9</v>
      </c>
      <c r="Z47" s="28" t="s">
        <v>9</v>
      </c>
      <c r="AA47" s="28" t="s">
        <v>9</v>
      </c>
      <c r="AB47" s="28" t="s">
        <v>9</v>
      </c>
      <c r="AC47" s="28" t="s">
        <v>9</v>
      </c>
      <c r="AD47" s="28" t="s">
        <v>9</v>
      </c>
      <c r="AE47" s="28"/>
      <c r="AF47" s="24">
        <f t="shared" si="3"/>
        <v>0</v>
      </c>
      <c r="AG47" s="24">
        <f t="shared" si="4"/>
        <v>0</v>
      </c>
      <c r="AH47" s="41" t="str" cm="1">
        <f t="array" ref="AH47">_xlfn.IFS(
$AE47=15,"Not Started",
$AG47&lt;15,"In Progress",
$AG47=15,"Completed",
SUM(AE47:AG47)&gt;15,"Error"
)</f>
        <v>In Progress</v>
      </c>
    </row>
    <row r="48" spans="1:34" ht="26" x14ac:dyDescent="0.25">
      <c r="A48" s="248"/>
      <c r="B48" s="14">
        <v>45</v>
      </c>
      <c r="C48" s="14" t="s">
        <v>1100</v>
      </c>
      <c r="D48" s="150" t="s">
        <v>10301</v>
      </c>
      <c r="E48" s="80" t="s">
        <v>10329</v>
      </c>
      <c r="F48" s="7" t="s">
        <v>51</v>
      </c>
      <c r="G48" s="7" t="s">
        <v>48</v>
      </c>
      <c r="H48" s="7" t="s">
        <v>5822</v>
      </c>
      <c r="I48" s="7" t="s">
        <v>8882</v>
      </c>
      <c r="J48" s="7" t="s">
        <v>9331</v>
      </c>
      <c r="K48" s="7" t="s">
        <v>8772</v>
      </c>
      <c r="L48" s="76">
        <v>10006033805</v>
      </c>
      <c r="M48" s="3"/>
      <c r="N48" s="201"/>
      <c r="O48" s="28" t="s">
        <v>9</v>
      </c>
      <c r="P48" s="28" t="s">
        <v>9</v>
      </c>
      <c r="Q48" s="28" t="s">
        <v>9</v>
      </c>
      <c r="R48" s="28" t="s">
        <v>9</v>
      </c>
      <c r="S48" s="28" t="s">
        <v>9</v>
      </c>
      <c r="T48" s="28" t="s">
        <v>9</v>
      </c>
      <c r="U48" s="28" t="s">
        <v>9</v>
      </c>
      <c r="V48" s="28" t="s">
        <v>9</v>
      </c>
      <c r="W48" s="28" t="s">
        <v>9</v>
      </c>
      <c r="X48" s="28" t="s">
        <v>9</v>
      </c>
      <c r="Y48" s="28" t="s">
        <v>9</v>
      </c>
      <c r="Z48" s="28" t="s">
        <v>9</v>
      </c>
      <c r="AA48" s="28" t="s">
        <v>9</v>
      </c>
      <c r="AB48" s="28" t="s">
        <v>9</v>
      </c>
      <c r="AC48" s="28" t="s">
        <v>9</v>
      </c>
      <c r="AD48" s="28" t="s">
        <v>9</v>
      </c>
      <c r="AE48" s="28"/>
      <c r="AF48" s="24">
        <f t="shared" si="3"/>
        <v>0</v>
      </c>
      <c r="AG48" s="24">
        <f t="shared" si="4"/>
        <v>0</v>
      </c>
      <c r="AH48" s="41" t="str" cm="1">
        <f t="array" ref="AH48">_xlfn.IFS(
$AE48=15,"Not Started",
$AG48&lt;15,"In Progress",
$AG48=15,"Completed",
SUM(AE48:AG48)&gt;15,"Error"
)</f>
        <v>In Progress</v>
      </c>
    </row>
    <row r="49" spans="1:34" ht="13" x14ac:dyDescent="0.25">
      <c r="A49" s="248"/>
      <c r="B49" s="14">
        <v>46</v>
      </c>
      <c r="C49" s="7" t="s">
        <v>1101</v>
      </c>
      <c r="D49" s="151" t="s">
        <v>8621</v>
      </c>
      <c r="E49" s="57" t="s">
        <v>8491</v>
      </c>
      <c r="F49" s="7" t="s">
        <v>9670</v>
      </c>
      <c r="G49" s="7" t="s">
        <v>48</v>
      </c>
      <c r="H49" s="7" t="s">
        <v>5822</v>
      </c>
      <c r="I49" s="7" t="s">
        <v>8882</v>
      </c>
      <c r="J49" s="7" t="s">
        <v>9332</v>
      </c>
      <c r="K49" s="7" t="s">
        <v>8773</v>
      </c>
      <c r="L49" s="76">
        <v>10104043752</v>
      </c>
      <c r="M49" s="3"/>
      <c r="N49" s="201"/>
      <c r="O49" s="28" t="s">
        <v>9</v>
      </c>
      <c r="P49" s="28" t="s">
        <v>9</v>
      </c>
      <c r="Q49" s="28" t="s">
        <v>9</v>
      </c>
      <c r="R49" s="28" t="s">
        <v>9</v>
      </c>
      <c r="S49" s="28" t="s">
        <v>9</v>
      </c>
      <c r="T49" s="28" t="s">
        <v>9</v>
      </c>
      <c r="U49" s="28" t="s">
        <v>9</v>
      </c>
      <c r="V49" s="28" t="s">
        <v>9</v>
      </c>
      <c r="W49" s="28" t="s">
        <v>9</v>
      </c>
      <c r="X49" s="28" t="s">
        <v>9</v>
      </c>
      <c r="Y49" s="28" t="s">
        <v>9</v>
      </c>
      <c r="Z49" s="28" t="s">
        <v>9</v>
      </c>
      <c r="AA49" s="28" t="s">
        <v>9</v>
      </c>
      <c r="AB49" s="28" t="s">
        <v>9</v>
      </c>
      <c r="AC49" s="28" t="s">
        <v>9</v>
      </c>
      <c r="AD49" s="28" t="s">
        <v>9</v>
      </c>
      <c r="AE49" s="28"/>
      <c r="AF49" s="24">
        <f t="shared" si="3"/>
        <v>0</v>
      </c>
      <c r="AG49" s="24">
        <f t="shared" si="4"/>
        <v>0</v>
      </c>
      <c r="AH49" s="41" t="str" cm="1">
        <f t="array" ref="AH49">_xlfn.IFS(
$AE49=15,"Not Started",
$AG49&lt;15,"In Progress",
$AG49=15,"Completed",
SUM(AE49:AG49)&gt;15,"Error"
)</f>
        <v>In Progress</v>
      </c>
    </row>
    <row r="50" spans="1:34" ht="13" x14ac:dyDescent="0.25">
      <c r="A50" s="248"/>
      <c r="B50" s="14">
        <v>47</v>
      </c>
      <c r="C50" s="14" t="s">
        <v>1102</v>
      </c>
      <c r="D50" s="151" t="s">
        <v>8622</v>
      </c>
      <c r="E50" s="57" t="s">
        <v>8492</v>
      </c>
      <c r="F50" s="7" t="s">
        <v>47</v>
      </c>
      <c r="G50" s="7" t="s">
        <v>44</v>
      </c>
      <c r="H50" s="7" t="s">
        <v>5822</v>
      </c>
      <c r="I50" s="7" t="s">
        <v>8882</v>
      </c>
      <c r="J50" s="7" t="s">
        <v>9333</v>
      </c>
      <c r="K50" s="7" t="s">
        <v>8774</v>
      </c>
      <c r="L50" s="76">
        <v>10087852209</v>
      </c>
      <c r="M50" s="3"/>
      <c r="N50" s="201"/>
      <c r="O50" s="28" t="s">
        <v>9</v>
      </c>
      <c r="P50" s="28" t="s">
        <v>9</v>
      </c>
      <c r="Q50" s="28" t="s">
        <v>9</v>
      </c>
      <c r="R50" s="28" t="s">
        <v>9</v>
      </c>
      <c r="S50" s="28" t="s">
        <v>9</v>
      </c>
      <c r="T50" s="28" t="s">
        <v>9</v>
      </c>
      <c r="U50" s="28" t="s">
        <v>9</v>
      </c>
      <c r="V50" s="28" t="s">
        <v>9</v>
      </c>
      <c r="W50" s="28" t="s">
        <v>9</v>
      </c>
      <c r="X50" s="28" t="s">
        <v>9</v>
      </c>
      <c r="Y50" s="28" t="s">
        <v>9</v>
      </c>
      <c r="Z50" s="28" t="s">
        <v>9</v>
      </c>
      <c r="AA50" s="28" t="s">
        <v>9</v>
      </c>
      <c r="AB50" s="28" t="s">
        <v>9</v>
      </c>
      <c r="AC50" s="28" t="s">
        <v>9</v>
      </c>
      <c r="AD50" s="28" t="s">
        <v>9</v>
      </c>
      <c r="AE50" s="28"/>
      <c r="AF50" s="24">
        <f t="shared" si="3"/>
        <v>0</v>
      </c>
      <c r="AG50" s="24">
        <f t="shared" si="4"/>
        <v>0</v>
      </c>
      <c r="AH50" s="41" t="str" cm="1">
        <f t="array" ref="AH50">_xlfn.IFS(
$AE50=15,"Not Started",
$AG50&lt;15,"In Progress",
$AG50=15,"Completed",
SUM(AE50:AG50)&gt;15,"Error"
)</f>
        <v>In Progress</v>
      </c>
    </row>
    <row r="51" spans="1:34" ht="26" x14ac:dyDescent="0.25">
      <c r="A51" s="248"/>
      <c r="B51" s="14">
        <v>48</v>
      </c>
      <c r="C51" s="7" t="s">
        <v>1103</v>
      </c>
      <c r="D51" s="150" t="s">
        <v>10300</v>
      </c>
      <c r="E51" s="80" t="s">
        <v>10321</v>
      </c>
      <c r="F51" s="7" t="s">
        <v>43</v>
      </c>
      <c r="G51" s="7" t="s">
        <v>44</v>
      </c>
      <c r="H51" s="7" t="s">
        <v>5822</v>
      </c>
      <c r="I51" s="7" t="s">
        <v>8882</v>
      </c>
      <c r="J51" s="7" t="s">
        <v>9334</v>
      </c>
      <c r="K51" s="7" t="s">
        <v>8775</v>
      </c>
      <c r="L51" s="76">
        <v>10006033851</v>
      </c>
      <c r="M51" s="3"/>
      <c r="N51" s="201"/>
      <c r="O51" s="28" t="s">
        <v>9</v>
      </c>
      <c r="P51" s="28" t="s">
        <v>9</v>
      </c>
      <c r="Q51" s="28" t="s">
        <v>9</v>
      </c>
      <c r="R51" s="28" t="s">
        <v>9</v>
      </c>
      <c r="S51" s="28" t="s">
        <v>9</v>
      </c>
      <c r="T51" s="28" t="s">
        <v>9</v>
      </c>
      <c r="U51" s="28" t="s">
        <v>9</v>
      </c>
      <c r="V51" s="28" t="s">
        <v>9</v>
      </c>
      <c r="W51" s="28" t="s">
        <v>9</v>
      </c>
      <c r="X51" s="28" t="s">
        <v>9</v>
      </c>
      <c r="Y51" s="28" t="s">
        <v>9</v>
      </c>
      <c r="Z51" s="28" t="s">
        <v>9</v>
      </c>
      <c r="AA51" s="28" t="s">
        <v>9</v>
      </c>
      <c r="AB51" s="28" t="s">
        <v>9</v>
      </c>
      <c r="AC51" s="28" t="s">
        <v>9</v>
      </c>
      <c r="AD51" s="28" t="s">
        <v>9</v>
      </c>
      <c r="AE51" s="28"/>
      <c r="AF51" s="24">
        <f t="shared" si="3"/>
        <v>0</v>
      </c>
      <c r="AG51" s="24">
        <f t="shared" si="4"/>
        <v>0</v>
      </c>
      <c r="AH51" s="41" t="str" cm="1">
        <f t="array" ref="AH51">_xlfn.IFS(
$AE51=15,"Not Started",
$AG51&lt;15,"In Progress",
$AG51=15,"Completed",
SUM(AE51:AG51)&gt;15,"Error"
)</f>
        <v>In Progress</v>
      </c>
    </row>
    <row r="52" spans="1:34" ht="26" x14ac:dyDescent="0.25">
      <c r="A52" s="248"/>
      <c r="B52" s="14">
        <v>49</v>
      </c>
      <c r="C52" s="14" t="s">
        <v>1104</v>
      </c>
      <c r="D52" s="150" t="s">
        <v>10299</v>
      </c>
      <c r="E52" s="80" t="s">
        <v>10322</v>
      </c>
      <c r="F52" s="7" t="s">
        <v>43</v>
      </c>
      <c r="G52" s="7" t="s">
        <v>48</v>
      </c>
      <c r="H52" s="7" t="s">
        <v>5822</v>
      </c>
      <c r="I52" s="7" t="s">
        <v>8882</v>
      </c>
      <c r="J52" s="7" t="s">
        <v>9335</v>
      </c>
      <c r="K52" s="7" t="s">
        <v>8776</v>
      </c>
      <c r="L52" s="76">
        <v>10006036825</v>
      </c>
      <c r="M52" s="3"/>
      <c r="N52" s="201">
        <v>46133</v>
      </c>
      <c r="O52" s="28" t="s">
        <v>11</v>
      </c>
      <c r="P52" s="28" t="s">
        <v>11</v>
      </c>
      <c r="Q52" s="28" t="s">
        <v>11</v>
      </c>
      <c r="R52" s="28" t="s">
        <v>11</v>
      </c>
      <c r="S52" s="28" t="s">
        <v>10</v>
      </c>
      <c r="T52" s="28" t="s">
        <v>11</v>
      </c>
      <c r="U52" s="28" t="s">
        <v>9</v>
      </c>
      <c r="V52" s="28" t="s">
        <v>9</v>
      </c>
      <c r="W52" s="28" t="s">
        <v>9</v>
      </c>
      <c r="X52" s="28" t="s">
        <v>9</v>
      </c>
      <c r="Y52" s="28" t="s">
        <v>9</v>
      </c>
      <c r="Z52" s="28" t="s">
        <v>9</v>
      </c>
      <c r="AA52" s="28" t="s">
        <v>9</v>
      </c>
      <c r="AB52" s="28" t="s">
        <v>9</v>
      </c>
      <c r="AC52" s="28" t="s">
        <v>9</v>
      </c>
      <c r="AD52" s="28" t="s">
        <v>10</v>
      </c>
      <c r="AE52" s="28"/>
      <c r="AF52" s="24">
        <f t="shared" si="3"/>
        <v>1</v>
      </c>
      <c r="AG52" s="24">
        <f t="shared" si="4"/>
        <v>5</v>
      </c>
      <c r="AH52" s="41" t="str" cm="1">
        <f t="array" ref="AH52">_xlfn.IFS(
$AE52=15,"Not Started",
$AG52&lt;15,"In Progress",
$AG52=15,"Completed",
SUM(AE52:AG52)&gt;15,"Error"
)</f>
        <v>In Progress</v>
      </c>
    </row>
    <row r="53" spans="1:34" ht="13" x14ac:dyDescent="0.25">
      <c r="A53" s="248"/>
      <c r="B53" s="14">
        <v>50</v>
      </c>
      <c r="C53" s="7" t="s">
        <v>1105</v>
      </c>
      <c r="D53" s="151" t="s">
        <v>8623</v>
      </c>
      <c r="E53" s="57" t="s">
        <v>8493</v>
      </c>
      <c r="F53" s="7" t="s">
        <v>51</v>
      </c>
      <c r="G53" s="7" t="s">
        <v>44</v>
      </c>
      <c r="H53" s="7" t="s">
        <v>5822</v>
      </c>
      <c r="I53" s="7" t="s">
        <v>8882</v>
      </c>
      <c r="J53" s="7" t="s">
        <v>9336</v>
      </c>
      <c r="K53" s="7" t="s">
        <v>8777</v>
      </c>
      <c r="L53" s="76">
        <v>10006036511</v>
      </c>
      <c r="M53" s="3"/>
      <c r="N53" s="201"/>
      <c r="O53" s="28" t="s">
        <v>9</v>
      </c>
      <c r="P53" s="28" t="s">
        <v>9</v>
      </c>
      <c r="Q53" s="28" t="s">
        <v>9</v>
      </c>
      <c r="R53" s="28" t="s">
        <v>9</v>
      </c>
      <c r="S53" s="28" t="s">
        <v>9</v>
      </c>
      <c r="T53" s="28" t="s">
        <v>9</v>
      </c>
      <c r="U53" s="28" t="s">
        <v>9</v>
      </c>
      <c r="V53" s="28" t="s">
        <v>9</v>
      </c>
      <c r="W53" s="28" t="s">
        <v>9</v>
      </c>
      <c r="X53" s="28" t="s">
        <v>9</v>
      </c>
      <c r="Y53" s="28" t="s">
        <v>9</v>
      </c>
      <c r="Z53" s="28" t="s">
        <v>9</v>
      </c>
      <c r="AA53" s="28" t="s">
        <v>9</v>
      </c>
      <c r="AB53" s="28" t="s">
        <v>9</v>
      </c>
      <c r="AC53" s="28" t="s">
        <v>9</v>
      </c>
      <c r="AD53" s="28" t="s">
        <v>9</v>
      </c>
      <c r="AE53" s="28"/>
      <c r="AF53" s="24">
        <f t="shared" si="3"/>
        <v>0</v>
      </c>
      <c r="AG53" s="24">
        <f t="shared" si="4"/>
        <v>0</v>
      </c>
      <c r="AH53" s="41" t="str" cm="1">
        <f t="array" ref="AH53">_xlfn.IFS(
$AE53=15,"Not Started",
$AG53&lt;15,"In Progress",
$AG53=15,"Completed",
SUM(AE53:AG53)&gt;15,"Error"
)</f>
        <v>In Progress</v>
      </c>
    </row>
    <row r="54" spans="1:34" ht="13" x14ac:dyDescent="0.25">
      <c r="A54" s="248"/>
      <c r="B54" s="14">
        <v>51</v>
      </c>
      <c r="C54" s="14" t="s">
        <v>1106</v>
      </c>
      <c r="D54" s="151" t="s">
        <v>8624</v>
      </c>
      <c r="E54" s="57" t="s">
        <v>8494</v>
      </c>
      <c r="F54" s="7" t="s">
        <v>43</v>
      </c>
      <c r="G54" s="7" t="s">
        <v>44</v>
      </c>
      <c r="H54" s="7" t="s">
        <v>5822</v>
      </c>
      <c r="I54" s="7" t="s">
        <v>8882</v>
      </c>
      <c r="J54" s="7" t="s">
        <v>9337</v>
      </c>
      <c r="K54" s="7" t="s">
        <v>8778</v>
      </c>
      <c r="L54" s="76">
        <v>10006025321</v>
      </c>
      <c r="M54" s="3"/>
      <c r="N54" s="201"/>
      <c r="O54" s="28" t="s">
        <v>9</v>
      </c>
      <c r="P54" s="28" t="s">
        <v>9</v>
      </c>
      <c r="Q54" s="28" t="s">
        <v>9</v>
      </c>
      <c r="R54" s="28" t="s">
        <v>9</v>
      </c>
      <c r="S54" s="28" t="s">
        <v>9</v>
      </c>
      <c r="T54" s="28" t="s">
        <v>9</v>
      </c>
      <c r="U54" s="28" t="s">
        <v>9</v>
      </c>
      <c r="V54" s="28" t="s">
        <v>9</v>
      </c>
      <c r="W54" s="28" t="s">
        <v>9</v>
      </c>
      <c r="X54" s="28" t="s">
        <v>9</v>
      </c>
      <c r="Y54" s="28" t="s">
        <v>9</v>
      </c>
      <c r="Z54" s="28" t="s">
        <v>9</v>
      </c>
      <c r="AA54" s="28" t="s">
        <v>9</v>
      </c>
      <c r="AB54" s="28" t="s">
        <v>9</v>
      </c>
      <c r="AC54" s="28" t="s">
        <v>9</v>
      </c>
      <c r="AD54" s="28" t="s">
        <v>9</v>
      </c>
      <c r="AE54" s="28"/>
      <c r="AF54" s="24">
        <f t="shared" si="3"/>
        <v>0</v>
      </c>
      <c r="AG54" s="24">
        <f t="shared" si="4"/>
        <v>0</v>
      </c>
      <c r="AH54" s="41" t="str" cm="1">
        <f t="array" ref="AH54">_xlfn.IFS(
$AE54=15,"Not Started",
$AG54&lt;15,"In Progress",
$AG54=15,"Completed",
SUM(AE54:AG54)&gt;15,"Error"
)</f>
        <v>In Progress</v>
      </c>
    </row>
    <row r="55" spans="1:34" ht="26" x14ac:dyDescent="0.25">
      <c r="A55" s="248"/>
      <c r="B55" s="14">
        <v>52</v>
      </c>
      <c r="C55" s="7" t="s">
        <v>1107</v>
      </c>
      <c r="D55" s="150" t="s">
        <v>10298</v>
      </c>
      <c r="E55" s="80" t="s">
        <v>10323</v>
      </c>
      <c r="F55" s="7" t="s">
        <v>51</v>
      </c>
      <c r="G55" s="7" t="s">
        <v>48</v>
      </c>
      <c r="H55" s="7" t="s">
        <v>5822</v>
      </c>
      <c r="I55" s="7" t="s">
        <v>8882</v>
      </c>
      <c r="J55" s="7" t="s">
        <v>9338</v>
      </c>
      <c r="K55" s="7" t="s">
        <v>8779</v>
      </c>
      <c r="L55" s="76">
        <v>10006025349</v>
      </c>
      <c r="M55" s="3"/>
      <c r="N55" s="201"/>
      <c r="O55" s="28" t="s">
        <v>9</v>
      </c>
      <c r="P55" s="28" t="s">
        <v>9</v>
      </c>
      <c r="Q55" s="28" t="s">
        <v>9</v>
      </c>
      <c r="R55" s="28" t="s">
        <v>9</v>
      </c>
      <c r="S55" s="28" t="s">
        <v>9</v>
      </c>
      <c r="T55" s="28" t="s">
        <v>9</v>
      </c>
      <c r="U55" s="28" t="s">
        <v>9</v>
      </c>
      <c r="V55" s="28" t="s">
        <v>9</v>
      </c>
      <c r="W55" s="28" t="s">
        <v>9</v>
      </c>
      <c r="X55" s="28" t="s">
        <v>9</v>
      </c>
      <c r="Y55" s="28" t="s">
        <v>9</v>
      </c>
      <c r="Z55" s="28" t="s">
        <v>9</v>
      </c>
      <c r="AA55" s="28" t="s">
        <v>9</v>
      </c>
      <c r="AB55" s="28" t="s">
        <v>9</v>
      </c>
      <c r="AC55" s="28" t="s">
        <v>9</v>
      </c>
      <c r="AD55" s="28" t="s">
        <v>9</v>
      </c>
      <c r="AE55" s="28"/>
      <c r="AF55" s="24">
        <f t="shared" si="3"/>
        <v>0</v>
      </c>
      <c r="AG55" s="24">
        <f t="shared" si="4"/>
        <v>0</v>
      </c>
      <c r="AH55" s="41" t="str" cm="1">
        <f t="array" ref="AH55">_xlfn.IFS(
$AE55=15,"Not Started",
$AG55&lt;15,"In Progress",
$AG55=15,"Completed",
SUM(AE55:AG55)&gt;15,"Error"
)</f>
        <v>In Progress</v>
      </c>
    </row>
    <row r="56" spans="1:34" ht="13" x14ac:dyDescent="0.25">
      <c r="A56" s="248"/>
      <c r="B56" s="14">
        <v>53</v>
      </c>
      <c r="C56" s="14" t="s">
        <v>1108</v>
      </c>
      <c r="D56" s="151" t="s">
        <v>8625</v>
      </c>
      <c r="E56" s="57" t="s">
        <v>8495</v>
      </c>
      <c r="F56" s="7" t="s">
        <v>9670</v>
      </c>
      <c r="G56" s="7" t="s">
        <v>48</v>
      </c>
      <c r="H56" s="7" t="s">
        <v>5822</v>
      </c>
      <c r="I56" s="7" t="s">
        <v>8882</v>
      </c>
      <c r="J56" s="7" t="s">
        <v>9339</v>
      </c>
      <c r="K56" s="7" t="s">
        <v>8780</v>
      </c>
      <c r="L56" s="76">
        <v>10103724456</v>
      </c>
      <c r="M56" s="3"/>
      <c r="N56" s="201">
        <v>46135</v>
      </c>
      <c r="O56" s="28" t="s">
        <v>11</v>
      </c>
      <c r="P56" s="28" t="s">
        <v>11</v>
      </c>
      <c r="Q56" s="28" t="s">
        <v>11</v>
      </c>
      <c r="R56" s="28" t="s">
        <v>11</v>
      </c>
      <c r="S56" s="28" t="s">
        <v>9</v>
      </c>
      <c r="T56" s="28" t="s">
        <v>9</v>
      </c>
      <c r="U56" s="28" t="s">
        <v>9</v>
      </c>
      <c r="V56" s="28" t="s">
        <v>9</v>
      </c>
      <c r="W56" s="28" t="s">
        <v>9</v>
      </c>
      <c r="X56" s="28" t="s">
        <v>9</v>
      </c>
      <c r="Y56" s="28" t="s">
        <v>9</v>
      </c>
      <c r="Z56" s="28" t="s">
        <v>9</v>
      </c>
      <c r="AA56" s="28" t="s">
        <v>9</v>
      </c>
      <c r="AB56" s="28" t="s">
        <v>9</v>
      </c>
      <c r="AC56" s="28" t="s">
        <v>9</v>
      </c>
      <c r="AD56" s="28" t="s">
        <v>10</v>
      </c>
      <c r="AE56" s="28"/>
      <c r="AF56" s="24">
        <f t="shared" si="3"/>
        <v>0</v>
      </c>
      <c r="AG56" s="24">
        <f t="shared" si="4"/>
        <v>4</v>
      </c>
      <c r="AH56" s="41" t="str" cm="1">
        <f t="array" ref="AH56">_xlfn.IFS(
$AE56=15,"Not Started",
$AG56&lt;15,"In Progress",
$AG56=15,"Completed",
SUM(AE56:AG56)&gt;15,"Error"
)</f>
        <v>In Progress</v>
      </c>
    </row>
    <row r="57" spans="1:34" ht="13" x14ac:dyDescent="0.25">
      <c r="A57" s="248"/>
      <c r="B57" s="14">
        <v>54</v>
      </c>
      <c r="C57" s="7" t="s">
        <v>1109</v>
      </c>
      <c r="D57" s="151" t="s">
        <v>8626</v>
      </c>
      <c r="E57" s="57" t="s">
        <v>8496</v>
      </c>
      <c r="F57" s="7" t="s">
        <v>51</v>
      </c>
      <c r="G57" s="7" t="s">
        <v>48</v>
      </c>
      <c r="H57" s="7" t="s">
        <v>5822</v>
      </c>
      <c r="I57" s="7" t="s">
        <v>8882</v>
      </c>
      <c r="J57" s="7" t="s">
        <v>9340</v>
      </c>
      <c r="K57" s="7" t="s">
        <v>8781</v>
      </c>
      <c r="L57" s="76">
        <v>10006038697</v>
      </c>
      <c r="M57" s="3"/>
      <c r="N57" s="201"/>
      <c r="O57" s="28" t="s">
        <v>9</v>
      </c>
      <c r="P57" s="28" t="s">
        <v>9</v>
      </c>
      <c r="Q57" s="28" t="s">
        <v>9</v>
      </c>
      <c r="R57" s="28" t="s">
        <v>9</v>
      </c>
      <c r="S57" s="28" t="s">
        <v>9</v>
      </c>
      <c r="T57" s="28" t="s">
        <v>9</v>
      </c>
      <c r="U57" s="28" t="s">
        <v>9</v>
      </c>
      <c r="V57" s="28" t="s">
        <v>9</v>
      </c>
      <c r="W57" s="28" t="s">
        <v>9</v>
      </c>
      <c r="X57" s="28" t="s">
        <v>9</v>
      </c>
      <c r="Y57" s="28" t="s">
        <v>9</v>
      </c>
      <c r="Z57" s="28" t="s">
        <v>9</v>
      </c>
      <c r="AA57" s="28" t="s">
        <v>9</v>
      </c>
      <c r="AB57" s="28" t="s">
        <v>9</v>
      </c>
      <c r="AC57" s="28" t="s">
        <v>9</v>
      </c>
      <c r="AD57" s="28" t="s">
        <v>9</v>
      </c>
      <c r="AE57" s="28"/>
      <c r="AF57" s="24">
        <f t="shared" si="3"/>
        <v>0</v>
      </c>
      <c r="AG57" s="24">
        <f t="shared" si="4"/>
        <v>0</v>
      </c>
      <c r="AH57" s="41" t="str" cm="1">
        <f t="array" ref="AH57">_xlfn.IFS(
$AE57=15,"Not Started",
$AG57&lt;15,"In Progress",
$AG57=15,"Completed",
SUM(AE57:AG57)&gt;15,"Error"
)</f>
        <v>In Progress</v>
      </c>
    </row>
    <row r="58" spans="1:34" ht="26" x14ac:dyDescent="0.25">
      <c r="A58" s="248"/>
      <c r="B58" s="14">
        <v>55</v>
      </c>
      <c r="C58" s="14" t="s">
        <v>1110</v>
      </c>
      <c r="D58" s="150" t="s">
        <v>10297</v>
      </c>
      <c r="E58" s="80" t="s">
        <v>10324</v>
      </c>
      <c r="F58" s="7" t="s">
        <v>47</v>
      </c>
      <c r="G58" s="7" t="s">
        <v>48</v>
      </c>
      <c r="H58" s="7" t="s">
        <v>5822</v>
      </c>
      <c r="I58" s="7" t="s">
        <v>8882</v>
      </c>
      <c r="J58" s="7" t="s">
        <v>9341</v>
      </c>
      <c r="K58" s="7" t="s">
        <v>8782</v>
      </c>
      <c r="L58" s="76">
        <v>10006033289</v>
      </c>
      <c r="M58" s="3"/>
      <c r="N58" s="202"/>
      <c r="O58" s="28" t="s">
        <v>11</v>
      </c>
      <c r="P58" s="28" t="s">
        <v>11</v>
      </c>
      <c r="Q58" s="28" t="s">
        <v>11</v>
      </c>
      <c r="R58" s="28" t="s">
        <v>11</v>
      </c>
      <c r="S58" s="28" t="s">
        <v>10</v>
      </c>
      <c r="T58" s="28" t="s">
        <v>9</v>
      </c>
      <c r="U58" s="28" t="s">
        <v>9</v>
      </c>
      <c r="V58" s="28" t="s">
        <v>9</v>
      </c>
      <c r="W58" s="28" t="s">
        <v>9</v>
      </c>
      <c r="X58" s="28" t="s">
        <v>9</v>
      </c>
      <c r="Y58" s="28" t="s">
        <v>9</v>
      </c>
      <c r="Z58" s="28" t="s">
        <v>9</v>
      </c>
      <c r="AA58" s="28" t="s">
        <v>9</v>
      </c>
      <c r="AB58" s="28" t="s">
        <v>9</v>
      </c>
      <c r="AC58" s="28" t="s">
        <v>9</v>
      </c>
      <c r="AD58" s="28" t="s">
        <v>10</v>
      </c>
      <c r="AE58" s="28"/>
      <c r="AF58" s="24">
        <f t="shared" si="3"/>
        <v>1</v>
      </c>
      <c r="AG58" s="24">
        <f t="shared" si="4"/>
        <v>4</v>
      </c>
      <c r="AH58" s="41" t="str" cm="1">
        <f t="array" ref="AH58">_xlfn.IFS(
$AE58=15,"Not Started",
$AG58&lt;15,"In Progress",
$AG58=15,"Completed",
SUM(AE58:AG58)&gt;15,"Error"
)</f>
        <v>In Progress</v>
      </c>
    </row>
    <row r="59" spans="1:34" ht="13" x14ac:dyDescent="0.25">
      <c r="A59" s="248"/>
      <c r="B59" s="14">
        <v>56</v>
      </c>
      <c r="C59" s="7" t="s">
        <v>1111</v>
      </c>
      <c r="D59" s="151" t="s">
        <v>8627</v>
      </c>
      <c r="E59" s="57" t="s">
        <v>8497</v>
      </c>
      <c r="F59" s="7" t="s">
        <v>47</v>
      </c>
      <c r="G59" s="7" t="s">
        <v>48</v>
      </c>
      <c r="H59" s="7" t="s">
        <v>5822</v>
      </c>
      <c r="I59" s="7" t="s">
        <v>8882</v>
      </c>
      <c r="J59" s="7" t="s">
        <v>9342</v>
      </c>
      <c r="K59" s="7" t="s">
        <v>8783</v>
      </c>
      <c r="L59" s="76">
        <v>10006037054</v>
      </c>
      <c r="M59" s="3"/>
      <c r="N59" s="201">
        <v>46137</v>
      </c>
      <c r="O59" s="28" t="s">
        <v>11</v>
      </c>
      <c r="P59" s="28" t="s">
        <v>11</v>
      </c>
      <c r="Q59" s="28" t="s">
        <v>11</v>
      </c>
      <c r="R59" s="28" t="s">
        <v>11</v>
      </c>
      <c r="S59" s="28" t="s">
        <v>10</v>
      </c>
      <c r="T59" s="28" t="s">
        <v>9</v>
      </c>
      <c r="U59" s="28" t="s">
        <v>9</v>
      </c>
      <c r="V59" s="28" t="s">
        <v>9</v>
      </c>
      <c r="W59" s="28" t="s">
        <v>9</v>
      </c>
      <c r="X59" s="28" t="s">
        <v>9</v>
      </c>
      <c r="Y59" s="28" t="s">
        <v>9</v>
      </c>
      <c r="Z59" s="28" t="s">
        <v>9</v>
      </c>
      <c r="AA59" s="28" t="s">
        <v>9</v>
      </c>
      <c r="AB59" s="28" t="s">
        <v>9</v>
      </c>
      <c r="AC59" s="28" t="s">
        <v>9</v>
      </c>
      <c r="AD59" s="28" t="s">
        <v>10</v>
      </c>
      <c r="AE59" s="28"/>
      <c r="AF59" s="24">
        <f t="shared" si="3"/>
        <v>1</v>
      </c>
      <c r="AG59" s="24">
        <f t="shared" si="4"/>
        <v>4</v>
      </c>
      <c r="AH59" s="41" t="str" cm="1">
        <f t="array" ref="AH59">_xlfn.IFS(
$AE59=15,"Not Started",
$AG59&lt;15,"In Progress",
$AG59=15,"Completed",
SUM(AE59:AG59)&gt;15,"Error"
)</f>
        <v>In Progress</v>
      </c>
    </row>
    <row r="60" spans="1:34" ht="13" x14ac:dyDescent="0.25">
      <c r="A60" s="248"/>
      <c r="B60" s="14">
        <v>57</v>
      </c>
      <c r="C60" s="14" t="s">
        <v>1112</v>
      </c>
      <c r="D60" s="151" t="s">
        <v>8628</v>
      </c>
      <c r="E60" s="57" t="s">
        <v>8498</v>
      </c>
      <c r="F60" s="7" t="s">
        <v>43</v>
      </c>
      <c r="G60" s="7" t="s">
        <v>44</v>
      </c>
      <c r="H60" s="7" t="s">
        <v>5822</v>
      </c>
      <c r="I60" s="7" t="s">
        <v>8883</v>
      </c>
      <c r="J60" s="7" t="s">
        <v>9343</v>
      </c>
      <c r="K60" s="7" t="s">
        <v>8784</v>
      </c>
      <c r="L60" s="76">
        <v>10006062315</v>
      </c>
      <c r="M60" s="3"/>
      <c r="N60" s="201">
        <v>46142</v>
      </c>
      <c r="O60" s="28" t="s">
        <v>11</v>
      </c>
      <c r="P60" s="28" t="s">
        <v>11</v>
      </c>
      <c r="Q60" s="28" t="s">
        <v>11</v>
      </c>
      <c r="R60" s="28" t="s">
        <v>11</v>
      </c>
      <c r="S60" s="28" t="s">
        <v>10</v>
      </c>
      <c r="T60" s="28" t="s">
        <v>9</v>
      </c>
      <c r="U60" s="28" t="s">
        <v>9</v>
      </c>
      <c r="V60" s="28" t="s">
        <v>9</v>
      </c>
      <c r="W60" s="28" t="s">
        <v>9</v>
      </c>
      <c r="X60" s="28" t="s">
        <v>9</v>
      </c>
      <c r="Y60" s="28" t="s">
        <v>9</v>
      </c>
      <c r="Z60" s="28" t="s">
        <v>9</v>
      </c>
      <c r="AA60" s="28" t="s">
        <v>9</v>
      </c>
      <c r="AB60" s="28" t="s">
        <v>9</v>
      </c>
      <c r="AC60" s="28" t="s">
        <v>9</v>
      </c>
      <c r="AD60" s="28" t="s">
        <v>10</v>
      </c>
      <c r="AE60" s="28"/>
      <c r="AF60" s="24">
        <f t="shared" si="3"/>
        <v>1</v>
      </c>
      <c r="AG60" s="24">
        <f t="shared" si="4"/>
        <v>4</v>
      </c>
      <c r="AH60" s="41" t="str" cm="1">
        <f t="array" ref="AH60">_xlfn.IFS(
$AE60=15,"Not Started",
$AG60&lt;15,"In Progress",
$AG60=15,"Completed",
SUM(AE60:AG60)&gt;15,"Error"
)</f>
        <v>In Progress</v>
      </c>
    </row>
    <row r="61" spans="1:34" ht="13" x14ac:dyDescent="0.25">
      <c r="A61" s="248"/>
      <c r="B61" s="14">
        <v>58</v>
      </c>
      <c r="C61" s="7" t="s">
        <v>1113</v>
      </c>
      <c r="D61" s="151" t="s">
        <v>8629</v>
      </c>
      <c r="E61" s="57" t="s">
        <v>8499</v>
      </c>
      <c r="F61" s="7" t="s">
        <v>43</v>
      </c>
      <c r="G61" s="7" t="s">
        <v>44</v>
      </c>
      <c r="H61" s="7" t="s">
        <v>5822</v>
      </c>
      <c r="I61" s="7" t="s">
        <v>8883</v>
      </c>
      <c r="J61" s="7" t="s">
        <v>9344</v>
      </c>
      <c r="K61" s="7" t="s">
        <v>8785</v>
      </c>
      <c r="L61" s="76">
        <v>10006016027</v>
      </c>
      <c r="M61" s="3"/>
      <c r="N61" s="202">
        <v>46148</v>
      </c>
      <c r="O61" s="28" t="s">
        <v>11</v>
      </c>
      <c r="P61" s="28" t="s">
        <v>11</v>
      </c>
      <c r="Q61" s="28" t="s">
        <v>11</v>
      </c>
      <c r="R61" s="28" t="s">
        <v>11</v>
      </c>
      <c r="S61" s="28" t="s">
        <v>10</v>
      </c>
      <c r="T61" s="28" t="s">
        <v>9</v>
      </c>
      <c r="U61" s="28" t="s">
        <v>9</v>
      </c>
      <c r="V61" s="28" t="s">
        <v>9</v>
      </c>
      <c r="W61" s="28" t="s">
        <v>9</v>
      </c>
      <c r="X61" s="28" t="s">
        <v>9</v>
      </c>
      <c r="Y61" s="28" t="s">
        <v>9</v>
      </c>
      <c r="Z61" s="28" t="s">
        <v>9</v>
      </c>
      <c r="AA61" s="28" t="s">
        <v>9</v>
      </c>
      <c r="AB61" s="28" t="s">
        <v>9</v>
      </c>
      <c r="AC61" s="28" t="s">
        <v>9</v>
      </c>
      <c r="AD61" s="28" t="s">
        <v>10</v>
      </c>
      <c r="AE61" s="28"/>
      <c r="AF61" s="24">
        <f t="shared" si="3"/>
        <v>1</v>
      </c>
      <c r="AG61" s="24">
        <f t="shared" si="4"/>
        <v>4</v>
      </c>
      <c r="AH61" s="41" t="str" cm="1">
        <f t="array" ref="AH61">_xlfn.IFS(
$AE61=15,"Not Started",
$AG61&lt;15,"In Progress",
$AG61=15,"Completed",
SUM(AE61:AG61)&gt;15,"Error"
)</f>
        <v>In Progress</v>
      </c>
    </row>
    <row r="62" spans="1:34" ht="13" x14ac:dyDescent="0.25">
      <c r="A62" s="248"/>
      <c r="B62" s="14">
        <v>59</v>
      </c>
      <c r="C62" s="14" t="s">
        <v>1114</v>
      </c>
      <c r="D62" s="151" t="s">
        <v>8630</v>
      </c>
      <c r="E62" s="57" t="s">
        <v>8500</v>
      </c>
      <c r="F62" s="7" t="s">
        <v>43</v>
      </c>
      <c r="G62" s="7" t="s">
        <v>44</v>
      </c>
      <c r="H62" s="7" t="s">
        <v>5822</v>
      </c>
      <c r="I62" s="7" t="s">
        <v>8883</v>
      </c>
      <c r="J62" s="7" t="s">
        <v>9345</v>
      </c>
      <c r="K62" s="7" t="s">
        <v>8786</v>
      </c>
      <c r="L62" s="76">
        <v>10006016045</v>
      </c>
      <c r="M62" s="3"/>
      <c r="N62" s="202">
        <v>46146</v>
      </c>
      <c r="O62" s="28" t="s">
        <v>11</v>
      </c>
      <c r="P62" s="28" t="s">
        <v>11</v>
      </c>
      <c r="Q62" s="28" t="s">
        <v>11</v>
      </c>
      <c r="R62" s="28" t="s">
        <v>11</v>
      </c>
      <c r="S62" s="28" t="s">
        <v>10</v>
      </c>
      <c r="T62" s="28" t="s">
        <v>9</v>
      </c>
      <c r="U62" s="28" t="s">
        <v>9</v>
      </c>
      <c r="V62" s="28" t="s">
        <v>9</v>
      </c>
      <c r="W62" s="28" t="s">
        <v>9</v>
      </c>
      <c r="X62" s="28" t="s">
        <v>9</v>
      </c>
      <c r="Y62" s="28" t="s">
        <v>9</v>
      </c>
      <c r="Z62" s="28" t="s">
        <v>9</v>
      </c>
      <c r="AA62" s="28" t="s">
        <v>9</v>
      </c>
      <c r="AB62" s="28" t="s">
        <v>9</v>
      </c>
      <c r="AC62" s="28" t="s">
        <v>9</v>
      </c>
      <c r="AD62" s="28" t="s">
        <v>10</v>
      </c>
      <c r="AE62" s="28"/>
      <c r="AF62" s="24">
        <f t="shared" si="3"/>
        <v>1</v>
      </c>
      <c r="AG62" s="24">
        <f t="shared" si="4"/>
        <v>4</v>
      </c>
      <c r="AH62" s="41" t="str" cm="1">
        <f t="array" ref="AH62">_xlfn.IFS(
$AE62=15,"Not Started",
$AG62&lt;15,"In Progress",
$AG62=15,"Completed",
SUM(AE62:AG62)&gt;15,"Error"
)</f>
        <v>In Progress</v>
      </c>
    </row>
    <row r="63" spans="1:34" ht="13" x14ac:dyDescent="0.25">
      <c r="A63" s="248"/>
      <c r="B63" s="14">
        <v>60</v>
      </c>
      <c r="C63" s="7" t="s">
        <v>1115</v>
      </c>
      <c r="D63" s="151" t="s">
        <v>8631</v>
      </c>
      <c r="E63" s="57" t="s">
        <v>8501</v>
      </c>
      <c r="F63" s="7" t="s">
        <v>51</v>
      </c>
      <c r="G63" s="7" t="s">
        <v>44</v>
      </c>
      <c r="H63" s="7" t="s">
        <v>5822</v>
      </c>
      <c r="I63" s="7" t="s">
        <v>8883</v>
      </c>
      <c r="J63" s="7" t="s">
        <v>9346</v>
      </c>
      <c r="K63" s="7" t="s">
        <v>8787</v>
      </c>
      <c r="L63" s="76">
        <v>10088728552</v>
      </c>
      <c r="M63" s="3"/>
      <c r="N63" s="201"/>
      <c r="O63" s="28" t="s">
        <v>9</v>
      </c>
      <c r="P63" s="28" t="s">
        <v>9</v>
      </c>
      <c r="Q63" s="28" t="s">
        <v>9</v>
      </c>
      <c r="R63" s="28" t="s">
        <v>9</v>
      </c>
      <c r="S63" s="28" t="s">
        <v>9</v>
      </c>
      <c r="T63" s="28" t="s">
        <v>9</v>
      </c>
      <c r="U63" s="28" t="s">
        <v>9</v>
      </c>
      <c r="V63" s="28" t="s">
        <v>9</v>
      </c>
      <c r="W63" s="28" t="s">
        <v>9</v>
      </c>
      <c r="X63" s="28" t="s">
        <v>9</v>
      </c>
      <c r="Y63" s="28" t="s">
        <v>9</v>
      </c>
      <c r="Z63" s="28" t="s">
        <v>9</v>
      </c>
      <c r="AA63" s="28" t="s">
        <v>9</v>
      </c>
      <c r="AB63" s="28" t="s">
        <v>9</v>
      </c>
      <c r="AC63" s="28" t="s">
        <v>9</v>
      </c>
      <c r="AD63" s="28" t="s">
        <v>9</v>
      </c>
      <c r="AE63" s="28"/>
      <c r="AF63" s="24">
        <f t="shared" si="3"/>
        <v>0</v>
      </c>
      <c r="AG63" s="24">
        <f t="shared" si="4"/>
        <v>0</v>
      </c>
      <c r="AH63" s="41" t="str" cm="1">
        <f t="array" ref="AH63">_xlfn.IFS(
$AE63=15,"Not Started",
$AG63&lt;15,"In Progress",
$AG63=15,"Completed",
SUM(AE63:AG63)&gt;15,"Error"
)</f>
        <v>In Progress</v>
      </c>
    </row>
    <row r="64" spans="1:34" ht="13" x14ac:dyDescent="0.25">
      <c r="A64" s="248"/>
      <c r="B64" s="14">
        <v>61</v>
      </c>
      <c r="C64" s="14" t="s">
        <v>1116</v>
      </c>
      <c r="D64" s="151" t="s">
        <v>8632</v>
      </c>
      <c r="E64" s="57" t="s">
        <v>8502</v>
      </c>
      <c r="F64" s="7" t="s">
        <v>47</v>
      </c>
      <c r="G64" s="7" t="s">
        <v>44</v>
      </c>
      <c r="H64" s="7" t="s">
        <v>5822</v>
      </c>
      <c r="I64" s="7" t="s">
        <v>8883</v>
      </c>
      <c r="J64" s="7" t="s">
        <v>9347</v>
      </c>
      <c r="K64" s="7" t="s">
        <v>8788</v>
      </c>
      <c r="L64" s="76">
        <v>10006016152</v>
      </c>
      <c r="M64" s="3"/>
      <c r="N64" s="202">
        <v>46147</v>
      </c>
      <c r="O64" s="28" t="s">
        <v>11</v>
      </c>
      <c r="P64" s="28" t="s">
        <v>11</v>
      </c>
      <c r="Q64" s="28" t="s">
        <v>11</v>
      </c>
      <c r="R64" s="28" t="s">
        <v>11</v>
      </c>
      <c r="S64" s="28" t="s">
        <v>10</v>
      </c>
      <c r="T64" s="28" t="s">
        <v>9</v>
      </c>
      <c r="U64" s="28" t="s">
        <v>9</v>
      </c>
      <c r="V64" s="28" t="s">
        <v>9</v>
      </c>
      <c r="W64" s="28" t="s">
        <v>9</v>
      </c>
      <c r="X64" s="28" t="s">
        <v>9</v>
      </c>
      <c r="Y64" s="28" t="s">
        <v>9</v>
      </c>
      <c r="Z64" s="28" t="s">
        <v>9</v>
      </c>
      <c r="AA64" s="28" t="s">
        <v>9</v>
      </c>
      <c r="AB64" s="28" t="s">
        <v>9</v>
      </c>
      <c r="AC64" s="28" t="s">
        <v>9</v>
      </c>
      <c r="AD64" s="28" t="s">
        <v>10</v>
      </c>
      <c r="AE64" s="28"/>
      <c r="AF64" s="24">
        <f t="shared" si="3"/>
        <v>1</v>
      </c>
      <c r="AG64" s="24">
        <f t="shared" si="4"/>
        <v>4</v>
      </c>
      <c r="AH64" s="41" t="str" cm="1">
        <f t="array" ref="AH64">_xlfn.IFS(
$AE64=15,"Not Started",
$AG64&lt;15,"In Progress",
$AG64=15,"Completed",
SUM(AE64:AG64)&gt;15,"Error"
)</f>
        <v>In Progress</v>
      </c>
    </row>
    <row r="65" spans="1:34" ht="13" x14ac:dyDescent="0.25">
      <c r="A65" s="248"/>
      <c r="B65" s="14">
        <v>62</v>
      </c>
      <c r="C65" s="7" t="s">
        <v>1117</v>
      </c>
      <c r="D65" s="151" t="s">
        <v>8633</v>
      </c>
      <c r="E65" s="57" t="s">
        <v>8503</v>
      </c>
      <c r="F65" s="7" t="s">
        <v>51</v>
      </c>
      <c r="G65" s="7" t="s">
        <v>44</v>
      </c>
      <c r="H65" s="7" t="s">
        <v>5822</v>
      </c>
      <c r="I65" s="7" t="s">
        <v>8883</v>
      </c>
      <c r="J65" s="7" t="s">
        <v>9348</v>
      </c>
      <c r="K65" s="7" t="s">
        <v>8789</v>
      </c>
      <c r="L65" s="76">
        <v>10006062351</v>
      </c>
      <c r="M65" s="3"/>
      <c r="N65" s="202">
        <v>46147</v>
      </c>
      <c r="O65" s="28" t="s">
        <v>11</v>
      </c>
      <c r="P65" s="28" t="s">
        <v>11</v>
      </c>
      <c r="Q65" s="28" t="s">
        <v>11</v>
      </c>
      <c r="R65" s="28" t="s">
        <v>11</v>
      </c>
      <c r="S65" s="28" t="s">
        <v>10</v>
      </c>
      <c r="T65" s="28" t="s">
        <v>9</v>
      </c>
      <c r="U65" s="28" t="s">
        <v>9</v>
      </c>
      <c r="V65" s="28" t="s">
        <v>9</v>
      </c>
      <c r="W65" s="28" t="s">
        <v>9</v>
      </c>
      <c r="X65" s="28" t="s">
        <v>9</v>
      </c>
      <c r="Y65" s="28" t="s">
        <v>9</v>
      </c>
      <c r="Z65" s="28" t="s">
        <v>9</v>
      </c>
      <c r="AA65" s="28" t="s">
        <v>9</v>
      </c>
      <c r="AB65" s="28" t="s">
        <v>9</v>
      </c>
      <c r="AC65" s="28" t="s">
        <v>9</v>
      </c>
      <c r="AD65" s="28" t="s">
        <v>10</v>
      </c>
      <c r="AE65" s="28"/>
      <c r="AF65" s="24">
        <f t="shared" si="3"/>
        <v>1</v>
      </c>
      <c r="AG65" s="24">
        <f t="shared" si="4"/>
        <v>4</v>
      </c>
      <c r="AH65" s="41" t="str" cm="1">
        <f t="array" ref="AH65">_xlfn.IFS(
$AE65=15,"Not Started",
$AG65&lt;15,"In Progress",
$AG65=15,"Completed",
SUM(AE65:AG65)&gt;15,"Error"
)</f>
        <v>In Progress</v>
      </c>
    </row>
    <row r="66" spans="1:34" ht="13" x14ac:dyDescent="0.25">
      <c r="A66" s="248"/>
      <c r="B66" s="14">
        <v>63</v>
      </c>
      <c r="C66" s="14" t="s">
        <v>1118</v>
      </c>
      <c r="D66" s="151" t="s">
        <v>8634</v>
      </c>
      <c r="E66" s="57" t="s">
        <v>8504</v>
      </c>
      <c r="F66" s="7" t="s">
        <v>47</v>
      </c>
      <c r="G66" s="7" t="s">
        <v>44</v>
      </c>
      <c r="H66" s="7" t="s">
        <v>5822</v>
      </c>
      <c r="I66" s="7" t="s">
        <v>8883</v>
      </c>
      <c r="J66" s="7" t="s">
        <v>9349</v>
      </c>
      <c r="K66" s="7" t="s">
        <v>8790</v>
      </c>
      <c r="L66" s="76">
        <v>10006016036</v>
      </c>
      <c r="M66" s="3"/>
      <c r="N66" s="202">
        <v>46149</v>
      </c>
      <c r="O66" s="28" t="s">
        <v>11</v>
      </c>
      <c r="P66" s="28" t="s">
        <v>11</v>
      </c>
      <c r="Q66" s="28" t="s">
        <v>11</v>
      </c>
      <c r="R66" s="28" t="s">
        <v>11</v>
      </c>
      <c r="S66" s="28" t="s">
        <v>10</v>
      </c>
      <c r="T66" s="28" t="s">
        <v>9</v>
      </c>
      <c r="U66" s="28" t="s">
        <v>9</v>
      </c>
      <c r="V66" s="28" t="s">
        <v>9</v>
      </c>
      <c r="W66" s="28" t="s">
        <v>9</v>
      </c>
      <c r="X66" s="28" t="s">
        <v>9</v>
      </c>
      <c r="Y66" s="28" t="s">
        <v>9</v>
      </c>
      <c r="Z66" s="28" t="s">
        <v>9</v>
      </c>
      <c r="AA66" s="28" t="s">
        <v>9</v>
      </c>
      <c r="AB66" s="28" t="s">
        <v>9</v>
      </c>
      <c r="AC66" s="28" t="s">
        <v>9</v>
      </c>
      <c r="AD66" s="28" t="s">
        <v>10</v>
      </c>
      <c r="AE66" s="28"/>
      <c r="AF66" s="24">
        <f t="shared" si="3"/>
        <v>1</v>
      </c>
      <c r="AG66" s="24">
        <f t="shared" si="4"/>
        <v>4</v>
      </c>
      <c r="AH66" s="41" t="str" cm="1">
        <f t="array" ref="AH66">_xlfn.IFS(
$AE66=15,"Not Started",
$AG66&lt;15,"In Progress",
$AG66=15,"Completed",
SUM(AE66:AG66)&gt;15,"Error"
)</f>
        <v>In Progress</v>
      </c>
    </row>
    <row r="67" spans="1:34" ht="13" x14ac:dyDescent="0.25">
      <c r="A67" s="248"/>
      <c r="B67" s="14">
        <v>64</v>
      </c>
      <c r="C67" s="7" t="s">
        <v>1119</v>
      </c>
      <c r="D67" s="151" t="s">
        <v>8635</v>
      </c>
      <c r="E67" s="57" t="s">
        <v>8505</v>
      </c>
      <c r="F67" s="7" t="s">
        <v>9670</v>
      </c>
      <c r="G67" s="7" t="s">
        <v>48</v>
      </c>
      <c r="H67" s="7" t="s">
        <v>5822</v>
      </c>
      <c r="I67" s="7" t="s">
        <v>8883</v>
      </c>
      <c r="J67" s="7" t="s">
        <v>9350</v>
      </c>
      <c r="K67" s="7" t="s">
        <v>8791</v>
      </c>
      <c r="L67" s="76">
        <v>10006015763</v>
      </c>
      <c r="M67" s="3"/>
      <c r="N67" s="202">
        <v>46149</v>
      </c>
      <c r="O67" s="28" t="s">
        <v>11</v>
      </c>
      <c r="P67" s="28" t="s">
        <v>11</v>
      </c>
      <c r="Q67" s="28" t="s">
        <v>11</v>
      </c>
      <c r="R67" s="28" t="s">
        <v>11</v>
      </c>
      <c r="S67" s="28" t="s">
        <v>10</v>
      </c>
      <c r="T67" s="28" t="s">
        <v>9</v>
      </c>
      <c r="U67" s="28" t="s">
        <v>9</v>
      </c>
      <c r="V67" s="28" t="s">
        <v>9</v>
      </c>
      <c r="W67" s="28" t="s">
        <v>9</v>
      </c>
      <c r="X67" s="28" t="s">
        <v>9</v>
      </c>
      <c r="Y67" s="28" t="s">
        <v>9</v>
      </c>
      <c r="Z67" s="28" t="s">
        <v>9</v>
      </c>
      <c r="AA67" s="28" t="s">
        <v>9</v>
      </c>
      <c r="AB67" s="28" t="s">
        <v>9</v>
      </c>
      <c r="AC67" s="28" t="s">
        <v>9</v>
      </c>
      <c r="AD67" s="28" t="s">
        <v>10</v>
      </c>
      <c r="AE67" s="28"/>
      <c r="AF67" s="24">
        <f t="shared" si="3"/>
        <v>1</v>
      </c>
      <c r="AG67" s="24">
        <f t="shared" si="4"/>
        <v>4</v>
      </c>
      <c r="AH67" s="41" t="str" cm="1">
        <f t="array" ref="AH67">_xlfn.IFS(
$AE67=15,"Not Started",
$AG67&lt;15,"In Progress",
$AG67=15,"Completed",
SUM(AE67:AG67)&gt;15,"Error"
)</f>
        <v>In Progress</v>
      </c>
    </row>
    <row r="68" spans="1:34" ht="13" x14ac:dyDescent="0.25">
      <c r="A68" s="248"/>
      <c r="B68" s="14">
        <v>65</v>
      </c>
      <c r="C68" s="14" t="s">
        <v>1120</v>
      </c>
      <c r="D68" s="151" t="s">
        <v>8636</v>
      </c>
      <c r="E68" s="57" t="s">
        <v>8506</v>
      </c>
      <c r="F68" s="7" t="s">
        <v>43</v>
      </c>
      <c r="G68" s="7" t="s">
        <v>48</v>
      </c>
      <c r="H68" s="7" t="s">
        <v>5822</v>
      </c>
      <c r="I68" s="7" t="s">
        <v>8883</v>
      </c>
      <c r="J68" s="7" t="s">
        <v>9351</v>
      </c>
      <c r="K68" s="7" t="s">
        <v>8792</v>
      </c>
      <c r="L68" s="76">
        <v>10006062333</v>
      </c>
      <c r="M68" s="3"/>
      <c r="N68" s="202">
        <v>46146</v>
      </c>
      <c r="O68" s="28" t="s">
        <v>11</v>
      </c>
      <c r="P68" s="28" t="s">
        <v>11</v>
      </c>
      <c r="Q68" s="28" t="s">
        <v>11</v>
      </c>
      <c r="R68" s="28" t="s">
        <v>11</v>
      </c>
      <c r="S68" s="28" t="s">
        <v>10</v>
      </c>
      <c r="T68" s="28" t="s">
        <v>9</v>
      </c>
      <c r="U68" s="28" t="s">
        <v>9</v>
      </c>
      <c r="V68" s="28" t="s">
        <v>9</v>
      </c>
      <c r="W68" s="28" t="s">
        <v>9</v>
      </c>
      <c r="X68" s="28" t="s">
        <v>9</v>
      </c>
      <c r="Y68" s="28" t="s">
        <v>9</v>
      </c>
      <c r="Z68" s="28" t="s">
        <v>9</v>
      </c>
      <c r="AA68" s="28" t="s">
        <v>9</v>
      </c>
      <c r="AB68" s="28" t="s">
        <v>9</v>
      </c>
      <c r="AC68" s="28" t="s">
        <v>9</v>
      </c>
      <c r="AD68" s="28" t="s">
        <v>10</v>
      </c>
      <c r="AE68" s="28"/>
      <c r="AF68" s="24">
        <f t="shared" ref="AF68:AF99" si="5">COUNTIF(O68:AC68,$AF$2)</f>
        <v>1</v>
      </c>
      <c r="AG68" s="24">
        <f t="shared" ref="AG68:AG99" si="6">COUNTIF(O68:AC68,$AG$2)</f>
        <v>4</v>
      </c>
      <c r="AH68" s="41" t="str" cm="1">
        <f t="array" ref="AH68">_xlfn.IFS(
$AE68=15,"Not Started",
$AG68&lt;15,"In Progress",
$AG68=15,"Completed",
SUM(AE68:AG68)&gt;15,"Error"
)</f>
        <v>In Progress</v>
      </c>
    </row>
    <row r="69" spans="1:34" ht="13" x14ac:dyDescent="0.25">
      <c r="A69" s="248"/>
      <c r="B69" s="14">
        <v>66</v>
      </c>
      <c r="C69" s="7" t="s">
        <v>1121</v>
      </c>
      <c r="D69" s="151" t="s">
        <v>8637</v>
      </c>
      <c r="E69" s="57" t="s">
        <v>8507</v>
      </c>
      <c r="F69" s="7" t="s">
        <v>9670</v>
      </c>
      <c r="G69" s="7" t="s">
        <v>48</v>
      </c>
      <c r="H69" s="7" t="s">
        <v>5822</v>
      </c>
      <c r="I69" s="7" t="s">
        <v>8883</v>
      </c>
      <c r="J69" s="7" t="s">
        <v>9352</v>
      </c>
      <c r="K69" s="7" t="s">
        <v>8793</v>
      </c>
      <c r="L69" s="76">
        <v>10006015899</v>
      </c>
      <c r="M69" s="3"/>
      <c r="N69" s="201"/>
      <c r="O69" s="28" t="s">
        <v>9</v>
      </c>
      <c r="P69" s="28" t="s">
        <v>9</v>
      </c>
      <c r="Q69" s="28" t="s">
        <v>9</v>
      </c>
      <c r="R69" s="28" t="s">
        <v>9</v>
      </c>
      <c r="S69" s="28" t="s">
        <v>9</v>
      </c>
      <c r="T69" s="28" t="s">
        <v>9</v>
      </c>
      <c r="U69" s="28" t="s">
        <v>9</v>
      </c>
      <c r="V69" s="28" t="s">
        <v>9</v>
      </c>
      <c r="W69" s="28" t="s">
        <v>9</v>
      </c>
      <c r="X69" s="28" t="s">
        <v>9</v>
      </c>
      <c r="Y69" s="28" t="s">
        <v>9</v>
      </c>
      <c r="Z69" s="28" t="s">
        <v>9</v>
      </c>
      <c r="AA69" s="28" t="s">
        <v>9</v>
      </c>
      <c r="AB69" s="28" t="s">
        <v>9</v>
      </c>
      <c r="AC69" s="28" t="s">
        <v>9</v>
      </c>
      <c r="AD69" s="28" t="s">
        <v>9</v>
      </c>
      <c r="AE69" s="28"/>
      <c r="AF69" s="24">
        <f t="shared" si="5"/>
        <v>0</v>
      </c>
      <c r="AG69" s="24">
        <f t="shared" si="6"/>
        <v>0</v>
      </c>
      <c r="AH69" s="41" t="str" cm="1">
        <f t="array" ref="AH69">_xlfn.IFS(
$AE69=15,"Not Started",
$AG69&lt;15,"In Progress",
$AG69=15,"Completed",
SUM(AE69:AG69)&gt;15,"Error"
)</f>
        <v>In Progress</v>
      </c>
    </row>
    <row r="70" spans="1:34" ht="26" x14ac:dyDescent="0.25">
      <c r="A70" s="248"/>
      <c r="B70" s="14">
        <v>67</v>
      </c>
      <c r="C70" s="14" t="s">
        <v>1122</v>
      </c>
      <c r="D70" s="150" t="s">
        <v>10296</v>
      </c>
      <c r="E70" s="80" t="s">
        <v>10325</v>
      </c>
      <c r="F70" s="7" t="s">
        <v>47</v>
      </c>
      <c r="G70" s="7" t="s">
        <v>48</v>
      </c>
      <c r="H70" s="7" t="s">
        <v>5822</v>
      </c>
      <c r="I70" s="7" t="s">
        <v>8883</v>
      </c>
      <c r="J70" s="7" t="s">
        <v>9353</v>
      </c>
      <c r="K70" s="7" t="s">
        <v>8794</v>
      </c>
      <c r="L70" s="76">
        <v>10006062549</v>
      </c>
      <c r="M70" s="3"/>
      <c r="N70" s="201"/>
      <c r="O70" s="28" t="s">
        <v>9</v>
      </c>
      <c r="P70" s="28" t="s">
        <v>9</v>
      </c>
      <c r="Q70" s="28" t="s">
        <v>9</v>
      </c>
      <c r="R70" s="28" t="s">
        <v>9</v>
      </c>
      <c r="S70" s="28" t="s">
        <v>9</v>
      </c>
      <c r="T70" s="28" t="s">
        <v>9</v>
      </c>
      <c r="U70" s="28" t="s">
        <v>9</v>
      </c>
      <c r="V70" s="28" t="s">
        <v>9</v>
      </c>
      <c r="W70" s="28" t="s">
        <v>9</v>
      </c>
      <c r="X70" s="28" t="s">
        <v>9</v>
      </c>
      <c r="Y70" s="28" t="s">
        <v>9</v>
      </c>
      <c r="Z70" s="28" t="s">
        <v>9</v>
      </c>
      <c r="AA70" s="28" t="s">
        <v>9</v>
      </c>
      <c r="AB70" s="28" t="s">
        <v>9</v>
      </c>
      <c r="AC70" s="28" t="s">
        <v>9</v>
      </c>
      <c r="AD70" s="28" t="s">
        <v>9</v>
      </c>
      <c r="AE70" s="28"/>
      <c r="AF70" s="24">
        <f t="shared" si="5"/>
        <v>0</v>
      </c>
      <c r="AG70" s="24">
        <f t="shared" si="6"/>
        <v>0</v>
      </c>
      <c r="AH70" s="41" t="str" cm="1">
        <f t="array" ref="AH70">_xlfn.IFS(
$AE70=15,"Not Started",
$AG70&lt;15,"In Progress",
$AG70=15,"Completed",
SUM(AE70:AG70)&gt;15,"Error"
)</f>
        <v>In Progress</v>
      </c>
    </row>
    <row r="71" spans="1:34" ht="13" x14ac:dyDescent="0.25">
      <c r="A71" s="248"/>
      <c r="B71" s="14">
        <v>68</v>
      </c>
      <c r="C71" s="7" t="s">
        <v>1123</v>
      </c>
      <c r="D71" s="151" t="s">
        <v>8638</v>
      </c>
      <c r="E71" s="57" t="s">
        <v>8508</v>
      </c>
      <c r="F71" s="7" t="s">
        <v>51</v>
      </c>
      <c r="G71" s="7" t="s">
        <v>48</v>
      </c>
      <c r="H71" s="7" t="s">
        <v>5822</v>
      </c>
      <c r="I71" s="7" t="s">
        <v>8883</v>
      </c>
      <c r="J71" s="7" t="s">
        <v>9354</v>
      </c>
      <c r="K71" s="7" t="s">
        <v>8795</v>
      </c>
      <c r="L71" s="76">
        <v>10006016125</v>
      </c>
      <c r="M71" s="3"/>
      <c r="N71" s="201"/>
      <c r="O71" s="28" t="s">
        <v>9</v>
      </c>
      <c r="P71" s="28" t="s">
        <v>9</v>
      </c>
      <c r="Q71" s="28" t="s">
        <v>9</v>
      </c>
      <c r="R71" s="28" t="s">
        <v>9</v>
      </c>
      <c r="S71" s="28" t="s">
        <v>9</v>
      </c>
      <c r="T71" s="28" t="s">
        <v>9</v>
      </c>
      <c r="U71" s="28" t="s">
        <v>9</v>
      </c>
      <c r="V71" s="28" t="s">
        <v>9</v>
      </c>
      <c r="W71" s="28" t="s">
        <v>9</v>
      </c>
      <c r="X71" s="28" t="s">
        <v>9</v>
      </c>
      <c r="Y71" s="28" t="s">
        <v>9</v>
      </c>
      <c r="Z71" s="28" t="s">
        <v>9</v>
      </c>
      <c r="AA71" s="28" t="s">
        <v>9</v>
      </c>
      <c r="AB71" s="28" t="s">
        <v>9</v>
      </c>
      <c r="AC71" s="28" t="s">
        <v>9</v>
      </c>
      <c r="AD71" s="28" t="s">
        <v>9</v>
      </c>
      <c r="AE71" s="28"/>
      <c r="AF71" s="24">
        <f t="shared" si="5"/>
        <v>0</v>
      </c>
      <c r="AG71" s="24">
        <f t="shared" si="6"/>
        <v>0</v>
      </c>
      <c r="AH71" s="41" t="str" cm="1">
        <f t="array" ref="AH71">_xlfn.IFS(
$AE71=15,"Not Started",
$AG71&lt;15,"In Progress",
$AG71=15,"Completed",
SUM(AE71:AG71)&gt;15,"Error"
)</f>
        <v>In Progress</v>
      </c>
    </row>
    <row r="72" spans="1:34" ht="13" x14ac:dyDescent="0.25">
      <c r="A72" s="248"/>
      <c r="B72" s="14">
        <v>69</v>
      </c>
      <c r="C72" s="14" t="s">
        <v>1124</v>
      </c>
      <c r="D72" s="151" t="s">
        <v>8639</v>
      </c>
      <c r="E72" s="57" t="s">
        <v>8509</v>
      </c>
      <c r="F72" s="7" t="s">
        <v>43</v>
      </c>
      <c r="G72" s="7" t="s">
        <v>44</v>
      </c>
      <c r="H72" s="7" t="s">
        <v>5822</v>
      </c>
      <c r="I72" s="7" t="s">
        <v>8883</v>
      </c>
      <c r="J72" s="7" t="s">
        <v>9355</v>
      </c>
      <c r="K72" s="7" t="s">
        <v>8796</v>
      </c>
      <c r="L72" s="76">
        <v>10006015656</v>
      </c>
      <c r="M72" s="3"/>
      <c r="N72" s="201"/>
      <c r="O72" s="28" t="s">
        <v>9</v>
      </c>
      <c r="P72" s="28" t="s">
        <v>9</v>
      </c>
      <c r="Q72" s="28" t="s">
        <v>9</v>
      </c>
      <c r="R72" s="28" t="s">
        <v>9</v>
      </c>
      <c r="S72" s="28" t="s">
        <v>9</v>
      </c>
      <c r="T72" s="28" t="s">
        <v>9</v>
      </c>
      <c r="U72" s="28" t="s">
        <v>9</v>
      </c>
      <c r="V72" s="28" t="s">
        <v>9</v>
      </c>
      <c r="W72" s="28" t="s">
        <v>9</v>
      </c>
      <c r="X72" s="28" t="s">
        <v>9</v>
      </c>
      <c r="Y72" s="28" t="s">
        <v>9</v>
      </c>
      <c r="Z72" s="28" t="s">
        <v>9</v>
      </c>
      <c r="AA72" s="28" t="s">
        <v>9</v>
      </c>
      <c r="AB72" s="28" t="s">
        <v>9</v>
      </c>
      <c r="AC72" s="28" t="s">
        <v>9</v>
      </c>
      <c r="AD72" s="28" t="s">
        <v>9</v>
      </c>
      <c r="AE72" s="28"/>
      <c r="AF72" s="24">
        <f t="shared" si="5"/>
        <v>0</v>
      </c>
      <c r="AG72" s="24">
        <f t="shared" si="6"/>
        <v>0</v>
      </c>
      <c r="AH72" s="41" t="str" cm="1">
        <f t="array" ref="AH72">_xlfn.IFS(
$AE72=15,"Not Started",
$AG72&lt;15,"In Progress",
$AG72=15,"Completed",
SUM(AE72:AG72)&gt;15,"Error"
)</f>
        <v>In Progress</v>
      </c>
    </row>
    <row r="73" spans="1:34" ht="26" x14ac:dyDescent="0.25">
      <c r="A73" s="248"/>
      <c r="B73" s="14">
        <v>70</v>
      </c>
      <c r="C73" s="7" t="s">
        <v>1125</v>
      </c>
      <c r="D73" s="151" t="s">
        <v>8640</v>
      </c>
      <c r="E73" s="80" t="s">
        <v>10326</v>
      </c>
      <c r="F73" s="7" t="s">
        <v>47</v>
      </c>
      <c r="G73" s="7" t="s">
        <v>48</v>
      </c>
      <c r="H73" s="7" t="s">
        <v>5822</v>
      </c>
      <c r="I73" s="7" t="s">
        <v>8883</v>
      </c>
      <c r="J73" s="7" t="s">
        <v>9356</v>
      </c>
      <c r="K73" s="7" t="s">
        <v>8797</v>
      </c>
      <c r="L73" s="76">
        <v>10006015871</v>
      </c>
      <c r="M73" s="3"/>
      <c r="N73" s="201"/>
      <c r="O73" s="28" t="s">
        <v>9</v>
      </c>
      <c r="P73" s="28" t="s">
        <v>9</v>
      </c>
      <c r="Q73" s="28" t="s">
        <v>9</v>
      </c>
      <c r="R73" s="28" t="s">
        <v>9</v>
      </c>
      <c r="S73" s="28" t="s">
        <v>9</v>
      </c>
      <c r="T73" s="28" t="s">
        <v>9</v>
      </c>
      <c r="U73" s="28" t="s">
        <v>9</v>
      </c>
      <c r="V73" s="28" t="s">
        <v>9</v>
      </c>
      <c r="W73" s="28" t="s">
        <v>9</v>
      </c>
      <c r="X73" s="28" t="s">
        <v>9</v>
      </c>
      <c r="Y73" s="28" t="s">
        <v>9</v>
      </c>
      <c r="Z73" s="28" t="s">
        <v>9</v>
      </c>
      <c r="AA73" s="28" t="s">
        <v>9</v>
      </c>
      <c r="AB73" s="28" t="s">
        <v>9</v>
      </c>
      <c r="AC73" s="28" t="s">
        <v>9</v>
      </c>
      <c r="AD73" s="28" t="s">
        <v>9</v>
      </c>
      <c r="AE73" s="28"/>
      <c r="AF73" s="24">
        <f t="shared" si="5"/>
        <v>0</v>
      </c>
      <c r="AG73" s="24">
        <f t="shared" si="6"/>
        <v>0</v>
      </c>
      <c r="AH73" s="41" t="str" cm="1">
        <f t="array" ref="AH73">_xlfn.IFS(
$AE73=15,"Not Started",
$AG73&lt;15,"In Progress",
$AG73=15,"Completed",
SUM(AE73:AG73)&gt;15,"Error"
)</f>
        <v>In Progress</v>
      </c>
    </row>
    <row r="74" spans="1:34" ht="13" x14ac:dyDescent="0.25">
      <c r="A74" s="248"/>
      <c r="B74" s="14">
        <v>71</v>
      </c>
      <c r="C74" s="14" t="s">
        <v>1126</v>
      </c>
      <c r="D74" s="151" t="s">
        <v>8641</v>
      </c>
      <c r="E74" s="57" t="s">
        <v>8510</v>
      </c>
      <c r="F74" s="7" t="s">
        <v>47</v>
      </c>
      <c r="G74" s="7" t="s">
        <v>48</v>
      </c>
      <c r="H74" s="7" t="s">
        <v>5822</v>
      </c>
      <c r="I74" s="7" t="s">
        <v>8883</v>
      </c>
      <c r="J74" s="7" t="s">
        <v>9357</v>
      </c>
      <c r="K74" s="7" t="s">
        <v>8798</v>
      </c>
      <c r="L74" s="76">
        <v>10006016279</v>
      </c>
      <c r="M74" s="3"/>
      <c r="N74" s="202">
        <v>46145</v>
      </c>
      <c r="O74" s="28" t="s">
        <v>11</v>
      </c>
      <c r="P74" s="28" t="s">
        <v>11</v>
      </c>
      <c r="Q74" s="28" t="s">
        <v>11</v>
      </c>
      <c r="R74" s="28" t="s">
        <v>11</v>
      </c>
      <c r="S74" s="28" t="s">
        <v>10</v>
      </c>
      <c r="T74" s="28" t="s">
        <v>9</v>
      </c>
      <c r="U74" s="28" t="s">
        <v>9</v>
      </c>
      <c r="V74" s="28" t="s">
        <v>9</v>
      </c>
      <c r="W74" s="28" t="s">
        <v>9</v>
      </c>
      <c r="X74" s="28" t="s">
        <v>9</v>
      </c>
      <c r="Y74" s="28" t="s">
        <v>9</v>
      </c>
      <c r="Z74" s="28" t="s">
        <v>9</v>
      </c>
      <c r="AA74" s="28" t="s">
        <v>9</v>
      </c>
      <c r="AB74" s="28" t="s">
        <v>9</v>
      </c>
      <c r="AC74" s="28" t="s">
        <v>9</v>
      </c>
      <c r="AD74" s="28" t="s">
        <v>10</v>
      </c>
      <c r="AE74" s="28"/>
      <c r="AF74" s="24">
        <f t="shared" si="5"/>
        <v>1</v>
      </c>
      <c r="AG74" s="24">
        <f t="shared" si="6"/>
        <v>4</v>
      </c>
      <c r="AH74" s="41" t="str" cm="1">
        <f t="array" ref="AH74">_xlfn.IFS(
$AE74=15,"Not Started",
$AG74&lt;15,"In Progress",
$AG74=15,"Completed",
SUM(AE74:AG74)&gt;15,"Error"
)</f>
        <v>In Progress</v>
      </c>
    </row>
    <row r="75" spans="1:34" ht="13" x14ac:dyDescent="0.25">
      <c r="A75" s="248"/>
      <c r="B75" s="14">
        <v>72</v>
      </c>
      <c r="C75" s="7" t="s">
        <v>1127</v>
      </c>
      <c r="D75" s="151" t="s">
        <v>8642</v>
      </c>
      <c r="E75" s="57" t="s">
        <v>8511</v>
      </c>
      <c r="F75" s="7" t="s">
        <v>43</v>
      </c>
      <c r="G75" s="7" t="s">
        <v>44</v>
      </c>
      <c r="H75" s="7" t="s">
        <v>5822</v>
      </c>
      <c r="I75" s="7" t="s">
        <v>8883</v>
      </c>
      <c r="J75" s="7" t="s">
        <v>9358</v>
      </c>
      <c r="K75" s="7" t="s">
        <v>8799</v>
      </c>
      <c r="L75" s="76">
        <v>10006015988</v>
      </c>
      <c r="M75" s="3"/>
      <c r="N75" s="201"/>
      <c r="O75" s="28" t="s">
        <v>9</v>
      </c>
      <c r="P75" s="28" t="s">
        <v>9</v>
      </c>
      <c r="Q75" s="28" t="s">
        <v>9</v>
      </c>
      <c r="R75" s="28" t="s">
        <v>9</v>
      </c>
      <c r="S75" s="28" t="s">
        <v>9</v>
      </c>
      <c r="T75" s="28" t="s">
        <v>9</v>
      </c>
      <c r="U75" s="28" t="s">
        <v>9</v>
      </c>
      <c r="V75" s="28" t="s">
        <v>9</v>
      </c>
      <c r="W75" s="28" t="s">
        <v>9</v>
      </c>
      <c r="X75" s="28" t="s">
        <v>9</v>
      </c>
      <c r="Y75" s="28" t="s">
        <v>9</v>
      </c>
      <c r="Z75" s="28" t="s">
        <v>9</v>
      </c>
      <c r="AA75" s="28" t="s">
        <v>9</v>
      </c>
      <c r="AB75" s="28" t="s">
        <v>9</v>
      </c>
      <c r="AC75" s="28" t="s">
        <v>9</v>
      </c>
      <c r="AD75" s="28" t="s">
        <v>9</v>
      </c>
      <c r="AE75" s="28"/>
      <c r="AF75" s="24">
        <f t="shared" si="5"/>
        <v>0</v>
      </c>
      <c r="AG75" s="24">
        <f t="shared" si="6"/>
        <v>0</v>
      </c>
      <c r="AH75" s="41" t="str" cm="1">
        <f t="array" ref="AH75">_xlfn.IFS(
$AE75=15,"Not Started",
$AG75&lt;15,"In Progress",
$AG75=15,"Completed",
SUM(AE75:AG75)&gt;15,"Error"
)</f>
        <v>In Progress</v>
      </c>
    </row>
    <row r="76" spans="1:34" ht="13" x14ac:dyDescent="0.25">
      <c r="A76" s="248"/>
      <c r="B76" s="14">
        <v>73</v>
      </c>
      <c r="C76" s="14" t="s">
        <v>1128</v>
      </c>
      <c r="D76" s="151" t="s">
        <v>8643</v>
      </c>
      <c r="E76" s="57" t="s">
        <v>8512</v>
      </c>
      <c r="F76" s="7" t="s">
        <v>43</v>
      </c>
      <c r="G76" s="7" t="s">
        <v>48</v>
      </c>
      <c r="H76" s="7" t="s">
        <v>5822</v>
      </c>
      <c r="I76" s="7" t="s">
        <v>8883</v>
      </c>
      <c r="J76" s="7" t="s">
        <v>9359</v>
      </c>
      <c r="K76" s="7" t="s">
        <v>8800</v>
      </c>
      <c r="L76" s="76">
        <v>10010338967</v>
      </c>
      <c r="M76" s="3"/>
      <c r="N76" s="201"/>
      <c r="O76" s="28" t="s">
        <v>9</v>
      </c>
      <c r="P76" s="28" t="s">
        <v>9</v>
      </c>
      <c r="Q76" s="28" t="s">
        <v>9</v>
      </c>
      <c r="R76" s="28" t="s">
        <v>9</v>
      </c>
      <c r="S76" s="28" t="s">
        <v>9</v>
      </c>
      <c r="T76" s="28" t="s">
        <v>9</v>
      </c>
      <c r="U76" s="28" t="s">
        <v>9</v>
      </c>
      <c r="V76" s="28" t="s">
        <v>9</v>
      </c>
      <c r="W76" s="28" t="s">
        <v>9</v>
      </c>
      <c r="X76" s="28" t="s">
        <v>9</v>
      </c>
      <c r="Y76" s="28" t="s">
        <v>9</v>
      </c>
      <c r="Z76" s="28" t="s">
        <v>9</v>
      </c>
      <c r="AA76" s="28" t="s">
        <v>9</v>
      </c>
      <c r="AB76" s="28" t="s">
        <v>9</v>
      </c>
      <c r="AC76" s="28" t="s">
        <v>9</v>
      </c>
      <c r="AD76" s="28" t="s">
        <v>9</v>
      </c>
      <c r="AE76" s="28"/>
      <c r="AF76" s="24">
        <f t="shared" si="5"/>
        <v>0</v>
      </c>
      <c r="AG76" s="24">
        <f t="shared" si="6"/>
        <v>0</v>
      </c>
      <c r="AH76" s="41" t="str" cm="1">
        <f t="array" ref="AH76">_xlfn.IFS(
$AE76=15,"Not Started",
$AG76&lt;15,"In Progress",
$AG76=15,"Completed",
SUM(AE76:AG76)&gt;15,"Error"
)</f>
        <v>In Progress</v>
      </c>
    </row>
    <row r="77" spans="1:34" ht="13" x14ac:dyDescent="0.25">
      <c r="A77" s="248"/>
      <c r="B77" s="14">
        <v>74</v>
      </c>
      <c r="C77" s="7" t="s">
        <v>1129</v>
      </c>
      <c r="D77" s="151" t="s">
        <v>8644</v>
      </c>
      <c r="E77" s="57" t="s">
        <v>8513</v>
      </c>
      <c r="F77" s="7" t="s">
        <v>43</v>
      </c>
      <c r="G77" s="7" t="s">
        <v>44</v>
      </c>
      <c r="H77" s="7" t="s">
        <v>5822</v>
      </c>
      <c r="I77" s="7" t="s">
        <v>8883</v>
      </c>
      <c r="J77" s="7" t="s">
        <v>9360</v>
      </c>
      <c r="K77" s="7" t="s">
        <v>8801</v>
      </c>
      <c r="L77" s="76">
        <v>10006014631</v>
      </c>
      <c r="M77" s="3"/>
      <c r="N77" s="202">
        <v>46148</v>
      </c>
      <c r="O77" s="28" t="s">
        <v>11</v>
      </c>
      <c r="P77" s="28" t="s">
        <v>11</v>
      </c>
      <c r="Q77" s="28" t="s">
        <v>11</v>
      </c>
      <c r="R77" s="28" t="s">
        <v>11</v>
      </c>
      <c r="S77" s="28" t="s">
        <v>10</v>
      </c>
      <c r="T77" s="28" t="s">
        <v>9</v>
      </c>
      <c r="U77" s="28" t="s">
        <v>9</v>
      </c>
      <c r="V77" s="28" t="s">
        <v>9</v>
      </c>
      <c r="W77" s="28" t="s">
        <v>9</v>
      </c>
      <c r="X77" s="28" t="s">
        <v>9</v>
      </c>
      <c r="Y77" s="28" t="s">
        <v>9</v>
      </c>
      <c r="Z77" s="28" t="s">
        <v>9</v>
      </c>
      <c r="AA77" s="28" t="s">
        <v>9</v>
      </c>
      <c r="AB77" s="28" t="s">
        <v>9</v>
      </c>
      <c r="AC77" s="28" t="s">
        <v>9</v>
      </c>
      <c r="AD77" s="28" t="s">
        <v>10</v>
      </c>
      <c r="AE77" s="28"/>
      <c r="AF77" s="24">
        <f t="shared" si="5"/>
        <v>1</v>
      </c>
      <c r="AG77" s="24">
        <f t="shared" si="6"/>
        <v>4</v>
      </c>
      <c r="AH77" s="41" t="str" cm="1">
        <f t="array" ref="AH77">_xlfn.IFS(
$AE77=15,"Not Started",
$AG77&lt;15,"In Progress",
$AG77=15,"Completed",
SUM(AE77:AG77)&gt;15,"Error"
)</f>
        <v>In Progress</v>
      </c>
    </row>
    <row r="78" spans="1:34" ht="13" x14ac:dyDescent="0.25">
      <c r="A78" s="248"/>
      <c r="B78" s="14">
        <v>75</v>
      </c>
      <c r="C78" s="14" t="s">
        <v>1130</v>
      </c>
      <c r="D78" s="151" t="s">
        <v>8645</v>
      </c>
      <c r="E78" s="57" t="s">
        <v>8514</v>
      </c>
      <c r="F78" s="7" t="s">
        <v>43</v>
      </c>
      <c r="G78" s="7" t="s">
        <v>48</v>
      </c>
      <c r="H78" s="7" t="s">
        <v>5822</v>
      </c>
      <c r="I78" s="7" t="s">
        <v>8883</v>
      </c>
      <c r="J78" s="7" t="s">
        <v>9361</v>
      </c>
      <c r="K78" s="7" t="s">
        <v>8802</v>
      </c>
      <c r="L78" s="76">
        <v>10006016134</v>
      </c>
      <c r="M78" s="3"/>
      <c r="N78" s="202">
        <v>46151</v>
      </c>
      <c r="O78" s="28" t="s">
        <v>11</v>
      </c>
      <c r="P78" s="28" t="s">
        <v>11</v>
      </c>
      <c r="Q78" s="28" t="s">
        <v>11</v>
      </c>
      <c r="R78" s="28" t="s">
        <v>11</v>
      </c>
      <c r="S78" s="28" t="s">
        <v>10</v>
      </c>
      <c r="T78" s="28" t="s">
        <v>9</v>
      </c>
      <c r="U78" s="28" t="s">
        <v>9</v>
      </c>
      <c r="V78" s="28" t="s">
        <v>9</v>
      </c>
      <c r="W78" s="28" t="s">
        <v>9</v>
      </c>
      <c r="X78" s="28" t="s">
        <v>9</v>
      </c>
      <c r="Y78" s="28" t="s">
        <v>9</v>
      </c>
      <c r="Z78" s="28" t="s">
        <v>9</v>
      </c>
      <c r="AA78" s="28" t="s">
        <v>9</v>
      </c>
      <c r="AB78" s="28" t="s">
        <v>9</v>
      </c>
      <c r="AC78" s="28" t="s">
        <v>9</v>
      </c>
      <c r="AD78" s="28" t="s">
        <v>10</v>
      </c>
      <c r="AE78" s="28"/>
      <c r="AF78" s="24">
        <f t="shared" si="5"/>
        <v>1</v>
      </c>
      <c r="AG78" s="24">
        <f t="shared" si="6"/>
        <v>4</v>
      </c>
      <c r="AH78" s="41" t="str" cm="1">
        <f t="array" ref="AH78">_xlfn.IFS(
$AE78=15,"Not Started",
$AG78&lt;15,"In Progress",
$AG78=15,"Completed",
SUM(AE78:AG78)&gt;15,"Error"
)</f>
        <v>In Progress</v>
      </c>
    </row>
    <row r="79" spans="1:34" ht="26" x14ac:dyDescent="0.25">
      <c r="A79" s="248"/>
      <c r="B79" s="14">
        <v>76</v>
      </c>
      <c r="C79" s="7" t="s">
        <v>1131</v>
      </c>
      <c r="D79" s="150" t="s">
        <v>10295</v>
      </c>
      <c r="E79" s="80" t="s">
        <v>10327</v>
      </c>
      <c r="F79" s="7" t="s">
        <v>51</v>
      </c>
      <c r="G79" s="7" t="s">
        <v>48</v>
      </c>
      <c r="H79" s="7" t="s">
        <v>5822</v>
      </c>
      <c r="I79" s="7" t="s">
        <v>8883</v>
      </c>
      <c r="J79" s="7" t="s">
        <v>9362</v>
      </c>
      <c r="K79" s="7" t="s">
        <v>8803</v>
      </c>
      <c r="L79" s="76">
        <v>30113345066</v>
      </c>
      <c r="M79" s="3"/>
      <c r="N79" s="201"/>
      <c r="O79" s="28" t="s">
        <v>9</v>
      </c>
      <c r="P79" s="28" t="s">
        <v>9</v>
      </c>
      <c r="Q79" s="28" t="s">
        <v>9</v>
      </c>
      <c r="R79" s="28" t="s">
        <v>9</v>
      </c>
      <c r="S79" s="28" t="s">
        <v>9</v>
      </c>
      <c r="T79" s="28" t="s">
        <v>9</v>
      </c>
      <c r="U79" s="28" t="s">
        <v>9</v>
      </c>
      <c r="V79" s="28" t="s">
        <v>9</v>
      </c>
      <c r="W79" s="28" t="s">
        <v>9</v>
      </c>
      <c r="X79" s="28" t="s">
        <v>9</v>
      </c>
      <c r="Y79" s="28" t="s">
        <v>9</v>
      </c>
      <c r="Z79" s="28" t="s">
        <v>9</v>
      </c>
      <c r="AA79" s="28" t="s">
        <v>9</v>
      </c>
      <c r="AB79" s="28" t="s">
        <v>9</v>
      </c>
      <c r="AC79" s="28" t="s">
        <v>9</v>
      </c>
      <c r="AD79" s="28" t="s">
        <v>9</v>
      </c>
      <c r="AE79" s="28"/>
      <c r="AF79" s="24">
        <f t="shared" si="5"/>
        <v>0</v>
      </c>
      <c r="AG79" s="24">
        <f t="shared" si="6"/>
        <v>0</v>
      </c>
      <c r="AH79" s="41" t="str" cm="1">
        <f t="array" ref="AH79">_xlfn.IFS(
$AE79=15,"Not Started",
$AG79&lt;15,"In Progress",
$AG79=15,"Completed",
SUM(AE79:AG79)&gt;15,"Error"
)</f>
        <v>In Progress</v>
      </c>
    </row>
    <row r="80" spans="1:34" ht="13" x14ac:dyDescent="0.25">
      <c r="A80" s="248"/>
      <c r="B80" s="14">
        <v>77</v>
      </c>
      <c r="C80" s="14" t="s">
        <v>1132</v>
      </c>
      <c r="D80" s="151" t="s">
        <v>8646</v>
      </c>
      <c r="E80" s="57" t="s">
        <v>8515</v>
      </c>
      <c r="F80" s="7" t="s">
        <v>43</v>
      </c>
      <c r="G80" s="7" t="s">
        <v>48</v>
      </c>
      <c r="H80" s="7" t="s">
        <v>5822</v>
      </c>
      <c r="I80" s="7" t="s">
        <v>8883</v>
      </c>
      <c r="J80" s="7" t="s">
        <v>9362</v>
      </c>
      <c r="K80" s="7" t="s">
        <v>8804</v>
      </c>
      <c r="L80" s="76">
        <v>10006016072</v>
      </c>
      <c r="M80" s="3"/>
      <c r="N80" s="201"/>
      <c r="O80" s="28" t="s">
        <v>9</v>
      </c>
      <c r="P80" s="28" t="s">
        <v>9</v>
      </c>
      <c r="Q80" s="28" t="s">
        <v>9</v>
      </c>
      <c r="R80" s="28" t="s">
        <v>9</v>
      </c>
      <c r="S80" s="28" t="s">
        <v>9</v>
      </c>
      <c r="T80" s="28" t="s">
        <v>9</v>
      </c>
      <c r="U80" s="28" t="s">
        <v>9</v>
      </c>
      <c r="V80" s="28" t="s">
        <v>9</v>
      </c>
      <c r="W80" s="28" t="s">
        <v>9</v>
      </c>
      <c r="X80" s="28" t="s">
        <v>9</v>
      </c>
      <c r="Y80" s="28" t="s">
        <v>9</v>
      </c>
      <c r="Z80" s="28" t="s">
        <v>9</v>
      </c>
      <c r="AA80" s="28" t="s">
        <v>9</v>
      </c>
      <c r="AB80" s="28" t="s">
        <v>9</v>
      </c>
      <c r="AC80" s="28" t="s">
        <v>9</v>
      </c>
      <c r="AD80" s="28" t="s">
        <v>9</v>
      </c>
      <c r="AE80" s="28"/>
      <c r="AF80" s="24">
        <f t="shared" si="5"/>
        <v>0</v>
      </c>
      <c r="AG80" s="24">
        <f t="shared" si="6"/>
        <v>0</v>
      </c>
      <c r="AH80" s="41" t="str" cm="1">
        <f t="array" ref="AH80">_xlfn.IFS(
$AE80=15,"Not Started",
$AG80&lt;15,"In Progress",
$AG80=15,"Completed",
SUM(AE80:AG80)&gt;15,"Error"
)</f>
        <v>In Progress</v>
      </c>
    </row>
    <row r="81" spans="1:34" ht="26" x14ac:dyDescent="0.25">
      <c r="A81" s="248"/>
      <c r="B81" s="14">
        <v>78</v>
      </c>
      <c r="C81" s="7" t="s">
        <v>1133</v>
      </c>
      <c r="D81" s="150" t="s">
        <v>10294</v>
      </c>
      <c r="E81" s="80" t="s">
        <v>10328</v>
      </c>
      <c r="F81" s="7" t="s">
        <v>51</v>
      </c>
      <c r="G81" s="7" t="s">
        <v>44</v>
      </c>
      <c r="H81" s="7" t="s">
        <v>5822</v>
      </c>
      <c r="I81" s="7" t="s">
        <v>8883</v>
      </c>
      <c r="J81" s="7" t="s">
        <v>9363</v>
      </c>
      <c r="K81" s="7" t="s">
        <v>8805</v>
      </c>
      <c r="L81" s="76">
        <v>10006016288</v>
      </c>
      <c r="M81" s="3"/>
      <c r="N81" s="201"/>
      <c r="O81" s="28" t="s">
        <v>9</v>
      </c>
      <c r="P81" s="28" t="s">
        <v>9</v>
      </c>
      <c r="Q81" s="28" t="s">
        <v>9</v>
      </c>
      <c r="R81" s="28" t="s">
        <v>9</v>
      </c>
      <c r="S81" s="28" t="s">
        <v>9</v>
      </c>
      <c r="T81" s="28" t="s">
        <v>9</v>
      </c>
      <c r="U81" s="28" t="s">
        <v>9</v>
      </c>
      <c r="V81" s="28" t="s">
        <v>9</v>
      </c>
      <c r="W81" s="28" t="s">
        <v>9</v>
      </c>
      <c r="X81" s="28" t="s">
        <v>9</v>
      </c>
      <c r="Y81" s="28" t="s">
        <v>9</v>
      </c>
      <c r="Z81" s="28" t="s">
        <v>9</v>
      </c>
      <c r="AA81" s="28" t="s">
        <v>9</v>
      </c>
      <c r="AB81" s="28" t="s">
        <v>9</v>
      </c>
      <c r="AC81" s="28" t="s">
        <v>9</v>
      </c>
      <c r="AD81" s="28" t="s">
        <v>9</v>
      </c>
      <c r="AE81" s="28"/>
      <c r="AF81" s="24">
        <f t="shared" si="5"/>
        <v>0</v>
      </c>
      <c r="AG81" s="24">
        <f t="shared" si="6"/>
        <v>0</v>
      </c>
      <c r="AH81" s="41" t="str" cm="1">
        <f t="array" ref="AH81">_xlfn.IFS(
$AE81=15,"Not Started",
$AG81&lt;15,"In Progress",
$AG81=15,"Completed",
SUM(AE81:AG81)&gt;15,"Error"
)</f>
        <v>In Progress</v>
      </c>
    </row>
    <row r="82" spans="1:34" ht="13" x14ac:dyDescent="0.25">
      <c r="A82" s="248"/>
      <c r="B82" s="14">
        <v>79</v>
      </c>
      <c r="C82" s="14" t="s">
        <v>1134</v>
      </c>
      <c r="D82" s="151" t="s">
        <v>8647</v>
      </c>
      <c r="E82" s="57" t="s">
        <v>8516</v>
      </c>
      <c r="F82" s="7" t="s">
        <v>43</v>
      </c>
      <c r="G82" s="7" t="s">
        <v>44</v>
      </c>
      <c r="H82" s="7" t="s">
        <v>5822</v>
      </c>
      <c r="I82" s="7" t="s">
        <v>5821</v>
      </c>
      <c r="J82" s="7" t="s">
        <v>9364</v>
      </c>
      <c r="K82" s="7" t="s">
        <v>8806</v>
      </c>
      <c r="L82" s="76">
        <v>10006064187</v>
      </c>
      <c r="M82" s="3"/>
      <c r="N82" s="201"/>
      <c r="O82" s="28" t="s">
        <v>11</v>
      </c>
      <c r="P82" s="28" t="s">
        <v>11</v>
      </c>
      <c r="Q82" s="28" t="s">
        <v>11</v>
      </c>
      <c r="R82" s="28" t="s">
        <v>11</v>
      </c>
      <c r="S82" s="28" t="s">
        <v>10</v>
      </c>
      <c r="T82" s="28" t="s">
        <v>9</v>
      </c>
      <c r="U82" s="28" t="s">
        <v>9</v>
      </c>
      <c r="V82" s="28" t="s">
        <v>9</v>
      </c>
      <c r="W82" s="28" t="s">
        <v>9</v>
      </c>
      <c r="X82" s="28" t="s">
        <v>9</v>
      </c>
      <c r="Y82" s="28" t="s">
        <v>9</v>
      </c>
      <c r="Z82" s="28" t="s">
        <v>9</v>
      </c>
      <c r="AA82" s="28" t="s">
        <v>9</v>
      </c>
      <c r="AB82" s="28" t="s">
        <v>9</v>
      </c>
      <c r="AC82" s="28" t="s">
        <v>9</v>
      </c>
      <c r="AD82" s="28" t="s">
        <v>10</v>
      </c>
      <c r="AE82" s="28"/>
      <c r="AF82" s="24">
        <f t="shared" si="5"/>
        <v>1</v>
      </c>
      <c r="AG82" s="24">
        <f t="shared" si="6"/>
        <v>4</v>
      </c>
      <c r="AH82" s="41" t="str" cm="1">
        <f t="array" ref="AH82">_xlfn.IFS(
$AE82=15,"Not Started",
$AG82&lt;15,"In Progress",
$AG82=15,"Completed",
SUM(AE82:AG82)&gt;15,"Error"
)</f>
        <v>In Progress</v>
      </c>
    </row>
    <row r="83" spans="1:34" ht="13" x14ac:dyDescent="0.25">
      <c r="A83" s="248"/>
      <c r="B83" s="14">
        <v>80</v>
      </c>
      <c r="C83" s="7" t="s">
        <v>1135</v>
      </c>
      <c r="D83" s="151" t="s">
        <v>8648</v>
      </c>
      <c r="E83" s="57" t="s">
        <v>8517</v>
      </c>
      <c r="F83" s="7" t="s">
        <v>43</v>
      </c>
      <c r="G83" s="7" t="s">
        <v>44</v>
      </c>
      <c r="H83" s="7" t="s">
        <v>5822</v>
      </c>
      <c r="I83" s="7" t="s">
        <v>5821</v>
      </c>
      <c r="J83" s="7" t="s">
        <v>9365</v>
      </c>
      <c r="K83" s="7" t="s">
        <v>8807</v>
      </c>
      <c r="L83" s="76">
        <v>10006040819</v>
      </c>
      <c r="M83" s="3"/>
      <c r="N83" s="201"/>
      <c r="O83" s="28" t="s">
        <v>11</v>
      </c>
      <c r="P83" s="28" t="s">
        <v>11</v>
      </c>
      <c r="Q83" s="28" t="s">
        <v>11</v>
      </c>
      <c r="R83" s="28" t="s">
        <v>11</v>
      </c>
      <c r="S83" s="28" t="s">
        <v>9</v>
      </c>
      <c r="T83" s="28" t="s">
        <v>9</v>
      </c>
      <c r="U83" s="28" t="s">
        <v>9</v>
      </c>
      <c r="V83" s="28" t="s">
        <v>9</v>
      </c>
      <c r="W83" s="28" t="s">
        <v>9</v>
      </c>
      <c r="X83" s="28" t="s">
        <v>9</v>
      </c>
      <c r="Y83" s="28" t="s">
        <v>9</v>
      </c>
      <c r="Z83" s="28" t="s">
        <v>9</v>
      </c>
      <c r="AA83" s="28" t="s">
        <v>9</v>
      </c>
      <c r="AB83" s="28" t="s">
        <v>9</v>
      </c>
      <c r="AC83" s="28" t="s">
        <v>9</v>
      </c>
      <c r="AD83" s="28" t="s">
        <v>10</v>
      </c>
      <c r="AE83" s="28"/>
      <c r="AF83" s="24">
        <f t="shared" si="5"/>
        <v>0</v>
      </c>
      <c r="AG83" s="24">
        <f t="shared" si="6"/>
        <v>4</v>
      </c>
      <c r="AH83" s="41" t="str" cm="1">
        <f t="array" ref="AH83">_xlfn.IFS(
$AE83=15,"Not Started",
$AG83&lt;15,"In Progress",
$AG83=15,"Completed",
SUM(AE83:AG83)&gt;15,"Error"
)</f>
        <v>In Progress</v>
      </c>
    </row>
    <row r="84" spans="1:34" ht="13" x14ac:dyDescent="0.25">
      <c r="A84" s="248"/>
      <c r="B84" s="14">
        <v>81</v>
      </c>
      <c r="C84" s="14" t="s">
        <v>1136</v>
      </c>
      <c r="D84" s="151" t="s">
        <v>8649</v>
      </c>
      <c r="E84" s="57" t="s">
        <v>8518</v>
      </c>
      <c r="F84" s="7" t="s">
        <v>43</v>
      </c>
      <c r="G84" s="7" t="s">
        <v>44</v>
      </c>
      <c r="H84" s="7" t="s">
        <v>5822</v>
      </c>
      <c r="I84" s="7" t="s">
        <v>5821</v>
      </c>
      <c r="J84" s="7" t="s">
        <v>9366</v>
      </c>
      <c r="K84" s="7" t="s">
        <v>8808</v>
      </c>
      <c r="L84" s="76">
        <v>10006063878</v>
      </c>
      <c r="M84" s="3"/>
      <c r="N84" s="201"/>
      <c r="O84" s="28" t="s">
        <v>11</v>
      </c>
      <c r="P84" s="28" t="s">
        <v>11</v>
      </c>
      <c r="Q84" s="28" t="s">
        <v>11</v>
      </c>
      <c r="R84" s="28" t="s">
        <v>11</v>
      </c>
      <c r="S84" s="28" t="s">
        <v>9</v>
      </c>
      <c r="T84" s="28" t="s">
        <v>9</v>
      </c>
      <c r="U84" s="28" t="s">
        <v>9</v>
      </c>
      <c r="V84" s="28" t="s">
        <v>9</v>
      </c>
      <c r="W84" s="28" t="s">
        <v>9</v>
      </c>
      <c r="X84" s="28" t="s">
        <v>9</v>
      </c>
      <c r="Y84" s="28" t="s">
        <v>9</v>
      </c>
      <c r="Z84" s="28" t="s">
        <v>9</v>
      </c>
      <c r="AA84" s="28" t="s">
        <v>9</v>
      </c>
      <c r="AB84" s="28" t="s">
        <v>9</v>
      </c>
      <c r="AC84" s="28" t="s">
        <v>9</v>
      </c>
      <c r="AD84" s="28" t="s">
        <v>10</v>
      </c>
      <c r="AE84" s="28"/>
      <c r="AF84" s="24">
        <f t="shared" si="5"/>
        <v>0</v>
      </c>
      <c r="AG84" s="24">
        <f t="shared" si="6"/>
        <v>4</v>
      </c>
      <c r="AH84" s="41" t="str" cm="1">
        <f t="array" ref="AH84">_xlfn.IFS(
$AE84=15,"Not Started",
$AG84&lt;15,"In Progress",
$AG84=15,"Completed",
SUM(AE84:AG84)&gt;15,"Error"
)</f>
        <v>In Progress</v>
      </c>
    </row>
    <row r="85" spans="1:34" ht="13" x14ac:dyDescent="0.25">
      <c r="A85" s="248"/>
      <c r="B85" s="14">
        <v>82</v>
      </c>
      <c r="C85" s="7" t="s">
        <v>1137</v>
      </c>
      <c r="D85" s="151" t="s">
        <v>8650</v>
      </c>
      <c r="E85" s="57" t="s">
        <v>8519</v>
      </c>
      <c r="F85" s="7" t="s">
        <v>43</v>
      </c>
      <c r="G85" s="7" t="s">
        <v>44</v>
      </c>
      <c r="H85" s="7" t="s">
        <v>5822</v>
      </c>
      <c r="I85" s="7" t="s">
        <v>5821</v>
      </c>
      <c r="J85" s="7" t="s">
        <v>9367</v>
      </c>
      <c r="K85" s="7" t="s">
        <v>8809</v>
      </c>
      <c r="L85" s="76">
        <v>10006019691</v>
      </c>
      <c r="M85" s="3"/>
      <c r="N85" s="201"/>
      <c r="O85" s="28" t="s">
        <v>11</v>
      </c>
      <c r="P85" s="28" t="s">
        <v>11</v>
      </c>
      <c r="Q85" s="28" t="s">
        <v>11</v>
      </c>
      <c r="R85" s="28" t="s">
        <v>11</v>
      </c>
      <c r="S85" s="28" t="s">
        <v>9</v>
      </c>
      <c r="T85" s="28" t="s">
        <v>9</v>
      </c>
      <c r="U85" s="28" t="s">
        <v>9</v>
      </c>
      <c r="V85" s="28" t="s">
        <v>9</v>
      </c>
      <c r="W85" s="28" t="s">
        <v>9</v>
      </c>
      <c r="X85" s="28" t="s">
        <v>9</v>
      </c>
      <c r="Y85" s="28" t="s">
        <v>9</v>
      </c>
      <c r="Z85" s="28" t="s">
        <v>9</v>
      </c>
      <c r="AA85" s="28" t="s">
        <v>9</v>
      </c>
      <c r="AB85" s="28" t="s">
        <v>9</v>
      </c>
      <c r="AC85" s="28" t="s">
        <v>9</v>
      </c>
      <c r="AD85" s="28" t="s">
        <v>10</v>
      </c>
      <c r="AE85" s="28"/>
      <c r="AF85" s="24">
        <f t="shared" si="5"/>
        <v>0</v>
      </c>
      <c r="AG85" s="24">
        <f t="shared" si="6"/>
        <v>4</v>
      </c>
      <c r="AH85" s="41" t="str" cm="1">
        <f t="array" ref="AH85">_xlfn.IFS(
$AE85=15,"Not Started",
$AG85&lt;15,"In Progress",
$AG85=15,"Completed",
SUM(AE85:AG85)&gt;15,"Error"
)</f>
        <v>In Progress</v>
      </c>
    </row>
    <row r="86" spans="1:34" ht="13" x14ac:dyDescent="0.25">
      <c r="A86" s="248"/>
      <c r="B86" s="14">
        <v>83</v>
      </c>
      <c r="C86" s="14" t="s">
        <v>1138</v>
      </c>
      <c r="D86" s="151" t="s">
        <v>8651</v>
      </c>
      <c r="E86" s="57" t="s">
        <v>8520</v>
      </c>
      <c r="F86" s="7" t="s">
        <v>43</v>
      </c>
      <c r="G86" s="7" t="s">
        <v>44</v>
      </c>
      <c r="H86" s="7" t="s">
        <v>5822</v>
      </c>
      <c r="I86" s="7" t="s">
        <v>5821</v>
      </c>
      <c r="J86" s="7" t="s">
        <v>9368</v>
      </c>
      <c r="K86" s="7" t="s">
        <v>8810</v>
      </c>
      <c r="L86" s="76">
        <v>10006045431</v>
      </c>
      <c r="M86" s="3"/>
      <c r="N86" s="201"/>
      <c r="O86" s="28" t="s">
        <v>11</v>
      </c>
      <c r="P86" s="28" t="s">
        <v>11</v>
      </c>
      <c r="Q86" s="28" t="s">
        <v>11</v>
      </c>
      <c r="R86" s="28" t="s">
        <v>11</v>
      </c>
      <c r="S86" s="28" t="s">
        <v>9</v>
      </c>
      <c r="T86" s="28" t="s">
        <v>9</v>
      </c>
      <c r="U86" s="28" t="s">
        <v>9</v>
      </c>
      <c r="V86" s="28" t="s">
        <v>9</v>
      </c>
      <c r="W86" s="28" t="s">
        <v>9</v>
      </c>
      <c r="X86" s="28" t="s">
        <v>9</v>
      </c>
      <c r="Y86" s="28" t="s">
        <v>9</v>
      </c>
      <c r="Z86" s="28" t="s">
        <v>9</v>
      </c>
      <c r="AA86" s="28" t="s">
        <v>9</v>
      </c>
      <c r="AB86" s="28" t="s">
        <v>9</v>
      </c>
      <c r="AC86" s="28" t="s">
        <v>9</v>
      </c>
      <c r="AD86" s="28" t="s">
        <v>10</v>
      </c>
      <c r="AE86" s="28"/>
      <c r="AF86" s="24">
        <f t="shared" si="5"/>
        <v>0</v>
      </c>
      <c r="AG86" s="24">
        <f t="shared" si="6"/>
        <v>4</v>
      </c>
      <c r="AH86" s="41" t="str" cm="1">
        <f t="array" ref="AH86">_xlfn.IFS(
$AE86=15,"Not Started",
$AG86&lt;15,"In Progress",
$AG86=15,"Completed",
SUM(AE86:AG86)&gt;15,"Error"
)</f>
        <v>In Progress</v>
      </c>
    </row>
    <row r="87" spans="1:34" ht="13" x14ac:dyDescent="0.25">
      <c r="A87" s="248"/>
      <c r="B87" s="14">
        <v>84</v>
      </c>
      <c r="C87" s="7" t="s">
        <v>1139</v>
      </c>
      <c r="D87" s="151" t="s">
        <v>8652</v>
      </c>
      <c r="E87" s="57" t="s">
        <v>8521</v>
      </c>
      <c r="F87" s="7" t="s">
        <v>43</v>
      </c>
      <c r="G87" s="7" t="s">
        <v>44</v>
      </c>
      <c r="H87" s="7" t="s">
        <v>5822</v>
      </c>
      <c r="I87" s="7" t="s">
        <v>5821</v>
      </c>
      <c r="J87" s="7" t="s">
        <v>9369</v>
      </c>
      <c r="K87" s="7" t="s">
        <v>8811</v>
      </c>
      <c r="L87" s="76">
        <v>10006062656</v>
      </c>
      <c r="M87" s="3"/>
      <c r="N87" s="201"/>
      <c r="O87" s="28" t="s">
        <v>11</v>
      </c>
      <c r="P87" s="28" t="s">
        <v>11</v>
      </c>
      <c r="Q87" s="28" t="s">
        <v>11</v>
      </c>
      <c r="R87" s="28" t="s">
        <v>11</v>
      </c>
      <c r="S87" s="28" t="s">
        <v>9</v>
      </c>
      <c r="T87" s="28" t="s">
        <v>9</v>
      </c>
      <c r="U87" s="28" t="s">
        <v>9</v>
      </c>
      <c r="V87" s="28" t="s">
        <v>9</v>
      </c>
      <c r="W87" s="28" t="s">
        <v>9</v>
      </c>
      <c r="X87" s="28" t="s">
        <v>9</v>
      </c>
      <c r="Y87" s="28" t="s">
        <v>9</v>
      </c>
      <c r="Z87" s="28" t="s">
        <v>9</v>
      </c>
      <c r="AA87" s="28" t="s">
        <v>9</v>
      </c>
      <c r="AB87" s="28" t="s">
        <v>9</v>
      </c>
      <c r="AC87" s="28" t="s">
        <v>9</v>
      </c>
      <c r="AD87" s="28" t="s">
        <v>10</v>
      </c>
      <c r="AE87" s="28"/>
      <c r="AF87" s="24">
        <f t="shared" si="5"/>
        <v>0</v>
      </c>
      <c r="AG87" s="24">
        <f t="shared" si="6"/>
        <v>4</v>
      </c>
      <c r="AH87" s="41" t="str" cm="1">
        <f t="array" ref="AH87">_xlfn.IFS(
$AE87=15,"Not Started",
$AG87&lt;15,"In Progress",
$AG87=15,"Completed",
SUM(AE87:AG87)&gt;15,"Error"
)</f>
        <v>In Progress</v>
      </c>
    </row>
    <row r="88" spans="1:34" ht="13" x14ac:dyDescent="0.25">
      <c r="A88" s="248"/>
      <c r="B88" s="14">
        <v>85</v>
      </c>
      <c r="C88" s="14" t="s">
        <v>1140</v>
      </c>
      <c r="D88" s="151" t="s">
        <v>8653</v>
      </c>
      <c r="E88" s="57" t="s">
        <v>8522</v>
      </c>
      <c r="F88" s="7" t="s">
        <v>47</v>
      </c>
      <c r="G88" s="7" t="s">
        <v>44</v>
      </c>
      <c r="H88" s="7" t="s">
        <v>5822</v>
      </c>
      <c r="I88" s="7" t="s">
        <v>5821</v>
      </c>
      <c r="J88" s="7" t="s">
        <v>9370</v>
      </c>
      <c r="K88" s="7" t="s">
        <v>8812</v>
      </c>
      <c r="L88" s="76">
        <v>10006041315</v>
      </c>
      <c r="M88" s="3"/>
      <c r="N88" s="201"/>
      <c r="O88" s="28" t="s">
        <v>11</v>
      </c>
      <c r="P88" s="28" t="s">
        <v>11</v>
      </c>
      <c r="Q88" s="28" t="s">
        <v>11</v>
      </c>
      <c r="R88" s="28" t="s">
        <v>11</v>
      </c>
      <c r="S88" s="28" t="s">
        <v>9</v>
      </c>
      <c r="T88" s="28" t="s">
        <v>9</v>
      </c>
      <c r="U88" s="28" t="s">
        <v>9</v>
      </c>
      <c r="V88" s="28" t="s">
        <v>9</v>
      </c>
      <c r="W88" s="28" t="s">
        <v>9</v>
      </c>
      <c r="X88" s="28" t="s">
        <v>9</v>
      </c>
      <c r="Y88" s="28" t="s">
        <v>9</v>
      </c>
      <c r="Z88" s="28" t="s">
        <v>9</v>
      </c>
      <c r="AA88" s="28" t="s">
        <v>9</v>
      </c>
      <c r="AB88" s="28" t="s">
        <v>9</v>
      </c>
      <c r="AC88" s="28" t="s">
        <v>9</v>
      </c>
      <c r="AD88" s="28" t="s">
        <v>10</v>
      </c>
      <c r="AE88" s="28"/>
      <c r="AF88" s="24">
        <f t="shared" si="5"/>
        <v>0</v>
      </c>
      <c r="AG88" s="24">
        <f t="shared" si="6"/>
        <v>4</v>
      </c>
      <c r="AH88" s="41" t="str" cm="1">
        <f t="array" ref="AH88">_xlfn.IFS(
$AE88=15,"Not Started",
$AG88&lt;15,"In Progress",
$AG88=15,"Completed",
SUM(AE88:AG88)&gt;15,"Error"
)</f>
        <v>In Progress</v>
      </c>
    </row>
    <row r="89" spans="1:34" ht="13" x14ac:dyDescent="0.25">
      <c r="A89" s="248"/>
      <c r="B89" s="14">
        <v>86</v>
      </c>
      <c r="C89" s="7" t="s">
        <v>1141</v>
      </c>
      <c r="D89" s="151" t="s">
        <v>8654</v>
      </c>
      <c r="E89" s="57" t="s">
        <v>5720</v>
      </c>
      <c r="F89" s="7" t="s">
        <v>43</v>
      </c>
      <c r="G89" s="7" t="s">
        <v>48</v>
      </c>
      <c r="H89" s="7" t="s">
        <v>5822</v>
      </c>
      <c r="I89" s="7" t="s">
        <v>5821</v>
      </c>
      <c r="J89" s="7" t="s">
        <v>9371</v>
      </c>
      <c r="K89" s="7" t="s">
        <v>5786</v>
      </c>
      <c r="L89" s="76">
        <v>10006064024</v>
      </c>
      <c r="M89" s="3"/>
      <c r="N89" s="201"/>
      <c r="O89" s="28" t="s">
        <v>11</v>
      </c>
      <c r="P89" s="28" t="s">
        <v>11</v>
      </c>
      <c r="Q89" s="28" t="s">
        <v>11</v>
      </c>
      <c r="R89" s="28" t="s">
        <v>11</v>
      </c>
      <c r="S89" s="28" t="s">
        <v>9</v>
      </c>
      <c r="T89" s="28" t="s">
        <v>9</v>
      </c>
      <c r="U89" s="28" t="s">
        <v>9</v>
      </c>
      <c r="V89" s="28" t="s">
        <v>9</v>
      </c>
      <c r="W89" s="28" t="s">
        <v>9</v>
      </c>
      <c r="X89" s="28" t="s">
        <v>9</v>
      </c>
      <c r="Y89" s="28" t="s">
        <v>9</v>
      </c>
      <c r="Z89" s="28" t="s">
        <v>9</v>
      </c>
      <c r="AA89" s="28" t="s">
        <v>9</v>
      </c>
      <c r="AB89" s="28" t="s">
        <v>9</v>
      </c>
      <c r="AC89" s="28" t="s">
        <v>9</v>
      </c>
      <c r="AD89" s="28" t="s">
        <v>10</v>
      </c>
      <c r="AE89" s="28"/>
      <c r="AF89" s="24">
        <f t="shared" si="5"/>
        <v>0</v>
      </c>
      <c r="AG89" s="24">
        <f t="shared" si="6"/>
        <v>4</v>
      </c>
      <c r="AH89" s="41" t="str" cm="1">
        <f t="array" ref="AH89">_xlfn.IFS(
$AE89=15,"Not Started",
$AG89&lt;15,"In Progress",
$AG89=15,"Completed",
SUM(AE89:AG89)&gt;15,"Error"
)</f>
        <v>In Progress</v>
      </c>
    </row>
    <row r="90" spans="1:34" ht="13" x14ac:dyDescent="0.25">
      <c r="A90" s="248"/>
      <c r="B90" s="14">
        <v>87</v>
      </c>
      <c r="C90" s="14" t="s">
        <v>1142</v>
      </c>
      <c r="D90" s="151" t="s">
        <v>8655</v>
      </c>
      <c r="E90" s="57" t="s">
        <v>8523</v>
      </c>
      <c r="F90" s="7" t="s">
        <v>43</v>
      </c>
      <c r="G90" s="7" t="s">
        <v>48</v>
      </c>
      <c r="H90" s="7" t="s">
        <v>5822</v>
      </c>
      <c r="I90" s="7" t="s">
        <v>5821</v>
      </c>
      <c r="J90" s="19" t="s">
        <v>9372</v>
      </c>
      <c r="K90" s="19" t="s">
        <v>8813</v>
      </c>
      <c r="L90" s="164">
        <v>10101112810</v>
      </c>
      <c r="M90" s="3"/>
      <c r="N90" s="201"/>
      <c r="O90" s="28" t="s">
        <v>11</v>
      </c>
      <c r="P90" s="28" t="s">
        <v>11</v>
      </c>
      <c r="Q90" s="28" t="s">
        <v>11</v>
      </c>
      <c r="R90" s="28" t="s">
        <v>11</v>
      </c>
      <c r="S90" s="28" t="s">
        <v>9</v>
      </c>
      <c r="T90" s="28" t="s">
        <v>9</v>
      </c>
      <c r="U90" s="28" t="s">
        <v>9</v>
      </c>
      <c r="V90" s="28" t="s">
        <v>9</v>
      </c>
      <c r="W90" s="28" t="s">
        <v>9</v>
      </c>
      <c r="X90" s="28" t="s">
        <v>9</v>
      </c>
      <c r="Y90" s="28" t="s">
        <v>9</v>
      </c>
      <c r="Z90" s="28" t="s">
        <v>9</v>
      </c>
      <c r="AA90" s="28" t="s">
        <v>9</v>
      </c>
      <c r="AB90" s="28" t="s">
        <v>9</v>
      </c>
      <c r="AC90" s="28" t="s">
        <v>9</v>
      </c>
      <c r="AD90" s="28" t="s">
        <v>10</v>
      </c>
      <c r="AE90" s="28"/>
      <c r="AF90" s="24">
        <f t="shared" si="5"/>
        <v>0</v>
      </c>
      <c r="AG90" s="24">
        <f t="shared" si="6"/>
        <v>4</v>
      </c>
      <c r="AH90" s="41" t="str" cm="1">
        <f t="array" ref="AH90">_xlfn.IFS(
$AE90=15,"Not Started",
$AG90&lt;15,"In Progress",
$AG90=15,"Completed",
SUM(AE90:AG90)&gt;15,"Error"
)</f>
        <v>In Progress</v>
      </c>
    </row>
    <row r="91" spans="1:34" ht="13" x14ac:dyDescent="0.3">
      <c r="A91" s="248"/>
      <c r="B91" s="14">
        <v>88</v>
      </c>
      <c r="C91" s="7" t="s">
        <v>1143</v>
      </c>
      <c r="D91" s="152" t="s">
        <v>10576</v>
      </c>
      <c r="E91" s="153" t="s">
        <v>8533</v>
      </c>
      <c r="F91" s="7" t="s">
        <v>43</v>
      </c>
      <c r="G91" s="7" t="s">
        <v>48</v>
      </c>
      <c r="H91" s="7" t="s">
        <v>5822</v>
      </c>
      <c r="I91" s="7" t="s">
        <v>5821</v>
      </c>
      <c r="J91" s="7" t="s">
        <v>10577</v>
      </c>
      <c r="K91" s="7" t="s">
        <v>10578</v>
      </c>
      <c r="L91" s="76">
        <v>10006049743</v>
      </c>
      <c r="M91" s="3"/>
      <c r="N91" s="201"/>
      <c r="O91" s="28" t="s">
        <v>11</v>
      </c>
      <c r="P91" s="28" t="s">
        <v>11</v>
      </c>
      <c r="Q91" s="28" t="s">
        <v>11</v>
      </c>
      <c r="R91" s="28" t="s">
        <v>11</v>
      </c>
      <c r="S91" s="28" t="s">
        <v>10</v>
      </c>
      <c r="T91" s="28" t="s">
        <v>9</v>
      </c>
      <c r="U91" s="28" t="s">
        <v>9</v>
      </c>
      <c r="V91" s="28" t="s">
        <v>9</v>
      </c>
      <c r="W91" s="28" t="s">
        <v>9</v>
      </c>
      <c r="X91" s="28" t="s">
        <v>9</v>
      </c>
      <c r="Y91" s="28" t="s">
        <v>9</v>
      </c>
      <c r="Z91" s="28" t="s">
        <v>9</v>
      </c>
      <c r="AA91" s="28" t="s">
        <v>9</v>
      </c>
      <c r="AB91" s="28" t="s">
        <v>9</v>
      </c>
      <c r="AC91" s="28" t="s">
        <v>9</v>
      </c>
      <c r="AD91" s="28" t="s">
        <v>10</v>
      </c>
      <c r="AE91" s="28"/>
      <c r="AF91" s="24">
        <f t="shared" si="5"/>
        <v>1</v>
      </c>
      <c r="AG91" s="24">
        <f t="shared" si="6"/>
        <v>4</v>
      </c>
      <c r="AH91" s="41" t="str" cm="1">
        <f t="array" ref="AH91">_xlfn.IFS(
$AE91=15,"Not Started",
$AG91&lt;15,"In Progress",
$AG91=15,"Completed",
SUM(AE91:AG91)&gt;15,"Error"
)</f>
        <v>In Progress</v>
      </c>
    </row>
    <row r="92" spans="1:34" ht="13" x14ac:dyDescent="0.25">
      <c r="A92" s="248"/>
      <c r="B92" s="14">
        <v>89</v>
      </c>
      <c r="C92" s="14" t="s">
        <v>1144</v>
      </c>
      <c r="D92" s="151" t="s">
        <v>8656</v>
      </c>
      <c r="E92" s="57" t="s">
        <v>8524</v>
      </c>
      <c r="F92" s="7" t="s">
        <v>51</v>
      </c>
      <c r="G92" s="7" t="s">
        <v>44</v>
      </c>
      <c r="H92" s="7" t="s">
        <v>5822</v>
      </c>
      <c r="I92" s="7" t="s">
        <v>5821</v>
      </c>
      <c r="J92" s="154" t="s">
        <v>9373</v>
      </c>
      <c r="K92" s="154" t="s">
        <v>8814</v>
      </c>
      <c r="L92" s="165">
        <v>10006073696</v>
      </c>
      <c r="M92" s="3"/>
      <c r="N92" s="201"/>
      <c r="O92" s="28" t="s">
        <v>11</v>
      </c>
      <c r="P92" s="28" t="s">
        <v>11</v>
      </c>
      <c r="Q92" s="28" t="s">
        <v>11</v>
      </c>
      <c r="R92" s="28" t="s">
        <v>11</v>
      </c>
      <c r="S92" s="28" t="s">
        <v>9</v>
      </c>
      <c r="T92" s="28" t="s">
        <v>9</v>
      </c>
      <c r="U92" s="28" t="s">
        <v>9</v>
      </c>
      <c r="V92" s="28" t="s">
        <v>9</v>
      </c>
      <c r="W92" s="28" t="s">
        <v>9</v>
      </c>
      <c r="X92" s="28" t="s">
        <v>9</v>
      </c>
      <c r="Y92" s="28" t="s">
        <v>9</v>
      </c>
      <c r="Z92" s="28" t="s">
        <v>9</v>
      </c>
      <c r="AA92" s="28" t="s">
        <v>9</v>
      </c>
      <c r="AB92" s="28" t="s">
        <v>9</v>
      </c>
      <c r="AC92" s="28" t="s">
        <v>9</v>
      </c>
      <c r="AD92" s="28" t="s">
        <v>10</v>
      </c>
      <c r="AE92" s="28"/>
      <c r="AF92" s="24">
        <f t="shared" si="5"/>
        <v>0</v>
      </c>
      <c r="AG92" s="24">
        <f t="shared" si="6"/>
        <v>4</v>
      </c>
      <c r="AH92" s="41" t="str" cm="1">
        <f t="array" ref="AH92">_xlfn.IFS(
$AE92=15,"Not Started",
$AG92&lt;15,"In Progress",
$AG92=15,"Completed",
SUM(AE92:AG92)&gt;15,"Error"
)</f>
        <v>In Progress</v>
      </c>
    </row>
    <row r="93" spans="1:34" ht="13" x14ac:dyDescent="0.25">
      <c r="A93" s="248"/>
      <c r="B93" s="14">
        <v>90</v>
      </c>
      <c r="C93" s="7" t="s">
        <v>1145</v>
      </c>
      <c r="D93" s="151" t="s">
        <v>5722</v>
      </c>
      <c r="E93" s="57" t="s">
        <v>5721</v>
      </c>
      <c r="F93" s="7" t="s">
        <v>47</v>
      </c>
      <c r="G93" s="7" t="s">
        <v>44</v>
      </c>
      <c r="H93" s="7" t="s">
        <v>5822</v>
      </c>
      <c r="I93" s="7" t="s">
        <v>5821</v>
      </c>
      <c r="J93" s="7" t="s">
        <v>9374</v>
      </c>
      <c r="K93" s="7" t="s">
        <v>5787</v>
      </c>
      <c r="L93" s="76">
        <v>10006064418</v>
      </c>
      <c r="M93" s="3"/>
      <c r="N93" s="201"/>
      <c r="O93" s="28" t="s">
        <v>11</v>
      </c>
      <c r="P93" s="28" t="s">
        <v>11</v>
      </c>
      <c r="Q93" s="28" t="s">
        <v>11</v>
      </c>
      <c r="R93" s="28" t="s">
        <v>11</v>
      </c>
      <c r="S93" s="28" t="s">
        <v>10</v>
      </c>
      <c r="T93" s="28" t="s">
        <v>9</v>
      </c>
      <c r="U93" s="28" t="s">
        <v>9</v>
      </c>
      <c r="V93" s="28" t="s">
        <v>9</v>
      </c>
      <c r="W93" s="28" t="s">
        <v>9</v>
      </c>
      <c r="X93" s="28" t="s">
        <v>9</v>
      </c>
      <c r="Y93" s="28" t="s">
        <v>9</v>
      </c>
      <c r="Z93" s="28" t="s">
        <v>9</v>
      </c>
      <c r="AA93" s="28" t="s">
        <v>9</v>
      </c>
      <c r="AB93" s="28" t="s">
        <v>9</v>
      </c>
      <c r="AC93" s="28" t="s">
        <v>9</v>
      </c>
      <c r="AD93" s="28" t="s">
        <v>10</v>
      </c>
      <c r="AE93" s="28"/>
      <c r="AF93" s="24">
        <f t="shared" si="5"/>
        <v>1</v>
      </c>
      <c r="AG93" s="24">
        <f t="shared" si="6"/>
        <v>4</v>
      </c>
      <c r="AH93" s="41" t="str" cm="1">
        <f t="array" ref="AH93">_xlfn.IFS(
$AE93=15,"Not Started",
$AG93&lt;15,"In Progress",
$AG93=15,"Completed",
SUM(AE93:AG93)&gt;15,"Error"
)</f>
        <v>In Progress</v>
      </c>
    </row>
    <row r="94" spans="1:34" ht="13" x14ac:dyDescent="0.25">
      <c r="A94" s="248"/>
      <c r="B94" s="14">
        <v>91</v>
      </c>
      <c r="C94" s="14" t="s">
        <v>1146</v>
      </c>
      <c r="D94" s="151" t="s">
        <v>8657</v>
      </c>
      <c r="E94" s="57" t="s">
        <v>8525</v>
      </c>
      <c r="F94" s="7" t="s">
        <v>43</v>
      </c>
      <c r="G94" s="7" t="s">
        <v>44</v>
      </c>
      <c r="H94" s="7" t="s">
        <v>5822</v>
      </c>
      <c r="I94" s="7" t="s">
        <v>5821</v>
      </c>
      <c r="J94" s="7" t="s">
        <v>9375</v>
      </c>
      <c r="K94" s="7" t="s">
        <v>8815</v>
      </c>
      <c r="L94" s="76">
        <v>10086336642</v>
      </c>
      <c r="M94" s="3"/>
      <c r="N94" s="201"/>
      <c r="O94" s="28" t="s">
        <v>11</v>
      </c>
      <c r="P94" s="28" t="s">
        <v>11</v>
      </c>
      <c r="Q94" s="28" t="s">
        <v>11</v>
      </c>
      <c r="R94" s="28" t="s">
        <v>11</v>
      </c>
      <c r="S94" s="28" t="s">
        <v>10</v>
      </c>
      <c r="T94" s="28" t="s">
        <v>9</v>
      </c>
      <c r="U94" s="28" t="s">
        <v>9</v>
      </c>
      <c r="V94" s="28" t="s">
        <v>9</v>
      </c>
      <c r="W94" s="28" t="s">
        <v>9</v>
      </c>
      <c r="X94" s="28" t="s">
        <v>9</v>
      </c>
      <c r="Y94" s="28" t="s">
        <v>9</v>
      </c>
      <c r="Z94" s="28" t="s">
        <v>9</v>
      </c>
      <c r="AA94" s="28" t="s">
        <v>9</v>
      </c>
      <c r="AB94" s="28" t="s">
        <v>9</v>
      </c>
      <c r="AC94" s="28" t="s">
        <v>9</v>
      </c>
      <c r="AD94" s="28" t="s">
        <v>10</v>
      </c>
      <c r="AE94" s="28"/>
      <c r="AF94" s="24">
        <f t="shared" si="5"/>
        <v>1</v>
      </c>
      <c r="AG94" s="24">
        <f t="shared" si="6"/>
        <v>4</v>
      </c>
      <c r="AH94" s="41" t="str" cm="1">
        <f t="array" ref="AH94">_xlfn.IFS(
$AE94=15,"Not Started",
$AG94&lt;15,"In Progress",
$AG94=15,"Completed",
SUM(AE94:AG94)&gt;15,"Error"
)</f>
        <v>In Progress</v>
      </c>
    </row>
    <row r="95" spans="1:34" ht="13" x14ac:dyDescent="0.25">
      <c r="A95" s="248"/>
      <c r="B95" s="14">
        <v>92</v>
      </c>
      <c r="C95" s="7" t="s">
        <v>1147</v>
      </c>
      <c r="D95" s="151" t="s">
        <v>5724</v>
      </c>
      <c r="E95" s="57" t="s">
        <v>5723</v>
      </c>
      <c r="F95" s="7" t="s">
        <v>43</v>
      </c>
      <c r="G95" s="7" t="s">
        <v>48</v>
      </c>
      <c r="H95" s="7" t="s">
        <v>5822</v>
      </c>
      <c r="I95" s="7" t="s">
        <v>5821</v>
      </c>
      <c r="J95" s="7" t="s">
        <v>9376</v>
      </c>
      <c r="K95" s="7" t="s">
        <v>5788</v>
      </c>
      <c r="L95" s="76">
        <v>10006041763</v>
      </c>
      <c r="M95" s="3"/>
      <c r="N95" s="201"/>
      <c r="O95" s="28" t="s">
        <v>11</v>
      </c>
      <c r="P95" s="28" t="s">
        <v>11</v>
      </c>
      <c r="Q95" s="28" t="s">
        <v>11</v>
      </c>
      <c r="R95" s="28" t="s">
        <v>11</v>
      </c>
      <c r="S95" s="28" t="s">
        <v>10</v>
      </c>
      <c r="T95" s="28" t="s">
        <v>9</v>
      </c>
      <c r="U95" s="28" t="s">
        <v>9</v>
      </c>
      <c r="V95" s="28" t="s">
        <v>9</v>
      </c>
      <c r="W95" s="28" t="s">
        <v>9</v>
      </c>
      <c r="X95" s="28" t="s">
        <v>9</v>
      </c>
      <c r="Y95" s="28" t="s">
        <v>9</v>
      </c>
      <c r="Z95" s="28" t="s">
        <v>9</v>
      </c>
      <c r="AA95" s="28" t="s">
        <v>9</v>
      </c>
      <c r="AB95" s="28" t="s">
        <v>9</v>
      </c>
      <c r="AC95" s="28" t="s">
        <v>9</v>
      </c>
      <c r="AD95" s="28" t="s">
        <v>10</v>
      </c>
      <c r="AE95" s="28"/>
      <c r="AF95" s="24">
        <f t="shared" si="5"/>
        <v>1</v>
      </c>
      <c r="AG95" s="24">
        <f t="shared" si="6"/>
        <v>4</v>
      </c>
      <c r="AH95" s="41" t="str" cm="1">
        <f t="array" ref="AH95">_xlfn.IFS(
$AE95=15,"Not Started",
$AG95&lt;15,"In Progress",
$AG95=15,"Completed",
SUM(AE95:AG95)&gt;15,"Error"
)</f>
        <v>In Progress</v>
      </c>
    </row>
    <row r="96" spans="1:34" ht="13" x14ac:dyDescent="0.25">
      <c r="A96" s="248"/>
      <c r="B96" s="14">
        <v>93</v>
      </c>
      <c r="C96" s="14" t="s">
        <v>1148</v>
      </c>
      <c r="D96" s="151" t="s">
        <v>8658</v>
      </c>
      <c r="E96" s="57" t="s">
        <v>8526</v>
      </c>
      <c r="F96" s="7" t="s">
        <v>47</v>
      </c>
      <c r="G96" s="7" t="s">
        <v>48</v>
      </c>
      <c r="H96" s="7" t="s">
        <v>5822</v>
      </c>
      <c r="I96" s="7" t="s">
        <v>5821</v>
      </c>
      <c r="J96" s="7" t="s">
        <v>9377</v>
      </c>
      <c r="K96" s="7" t="s">
        <v>8816</v>
      </c>
      <c r="L96" s="76">
        <v>10006017697</v>
      </c>
      <c r="M96" s="3"/>
      <c r="N96" s="201"/>
      <c r="O96" s="28" t="s">
        <v>11</v>
      </c>
      <c r="P96" s="28" t="s">
        <v>11</v>
      </c>
      <c r="Q96" s="28" t="s">
        <v>11</v>
      </c>
      <c r="R96" s="28" t="s">
        <v>11</v>
      </c>
      <c r="S96" s="28" t="s">
        <v>10</v>
      </c>
      <c r="T96" s="28" t="s">
        <v>9</v>
      </c>
      <c r="U96" s="28" t="s">
        <v>9</v>
      </c>
      <c r="V96" s="28" t="s">
        <v>9</v>
      </c>
      <c r="W96" s="28" t="s">
        <v>9</v>
      </c>
      <c r="X96" s="28" t="s">
        <v>9</v>
      </c>
      <c r="Y96" s="28" t="s">
        <v>9</v>
      </c>
      <c r="Z96" s="28" t="s">
        <v>9</v>
      </c>
      <c r="AA96" s="28" t="s">
        <v>9</v>
      </c>
      <c r="AB96" s="28" t="s">
        <v>9</v>
      </c>
      <c r="AC96" s="28" t="s">
        <v>9</v>
      </c>
      <c r="AD96" s="28" t="s">
        <v>10</v>
      </c>
      <c r="AE96" s="28"/>
      <c r="AF96" s="24">
        <f t="shared" si="5"/>
        <v>1</v>
      </c>
      <c r="AG96" s="24">
        <f t="shared" si="6"/>
        <v>4</v>
      </c>
      <c r="AH96" s="41" t="str" cm="1">
        <f t="array" ref="AH96">_xlfn.IFS(
$AE96=15,"Not Started",
$AG96&lt;15,"In Progress",
$AG96=15,"Completed",
SUM(AE96:AG96)&gt;15,"Error"
)</f>
        <v>In Progress</v>
      </c>
    </row>
    <row r="97" spans="1:34" ht="13" x14ac:dyDescent="0.25">
      <c r="A97" s="248"/>
      <c r="B97" s="14">
        <v>94</v>
      </c>
      <c r="C97" s="7" t="s">
        <v>1149</v>
      </c>
      <c r="D97" s="151" t="s">
        <v>8659</v>
      </c>
      <c r="E97" s="57" t="s">
        <v>8527</v>
      </c>
      <c r="F97" s="7" t="s">
        <v>43</v>
      </c>
      <c r="G97" s="7" t="s">
        <v>48</v>
      </c>
      <c r="H97" s="7" t="s">
        <v>5822</v>
      </c>
      <c r="I97" s="7" t="s">
        <v>5821</v>
      </c>
      <c r="J97" s="7" t="s">
        <v>9378</v>
      </c>
      <c r="K97" s="7" t="s">
        <v>8817</v>
      </c>
      <c r="L97" s="76">
        <v>10006019314</v>
      </c>
      <c r="M97" s="3"/>
      <c r="N97" s="201"/>
      <c r="O97" s="28" t="s">
        <v>11</v>
      </c>
      <c r="P97" s="28" t="s">
        <v>11</v>
      </c>
      <c r="Q97" s="28" t="s">
        <v>11</v>
      </c>
      <c r="R97" s="28" t="s">
        <v>11</v>
      </c>
      <c r="S97" s="28" t="s">
        <v>10</v>
      </c>
      <c r="T97" s="28" t="s">
        <v>9</v>
      </c>
      <c r="U97" s="28" t="s">
        <v>9</v>
      </c>
      <c r="V97" s="28" t="s">
        <v>9</v>
      </c>
      <c r="W97" s="28" t="s">
        <v>9</v>
      </c>
      <c r="X97" s="28" t="s">
        <v>9</v>
      </c>
      <c r="Y97" s="28" t="s">
        <v>9</v>
      </c>
      <c r="Z97" s="28" t="s">
        <v>9</v>
      </c>
      <c r="AA97" s="28" t="s">
        <v>9</v>
      </c>
      <c r="AB97" s="28" t="s">
        <v>9</v>
      </c>
      <c r="AC97" s="28" t="s">
        <v>9</v>
      </c>
      <c r="AD97" s="28" t="s">
        <v>10</v>
      </c>
      <c r="AE97" s="28"/>
      <c r="AF97" s="24">
        <f t="shared" si="5"/>
        <v>1</v>
      </c>
      <c r="AG97" s="24">
        <f t="shared" si="6"/>
        <v>4</v>
      </c>
      <c r="AH97" s="41" t="str" cm="1">
        <f t="array" ref="AH97">_xlfn.IFS(
$AE97=15,"Not Started",
$AG97&lt;15,"In Progress",
$AG97=15,"Completed",
SUM(AE97:AG97)&gt;15,"Error"
)</f>
        <v>In Progress</v>
      </c>
    </row>
    <row r="98" spans="1:34" ht="13" x14ac:dyDescent="0.25">
      <c r="A98" s="248"/>
      <c r="B98" s="14">
        <v>95</v>
      </c>
      <c r="C98" s="14" t="s">
        <v>1150</v>
      </c>
      <c r="D98" s="151" t="s">
        <v>8660</v>
      </c>
      <c r="E98" s="57" t="s">
        <v>8528</v>
      </c>
      <c r="F98" s="7" t="s">
        <v>43</v>
      </c>
      <c r="G98" s="7" t="s">
        <v>48</v>
      </c>
      <c r="H98" s="7" t="s">
        <v>5822</v>
      </c>
      <c r="I98" s="7" t="s">
        <v>5821</v>
      </c>
      <c r="J98" s="7" t="s">
        <v>9379</v>
      </c>
      <c r="K98" s="155" t="s">
        <v>10587</v>
      </c>
      <c r="L98" s="156">
        <v>30018617390</v>
      </c>
      <c r="M98" s="3"/>
      <c r="N98" s="201">
        <v>46123</v>
      </c>
      <c r="O98" s="28" t="s">
        <v>11</v>
      </c>
      <c r="P98" s="28" t="s">
        <v>11</v>
      </c>
      <c r="Q98" s="28" t="s">
        <v>11</v>
      </c>
      <c r="R98" s="28" t="s">
        <v>11</v>
      </c>
      <c r="S98" s="28" t="s">
        <v>9</v>
      </c>
      <c r="T98" s="28" t="s">
        <v>9</v>
      </c>
      <c r="U98" s="28" t="s">
        <v>9</v>
      </c>
      <c r="V98" s="28" t="s">
        <v>9</v>
      </c>
      <c r="W98" s="28" t="s">
        <v>9</v>
      </c>
      <c r="X98" s="28" t="s">
        <v>9</v>
      </c>
      <c r="Y98" s="28" t="s">
        <v>9</v>
      </c>
      <c r="Z98" s="28" t="s">
        <v>9</v>
      </c>
      <c r="AA98" s="28" t="s">
        <v>9</v>
      </c>
      <c r="AB98" s="28" t="s">
        <v>9</v>
      </c>
      <c r="AC98" s="28" t="s">
        <v>9</v>
      </c>
      <c r="AD98" s="28" t="s">
        <v>10</v>
      </c>
      <c r="AE98" s="28"/>
      <c r="AF98" s="24">
        <f t="shared" si="5"/>
        <v>0</v>
      </c>
      <c r="AG98" s="24">
        <f t="shared" si="6"/>
        <v>4</v>
      </c>
      <c r="AH98" s="41" t="str" cm="1">
        <f t="array" ref="AH98">_xlfn.IFS(
$AE98=15,"Not Started",
$AG98&lt;15,"In Progress",
$AG98=15,"Completed",
SUM(AE98:AG98)&gt;15,"Error"
)</f>
        <v>In Progress</v>
      </c>
    </row>
    <row r="99" spans="1:34" ht="13" x14ac:dyDescent="0.25">
      <c r="A99" s="248"/>
      <c r="B99" s="14">
        <v>96</v>
      </c>
      <c r="C99" s="7" t="s">
        <v>1151</v>
      </c>
      <c r="D99" s="151" t="s">
        <v>8661</v>
      </c>
      <c r="E99" s="57" t="s">
        <v>8529</v>
      </c>
      <c r="F99" s="7" t="s">
        <v>43</v>
      </c>
      <c r="G99" s="7" t="s">
        <v>48</v>
      </c>
      <c r="H99" s="7" t="s">
        <v>5822</v>
      </c>
      <c r="I99" s="7" t="s">
        <v>5821</v>
      </c>
      <c r="J99" s="7" t="s">
        <v>9380</v>
      </c>
      <c r="K99" s="7" t="s">
        <v>8818</v>
      </c>
      <c r="L99" s="76">
        <v>10091522701</v>
      </c>
      <c r="M99" s="3"/>
      <c r="N99" s="201"/>
      <c r="O99" s="28" t="s">
        <v>11</v>
      </c>
      <c r="P99" s="28" t="s">
        <v>11</v>
      </c>
      <c r="Q99" s="28" t="s">
        <v>11</v>
      </c>
      <c r="R99" s="28" t="s">
        <v>11</v>
      </c>
      <c r="S99" s="28" t="s">
        <v>10</v>
      </c>
      <c r="T99" s="28" t="s">
        <v>9</v>
      </c>
      <c r="U99" s="28" t="s">
        <v>9</v>
      </c>
      <c r="V99" s="28" t="s">
        <v>9</v>
      </c>
      <c r="W99" s="28" t="s">
        <v>9</v>
      </c>
      <c r="X99" s="28" t="s">
        <v>9</v>
      </c>
      <c r="Y99" s="28" t="s">
        <v>9</v>
      </c>
      <c r="Z99" s="28" t="s">
        <v>9</v>
      </c>
      <c r="AA99" s="28" t="s">
        <v>9</v>
      </c>
      <c r="AB99" s="28" t="s">
        <v>9</v>
      </c>
      <c r="AC99" s="28" t="s">
        <v>9</v>
      </c>
      <c r="AD99" s="28" t="s">
        <v>10</v>
      </c>
      <c r="AE99" s="28"/>
      <c r="AF99" s="24">
        <f t="shared" si="5"/>
        <v>1</v>
      </c>
      <c r="AG99" s="24">
        <f t="shared" si="6"/>
        <v>4</v>
      </c>
      <c r="AH99" s="41" t="str" cm="1">
        <f t="array" ref="AH99">_xlfn.IFS(
$AE99=15,"Not Started",
$AG99&lt;15,"In Progress",
$AG99=15,"Completed",
SUM(AE99:AG99)&gt;15,"Error"
)</f>
        <v>In Progress</v>
      </c>
    </row>
    <row r="100" spans="1:34" ht="13" x14ac:dyDescent="0.25">
      <c r="A100" s="248"/>
      <c r="B100" s="14">
        <v>97</v>
      </c>
      <c r="C100" s="14" t="s">
        <v>1152</v>
      </c>
      <c r="D100" s="151" t="s">
        <v>8662</v>
      </c>
      <c r="E100" s="57" t="s">
        <v>8530</v>
      </c>
      <c r="F100" s="7" t="s">
        <v>47</v>
      </c>
      <c r="G100" s="7" t="s">
        <v>48</v>
      </c>
      <c r="H100" s="7" t="s">
        <v>5822</v>
      </c>
      <c r="I100" s="7" t="s">
        <v>5821</v>
      </c>
      <c r="J100" s="7" t="s">
        <v>9381</v>
      </c>
      <c r="K100" s="7" t="s">
        <v>8819</v>
      </c>
      <c r="L100" s="76">
        <v>10006018916</v>
      </c>
      <c r="M100" s="3"/>
      <c r="N100" s="201"/>
      <c r="O100" s="28" t="s">
        <v>11</v>
      </c>
      <c r="P100" s="28" t="s">
        <v>11</v>
      </c>
      <c r="Q100" s="28" t="s">
        <v>11</v>
      </c>
      <c r="R100" s="28" t="s">
        <v>11</v>
      </c>
      <c r="S100" s="28" t="s">
        <v>10</v>
      </c>
      <c r="T100" s="28" t="s">
        <v>9</v>
      </c>
      <c r="U100" s="28" t="s">
        <v>9</v>
      </c>
      <c r="V100" s="28" t="s">
        <v>9</v>
      </c>
      <c r="W100" s="28" t="s">
        <v>9</v>
      </c>
      <c r="X100" s="28" t="s">
        <v>9</v>
      </c>
      <c r="Y100" s="28" t="s">
        <v>9</v>
      </c>
      <c r="Z100" s="28" t="s">
        <v>9</v>
      </c>
      <c r="AA100" s="28" t="s">
        <v>9</v>
      </c>
      <c r="AB100" s="28" t="s">
        <v>9</v>
      </c>
      <c r="AC100" s="28" t="s">
        <v>9</v>
      </c>
      <c r="AD100" s="28" t="s">
        <v>10</v>
      </c>
      <c r="AE100" s="28"/>
      <c r="AF100" s="24">
        <f t="shared" ref="AF100:AF131" si="7">COUNTIF(O100:AC100,$AF$2)</f>
        <v>1</v>
      </c>
      <c r="AG100" s="24">
        <f t="shared" ref="AG100:AG131" si="8">COUNTIF(O100:AC100,$AG$2)</f>
        <v>4</v>
      </c>
      <c r="AH100" s="41" t="str" cm="1">
        <f t="array" ref="AH100">_xlfn.IFS(
$AE100=15,"Not Started",
$AG100&lt;15,"In Progress",
$AG100=15,"Completed",
SUM(AE100:AG100)&gt;15,"Error"
)</f>
        <v>In Progress</v>
      </c>
    </row>
    <row r="101" spans="1:34" ht="13" x14ac:dyDescent="0.25">
      <c r="A101" s="248"/>
      <c r="B101" s="14">
        <v>98</v>
      </c>
      <c r="C101" s="7" t="s">
        <v>1153</v>
      </c>
      <c r="D101" s="151" t="s">
        <v>8663</v>
      </c>
      <c r="E101" s="57" t="s">
        <v>8531</v>
      </c>
      <c r="F101" s="7" t="s">
        <v>9670</v>
      </c>
      <c r="G101" s="7" t="s">
        <v>48</v>
      </c>
      <c r="H101" s="7" t="s">
        <v>5822</v>
      </c>
      <c r="I101" s="7" t="s">
        <v>5821</v>
      </c>
      <c r="J101" s="7" t="s">
        <v>9382</v>
      </c>
      <c r="K101" s="7" t="s">
        <v>8820</v>
      </c>
      <c r="L101" s="76">
        <v>10006063537</v>
      </c>
      <c r="M101" s="3"/>
      <c r="N101" s="201"/>
      <c r="O101" s="28" t="s">
        <v>11</v>
      </c>
      <c r="P101" s="28" t="s">
        <v>11</v>
      </c>
      <c r="Q101" s="28" t="s">
        <v>11</v>
      </c>
      <c r="R101" s="28" t="s">
        <v>11</v>
      </c>
      <c r="S101" s="28" t="s">
        <v>10</v>
      </c>
      <c r="T101" s="28" t="s">
        <v>9</v>
      </c>
      <c r="U101" s="28" t="s">
        <v>9</v>
      </c>
      <c r="V101" s="28" t="s">
        <v>9</v>
      </c>
      <c r="W101" s="28" t="s">
        <v>9</v>
      </c>
      <c r="X101" s="28" t="s">
        <v>9</v>
      </c>
      <c r="Y101" s="28" t="s">
        <v>9</v>
      </c>
      <c r="Z101" s="28" t="s">
        <v>9</v>
      </c>
      <c r="AA101" s="28" t="s">
        <v>9</v>
      </c>
      <c r="AB101" s="28" t="s">
        <v>9</v>
      </c>
      <c r="AC101" s="28" t="s">
        <v>9</v>
      </c>
      <c r="AD101" s="28" t="s">
        <v>10</v>
      </c>
      <c r="AE101" s="28"/>
      <c r="AF101" s="24">
        <f t="shared" si="7"/>
        <v>1</v>
      </c>
      <c r="AG101" s="24">
        <f t="shared" si="8"/>
        <v>4</v>
      </c>
      <c r="AH101" s="41" t="str" cm="1">
        <f t="array" ref="AH101">_xlfn.IFS(
$AE101=15,"Not Started",
$AG101&lt;15,"In Progress",
$AG101=15,"Completed",
SUM(AE101:AG101)&gt;15,"Error"
)</f>
        <v>In Progress</v>
      </c>
    </row>
    <row r="102" spans="1:34" ht="13" x14ac:dyDescent="0.25">
      <c r="A102" s="248"/>
      <c r="B102" s="14">
        <v>99</v>
      </c>
      <c r="C102" s="14" t="s">
        <v>1154</v>
      </c>
      <c r="D102" s="151" t="s">
        <v>8664</v>
      </c>
      <c r="E102" s="57" t="s">
        <v>8532</v>
      </c>
      <c r="F102" s="7" t="s">
        <v>47</v>
      </c>
      <c r="G102" s="7" t="s">
        <v>44</v>
      </c>
      <c r="H102" s="7" t="s">
        <v>5822</v>
      </c>
      <c r="I102" s="7" t="s">
        <v>8884</v>
      </c>
      <c r="J102" s="7" t="s">
        <v>9383</v>
      </c>
      <c r="K102" s="7" t="s">
        <v>8821</v>
      </c>
      <c r="L102" s="76">
        <v>10109151341</v>
      </c>
      <c r="M102" s="3"/>
      <c r="N102" s="201"/>
      <c r="O102" s="28" t="s">
        <v>11</v>
      </c>
      <c r="P102" s="28" t="s">
        <v>11</v>
      </c>
      <c r="Q102" s="28" t="s">
        <v>11</v>
      </c>
      <c r="R102" s="28" t="s">
        <v>11</v>
      </c>
      <c r="S102" s="28" t="s">
        <v>10</v>
      </c>
      <c r="T102" s="28" t="s">
        <v>9</v>
      </c>
      <c r="U102" s="28" t="s">
        <v>9</v>
      </c>
      <c r="V102" s="28" t="s">
        <v>9</v>
      </c>
      <c r="W102" s="28" t="s">
        <v>9</v>
      </c>
      <c r="X102" s="28" t="s">
        <v>9</v>
      </c>
      <c r="Y102" s="28" t="s">
        <v>9</v>
      </c>
      <c r="Z102" s="28" t="s">
        <v>9</v>
      </c>
      <c r="AA102" s="28" t="s">
        <v>9</v>
      </c>
      <c r="AB102" s="28" t="s">
        <v>9</v>
      </c>
      <c r="AC102" s="28" t="s">
        <v>9</v>
      </c>
      <c r="AD102" s="28" t="s">
        <v>10</v>
      </c>
      <c r="AE102" s="28"/>
      <c r="AF102" s="24">
        <f t="shared" si="7"/>
        <v>1</v>
      </c>
      <c r="AG102" s="24">
        <f t="shared" si="8"/>
        <v>4</v>
      </c>
      <c r="AH102" s="41" t="str" cm="1">
        <f t="array" ref="AH102">_xlfn.IFS(
$AE102=15,"Not Started",
$AG102&lt;15,"In Progress",
$AG102=15,"Completed",
SUM(AE102:AG102)&gt;15,"Error"
)</f>
        <v>In Progress</v>
      </c>
    </row>
    <row r="103" spans="1:34" ht="13" x14ac:dyDescent="0.25">
      <c r="A103" s="248"/>
      <c r="B103" s="14">
        <v>100</v>
      </c>
      <c r="C103" s="7" t="s">
        <v>1155</v>
      </c>
      <c r="D103" s="151" t="s">
        <v>8665</v>
      </c>
      <c r="E103" s="57" t="s">
        <v>8533</v>
      </c>
      <c r="F103" s="7" t="s">
        <v>43</v>
      </c>
      <c r="G103" s="7" t="s">
        <v>48</v>
      </c>
      <c r="H103" s="7" t="s">
        <v>5822</v>
      </c>
      <c r="I103" s="7" t="s">
        <v>8884</v>
      </c>
      <c r="J103" s="7" t="s">
        <v>9384</v>
      </c>
      <c r="K103" s="7" t="s">
        <v>8822</v>
      </c>
      <c r="L103" s="76">
        <v>10005981899</v>
      </c>
      <c r="M103" s="3"/>
      <c r="N103" s="201">
        <v>46124</v>
      </c>
      <c r="O103" s="28" t="s">
        <v>11</v>
      </c>
      <c r="P103" s="28" t="s">
        <v>11</v>
      </c>
      <c r="Q103" s="28" t="s">
        <v>11</v>
      </c>
      <c r="R103" s="28" t="s">
        <v>11</v>
      </c>
      <c r="S103" s="28" t="s">
        <v>10</v>
      </c>
      <c r="T103" s="28" t="s">
        <v>9</v>
      </c>
      <c r="U103" s="28" t="s">
        <v>9</v>
      </c>
      <c r="V103" s="28" t="s">
        <v>9</v>
      </c>
      <c r="W103" s="28" t="s">
        <v>9</v>
      </c>
      <c r="X103" s="28" t="s">
        <v>9</v>
      </c>
      <c r="Y103" s="28" t="s">
        <v>9</v>
      </c>
      <c r="Z103" s="28" t="s">
        <v>9</v>
      </c>
      <c r="AA103" s="28" t="s">
        <v>9</v>
      </c>
      <c r="AB103" s="28" t="s">
        <v>9</v>
      </c>
      <c r="AC103" s="28" t="s">
        <v>9</v>
      </c>
      <c r="AD103" s="28" t="s">
        <v>10</v>
      </c>
      <c r="AE103" s="28"/>
      <c r="AF103" s="24">
        <f t="shared" si="7"/>
        <v>1</v>
      </c>
      <c r="AG103" s="24">
        <f t="shared" si="8"/>
        <v>4</v>
      </c>
      <c r="AH103" s="41" t="str" cm="1">
        <f t="array" ref="AH103">_xlfn.IFS(
$AE103=15,"Not Started",
$AG103&lt;15,"In Progress",
$AG103=15,"Completed",
SUM(AE103:AG103)&gt;15,"Error"
)</f>
        <v>In Progress</v>
      </c>
    </row>
    <row r="104" spans="1:34" ht="13" x14ac:dyDescent="0.25">
      <c r="A104" s="248"/>
      <c r="B104" s="14">
        <v>101</v>
      </c>
      <c r="C104" s="14" t="s">
        <v>1156</v>
      </c>
      <c r="D104" s="151" t="s">
        <v>8666</v>
      </c>
      <c r="E104" s="57" t="s">
        <v>8534</v>
      </c>
      <c r="F104" s="7" t="s">
        <v>47</v>
      </c>
      <c r="G104" s="7" t="s">
        <v>44</v>
      </c>
      <c r="H104" s="7" t="s">
        <v>5822</v>
      </c>
      <c r="I104" s="7" t="s">
        <v>8884</v>
      </c>
      <c r="J104" s="7" t="s">
        <v>9385</v>
      </c>
      <c r="K104" s="7" t="s">
        <v>8823</v>
      </c>
      <c r="L104" s="76">
        <v>10006035078</v>
      </c>
      <c r="M104" s="3"/>
      <c r="N104" s="201"/>
      <c r="O104" s="28" t="s">
        <v>11</v>
      </c>
      <c r="P104" s="28" t="s">
        <v>11</v>
      </c>
      <c r="Q104" s="28" t="s">
        <v>11</v>
      </c>
      <c r="R104" s="28" t="s">
        <v>11</v>
      </c>
      <c r="S104" s="28" t="s">
        <v>10</v>
      </c>
      <c r="T104" s="28" t="s">
        <v>9</v>
      </c>
      <c r="U104" s="28" t="s">
        <v>9</v>
      </c>
      <c r="V104" s="28" t="s">
        <v>9</v>
      </c>
      <c r="W104" s="28" t="s">
        <v>9</v>
      </c>
      <c r="X104" s="28" t="s">
        <v>9</v>
      </c>
      <c r="Y104" s="28" t="s">
        <v>9</v>
      </c>
      <c r="Z104" s="28" t="s">
        <v>9</v>
      </c>
      <c r="AA104" s="28" t="s">
        <v>9</v>
      </c>
      <c r="AB104" s="28" t="s">
        <v>9</v>
      </c>
      <c r="AC104" s="28" t="s">
        <v>9</v>
      </c>
      <c r="AD104" s="28" t="s">
        <v>10</v>
      </c>
      <c r="AE104" s="28"/>
      <c r="AF104" s="24">
        <f t="shared" si="7"/>
        <v>1</v>
      </c>
      <c r="AG104" s="24">
        <f t="shared" si="8"/>
        <v>4</v>
      </c>
      <c r="AH104" s="41" t="str" cm="1">
        <f t="array" ref="AH104">_xlfn.IFS(
$AE104=15,"Not Started",
$AG104&lt;15,"In Progress",
$AG104=15,"Completed",
SUM(AE104:AG104)&gt;15,"Error"
)</f>
        <v>In Progress</v>
      </c>
    </row>
    <row r="105" spans="1:34" ht="13" x14ac:dyDescent="0.25">
      <c r="A105" s="248"/>
      <c r="B105" s="14">
        <v>102</v>
      </c>
      <c r="C105" s="7" t="s">
        <v>1157</v>
      </c>
      <c r="D105" s="151" t="s">
        <v>8667</v>
      </c>
      <c r="E105" s="57" t="s">
        <v>8535</v>
      </c>
      <c r="F105" s="7" t="s">
        <v>43</v>
      </c>
      <c r="G105" s="7" t="s">
        <v>44</v>
      </c>
      <c r="H105" s="7" t="s">
        <v>5822</v>
      </c>
      <c r="I105" s="7" t="s">
        <v>8884</v>
      </c>
      <c r="J105" s="7" t="s">
        <v>9386</v>
      </c>
      <c r="K105" s="7" t="s">
        <v>8824</v>
      </c>
      <c r="L105" s="76">
        <v>10006046231</v>
      </c>
      <c r="M105" s="3"/>
      <c r="N105" s="201"/>
      <c r="O105" s="28" t="s">
        <v>11</v>
      </c>
      <c r="P105" s="28" t="s">
        <v>11</v>
      </c>
      <c r="Q105" s="28" t="s">
        <v>11</v>
      </c>
      <c r="R105" s="28" t="s">
        <v>11</v>
      </c>
      <c r="S105" s="28" t="s">
        <v>10</v>
      </c>
      <c r="T105" s="28" t="s">
        <v>9</v>
      </c>
      <c r="U105" s="28" t="s">
        <v>9</v>
      </c>
      <c r="V105" s="28" t="s">
        <v>9</v>
      </c>
      <c r="W105" s="28" t="s">
        <v>9</v>
      </c>
      <c r="X105" s="28" t="s">
        <v>9</v>
      </c>
      <c r="Y105" s="28" t="s">
        <v>9</v>
      </c>
      <c r="Z105" s="28" t="s">
        <v>9</v>
      </c>
      <c r="AA105" s="28" t="s">
        <v>9</v>
      </c>
      <c r="AB105" s="28" t="s">
        <v>9</v>
      </c>
      <c r="AC105" s="28" t="s">
        <v>9</v>
      </c>
      <c r="AD105" s="28" t="s">
        <v>10</v>
      </c>
      <c r="AE105" s="28"/>
      <c r="AF105" s="24">
        <f t="shared" si="7"/>
        <v>1</v>
      </c>
      <c r="AG105" s="24">
        <f t="shared" si="8"/>
        <v>4</v>
      </c>
      <c r="AH105" s="41" t="str" cm="1">
        <f t="array" ref="AH105">_xlfn.IFS(
$AE105=15,"Not Started",
$AG105&lt;15,"In Progress",
$AG105=15,"Completed",
SUM(AE105:AG105)&gt;15,"Error"
)</f>
        <v>In Progress</v>
      </c>
    </row>
    <row r="106" spans="1:34" ht="13" x14ac:dyDescent="0.25">
      <c r="A106" s="248"/>
      <c r="B106" s="14">
        <v>103</v>
      </c>
      <c r="C106" s="14" t="s">
        <v>1158</v>
      </c>
      <c r="D106" s="167" t="s">
        <v>8668</v>
      </c>
      <c r="E106" s="168" t="s">
        <v>5725</v>
      </c>
      <c r="F106" s="169" t="s">
        <v>51</v>
      </c>
      <c r="G106" s="169" t="s">
        <v>48</v>
      </c>
      <c r="H106" s="169" t="s">
        <v>5822</v>
      </c>
      <c r="I106" s="169" t="s">
        <v>5822</v>
      </c>
      <c r="J106" s="169" t="s">
        <v>9387</v>
      </c>
      <c r="K106" s="169" t="s">
        <v>5789</v>
      </c>
      <c r="L106" s="170">
        <v>10006073981</v>
      </c>
      <c r="M106" s="171"/>
      <c r="N106" s="201"/>
      <c r="O106" s="28" t="s">
        <v>11</v>
      </c>
      <c r="P106" s="28" t="s">
        <v>11</v>
      </c>
      <c r="Q106" s="28" t="s">
        <v>11</v>
      </c>
      <c r="R106" s="28" t="s">
        <v>11</v>
      </c>
      <c r="S106" s="28" t="s">
        <v>10</v>
      </c>
      <c r="T106" s="28" t="s">
        <v>9</v>
      </c>
      <c r="U106" s="28" t="s">
        <v>9</v>
      </c>
      <c r="V106" s="28" t="s">
        <v>9</v>
      </c>
      <c r="W106" s="28" t="s">
        <v>9</v>
      </c>
      <c r="X106" s="28" t="s">
        <v>9</v>
      </c>
      <c r="Y106" s="28" t="s">
        <v>9</v>
      </c>
      <c r="Z106" s="28" t="s">
        <v>9</v>
      </c>
      <c r="AA106" s="28" t="s">
        <v>9</v>
      </c>
      <c r="AB106" s="28" t="s">
        <v>9</v>
      </c>
      <c r="AC106" s="28" t="s">
        <v>9</v>
      </c>
      <c r="AD106" s="28" t="s">
        <v>10</v>
      </c>
      <c r="AE106" s="28"/>
      <c r="AF106" s="24">
        <f t="shared" si="7"/>
        <v>1</v>
      </c>
      <c r="AG106" s="24">
        <f t="shared" si="8"/>
        <v>4</v>
      </c>
      <c r="AH106" s="41" t="str" cm="1">
        <f t="array" ref="AH106">_xlfn.IFS(
$AE106=15,"Not Started",
$AG106&lt;15,"In Progress",
$AG106=15,"Completed",
SUM(AE106:AG106)&gt;15,"Error"
)</f>
        <v>In Progress</v>
      </c>
    </row>
    <row r="107" spans="1:34" ht="13" x14ac:dyDescent="0.25">
      <c r="A107" s="248"/>
      <c r="B107" s="14">
        <v>104</v>
      </c>
      <c r="C107" s="7" t="s">
        <v>1159</v>
      </c>
      <c r="D107" s="151" t="s">
        <v>5726</v>
      </c>
      <c r="E107" s="57" t="s">
        <v>10588</v>
      </c>
      <c r="F107" s="7" t="s">
        <v>51</v>
      </c>
      <c r="G107" s="7" t="s">
        <v>44</v>
      </c>
      <c r="H107" s="7" t="s">
        <v>5822</v>
      </c>
      <c r="I107" s="7" t="s">
        <v>5822</v>
      </c>
      <c r="J107" s="7" t="s">
        <v>9388</v>
      </c>
      <c r="K107" s="7" t="s">
        <v>8825</v>
      </c>
      <c r="L107" s="76">
        <v>10006041093</v>
      </c>
      <c r="M107" s="3"/>
      <c r="N107" s="201"/>
      <c r="O107" s="28" t="s">
        <v>11</v>
      </c>
      <c r="P107" s="28" t="s">
        <v>11</v>
      </c>
      <c r="Q107" s="28" t="s">
        <v>11</v>
      </c>
      <c r="R107" s="28" t="s">
        <v>11</v>
      </c>
      <c r="S107" s="28" t="s">
        <v>10</v>
      </c>
      <c r="T107" s="28" t="s">
        <v>9</v>
      </c>
      <c r="U107" s="28" t="s">
        <v>9</v>
      </c>
      <c r="V107" s="28" t="s">
        <v>9</v>
      </c>
      <c r="W107" s="28" t="s">
        <v>9</v>
      </c>
      <c r="X107" s="28" t="s">
        <v>9</v>
      </c>
      <c r="Y107" s="28" t="s">
        <v>9</v>
      </c>
      <c r="Z107" s="28" t="s">
        <v>9</v>
      </c>
      <c r="AA107" s="28" t="s">
        <v>9</v>
      </c>
      <c r="AB107" s="28" t="s">
        <v>9</v>
      </c>
      <c r="AC107" s="28" t="s">
        <v>9</v>
      </c>
      <c r="AD107" s="28" t="s">
        <v>10</v>
      </c>
      <c r="AE107" s="28"/>
      <c r="AF107" s="24">
        <f t="shared" si="7"/>
        <v>1</v>
      </c>
      <c r="AG107" s="24">
        <f t="shared" si="8"/>
        <v>4</v>
      </c>
      <c r="AH107" s="41" t="str" cm="1">
        <f t="array" ref="AH107">_xlfn.IFS(
$AE107=15,"Not Started",
$AG107&lt;15,"In Progress",
$AG107=15,"Completed",
SUM(AE107:AG107)&gt;15,"Error"
)</f>
        <v>In Progress</v>
      </c>
    </row>
    <row r="108" spans="1:34" ht="13" x14ac:dyDescent="0.25">
      <c r="A108" s="248"/>
      <c r="B108" s="14">
        <v>105</v>
      </c>
      <c r="C108" s="14" t="s">
        <v>1160</v>
      </c>
      <c r="D108" s="151" t="s">
        <v>5728</v>
      </c>
      <c r="E108" s="57" t="s">
        <v>5727</v>
      </c>
      <c r="F108" s="7" t="s">
        <v>43</v>
      </c>
      <c r="G108" s="7" t="s">
        <v>48</v>
      </c>
      <c r="H108" s="7" t="s">
        <v>5822</v>
      </c>
      <c r="I108" s="7" t="s">
        <v>5822</v>
      </c>
      <c r="J108" s="7" t="s">
        <v>9389</v>
      </c>
      <c r="K108" s="7" t="s">
        <v>5790</v>
      </c>
      <c r="L108" s="76">
        <v>10103952308</v>
      </c>
      <c r="M108" s="3"/>
      <c r="N108" s="201"/>
      <c r="O108" s="28" t="s">
        <v>11</v>
      </c>
      <c r="P108" s="28" t="s">
        <v>11</v>
      </c>
      <c r="Q108" s="28" t="s">
        <v>11</v>
      </c>
      <c r="R108" s="28" t="s">
        <v>11</v>
      </c>
      <c r="S108" s="28" t="s">
        <v>9</v>
      </c>
      <c r="T108" s="28" t="s">
        <v>9</v>
      </c>
      <c r="U108" s="28" t="s">
        <v>9</v>
      </c>
      <c r="V108" s="28" t="s">
        <v>9</v>
      </c>
      <c r="W108" s="28" t="s">
        <v>9</v>
      </c>
      <c r="X108" s="28" t="s">
        <v>9</v>
      </c>
      <c r="Y108" s="28" t="s">
        <v>9</v>
      </c>
      <c r="Z108" s="28" t="s">
        <v>9</v>
      </c>
      <c r="AA108" s="28" t="s">
        <v>9</v>
      </c>
      <c r="AB108" s="28" t="s">
        <v>9</v>
      </c>
      <c r="AC108" s="28" t="s">
        <v>9</v>
      </c>
      <c r="AD108" s="28" t="s">
        <v>10</v>
      </c>
      <c r="AE108" s="28"/>
      <c r="AF108" s="24">
        <f t="shared" si="7"/>
        <v>0</v>
      </c>
      <c r="AG108" s="24">
        <f t="shared" si="8"/>
        <v>4</v>
      </c>
      <c r="AH108" s="41" t="str" cm="1">
        <f t="array" ref="AH108">_xlfn.IFS(
$AE108=15,"Not Started",
$AG108&lt;15,"In Progress",
$AG108=15,"Completed",
SUM(AE108:AG108)&gt;15,"Error"
)</f>
        <v>In Progress</v>
      </c>
    </row>
    <row r="109" spans="1:34" ht="13" x14ac:dyDescent="0.25">
      <c r="A109" s="248"/>
      <c r="B109" s="14">
        <v>106</v>
      </c>
      <c r="C109" s="7" t="s">
        <v>1161</v>
      </c>
      <c r="D109" s="151" t="s">
        <v>5730</v>
      </c>
      <c r="E109" s="57" t="s">
        <v>5729</v>
      </c>
      <c r="F109" s="7" t="s">
        <v>47</v>
      </c>
      <c r="G109" s="7" t="s">
        <v>44</v>
      </c>
      <c r="H109" s="7" t="s">
        <v>5822</v>
      </c>
      <c r="I109" s="7" t="s">
        <v>5822</v>
      </c>
      <c r="J109" s="7" t="s">
        <v>9390</v>
      </c>
      <c r="K109" s="7" t="s">
        <v>5791</v>
      </c>
      <c r="L109" s="76">
        <v>10006041164</v>
      </c>
      <c r="M109" s="3"/>
      <c r="N109" s="201"/>
      <c r="O109" s="28" t="s">
        <v>11</v>
      </c>
      <c r="P109" s="28" t="s">
        <v>11</v>
      </c>
      <c r="Q109" s="28" t="s">
        <v>11</v>
      </c>
      <c r="R109" s="28" t="s">
        <v>11</v>
      </c>
      <c r="S109" s="28" t="s">
        <v>9</v>
      </c>
      <c r="T109" s="28" t="s">
        <v>9</v>
      </c>
      <c r="U109" s="28" t="s">
        <v>9</v>
      </c>
      <c r="V109" s="28" t="s">
        <v>9</v>
      </c>
      <c r="W109" s="28" t="s">
        <v>9</v>
      </c>
      <c r="X109" s="28" t="s">
        <v>9</v>
      </c>
      <c r="Y109" s="28" t="s">
        <v>9</v>
      </c>
      <c r="Z109" s="28" t="s">
        <v>9</v>
      </c>
      <c r="AA109" s="28" t="s">
        <v>9</v>
      </c>
      <c r="AB109" s="28" t="s">
        <v>9</v>
      </c>
      <c r="AC109" s="28" t="s">
        <v>9</v>
      </c>
      <c r="AD109" s="28" t="s">
        <v>10</v>
      </c>
      <c r="AE109" s="28"/>
      <c r="AF109" s="24">
        <f t="shared" si="7"/>
        <v>0</v>
      </c>
      <c r="AG109" s="24">
        <f t="shared" si="8"/>
        <v>4</v>
      </c>
      <c r="AH109" s="41" t="str" cm="1">
        <f t="array" ref="AH109">_xlfn.IFS(
$AE109=15,"Not Started",
$AG109&lt;15,"In Progress",
$AG109=15,"Completed",
SUM(AE109:AG109)&gt;15,"Error"
)</f>
        <v>In Progress</v>
      </c>
    </row>
    <row r="110" spans="1:34" ht="13" x14ac:dyDescent="0.25">
      <c r="A110" s="248"/>
      <c r="B110" s="14">
        <v>107</v>
      </c>
      <c r="C110" s="14" t="s">
        <v>1162</v>
      </c>
      <c r="D110" s="151" t="s">
        <v>5732</v>
      </c>
      <c r="E110" s="57" t="s">
        <v>5731</v>
      </c>
      <c r="F110" s="7" t="s">
        <v>47</v>
      </c>
      <c r="G110" s="7" t="s">
        <v>44</v>
      </c>
      <c r="H110" s="7" t="s">
        <v>5822</v>
      </c>
      <c r="I110" s="7" t="s">
        <v>5822</v>
      </c>
      <c r="J110" s="7" t="s">
        <v>9391</v>
      </c>
      <c r="K110" s="7" t="s">
        <v>5792</v>
      </c>
      <c r="L110" s="76">
        <v>10006046429</v>
      </c>
      <c r="M110" s="3"/>
      <c r="N110" s="201"/>
      <c r="O110" s="28" t="s">
        <v>11</v>
      </c>
      <c r="P110" s="28" t="s">
        <v>11</v>
      </c>
      <c r="Q110" s="28" t="s">
        <v>11</v>
      </c>
      <c r="R110" s="28" t="s">
        <v>11</v>
      </c>
      <c r="S110" s="28" t="s">
        <v>9</v>
      </c>
      <c r="T110" s="28" t="s">
        <v>9</v>
      </c>
      <c r="U110" s="28" t="s">
        <v>9</v>
      </c>
      <c r="V110" s="28" t="s">
        <v>9</v>
      </c>
      <c r="W110" s="28" t="s">
        <v>9</v>
      </c>
      <c r="X110" s="28" t="s">
        <v>9</v>
      </c>
      <c r="Y110" s="28" t="s">
        <v>9</v>
      </c>
      <c r="Z110" s="28" t="s">
        <v>9</v>
      </c>
      <c r="AA110" s="28" t="s">
        <v>9</v>
      </c>
      <c r="AB110" s="28" t="s">
        <v>9</v>
      </c>
      <c r="AC110" s="28" t="s">
        <v>9</v>
      </c>
      <c r="AD110" s="28" t="s">
        <v>10</v>
      </c>
      <c r="AE110" s="28"/>
      <c r="AF110" s="24">
        <f t="shared" si="7"/>
        <v>0</v>
      </c>
      <c r="AG110" s="24">
        <f t="shared" si="8"/>
        <v>4</v>
      </c>
      <c r="AH110" s="41" t="str" cm="1">
        <f t="array" ref="AH110">_xlfn.IFS(
$AE110=15,"Not Started",
$AG110&lt;15,"In Progress",
$AG110=15,"Completed",
SUM(AE110:AG110)&gt;15,"Error"
)</f>
        <v>In Progress</v>
      </c>
    </row>
    <row r="111" spans="1:34" ht="13" x14ac:dyDescent="0.25">
      <c r="A111" s="248"/>
      <c r="B111" s="14">
        <v>108</v>
      </c>
      <c r="C111" s="7" t="s">
        <v>1163</v>
      </c>
      <c r="D111" s="151" t="s">
        <v>8669</v>
      </c>
      <c r="E111" s="57" t="s">
        <v>8536</v>
      </c>
      <c r="F111" s="7" t="s">
        <v>43</v>
      </c>
      <c r="G111" s="7" t="s">
        <v>44</v>
      </c>
      <c r="H111" s="7" t="s">
        <v>5822</v>
      </c>
      <c r="I111" s="7" t="s">
        <v>5822</v>
      </c>
      <c r="J111" s="7" t="s">
        <v>9392</v>
      </c>
      <c r="K111" s="7" t="s">
        <v>8826</v>
      </c>
      <c r="L111" s="76">
        <v>10006045941</v>
      </c>
      <c r="M111" s="3"/>
      <c r="N111" s="201">
        <v>46123</v>
      </c>
      <c r="O111" s="28" t="s">
        <v>11</v>
      </c>
      <c r="P111" s="28" t="s">
        <v>11</v>
      </c>
      <c r="Q111" s="28" t="s">
        <v>11</v>
      </c>
      <c r="R111" s="28" t="s">
        <v>11</v>
      </c>
      <c r="S111" s="28" t="s">
        <v>10</v>
      </c>
      <c r="T111" s="28" t="s">
        <v>9</v>
      </c>
      <c r="U111" s="28" t="s">
        <v>9</v>
      </c>
      <c r="V111" s="28" t="s">
        <v>9</v>
      </c>
      <c r="W111" s="28" t="s">
        <v>9</v>
      </c>
      <c r="X111" s="28" t="s">
        <v>9</v>
      </c>
      <c r="Y111" s="28" t="s">
        <v>9</v>
      </c>
      <c r="Z111" s="28" t="s">
        <v>9</v>
      </c>
      <c r="AA111" s="28" t="s">
        <v>9</v>
      </c>
      <c r="AB111" s="28" t="s">
        <v>9</v>
      </c>
      <c r="AC111" s="28" t="s">
        <v>9</v>
      </c>
      <c r="AD111" s="28" t="s">
        <v>10</v>
      </c>
      <c r="AE111" s="28"/>
      <c r="AF111" s="24">
        <f t="shared" si="7"/>
        <v>1</v>
      </c>
      <c r="AG111" s="24">
        <f t="shared" si="8"/>
        <v>4</v>
      </c>
      <c r="AH111" s="41" t="str" cm="1">
        <f t="array" ref="AH111">_xlfn.IFS(
$AE111=15,"Not Started",
$AG111&lt;15,"In Progress",
$AG111=15,"Completed",
SUM(AE111:AG111)&gt;15,"Error"
)</f>
        <v>In Progress</v>
      </c>
    </row>
    <row r="112" spans="1:34" ht="13" x14ac:dyDescent="0.25">
      <c r="A112" s="248"/>
      <c r="B112" s="14">
        <v>109</v>
      </c>
      <c r="C112" s="14" t="s">
        <v>1164</v>
      </c>
      <c r="D112" s="151" t="s">
        <v>8670</v>
      </c>
      <c r="E112" s="57" t="s">
        <v>8537</v>
      </c>
      <c r="F112" s="7" t="s">
        <v>47</v>
      </c>
      <c r="G112" s="7" t="s">
        <v>48</v>
      </c>
      <c r="H112" s="7" t="s">
        <v>5822</v>
      </c>
      <c r="I112" s="7" t="s">
        <v>5822</v>
      </c>
      <c r="J112" s="7" t="s">
        <v>9393</v>
      </c>
      <c r="K112" s="7" t="s">
        <v>8827</v>
      </c>
      <c r="L112" s="76">
        <v>10006034025</v>
      </c>
      <c r="M112" s="3"/>
      <c r="N112" s="201"/>
      <c r="O112" s="28" t="s">
        <v>11</v>
      </c>
      <c r="P112" s="28" t="s">
        <v>11</v>
      </c>
      <c r="Q112" s="28" t="s">
        <v>11</v>
      </c>
      <c r="R112" s="28" t="s">
        <v>11</v>
      </c>
      <c r="S112" s="28" t="s">
        <v>10</v>
      </c>
      <c r="T112" s="28" t="s">
        <v>9</v>
      </c>
      <c r="U112" s="28" t="s">
        <v>9</v>
      </c>
      <c r="V112" s="28" t="s">
        <v>9</v>
      </c>
      <c r="W112" s="28" t="s">
        <v>9</v>
      </c>
      <c r="X112" s="28" t="s">
        <v>9</v>
      </c>
      <c r="Y112" s="28" t="s">
        <v>9</v>
      </c>
      <c r="Z112" s="28" t="s">
        <v>9</v>
      </c>
      <c r="AA112" s="28" t="s">
        <v>9</v>
      </c>
      <c r="AB112" s="28" t="s">
        <v>9</v>
      </c>
      <c r="AC112" s="28" t="s">
        <v>9</v>
      </c>
      <c r="AD112" s="28" t="s">
        <v>10</v>
      </c>
      <c r="AE112" s="28"/>
      <c r="AF112" s="24">
        <f t="shared" si="7"/>
        <v>1</v>
      </c>
      <c r="AG112" s="24">
        <f t="shared" si="8"/>
        <v>4</v>
      </c>
      <c r="AH112" s="41" t="str" cm="1">
        <f t="array" ref="AH112">_xlfn.IFS(
$AE112=15,"Not Started",
$AG112&lt;15,"In Progress",
$AG112=15,"Completed",
SUM(AE112:AG112)&gt;15,"Error"
)</f>
        <v>In Progress</v>
      </c>
    </row>
    <row r="113" spans="1:34" ht="13" x14ac:dyDescent="0.25">
      <c r="A113" s="248"/>
      <c r="B113" s="14">
        <v>110</v>
      </c>
      <c r="C113" s="7" t="s">
        <v>1165</v>
      </c>
      <c r="D113" s="151" t="s">
        <v>10579</v>
      </c>
      <c r="E113" s="57" t="s">
        <v>10580</v>
      </c>
      <c r="F113" s="7" t="s">
        <v>43</v>
      </c>
      <c r="G113" s="7" t="s">
        <v>48</v>
      </c>
      <c r="H113" s="7" t="s">
        <v>5822</v>
      </c>
      <c r="I113" s="7" t="s">
        <v>5822</v>
      </c>
      <c r="J113" s="7" t="s">
        <v>10581</v>
      </c>
      <c r="K113" s="7" t="s">
        <v>10582</v>
      </c>
      <c r="L113" s="76">
        <v>10006019637</v>
      </c>
      <c r="M113" s="3"/>
      <c r="N113" s="201"/>
      <c r="O113" s="28" t="s">
        <v>11</v>
      </c>
      <c r="P113" s="28" t="s">
        <v>11</v>
      </c>
      <c r="Q113" s="28" t="s">
        <v>11</v>
      </c>
      <c r="R113" s="28" t="s">
        <v>11</v>
      </c>
      <c r="S113" s="28" t="s">
        <v>10</v>
      </c>
      <c r="T113" s="28" t="s">
        <v>9</v>
      </c>
      <c r="U113" s="28" t="s">
        <v>9</v>
      </c>
      <c r="V113" s="28" t="s">
        <v>9</v>
      </c>
      <c r="W113" s="28" t="s">
        <v>9</v>
      </c>
      <c r="X113" s="28" t="s">
        <v>9</v>
      </c>
      <c r="Y113" s="28" t="s">
        <v>9</v>
      </c>
      <c r="Z113" s="28" t="s">
        <v>9</v>
      </c>
      <c r="AA113" s="28" t="s">
        <v>9</v>
      </c>
      <c r="AB113" s="28" t="s">
        <v>9</v>
      </c>
      <c r="AC113" s="28" t="s">
        <v>9</v>
      </c>
      <c r="AD113" s="28" t="s">
        <v>10</v>
      </c>
      <c r="AE113" s="28"/>
      <c r="AF113" s="24">
        <f t="shared" si="7"/>
        <v>1</v>
      </c>
      <c r="AG113" s="24">
        <f t="shared" si="8"/>
        <v>4</v>
      </c>
      <c r="AH113" s="41" t="str" cm="1">
        <f t="array" ref="AH113">_xlfn.IFS(
$AE113=15,"Not Started",
$AG113&lt;15,"In Progress",
$AG113=15,"Completed",
SUM(AE113:AG113)&gt;15,"Error"
)</f>
        <v>In Progress</v>
      </c>
    </row>
    <row r="114" spans="1:34" ht="13" x14ac:dyDescent="0.25">
      <c r="A114" s="248"/>
      <c r="B114" s="14">
        <v>111</v>
      </c>
      <c r="C114" s="14" t="s">
        <v>1166</v>
      </c>
      <c r="D114" s="151" t="s">
        <v>5734</v>
      </c>
      <c r="E114" s="57" t="s">
        <v>5733</v>
      </c>
      <c r="F114" s="7" t="s">
        <v>47</v>
      </c>
      <c r="G114" s="7" t="s">
        <v>44</v>
      </c>
      <c r="H114" s="7" t="s">
        <v>5822</v>
      </c>
      <c r="I114" s="7" t="s">
        <v>5822</v>
      </c>
      <c r="J114" s="7" t="s">
        <v>9394</v>
      </c>
      <c r="K114" s="7" t="s">
        <v>5793</v>
      </c>
      <c r="L114" s="76">
        <v>10006073945</v>
      </c>
      <c r="M114" s="3"/>
      <c r="N114" s="201"/>
      <c r="O114" s="28" t="s">
        <v>11</v>
      </c>
      <c r="P114" s="28" t="s">
        <v>11</v>
      </c>
      <c r="Q114" s="28" t="s">
        <v>11</v>
      </c>
      <c r="R114" s="28" t="s">
        <v>11</v>
      </c>
      <c r="S114" s="28" t="s">
        <v>10</v>
      </c>
      <c r="T114" s="28" t="s">
        <v>9</v>
      </c>
      <c r="U114" s="28" t="s">
        <v>9</v>
      </c>
      <c r="V114" s="28" t="s">
        <v>9</v>
      </c>
      <c r="W114" s="28" t="s">
        <v>9</v>
      </c>
      <c r="X114" s="28" t="s">
        <v>9</v>
      </c>
      <c r="Y114" s="28" t="s">
        <v>9</v>
      </c>
      <c r="Z114" s="28" t="s">
        <v>9</v>
      </c>
      <c r="AA114" s="28" t="s">
        <v>9</v>
      </c>
      <c r="AB114" s="28" t="s">
        <v>9</v>
      </c>
      <c r="AC114" s="28" t="s">
        <v>9</v>
      </c>
      <c r="AD114" s="28" t="s">
        <v>10</v>
      </c>
      <c r="AE114" s="28"/>
      <c r="AF114" s="24">
        <f t="shared" si="7"/>
        <v>1</v>
      </c>
      <c r="AG114" s="24">
        <f t="shared" si="8"/>
        <v>4</v>
      </c>
      <c r="AH114" s="41" t="str" cm="1">
        <f t="array" ref="AH114">_xlfn.IFS(
$AE114=15,"Not Started",
$AG114&lt;15,"In Progress",
$AG114=15,"Completed",
SUM(AE114:AG114)&gt;15,"Error"
)</f>
        <v>In Progress</v>
      </c>
    </row>
    <row r="115" spans="1:34" ht="13" x14ac:dyDescent="0.25">
      <c r="A115" s="248"/>
      <c r="B115" s="14">
        <v>112</v>
      </c>
      <c r="C115" s="7" t="s">
        <v>1167</v>
      </c>
      <c r="D115" s="151" t="s">
        <v>8671</v>
      </c>
      <c r="E115" s="57" t="s">
        <v>8538</v>
      </c>
      <c r="F115" s="7" t="s">
        <v>43</v>
      </c>
      <c r="G115" s="7" t="s">
        <v>48</v>
      </c>
      <c r="H115" s="7" t="s">
        <v>5822</v>
      </c>
      <c r="I115" s="7" t="s">
        <v>5822</v>
      </c>
      <c r="J115" s="7" t="s">
        <v>9395</v>
      </c>
      <c r="K115" s="7" t="s">
        <v>8828</v>
      </c>
      <c r="L115" s="76">
        <v>30096641377</v>
      </c>
      <c r="M115" s="3"/>
      <c r="N115" s="201"/>
      <c r="O115" s="28" t="s">
        <v>11</v>
      </c>
      <c r="P115" s="28" t="s">
        <v>11</v>
      </c>
      <c r="Q115" s="28" t="s">
        <v>11</v>
      </c>
      <c r="R115" s="28" t="s">
        <v>11</v>
      </c>
      <c r="S115" s="28" t="s">
        <v>10</v>
      </c>
      <c r="T115" s="28" t="s">
        <v>9</v>
      </c>
      <c r="U115" s="28" t="s">
        <v>9</v>
      </c>
      <c r="V115" s="28" t="s">
        <v>9</v>
      </c>
      <c r="W115" s="28" t="s">
        <v>9</v>
      </c>
      <c r="X115" s="28" t="s">
        <v>9</v>
      </c>
      <c r="Y115" s="28" t="s">
        <v>9</v>
      </c>
      <c r="Z115" s="28" t="s">
        <v>9</v>
      </c>
      <c r="AA115" s="28" t="s">
        <v>9</v>
      </c>
      <c r="AB115" s="28" t="s">
        <v>9</v>
      </c>
      <c r="AC115" s="28" t="s">
        <v>9</v>
      </c>
      <c r="AD115" s="28" t="s">
        <v>10</v>
      </c>
      <c r="AE115" s="28"/>
      <c r="AF115" s="24">
        <f t="shared" si="7"/>
        <v>1</v>
      </c>
      <c r="AG115" s="24">
        <f t="shared" si="8"/>
        <v>4</v>
      </c>
      <c r="AH115" s="41" t="str" cm="1">
        <f t="array" ref="AH115">_xlfn.IFS(
$AE115=15,"Not Started",
$AG115&lt;15,"In Progress",
$AG115=15,"Completed",
SUM(AE115:AG115)&gt;15,"Error"
)</f>
        <v>In Progress</v>
      </c>
    </row>
    <row r="116" spans="1:34" ht="13" x14ac:dyDescent="0.25">
      <c r="A116" s="248"/>
      <c r="B116" s="14">
        <v>113</v>
      </c>
      <c r="C116" s="14" t="s">
        <v>1168</v>
      </c>
      <c r="D116" s="151" t="s">
        <v>5736</v>
      </c>
      <c r="E116" s="57" t="s">
        <v>5735</v>
      </c>
      <c r="F116" s="7" t="s">
        <v>51</v>
      </c>
      <c r="G116" s="7" t="s">
        <v>48</v>
      </c>
      <c r="H116" s="7" t="s">
        <v>5822</v>
      </c>
      <c r="I116" s="7" t="s">
        <v>5822</v>
      </c>
      <c r="J116" s="7" t="s">
        <v>9396</v>
      </c>
      <c r="K116" s="7" t="s">
        <v>5794</v>
      </c>
      <c r="L116" s="76">
        <v>10006041960</v>
      </c>
      <c r="M116" s="3"/>
      <c r="N116" s="201"/>
      <c r="O116" s="28" t="s">
        <v>11</v>
      </c>
      <c r="P116" s="28" t="s">
        <v>11</v>
      </c>
      <c r="Q116" s="28" t="s">
        <v>11</v>
      </c>
      <c r="R116" s="28" t="s">
        <v>11</v>
      </c>
      <c r="S116" s="28" t="s">
        <v>10</v>
      </c>
      <c r="T116" s="28" t="s">
        <v>9</v>
      </c>
      <c r="U116" s="28" t="s">
        <v>9</v>
      </c>
      <c r="V116" s="28" t="s">
        <v>9</v>
      </c>
      <c r="W116" s="28" t="s">
        <v>9</v>
      </c>
      <c r="X116" s="28" t="s">
        <v>9</v>
      </c>
      <c r="Y116" s="28" t="s">
        <v>9</v>
      </c>
      <c r="Z116" s="28" t="s">
        <v>9</v>
      </c>
      <c r="AA116" s="28" t="s">
        <v>9</v>
      </c>
      <c r="AB116" s="28" t="s">
        <v>9</v>
      </c>
      <c r="AC116" s="28" t="s">
        <v>9</v>
      </c>
      <c r="AD116" s="28" t="s">
        <v>10</v>
      </c>
      <c r="AE116" s="28"/>
      <c r="AF116" s="24">
        <f t="shared" si="7"/>
        <v>1</v>
      </c>
      <c r="AG116" s="24">
        <f t="shared" si="8"/>
        <v>4</v>
      </c>
      <c r="AH116" s="41" t="str" cm="1">
        <f t="array" ref="AH116">_xlfn.IFS(
$AE116=15,"Not Started",
$AG116&lt;15,"In Progress",
$AG116=15,"Completed",
SUM(AE116:AG116)&gt;15,"Error"
)</f>
        <v>In Progress</v>
      </c>
    </row>
    <row r="117" spans="1:34" ht="13" x14ac:dyDescent="0.25">
      <c r="A117" s="248"/>
      <c r="B117" s="14">
        <v>114</v>
      </c>
      <c r="C117" s="7" t="s">
        <v>1169</v>
      </c>
      <c r="D117" s="151" t="s">
        <v>5738</v>
      </c>
      <c r="E117" s="57" t="s">
        <v>5737</v>
      </c>
      <c r="F117" s="7" t="s">
        <v>9671</v>
      </c>
      <c r="G117" s="7" t="s">
        <v>44</v>
      </c>
      <c r="H117" s="7" t="s">
        <v>5822</v>
      </c>
      <c r="I117" s="7" t="s">
        <v>5822</v>
      </c>
      <c r="J117" s="7" t="s">
        <v>9397</v>
      </c>
      <c r="K117" s="7" t="s">
        <v>5795</v>
      </c>
      <c r="L117" s="76">
        <v>10006064392</v>
      </c>
      <c r="M117" s="3"/>
      <c r="N117" s="201"/>
      <c r="O117" s="28" t="s">
        <v>11</v>
      </c>
      <c r="P117" s="28" t="s">
        <v>11</v>
      </c>
      <c r="Q117" s="28" t="s">
        <v>11</v>
      </c>
      <c r="R117" s="28" t="s">
        <v>11</v>
      </c>
      <c r="S117" s="28" t="s">
        <v>10</v>
      </c>
      <c r="T117" s="28" t="s">
        <v>9</v>
      </c>
      <c r="U117" s="28" t="s">
        <v>9</v>
      </c>
      <c r="V117" s="28" t="s">
        <v>9</v>
      </c>
      <c r="W117" s="28" t="s">
        <v>9</v>
      </c>
      <c r="X117" s="28" t="s">
        <v>9</v>
      </c>
      <c r="Y117" s="28" t="s">
        <v>9</v>
      </c>
      <c r="Z117" s="28" t="s">
        <v>9</v>
      </c>
      <c r="AA117" s="28" t="s">
        <v>9</v>
      </c>
      <c r="AB117" s="28" t="s">
        <v>9</v>
      </c>
      <c r="AC117" s="28" t="s">
        <v>9</v>
      </c>
      <c r="AD117" s="28" t="s">
        <v>10</v>
      </c>
      <c r="AE117" s="28"/>
      <c r="AF117" s="24">
        <f t="shared" si="7"/>
        <v>1</v>
      </c>
      <c r="AG117" s="24">
        <f t="shared" si="8"/>
        <v>4</v>
      </c>
      <c r="AH117" s="41" t="str" cm="1">
        <f t="array" ref="AH117">_xlfn.IFS(
$AE117=15,"Not Started",
$AG117&lt;15,"In Progress",
$AG117=15,"Completed",
SUM(AE117:AG117)&gt;15,"Error"
)</f>
        <v>In Progress</v>
      </c>
    </row>
    <row r="118" spans="1:34" ht="13" x14ac:dyDescent="0.25">
      <c r="A118" s="248"/>
      <c r="B118" s="14">
        <v>115</v>
      </c>
      <c r="C118" s="14" t="s">
        <v>1170</v>
      </c>
      <c r="D118" s="151" t="s">
        <v>5740</v>
      </c>
      <c r="E118" s="57" t="s">
        <v>5739</v>
      </c>
      <c r="F118" s="7" t="s">
        <v>47</v>
      </c>
      <c r="G118" s="7" t="s">
        <v>48</v>
      </c>
      <c r="H118" s="7" t="s">
        <v>5822</v>
      </c>
      <c r="I118" s="7" t="s">
        <v>5822</v>
      </c>
      <c r="J118" s="7" t="s">
        <v>9398</v>
      </c>
      <c r="K118" s="7" t="s">
        <v>5796</v>
      </c>
      <c r="L118" s="76">
        <v>10103342407</v>
      </c>
      <c r="M118" s="3"/>
      <c r="N118" s="201"/>
      <c r="O118" s="28" t="s">
        <v>11</v>
      </c>
      <c r="P118" s="28" t="s">
        <v>11</v>
      </c>
      <c r="Q118" s="28" t="s">
        <v>11</v>
      </c>
      <c r="R118" s="28" t="s">
        <v>11</v>
      </c>
      <c r="S118" s="28" t="s">
        <v>9</v>
      </c>
      <c r="T118" s="28" t="s">
        <v>9</v>
      </c>
      <c r="U118" s="28" t="s">
        <v>9</v>
      </c>
      <c r="V118" s="28" t="s">
        <v>9</v>
      </c>
      <c r="W118" s="28" t="s">
        <v>9</v>
      </c>
      <c r="X118" s="28" t="s">
        <v>9</v>
      </c>
      <c r="Y118" s="28" t="s">
        <v>9</v>
      </c>
      <c r="Z118" s="28" t="s">
        <v>9</v>
      </c>
      <c r="AA118" s="28" t="s">
        <v>9</v>
      </c>
      <c r="AB118" s="28" t="s">
        <v>9</v>
      </c>
      <c r="AC118" s="28" t="s">
        <v>9</v>
      </c>
      <c r="AD118" s="28" t="s">
        <v>10</v>
      </c>
      <c r="AE118" s="28"/>
      <c r="AF118" s="24">
        <f t="shared" si="7"/>
        <v>0</v>
      </c>
      <c r="AG118" s="24">
        <f t="shared" si="8"/>
        <v>4</v>
      </c>
      <c r="AH118" s="41" t="str" cm="1">
        <f t="array" ref="AH118">_xlfn.IFS(
$AE118=15,"Not Started",
$AG118&lt;15,"In Progress",
$AG118=15,"Completed",
SUM(AE118:AG118)&gt;15,"Error"
)</f>
        <v>In Progress</v>
      </c>
    </row>
    <row r="119" spans="1:34" ht="13" x14ac:dyDescent="0.25">
      <c r="A119" s="248"/>
      <c r="B119" s="14">
        <v>116</v>
      </c>
      <c r="C119" s="7" t="s">
        <v>1171</v>
      </c>
      <c r="D119" s="151" t="s">
        <v>8672</v>
      </c>
      <c r="E119" s="57" t="s">
        <v>8539</v>
      </c>
      <c r="F119" s="7" t="s">
        <v>51</v>
      </c>
      <c r="G119" s="7" t="s">
        <v>48</v>
      </c>
      <c r="H119" s="7" t="s">
        <v>5822</v>
      </c>
      <c r="I119" s="7" t="s">
        <v>5822</v>
      </c>
      <c r="J119" s="7" t="s">
        <v>9399</v>
      </c>
      <c r="K119" s="7" t="s">
        <v>8829</v>
      </c>
      <c r="L119" s="76">
        <v>10006063706</v>
      </c>
      <c r="M119" s="3"/>
      <c r="N119" s="201"/>
      <c r="O119" s="28" t="s">
        <v>11</v>
      </c>
      <c r="P119" s="28" t="s">
        <v>11</v>
      </c>
      <c r="Q119" s="28" t="s">
        <v>11</v>
      </c>
      <c r="R119" s="28" t="s">
        <v>11</v>
      </c>
      <c r="S119" s="28" t="s">
        <v>10</v>
      </c>
      <c r="T119" s="28" t="s">
        <v>9</v>
      </c>
      <c r="U119" s="28" t="s">
        <v>9</v>
      </c>
      <c r="V119" s="28" t="s">
        <v>9</v>
      </c>
      <c r="W119" s="28" t="s">
        <v>9</v>
      </c>
      <c r="X119" s="28" t="s">
        <v>9</v>
      </c>
      <c r="Y119" s="28" t="s">
        <v>9</v>
      </c>
      <c r="Z119" s="28" t="s">
        <v>9</v>
      </c>
      <c r="AA119" s="28" t="s">
        <v>9</v>
      </c>
      <c r="AB119" s="28" t="s">
        <v>9</v>
      </c>
      <c r="AC119" s="28" t="s">
        <v>9</v>
      </c>
      <c r="AD119" s="28" t="s">
        <v>10</v>
      </c>
      <c r="AE119" s="28"/>
      <c r="AF119" s="24">
        <f t="shared" si="7"/>
        <v>1</v>
      </c>
      <c r="AG119" s="24">
        <f t="shared" si="8"/>
        <v>4</v>
      </c>
      <c r="AH119" s="41" t="str" cm="1">
        <f t="array" ref="AH119">_xlfn.IFS(
$AE119=15,"Not Started",
$AG119&lt;15,"In Progress",
$AG119=15,"Completed",
SUM(AE119:AG119)&gt;15,"Error"
)</f>
        <v>In Progress</v>
      </c>
    </row>
    <row r="120" spans="1:34" ht="13" x14ac:dyDescent="0.25">
      <c r="A120" s="248"/>
      <c r="B120" s="14">
        <v>117</v>
      </c>
      <c r="C120" s="14" t="s">
        <v>1172</v>
      </c>
      <c r="D120" s="151" t="s">
        <v>5742</v>
      </c>
      <c r="E120" s="57" t="s">
        <v>5741</v>
      </c>
      <c r="F120" s="7" t="s">
        <v>43</v>
      </c>
      <c r="G120" s="7" t="s">
        <v>48</v>
      </c>
      <c r="H120" s="7" t="s">
        <v>5822</v>
      </c>
      <c r="I120" s="7" t="s">
        <v>5822</v>
      </c>
      <c r="J120" s="7" t="s">
        <v>9400</v>
      </c>
      <c r="K120" s="7" t="s">
        <v>5797</v>
      </c>
      <c r="L120" s="76">
        <v>10101583359</v>
      </c>
      <c r="M120" s="3"/>
      <c r="N120" s="201"/>
      <c r="O120" s="28" t="s">
        <v>11</v>
      </c>
      <c r="P120" s="28" t="s">
        <v>11</v>
      </c>
      <c r="Q120" s="28" t="s">
        <v>11</v>
      </c>
      <c r="R120" s="28" t="s">
        <v>11</v>
      </c>
      <c r="S120" s="28" t="s">
        <v>9</v>
      </c>
      <c r="T120" s="28" t="s">
        <v>9</v>
      </c>
      <c r="U120" s="28" t="s">
        <v>9</v>
      </c>
      <c r="V120" s="28" t="s">
        <v>9</v>
      </c>
      <c r="W120" s="28" t="s">
        <v>9</v>
      </c>
      <c r="X120" s="28" t="s">
        <v>9</v>
      </c>
      <c r="Y120" s="28" t="s">
        <v>9</v>
      </c>
      <c r="Z120" s="28" t="s">
        <v>9</v>
      </c>
      <c r="AA120" s="28" t="s">
        <v>9</v>
      </c>
      <c r="AB120" s="28" t="s">
        <v>9</v>
      </c>
      <c r="AC120" s="28" t="s">
        <v>9</v>
      </c>
      <c r="AD120" s="28" t="s">
        <v>10</v>
      </c>
      <c r="AE120" s="28"/>
      <c r="AF120" s="24">
        <f t="shared" si="7"/>
        <v>0</v>
      </c>
      <c r="AG120" s="24">
        <f t="shared" si="8"/>
        <v>4</v>
      </c>
      <c r="AH120" s="41" t="str" cm="1">
        <f t="array" ref="AH120">_xlfn.IFS(
$AE120=15,"Not Started",
$AG120&lt;15,"In Progress",
$AG120=15,"Completed",
SUM(AE120:AG120)&gt;15,"Error"
)</f>
        <v>In Progress</v>
      </c>
    </row>
    <row r="121" spans="1:34" ht="13" x14ac:dyDescent="0.25">
      <c r="A121" s="248"/>
      <c r="B121" s="14">
        <v>118</v>
      </c>
      <c r="C121" s="7" t="s">
        <v>1173</v>
      </c>
      <c r="D121" s="151" t="s">
        <v>5744</v>
      </c>
      <c r="E121" s="57" t="s">
        <v>5743</v>
      </c>
      <c r="F121" s="7" t="s">
        <v>43</v>
      </c>
      <c r="G121" s="7" t="s">
        <v>48</v>
      </c>
      <c r="H121" s="7" t="s">
        <v>5822</v>
      </c>
      <c r="I121" s="7" t="s">
        <v>5822</v>
      </c>
      <c r="J121" s="7" t="s">
        <v>9401</v>
      </c>
      <c r="K121" s="7" t="s">
        <v>5798</v>
      </c>
      <c r="L121" s="76">
        <v>10006062511</v>
      </c>
      <c r="M121" s="3"/>
      <c r="N121" s="201"/>
      <c r="O121" s="28" t="s">
        <v>11</v>
      </c>
      <c r="P121" s="28" t="s">
        <v>11</v>
      </c>
      <c r="Q121" s="28" t="s">
        <v>11</v>
      </c>
      <c r="R121" s="28" t="s">
        <v>11</v>
      </c>
      <c r="S121" s="28" t="s">
        <v>9</v>
      </c>
      <c r="T121" s="28" t="s">
        <v>9</v>
      </c>
      <c r="U121" s="28" t="s">
        <v>9</v>
      </c>
      <c r="V121" s="28" t="s">
        <v>9</v>
      </c>
      <c r="W121" s="28" t="s">
        <v>9</v>
      </c>
      <c r="X121" s="28" t="s">
        <v>9</v>
      </c>
      <c r="Y121" s="28" t="s">
        <v>9</v>
      </c>
      <c r="Z121" s="28" t="s">
        <v>9</v>
      </c>
      <c r="AA121" s="28" t="s">
        <v>9</v>
      </c>
      <c r="AB121" s="28" t="s">
        <v>9</v>
      </c>
      <c r="AC121" s="28" t="s">
        <v>9</v>
      </c>
      <c r="AD121" s="28" t="s">
        <v>10</v>
      </c>
      <c r="AE121" s="28"/>
      <c r="AF121" s="24">
        <f t="shared" si="7"/>
        <v>0</v>
      </c>
      <c r="AG121" s="24">
        <f t="shared" si="8"/>
        <v>4</v>
      </c>
      <c r="AH121" s="41" t="str" cm="1">
        <f t="array" ref="AH121">_xlfn.IFS(
$AE121=15,"Not Started",
$AG121&lt;15,"In Progress",
$AG121=15,"Completed",
SUM(AE121:AG121)&gt;15,"Error"
)</f>
        <v>In Progress</v>
      </c>
    </row>
    <row r="122" spans="1:34" ht="13" x14ac:dyDescent="0.25">
      <c r="A122" s="248"/>
      <c r="B122" s="14">
        <v>119</v>
      </c>
      <c r="C122" s="14" t="s">
        <v>1174</v>
      </c>
      <c r="D122" s="151" t="s">
        <v>5746</v>
      </c>
      <c r="E122" s="57" t="s">
        <v>5745</v>
      </c>
      <c r="F122" s="7" t="s">
        <v>43</v>
      </c>
      <c r="G122" s="7" t="s">
        <v>48</v>
      </c>
      <c r="H122" s="7" t="s">
        <v>5822</v>
      </c>
      <c r="I122" s="7" t="s">
        <v>5822</v>
      </c>
      <c r="J122" s="7" t="s">
        <v>9402</v>
      </c>
      <c r="K122" s="7" t="s">
        <v>5799</v>
      </c>
      <c r="L122" s="76">
        <v>10006049190</v>
      </c>
      <c r="M122" s="3"/>
      <c r="N122" s="201"/>
      <c r="O122" s="28" t="s">
        <v>11</v>
      </c>
      <c r="P122" s="28" t="s">
        <v>11</v>
      </c>
      <c r="Q122" s="28" t="s">
        <v>11</v>
      </c>
      <c r="R122" s="28" t="s">
        <v>11</v>
      </c>
      <c r="S122" s="28" t="s">
        <v>10</v>
      </c>
      <c r="T122" s="28" t="s">
        <v>9</v>
      </c>
      <c r="U122" s="28" t="s">
        <v>9</v>
      </c>
      <c r="V122" s="28" t="s">
        <v>9</v>
      </c>
      <c r="W122" s="28" t="s">
        <v>9</v>
      </c>
      <c r="X122" s="28" t="s">
        <v>9</v>
      </c>
      <c r="Y122" s="28" t="s">
        <v>9</v>
      </c>
      <c r="Z122" s="28" t="s">
        <v>9</v>
      </c>
      <c r="AA122" s="28" t="s">
        <v>9</v>
      </c>
      <c r="AB122" s="28" t="s">
        <v>9</v>
      </c>
      <c r="AC122" s="28" t="s">
        <v>9</v>
      </c>
      <c r="AD122" s="28" t="s">
        <v>10</v>
      </c>
      <c r="AE122" s="28"/>
      <c r="AF122" s="24">
        <f t="shared" si="7"/>
        <v>1</v>
      </c>
      <c r="AG122" s="24">
        <f t="shared" si="8"/>
        <v>4</v>
      </c>
      <c r="AH122" s="41" t="str" cm="1">
        <f t="array" ref="AH122">_xlfn.IFS(
$AE122=15,"Not Started",
$AG122&lt;15,"In Progress",
$AG122=15,"Completed",
SUM(AE122:AG122)&gt;15,"Error"
)</f>
        <v>In Progress</v>
      </c>
    </row>
    <row r="123" spans="1:34" ht="13" x14ac:dyDescent="0.25">
      <c r="A123" s="248"/>
      <c r="B123" s="14">
        <v>120</v>
      </c>
      <c r="C123" s="7" t="s">
        <v>1175</v>
      </c>
      <c r="D123" s="151" t="s">
        <v>5747</v>
      </c>
      <c r="E123" s="57" t="s">
        <v>10589</v>
      </c>
      <c r="F123" s="7" t="s">
        <v>43</v>
      </c>
      <c r="G123" s="7" t="s">
        <v>48</v>
      </c>
      <c r="H123" s="7" t="s">
        <v>5822</v>
      </c>
      <c r="I123" s="7" t="s">
        <v>5822</v>
      </c>
      <c r="J123" s="7" t="s">
        <v>9403</v>
      </c>
      <c r="K123" s="7" t="s">
        <v>5800</v>
      </c>
      <c r="L123" s="76">
        <v>10006041629</v>
      </c>
      <c r="M123" s="3"/>
      <c r="N123" s="201"/>
      <c r="O123" s="28" t="s">
        <v>11</v>
      </c>
      <c r="P123" s="28" t="s">
        <v>11</v>
      </c>
      <c r="Q123" s="28" t="s">
        <v>11</v>
      </c>
      <c r="R123" s="28" t="s">
        <v>11</v>
      </c>
      <c r="S123" s="28" t="s">
        <v>9</v>
      </c>
      <c r="T123" s="28" t="s">
        <v>9</v>
      </c>
      <c r="U123" s="28" t="s">
        <v>9</v>
      </c>
      <c r="V123" s="28" t="s">
        <v>9</v>
      </c>
      <c r="W123" s="28" t="s">
        <v>9</v>
      </c>
      <c r="X123" s="28" t="s">
        <v>9</v>
      </c>
      <c r="Y123" s="28" t="s">
        <v>9</v>
      </c>
      <c r="Z123" s="28" t="s">
        <v>9</v>
      </c>
      <c r="AA123" s="28" t="s">
        <v>9</v>
      </c>
      <c r="AB123" s="28" t="s">
        <v>9</v>
      </c>
      <c r="AC123" s="28" t="s">
        <v>9</v>
      </c>
      <c r="AD123" s="28" t="s">
        <v>10</v>
      </c>
      <c r="AE123" s="28"/>
      <c r="AF123" s="24">
        <f t="shared" si="7"/>
        <v>0</v>
      </c>
      <c r="AG123" s="24">
        <f t="shared" si="8"/>
        <v>4</v>
      </c>
      <c r="AH123" s="41" t="str" cm="1">
        <f t="array" ref="AH123">_xlfn.IFS(
$AE123=15,"Not Started",
$AG123&lt;15,"In Progress",
$AG123=15,"Completed",
SUM(AE123:AG123)&gt;15,"Error"
)</f>
        <v>In Progress</v>
      </c>
    </row>
    <row r="124" spans="1:34" ht="13" x14ac:dyDescent="0.25">
      <c r="A124" s="248"/>
      <c r="B124" s="14">
        <v>121</v>
      </c>
      <c r="C124" s="14" t="s">
        <v>1176</v>
      </c>
      <c r="D124" s="151" t="s">
        <v>5749</v>
      </c>
      <c r="E124" s="57" t="s">
        <v>5748</v>
      </c>
      <c r="F124" s="7" t="s">
        <v>43</v>
      </c>
      <c r="G124" s="7" t="s">
        <v>44</v>
      </c>
      <c r="H124" s="7" t="s">
        <v>5822</v>
      </c>
      <c r="I124" s="7" t="s">
        <v>5822</v>
      </c>
      <c r="J124" s="7" t="s">
        <v>9404</v>
      </c>
      <c r="K124" s="7" t="s">
        <v>5801</v>
      </c>
      <c r="L124" s="76">
        <v>10006040318</v>
      </c>
      <c r="M124" s="3"/>
      <c r="N124" s="201"/>
      <c r="O124" s="28" t="s">
        <v>11</v>
      </c>
      <c r="P124" s="28" t="s">
        <v>11</v>
      </c>
      <c r="Q124" s="28" t="s">
        <v>11</v>
      </c>
      <c r="R124" s="28" t="s">
        <v>11</v>
      </c>
      <c r="S124" s="28" t="s">
        <v>9</v>
      </c>
      <c r="T124" s="28" t="s">
        <v>9</v>
      </c>
      <c r="U124" s="28" t="s">
        <v>9</v>
      </c>
      <c r="V124" s="28" t="s">
        <v>9</v>
      </c>
      <c r="W124" s="28" t="s">
        <v>9</v>
      </c>
      <c r="X124" s="28" t="s">
        <v>9</v>
      </c>
      <c r="Y124" s="28" t="s">
        <v>9</v>
      </c>
      <c r="Z124" s="28" t="s">
        <v>9</v>
      </c>
      <c r="AA124" s="28" t="s">
        <v>9</v>
      </c>
      <c r="AB124" s="28" t="s">
        <v>9</v>
      </c>
      <c r="AC124" s="28" t="s">
        <v>9</v>
      </c>
      <c r="AD124" s="28" t="s">
        <v>10</v>
      </c>
      <c r="AE124" s="28"/>
      <c r="AF124" s="24">
        <f t="shared" si="7"/>
        <v>0</v>
      </c>
      <c r="AG124" s="24">
        <f t="shared" si="8"/>
        <v>4</v>
      </c>
      <c r="AH124" s="41" t="str" cm="1">
        <f t="array" ref="AH124">_xlfn.IFS(
$AE124=15,"Not Started",
$AG124&lt;15,"In Progress",
$AG124=15,"Completed",
SUM(AE124:AG124)&gt;15,"Error"
)</f>
        <v>In Progress</v>
      </c>
    </row>
    <row r="125" spans="1:34" ht="13" x14ac:dyDescent="0.25">
      <c r="A125" s="248"/>
      <c r="B125" s="14">
        <v>122</v>
      </c>
      <c r="C125" s="7" t="s">
        <v>1177</v>
      </c>
      <c r="D125" s="151" t="s">
        <v>5751</v>
      </c>
      <c r="E125" s="57" t="s">
        <v>5750</v>
      </c>
      <c r="F125" s="7" t="s">
        <v>47</v>
      </c>
      <c r="G125" s="7" t="s">
        <v>48</v>
      </c>
      <c r="H125" s="7" t="s">
        <v>5822</v>
      </c>
      <c r="I125" s="7" t="s">
        <v>5822</v>
      </c>
      <c r="J125" s="7" t="s">
        <v>9405</v>
      </c>
      <c r="K125" s="7" t="s">
        <v>5802</v>
      </c>
      <c r="L125" s="76">
        <v>10006041290</v>
      </c>
      <c r="M125" s="3"/>
      <c r="N125" s="201"/>
      <c r="O125" s="28" t="s">
        <v>11</v>
      </c>
      <c r="P125" s="28" t="s">
        <v>11</v>
      </c>
      <c r="Q125" s="28" t="s">
        <v>11</v>
      </c>
      <c r="R125" s="28" t="s">
        <v>11</v>
      </c>
      <c r="S125" s="28" t="s">
        <v>10</v>
      </c>
      <c r="T125" s="28" t="s">
        <v>9</v>
      </c>
      <c r="U125" s="28" t="s">
        <v>9</v>
      </c>
      <c r="V125" s="28" t="s">
        <v>9</v>
      </c>
      <c r="W125" s="28" t="s">
        <v>9</v>
      </c>
      <c r="X125" s="28" t="s">
        <v>9</v>
      </c>
      <c r="Y125" s="28" t="s">
        <v>9</v>
      </c>
      <c r="Z125" s="28" t="s">
        <v>9</v>
      </c>
      <c r="AA125" s="28" t="s">
        <v>9</v>
      </c>
      <c r="AB125" s="28" t="s">
        <v>9</v>
      </c>
      <c r="AC125" s="28" t="s">
        <v>9</v>
      </c>
      <c r="AD125" s="28" t="s">
        <v>10</v>
      </c>
      <c r="AE125" s="28"/>
      <c r="AF125" s="24">
        <f t="shared" si="7"/>
        <v>1</v>
      </c>
      <c r="AG125" s="24">
        <f t="shared" si="8"/>
        <v>4</v>
      </c>
      <c r="AH125" s="41" t="str" cm="1">
        <f t="array" ref="AH125">_xlfn.IFS(
$AE125=15,"Not Started",
$AG125&lt;15,"In Progress",
$AG125=15,"Completed",
SUM(AE125:AG125)&gt;15,"Error"
)</f>
        <v>In Progress</v>
      </c>
    </row>
    <row r="126" spans="1:34" ht="13" x14ac:dyDescent="0.25">
      <c r="A126" s="248"/>
      <c r="B126" s="14">
        <v>123</v>
      </c>
      <c r="C126" s="14" t="s">
        <v>1178</v>
      </c>
      <c r="D126" s="151" t="s">
        <v>5753</v>
      </c>
      <c r="E126" s="57" t="s">
        <v>5752</v>
      </c>
      <c r="F126" s="7" t="s">
        <v>43</v>
      </c>
      <c r="G126" s="7" t="s">
        <v>48</v>
      </c>
      <c r="H126" s="7" t="s">
        <v>5822</v>
      </c>
      <c r="I126" s="7" t="s">
        <v>5822</v>
      </c>
      <c r="J126" s="7" t="s">
        <v>9406</v>
      </c>
      <c r="K126" s="7" t="s">
        <v>5803</v>
      </c>
      <c r="L126" s="76">
        <v>10094553003</v>
      </c>
      <c r="M126" s="3"/>
      <c r="N126" s="201"/>
      <c r="O126" s="28" t="s">
        <v>11</v>
      </c>
      <c r="P126" s="28" t="s">
        <v>11</v>
      </c>
      <c r="Q126" s="28" t="s">
        <v>11</v>
      </c>
      <c r="R126" s="28" t="s">
        <v>11</v>
      </c>
      <c r="S126" s="28" t="s">
        <v>10</v>
      </c>
      <c r="T126" s="28" t="s">
        <v>9</v>
      </c>
      <c r="U126" s="28" t="s">
        <v>9</v>
      </c>
      <c r="V126" s="28" t="s">
        <v>9</v>
      </c>
      <c r="W126" s="28" t="s">
        <v>9</v>
      </c>
      <c r="X126" s="28" t="s">
        <v>9</v>
      </c>
      <c r="Y126" s="28" t="s">
        <v>9</v>
      </c>
      <c r="Z126" s="28" t="s">
        <v>9</v>
      </c>
      <c r="AA126" s="28" t="s">
        <v>9</v>
      </c>
      <c r="AB126" s="28" t="s">
        <v>9</v>
      </c>
      <c r="AC126" s="28" t="s">
        <v>9</v>
      </c>
      <c r="AD126" s="28" t="s">
        <v>10</v>
      </c>
      <c r="AE126" s="28"/>
      <c r="AF126" s="24">
        <f t="shared" si="7"/>
        <v>1</v>
      </c>
      <c r="AG126" s="24">
        <f t="shared" si="8"/>
        <v>4</v>
      </c>
      <c r="AH126" s="41" t="str" cm="1">
        <f t="array" ref="AH126">_xlfn.IFS(
$AE126=15,"Not Started",
$AG126&lt;15,"In Progress",
$AG126=15,"Completed",
SUM(AE126:AG126)&gt;15,"Error"
)</f>
        <v>In Progress</v>
      </c>
    </row>
    <row r="127" spans="1:34" ht="13" x14ac:dyDescent="0.25">
      <c r="A127" s="248"/>
      <c r="B127" s="14">
        <v>124</v>
      </c>
      <c r="C127" s="7" t="s">
        <v>1179</v>
      </c>
      <c r="D127" s="151" t="s">
        <v>5755</v>
      </c>
      <c r="E127" s="57" t="s">
        <v>5754</v>
      </c>
      <c r="F127" s="7" t="s">
        <v>51</v>
      </c>
      <c r="G127" s="7" t="s">
        <v>48</v>
      </c>
      <c r="H127" s="7" t="s">
        <v>5822</v>
      </c>
      <c r="I127" s="7" t="s">
        <v>5822</v>
      </c>
      <c r="J127" s="7" t="s">
        <v>9407</v>
      </c>
      <c r="K127" s="7" t="s">
        <v>5804</v>
      </c>
      <c r="L127" s="76">
        <v>10006040167</v>
      </c>
      <c r="M127" s="3"/>
      <c r="N127" s="201"/>
      <c r="O127" s="28" t="s">
        <v>11</v>
      </c>
      <c r="P127" s="28" t="s">
        <v>11</v>
      </c>
      <c r="Q127" s="28" t="s">
        <v>11</v>
      </c>
      <c r="R127" s="28" t="s">
        <v>11</v>
      </c>
      <c r="S127" s="28" t="s">
        <v>9</v>
      </c>
      <c r="T127" s="28" t="s">
        <v>9</v>
      </c>
      <c r="U127" s="28" t="s">
        <v>9</v>
      </c>
      <c r="V127" s="28" t="s">
        <v>9</v>
      </c>
      <c r="W127" s="28" t="s">
        <v>9</v>
      </c>
      <c r="X127" s="28" t="s">
        <v>9</v>
      </c>
      <c r="Y127" s="28" t="s">
        <v>9</v>
      </c>
      <c r="Z127" s="28" t="s">
        <v>9</v>
      </c>
      <c r="AA127" s="28" t="s">
        <v>9</v>
      </c>
      <c r="AB127" s="28" t="s">
        <v>9</v>
      </c>
      <c r="AC127" s="28" t="s">
        <v>9</v>
      </c>
      <c r="AD127" s="28" t="s">
        <v>10</v>
      </c>
      <c r="AE127" s="28"/>
      <c r="AF127" s="24">
        <f t="shared" si="7"/>
        <v>0</v>
      </c>
      <c r="AG127" s="24">
        <f t="shared" si="8"/>
        <v>4</v>
      </c>
      <c r="AH127" s="41" t="str" cm="1">
        <f t="array" ref="AH127">_xlfn.IFS(
$AE127=15,"Not Started",
$AG127&lt;15,"In Progress",
$AG127=15,"Completed",
SUM(AE127:AG127)&gt;15,"Error"
)</f>
        <v>In Progress</v>
      </c>
    </row>
    <row r="128" spans="1:34" ht="13" x14ac:dyDescent="0.25">
      <c r="A128" s="248"/>
      <c r="B128" s="14">
        <v>125</v>
      </c>
      <c r="C128" s="14" t="s">
        <v>1180</v>
      </c>
      <c r="D128" s="151" t="s">
        <v>8673</v>
      </c>
      <c r="E128" s="57" t="s">
        <v>8540</v>
      </c>
      <c r="F128" s="7" t="s">
        <v>51</v>
      </c>
      <c r="G128" s="7" t="s">
        <v>44</v>
      </c>
      <c r="H128" s="7" t="s">
        <v>5822</v>
      </c>
      <c r="I128" s="7" t="s">
        <v>5822</v>
      </c>
      <c r="J128" s="7" t="s">
        <v>9408</v>
      </c>
      <c r="K128" s="7" t="s">
        <v>8830</v>
      </c>
      <c r="L128" s="76">
        <v>10006062772</v>
      </c>
      <c r="M128" s="3"/>
      <c r="N128" s="201"/>
      <c r="O128" s="28" t="s">
        <v>11</v>
      </c>
      <c r="P128" s="28" t="s">
        <v>11</v>
      </c>
      <c r="Q128" s="28" t="s">
        <v>11</v>
      </c>
      <c r="R128" s="28" t="s">
        <v>11</v>
      </c>
      <c r="S128" s="28" t="s">
        <v>9</v>
      </c>
      <c r="T128" s="28" t="s">
        <v>9</v>
      </c>
      <c r="U128" s="28" t="s">
        <v>9</v>
      </c>
      <c r="V128" s="28" t="s">
        <v>9</v>
      </c>
      <c r="W128" s="28" t="s">
        <v>9</v>
      </c>
      <c r="X128" s="28" t="s">
        <v>9</v>
      </c>
      <c r="Y128" s="28" t="s">
        <v>9</v>
      </c>
      <c r="Z128" s="28" t="s">
        <v>9</v>
      </c>
      <c r="AA128" s="28" t="s">
        <v>9</v>
      </c>
      <c r="AB128" s="28" t="s">
        <v>9</v>
      </c>
      <c r="AC128" s="28" t="s">
        <v>9</v>
      </c>
      <c r="AD128" s="28" t="s">
        <v>10</v>
      </c>
      <c r="AE128" s="28"/>
      <c r="AF128" s="24">
        <f t="shared" si="7"/>
        <v>0</v>
      </c>
      <c r="AG128" s="24">
        <f t="shared" si="8"/>
        <v>4</v>
      </c>
      <c r="AH128" s="41" t="str" cm="1">
        <f t="array" ref="AH128">_xlfn.IFS(
$AE128=15,"Not Started",
$AG128&lt;15,"In Progress",
$AG128=15,"Completed",
SUM(AE128:AG128)&gt;15,"Error"
)</f>
        <v>In Progress</v>
      </c>
    </row>
    <row r="129" spans="1:34" ht="13" x14ac:dyDescent="0.25">
      <c r="A129" s="248"/>
      <c r="B129" s="14">
        <v>126</v>
      </c>
      <c r="C129" s="7" t="s">
        <v>1181</v>
      </c>
      <c r="D129" s="151" t="s">
        <v>5757</v>
      </c>
      <c r="E129" s="57" t="s">
        <v>5756</v>
      </c>
      <c r="F129" s="7" t="s">
        <v>51</v>
      </c>
      <c r="G129" s="7" t="s">
        <v>44</v>
      </c>
      <c r="H129" s="7" t="s">
        <v>5822</v>
      </c>
      <c r="I129" s="7" t="s">
        <v>5822</v>
      </c>
      <c r="J129" s="7" t="s">
        <v>9409</v>
      </c>
      <c r="K129" s="7" t="s">
        <v>5805</v>
      </c>
      <c r="L129" s="76">
        <v>10006063331</v>
      </c>
      <c r="M129" s="3"/>
      <c r="N129" s="201"/>
      <c r="O129" s="28" t="s">
        <v>11</v>
      </c>
      <c r="P129" s="28" t="s">
        <v>11</v>
      </c>
      <c r="Q129" s="28" t="s">
        <v>11</v>
      </c>
      <c r="R129" s="28" t="s">
        <v>11</v>
      </c>
      <c r="S129" s="28" t="s">
        <v>9</v>
      </c>
      <c r="T129" s="28" t="s">
        <v>9</v>
      </c>
      <c r="U129" s="28" t="s">
        <v>9</v>
      </c>
      <c r="V129" s="28" t="s">
        <v>9</v>
      </c>
      <c r="W129" s="28" t="s">
        <v>9</v>
      </c>
      <c r="X129" s="28" t="s">
        <v>9</v>
      </c>
      <c r="Y129" s="28" t="s">
        <v>9</v>
      </c>
      <c r="Z129" s="28" t="s">
        <v>9</v>
      </c>
      <c r="AA129" s="28" t="s">
        <v>9</v>
      </c>
      <c r="AB129" s="28" t="s">
        <v>9</v>
      </c>
      <c r="AC129" s="28" t="s">
        <v>9</v>
      </c>
      <c r="AD129" s="28" t="s">
        <v>10</v>
      </c>
      <c r="AE129" s="28"/>
      <c r="AF129" s="24">
        <f t="shared" si="7"/>
        <v>0</v>
      </c>
      <c r="AG129" s="24">
        <f t="shared" si="8"/>
        <v>4</v>
      </c>
      <c r="AH129" s="41" t="str" cm="1">
        <f t="array" ref="AH129">_xlfn.IFS(
$AE129=15,"Not Started",
$AG129&lt;15,"In Progress",
$AG129=15,"Completed",
SUM(AE129:AG129)&gt;15,"Error"
)</f>
        <v>In Progress</v>
      </c>
    </row>
    <row r="130" spans="1:34" ht="13" x14ac:dyDescent="0.25">
      <c r="A130" s="248"/>
      <c r="B130" s="14">
        <v>127</v>
      </c>
      <c r="C130" s="14" t="s">
        <v>1182</v>
      </c>
      <c r="D130" s="151" t="s">
        <v>5759</v>
      </c>
      <c r="E130" s="57" t="s">
        <v>5758</v>
      </c>
      <c r="F130" s="7" t="s">
        <v>43</v>
      </c>
      <c r="G130" s="7" t="s">
        <v>44</v>
      </c>
      <c r="H130" s="7" t="s">
        <v>5822</v>
      </c>
      <c r="I130" s="7" t="s">
        <v>5822</v>
      </c>
      <c r="J130" s="7" t="s">
        <v>9410</v>
      </c>
      <c r="K130" s="7" t="s">
        <v>5806</v>
      </c>
      <c r="L130" s="76">
        <v>10006041146</v>
      </c>
      <c r="M130" s="3"/>
      <c r="N130" s="201"/>
      <c r="O130" s="28" t="s">
        <v>11</v>
      </c>
      <c r="P130" s="28" t="s">
        <v>11</v>
      </c>
      <c r="Q130" s="28" t="s">
        <v>11</v>
      </c>
      <c r="R130" s="28" t="s">
        <v>11</v>
      </c>
      <c r="S130" s="28" t="s">
        <v>9</v>
      </c>
      <c r="T130" s="28" t="s">
        <v>9</v>
      </c>
      <c r="U130" s="28" t="s">
        <v>9</v>
      </c>
      <c r="V130" s="28" t="s">
        <v>9</v>
      </c>
      <c r="W130" s="28" t="s">
        <v>9</v>
      </c>
      <c r="X130" s="28" t="s">
        <v>9</v>
      </c>
      <c r="Y130" s="28" t="s">
        <v>9</v>
      </c>
      <c r="Z130" s="28" t="s">
        <v>9</v>
      </c>
      <c r="AA130" s="28" t="s">
        <v>9</v>
      </c>
      <c r="AB130" s="28" t="s">
        <v>9</v>
      </c>
      <c r="AC130" s="28" t="s">
        <v>9</v>
      </c>
      <c r="AD130" s="28" t="s">
        <v>10</v>
      </c>
      <c r="AE130" s="28"/>
      <c r="AF130" s="24">
        <f t="shared" si="7"/>
        <v>0</v>
      </c>
      <c r="AG130" s="24">
        <f t="shared" si="8"/>
        <v>4</v>
      </c>
      <c r="AH130" s="41" t="str" cm="1">
        <f t="array" ref="AH130">_xlfn.IFS(
$AE130=15,"Not Started",
$AG130&lt;15,"In Progress",
$AG130=15,"Completed",
SUM(AE130:AG130)&gt;15,"Error"
)</f>
        <v>In Progress</v>
      </c>
    </row>
    <row r="131" spans="1:34" ht="13" x14ac:dyDescent="0.25">
      <c r="A131" s="248"/>
      <c r="B131" s="14">
        <v>128</v>
      </c>
      <c r="C131" s="7" t="s">
        <v>1183</v>
      </c>
      <c r="D131" s="151" t="s">
        <v>5761</v>
      </c>
      <c r="E131" s="57" t="s">
        <v>5760</v>
      </c>
      <c r="F131" s="7" t="s">
        <v>51</v>
      </c>
      <c r="G131" s="7" t="s">
        <v>44</v>
      </c>
      <c r="H131" s="7" t="s">
        <v>5822</v>
      </c>
      <c r="I131" s="7" t="s">
        <v>5822</v>
      </c>
      <c r="J131" s="7" t="s">
        <v>9411</v>
      </c>
      <c r="K131" s="7" t="s">
        <v>5807</v>
      </c>
      <c r="L131" s="76">
        <v>10006041119</v>
      </c>
      <c r="M131" s="3"/>
      <c r="N131" s="201"/>
      <c r="O131" s="28" t="s">
        <v>11</v>
      </c>
      <c r="P131" s="28" t="s">
        <v>11</v>
      </c>
      <c r="Q131" s="28" t="s">
        <v>11</v>
      </c>
      <c r="R131" s="28" t="s">
        <v>11</v>
      </c>
      <c r="S131" s="28" t="s">
        <v>10</v>
      </c>
      <c r="T131" s="28" t="s">
        <v>9</v>
      </c>
      <c r="U131" s="28" t="s">
        <v>9</v>
      </c>
      <c r="V131" s="28" t="s">
        <v>9</v>
      </c>
      <c r="W131" s="28" t="s">
        <v>9</v>
      </c>
      <c r="X131" s="28" t="s">
        <v>9</v>
      </c>
      <c r="Y131" s="28" t="s">
        <v>9</v>
      </c>
      <c r="Z131" s="28" t="s">
        <v>9</v>
      </c>
      <c r="AA131" s="28" t="s">
        <v>9</v>
      </c>
      <c r="AB131" s="28" t="s">
        <v>9</v>
      </c>
      <c r="AC131" s="28" t="s">
        <v>9</v>
      </c>
      <c r="AD131" s="28" t="s">
        <v>10</v>
      </c>
      <c r="AE131" s="28"/>
      <c r="AF131" s="24">
        <f t="shared" si="7"/>
        <v>1</v>
      </c>
      <c r="AG131" s="24">
        <f t="shared" si="8"/>
        <v>4</v>
      </c>
      <c r="AH131" s="41" t="str" cm="1">
        <f t="array" ref="AH131">_xlfn.IFS(
$AE131=15,"Not Started",
$AG131&lt;15,"In Progress",
$AG131=15,"Completed",
SUM(AE131:AG131)&gt;15,"Error"
)</f>
        <v>In Progress</v>
      </c>
    </row>
    <row r="132" spans="1:34" ht="13" x14ac:dyDescent="0.25">
      <c r="A132" s="248"/>
      <c r="B132" s="14">
        <v>129</v>
      </c>
      <c r="C132" s="14" t="s">
        <v>1184</v>
      </c>
      <c r="D132" s="151" t="s">
        <v>5762</v>
      </c>
      <c r="E132" s="57" t="s">
        <v>3726</v>
      </c>
      <c r="F132" s="7" t="s">
        <v>51</v>
      </c>
      <c r="G132" s="7" t="s">
        <v>48</v>
      </c>
      <c r="H132" s="7" t="s">
        <v>5822</v>
      </c>
      <c r="I132" s="7" t="s">
        <v>5822</v>
      </c>
      <c r="J132" s="7" t="s">
        <v>9412</v>
      </c>
      <c r="K132" s="7" t="s">
        <v>5808</v>
      </c>
      <c r="L132" s="76">
        <v>10087174979</v>
      </c>
      <c r="M132" s="3"/>
      <c r="N132" s="201">
        <v>46124</v>
      </c>
      <c r="O132" s="28" t="s">
        <v>11</v>
      </c>
      <c r="P132" s="28" t="s">
        <v>11</v>
      </c>
      <c r="Q132" s="28" t="s">
        <v>11</v>
      </c>
      <c r="R132" s="28" t="s">
        <v>11</v>
      </c>
      <c r="S132" s="28" t="s">
        <v>10</v>
      </c>
      <c r="T132" s="28" t="s">
        <v>9</v>
      </c>
      <c r="U132" s="28" t="s">
        <v>9</v>
      </c>
      <c r="V132" s="28" t="s">
        <v>9</v>
      </c>
      <c r="W132" s="28" t="s">
        <v>9</v>
      </c>
      <c r="X132" s="28" t="s">
        <v>9</v>
      </c>
      <c r="Y132" s="28" t="s">
        <v>9</v>
      </c>
      <c r="Z132" s="28" t="s">
        <v>9</v>
      </c>
      <c r="AA132" s="28" t="s">
        <v>9</v>
      </c>
      <c r="AB132" s="28" t="s">
        <v>9</v>
      </c>
      <c r="AC132" s="28" t="s">
        <v>9</v>
      </c>
      <c r="AD132" s="28" t="s">
        <v>10</v>
      </c>
      <c r="AE132" s="28"/>
      <c r="AF132" s="24">
        <f t="shared" ref="AF132:AF163" si="9">COUNTIF(O132:AC132,$AF$2)</f>
        <v>1</v>
      </c>
      <c r="AG132" s="24">
        <f t="shared" ref="AG132:AG163" si="10">COUNTIF(O132:AC132,$AG$2)</f>
        <v>4</v>
      </c>
      <c r="AH132" s="41" t="str" cm="1">
        <f t="array" ref="AH132">_xlfn.IFS(
$AE132=15,"Not Started",
$AG132&lt;15,"In Progress",
$AG132=15,"Completed",
SUM(AE132:AG132)&gt;15,"Error"
)</f>
        <v>In Progress</v>
      </c>
    </row>
    <row r="133" spans="1:34" ht="13" x14ac:dyDescent="0.25">
      <c r="A133" s="248"/>
      <c r="B133" s="14">
        <v>130</v>
      </c>
      <c r="C133" s="7" t="s">
        <v>1185</v>
      </c>
      <c r="D133" s="151" t="s">
        <v>5764</v>
      </c>
      <c r="E133" s="57" t="s">
        <v>5763</v>
      </c>
      <c r="F133" s="7" t="s">
        <v>43</v>
      </c>
      <c r="G133" s="7" t="s">
        <v>48</v>
      </c>
      <c r="H133" s="7" t="s">
        <v>5822</v>
      </c>
      <c r="I133" s="7" t="s">
        <v>5822</v>
      </c>
      <c r="J133" s="7" t="s">
        <v>9413</v>
      </c>
      <c r="K133" s="7" t="s">
        <v>5809</v>
      </c>
      <c r="L133" s="76">
        <v>10006063063</v>
      </c>
      <c r="M133" s="3"/>
      <c r="N133" s="201"/>
      <c r="O133" s="28" t="s">
        <v>11</v>
      </c>
      <c r="P133" s="28" t="s">
        <v>11</v>
      </c>
      <c r="Q133" s="28" t="s">
        <v>11</v>
      </c>
      <c r="R133" s="28" t="s">
        <v>11</v>
      </c>
      <c r="S133" s="28" t="s">
        <v>10</v>
      </c>
      <c r="T133" s="28" t="s">
        <v>9</v>
      </c>
      <c r="U133" s="28" t="s">
        <v>9</v>
      </c>
      <c r="V133" s="28" t="s">
        <v>9</v>
      </c>
      <c r="W133" s="28" t="s">
        <v>9</v>
      </c>
      <c r="X133" s="28" t="s">
        <v>9</v>
      </c>
      <c r="Y133" s="28" t="s">
        <v>9</v>
      </c>
      <c r="Z133" s="28" t="s">
        <v>9</v>
      </c>
      <c r="AA133" s="28" t="s">
        <v>9</v>
      </c>
      <c r="AB133" s="28" t="s">
        <v>9</v>
      </c>
      <c r="AC133" s="28" t="s">
        <v>9</v>
      </c>
      <c r="AD133" s="28" t="s">
        <v>10</v>
      </c>
      <c r="AE133" s="28"/>
      <c r="AF133" s="24">
        <f t="shared" si="9"/>
        <v>1</v>
      </c>
      <c r="AG133" s="24">
        <f t="shared" si="10"/>
        <v>4</v>
      </c>
      <c r="AH133" s="41" t="str" cm="1">
        <f t="array" ref="AH133">_xlfn.IFS(
$AE133=15,"Not Started",
$AG133&lt;15,"In Progress",
$AG133=15,"Completed",
SUM(AE133:AG133)&gt;15,"Error"
)</f>
        <v>In Progress</v>
      </c>
    </row>
    <row r="134" spans="1:34" ht="13" x14ac:dyDescent="0.25">
      <c r="A134" s="248"/>
      <c r="B134" s="14">
        <v>131</v>
      </c>
      <c r="C134" s="14" t="s">
        <v>1186</v>
      </c>
      <c r="D134" s="151" t="s">
        <v>5766</v>
      </c>
      <c r="E134" s="57" t="s">
        <v>5765</v>
      </c>
      <c r="F134" s="7" t="s">
        <v>51</v>
      </c>
      <c r="G134" s="7" t="s">
        <v>48</v>
      </c>
      <c r="H134" s="7" t="s">
        <v>5822</v>
      </c>
      <c r="I134" s="7" t="s">
        <v>5822</v>
      </c>
      <c r="J134" s="7" t="s">
        <v>9414</v>
      </c>
      <c r="K134" s="7" t="s">
        <v>5810</v>
      </c>
      <c r="L134" s="76">
        <v>10096479667</v>
      </c>
      <c r="M134" s="3"/>
      <c r="N134" s="201"/>
      <c r="O134" s="28" t="s">
        <v>11</v>
      </c>
      <c r="P134" s="28" t="s">
        <v>11</v>
      </c>
      <c r="Q134" s="28" t="s">
        <v>11</v>
      </c>
      <c r="R134" s="28" t="s">
        <v>11</v>
      </c>
      <c r="S134" s="28" t="s">
        <v>10</v>
      </c>
      <c r="T134" s="28" t="s">
        <v>9</v>
      </c>
      <c r="U134" s="28" t="s">
        <v>9</v>
      </c>
      <c r="V134" s="28" t="s">
        <v>9</v>
      </c>
      <c r="W134" s="28" t="s">
        <v>9</v>
      </c>
      <c r="X134" s="28" t="s">
        <v>9</v>
      </c>
      <c r="Y134" s="28" t="s">
        <v>9</v>
      </c>
      <c r="Z134" s="28" t="s">
        <v>9</v>
      </c>
      <c r="AA134" s="28" t="s">
        <v>9</v>
      </c>
      <c r="AB134" s="28" t="s">
        <v>9</v>
      </c>
      <c r="AC134" s="28" t="s">
        <v>9</v>
      </c>
      <c r="AD134" s="28" t="s">
        <v>10</v>
      </c>
      <c r="AE134" s="28"/>
      <c r="AF134" s="24">
        <f t="shared" si="9"/>
        <v>1</v>
      </c>
      <c r="AG134" s="24">
        <f t="shared" si="10"/>
        <v>4</v>
      </c>
      <c r="AH134" s="41" t="str" cm="1">
        <f t="array" ref="AH134">_xlfn.IFS(
$AE134=15,"Not Started",
$AG134&lt;15,"In Progress",
$AG134=15,"Completed",
SUM(AE134:AG134)&gt;15,"Error"
)</f>
        <v>In Progress</v>
      </c>
    </row>
    <row r="135" spans="1:34" ht="13" x14ac:dyDescent="0.25">
      <c r="A135" s="248"/>
      <c r="B135" s="14">
        <v>132</v>
      </c>
      <c r="C135" s="7" t="s">
        <v>1187</v>
      </c>
      <c r="D135" s="151" t="s">
        <v>8674</v>
      </c>
      <c r="E135" s="57" t="s">
        <v>8541</v>
      </c>
      <c r="F135" s="7" t="s">
        <v>47</v>
      </c>
      <c r="G135" s="7" t="s">
        <v>44</v>
      </c>
      <c r="H135" s="7" t="s">
        <v>5822</v>
      </c>
      <c r="I135" s="7" t="s">
        <v>5822</v>
      </c>
      <c r="J135" s="7" t="s">
        <v>9415</v>
      </c>
      <c r="K135" s="7" t="s">
        <v>8831</v>
      </c>
      <c r="L135" s="76">
        <v>10083653708</v>
      </c>
      <c r="M135" s="3"/>
      <c r="N135" s="201"/>
      <c r="O135" s="28" t="s">
        <v>11</v>
      </c>
      <c r="P135" s="28" t="s">
        <v>11</v>
      </c>
      <c r="Q135" s="28" t="s">
        <v>11</v>
      </c>
      <c r="R135" s="28" t="s">
        <v>11</v>
      </c>
      <c r="S135" s="28" t="s">
        <v>10</v>
      </c>
      <c r="T135" s="28" t="s">
        <v>9</v>
      </c>
      <c r="U135" s="28" t="s">
        <v>9</v>
      </c>
      <c r="V135" s="28" t="s">
        <v>9</v>
      </c>
      <c r="W135" s="28" t="s">
        <v>9</v>
      </c>
      <c r="X135" s="28" t="s">
        <v>9</v>
      </c>
      <c r="Y135" s="28" t="s">
        <v>9</v>
      </c>
      <c r="Z135" s="28" t="s">
        <v>9</v>
      </c>
      <c r="AA135" s="28" t="s">
        <v>9</v>
      </c>
      <c r="AB135" s="28" t="s">
        <v>9</v>
      </c>
      <c r="AC135" s="28" t="s">
        <v>9</v>
      </c>
      <c r="AD135" s="28" t="s">
        <v>10</v>
      </c>
      <c r="AE135" s="28"/>
      <c r="AF135" s="24">
        <f t="shared" si="9"/>
        <v>1</v>
      </c>
      <c r="AG135" s="24">
        <f t="shared" si="10"/>
        <v>4</v>
      </c>
      <c r="AH135" s="41" t="str" cm="1">
        <f t="array" ref="AH135">_xlfn.IFS(
$AE135=15,"Not Started",
$AG135&lt;15,"In Progress",
$AG135=15,"Completed",
SUM(AE135:AG135)&gt;15,"Error"
)</f>
        <v>In Progress</v>
      </c>
    </row>
    <row r="136" spans="1:34" ht="13" x14ac:dyDescent="0.25">
      <c r="A136" s="248"/>
      <c r="B136" s="14">
        <v>133</v>
      </c>
      <c r="C136" s="14" t="s">
        <v>1188</v>
      </c>
      <c r="D136" s="151" t="s">
        <v>8675</v>
      </c>
      <c r="E136" s="57" t="s">
        <v>5828</v>
      </c>
      <c r="F136" s="7" t="s">
        <v>43</v>
      </c>
      <c r="G136" s="7" t="s">
        <v>48</v>
      </c>
      <c r="H136" s="7" t="s">
        <v>5822</v>
      </c>
      <c r="I136" s="7" t="s">
        <v>5821</v>
      </c>
      <c r="J136" s="7" t="s">
        <v>9416</v>
      </c>
      <c r="K136" s="7" t="s">
        <v>8832</v>
      </c>
      <c r="L136" s="76">
        <v>10006018854</v>
      </c>
      <c r="M136" s="3"/>
      <c r="N136" s="201"/>
      <c r="O136" s="28" t="s">
        <v>11</v>
      </c>
      <c r="P136" s="28" t="s">
        <v>11</v>
      </c>
      <c r="Q136" s="28" t="s">
        <v>11</v>
      </c>
      <c r="R136" s="28" t="s">
        <v>11</v>
      </c>
      <c r="S136" s="28" t="s">
        <v>10</v>
      </c>
      <c r="T136" s="28" t="s">
        <v>9</v>
      </c>
      <c r="U136" s="28" t="s">
        <v>9</v>
      </c>
      <c r="V136" s="28" t="s">
        <v>9</v>
      </c>
      <c r="W136" s="28" t="s">
        <v>9</v>
      </c>
      <c r="X136" s="28" t="s">
        <v>9</v>
      </c>
      <c r="Y136" s="28" t="s">
        <v>9</v>
      </c>
      <c r="Z136" s="28" t="s">
        <v>9</v>
      </c>
      <c r="AA136" s="28" t="s">
        <v>9</v>
      </c>
      <c r="AB136" s="28" t="s">
        <v>9</v>
      </c>
      <c r="AC136" s="28" t="s">
        <v>9</v>
      </c>
      <c r="AD136" s="28" t="s">
        <v>10</v>
      </c>
      <c r="AE136" s="28"/>
      <c r="AF136" s="24">
        <f t="shared" si="9"/>
        <v>1</v>
      </c>
      <c r="AG136" s="24">
        <f t="shared" si="10"/>
        <v>4</v>
      </c>
      <c r="AH136" s="41" t="str" cm="1">
        <f t="array" ref="AH136">_xlfn.IFS(
$AE136=15,"Not Started",
$AG136&lt;15,"In Progress",
$AG136=15,"Completed",
SUM(AE136:AG136)&gt;15,"Error"
)</f>
        <v>In Progress</v>
      </c>
    </row>
    <row r="137" spans="1:34" ht="13" x14ac:dyDescent="0.25">
      <c r="A137" s="248"/>
      <c r="B137" s="14">
        <v>134</v>
      </c>
      <c r="C137" s="7" t="s">
        <v>1189</v>
      </c>
      <c r="D137" s="151" t="s">
        <v>5768</v>
      </c>
      <c r="E137" s="57" t="s">
        <v>5767</v>
      </c>
      <c r="F137" s="7" t="s">
        <v>43</v>
      </c>
      <c r="G137" s="7" t="s">
        <v>44</v>
      </c>
      <c r="H137" s="7" t="s">
        <v>5822</v>
      </c>
      <c r="I137" s="7" t="s">
        <v>5822</v>
      </c>
      <c r="J137" s="7" t="s">
        <v>9417</v>
      </c>
      <c r="K137" s="7" t="s">
        <v>5811</v>
      </c>
      <c r="L137" s="76">
        <v>10006017061</v>
      </c>
      <c r="M137" s="3"/>
      <c r="N137" s="201"/>
      <c r="O137" s="28" t="s">
        <v>11</v>
      </c>
      <c r="P137" s="28" t="s">
        <v>11</v>
      </c>
      <c r="Q137" s="28" t="s">
        <v>11</v>
      </c>
      <c r="R137" s="28" t="s">
        <v>11</v>
      </c>
      <c r="S137" s="28" t="s">
        <v>9</v>
      </c>
      <c r="T137" s="28" t="s">
        <v>9</v>
      </c>
      <c r="U137" s="28" t="s">
        <v>9</v>
      </c>
      <c r="V137" s="28" t="s">
        <v>9</v>
      </c>
      <c r="W137" s="28" t="s">
        <v>9</v>
      </c>
      <c r="X137" s="28" t="s">
        <v>9</v>
      </c>
      <c r="Y137" s="28" t="s">
        <v>9</v>
      </c>
      <c r="Z137" s="28" t="s">
        <v>9</v>
      </c>
      <c r="AA137" s="28" t="s">
        <v>9</v>
      </c>
      <c r="AB137" s="28" t="s">
        <v>9</v>
      </c>
      <c r="AC137" s="28" t="s">
        <v>9</v>
      </c>
      <c r="AD137" s="28" t="s">
        <v>10</v>
      </c>
      <c r="AE137" s="28"/>
      <c r="AF137" s="24">
        <f t="shared" si="9"/>
        <v>0</v>
      </c>
      <c r="AG137" s="24">
        <f t="shared" si="10"/>
        <v>4</v>
      </c>
      <c r="AH137" s="41" t="str" cm="1">
        <f t="array" ref="AH137">_xlfn.IFS(
$AE137=15,"Not Started",
$AG137&lt;15,"In Progress",
$AG137=15,"Completed",
SUM(AE137:AG137)&gt;15,"Error"
)</f>
        <v>In Progress</v>
      </c>
    </row>
    <row r="138" spans="1:34" ht="13" x14ac:dyDescent="0.25">
      <c r="A138" s="248"/>
      <c r="B138" s="14">
        <v>135</v>
      </c>
      <c r="C138" s="14" t="s">
        <v>1190</v>
      </c>
      <c r="D138" s="151" t="s">
        <v>8676</v>
      </c>
      <c r="E138" s="57" t="s">
        <v>5769</v>
      </c>
      <c r="F138" s="7" t="s">
        <v>43</v>
      </c>
      <c r="G138" s="7" t="s">
        <v>44</v>
      </c>
      <c r="H138" s="7" t="s">
        <v>5822</v>
      </c>
      <c r="I138" s="7" t="s">
        <v>5822</v>
      </c>
      <c r="J138" s="7" t="s">
        <v>9418</v>
      </c>
      <c r="K138" s="7" t="s">
        <v>5812</v>
      </c>
      <c r="L138" s="76">
        <v>10006045225</v>
      </c>
      <c r="M138" s="3"/>
      <c r="N138" s="201"/>
      <c r="O138" s="28" t="s">
        <v>11</v>
      </c>
      <c r="P138" s="28" t="s">
        <v>11</v>
      </c>
      <c r="Q138" s="28" t="s">
        <v>11</v>
      </c>
      <c r="R138" s="28" t="s">
        <v>11</v>
      </c>
      <c r="S138" s="28" t="s">
        <v>9</v>
      </c>
      <c r="T138" s="28" t="s">
        <v>9</v>
      </c>
      <c r="U138" s="28" t="s">
        <v>9</v>
      </c>
      <c r="V138" s="28" t="s">
        <v>9</v>
      </c>
      <c r="W138" s="28" t="s">
        <v>9</v>
      </c>
      <c r="X138" s="28" t="s">
        <v>9</v>
      </c>
      <c r="Y138" s="28" t="s">
        <v>9</v>
      </c>
      <c r="Z138" s="28" t="s">
        <v>9</v>
      </c>
      <c r="AA138" s="28" t="s">
        <v>9</v>
      </c>
      <c r="AB138" s="28" t="s">
        <v>9</v>
      </c>
      <c r="AC138" s="28" t="s">
        <v>9</v>
      </c>
      <c r="AD138" s="28" t="s">
        <v>10</v>
      </c>
      <c r="AE138" s="28"/>
      <c r="AF138" s="24">
        <f t="shared" si="9"/>
        <v>0</v>
      </c>
      <c r="AG138" s="24">
        <f t="shared" si="10"/>
        <v>4</v>
      </c>
      <c r="AH138" s="41" t="str" cm="1">
        <f t="array" ref="AH138">_xlfn.IFS(
$AE138=15,"Not Started",
$AG138&lt;15,"In Progress",
$AG138=15,"Completed",
SUM(AE138:AG138)&gt;15,"Error"
)</f>
        <v>In Progress</v>
      </c>
    </row>
    <row r="139" spans="1:34" ht="13" x14ac:dyDescent="0.25">
      <c r="A139" s="248"/>
      <c r="B139" s="14">
        <v>136</v>
      </c>
      <c r="C139" s="7" t="s">
        <v>1191</v>
      </c>
      <c r="D139" s="151" t="s">
        <v>5771</v>
      </c>
      <c r="E139" s="57" t="s">
        <v>5770</v>
      </c>
      <c r="F139" s="7" t="s">
        <v>43</v>
      </c>
      <c r="G139" s="7" t="s">
        <v>48</v>
      </c>
      <c r="H139" s="7" t="s">
        <v>5822</v>
      </c>
      <c r="I139" s="7" t="s">
        <v>5822</v>
      </c>
      <c r="J139" s="7" t="s">
        <v>9419</v>
      </c>
      <c r="K139" s="7" t="s">
        <v>5813</v>
      </c>
      <c r="L139" s="76">
        <v>10006019495</v>
      </c>
      <c r="M139" s="3"/>
      <c r="N139" s="201"/>
      <c r="O139" s="28" t="s">
        <v>11</v>
      </c>
      <c r="P139" s="28" t="s">
        <v>11</v>
      </c>
      <c r="Q139" s="28" t="s">
        <v>11</v>
      </c>
      <c r="R139" s="28" t="s">
        <v>11</v>
      </c>
      <c r="S139" s="28" t="s">
        <v>9</v>
      </c>
      <c r="T139" s="28" t="s">
        <v>9</v>
      </c>
      <c r="U139" s="28" t="s">
        <v>9</v>
      </c>
      <c r="V139" s="28" t="s">
        <v>9</v>
      </c>
      <c r="W139" s="28" t="s">
        <v>9</v>
      </c>
      <c r="X139" s="28" t="s">
        <v>9</v>
      </c>
      <c r="Y139" s="28" t="s">
        <v>9</v>
      </c>
      <c r="Z139" s="28" t="s">
        <v>9</v>
      </c>
      <c r="AA139" s="28" t="s">
        <v>9</v>
      </c>
      <c r="AB139" s="28" t="s">
        <v>9</v>
      </c>
      <c r="AC139" s="28" t="s">
        <v>9</v>
      </c>
      <c r="AD139" s="28" t="s">
        <v>10</v>
      </c>
      <c r="AE139" s="28"/>
      <c r="AF139" s="24">
        <f t="shared" si="9"/>
        <v>0</v>
      </c>
      <c r="AG139" s="24">
        <f t="shared" si="10"/>
        <v>4</v>
      </c>
      <c r="AH139" s="41" t="str" cm="1">
        <f t="array" ref="AH139">_xlfn.IFS(
$AE139=15,"Not Started",
$AG139&lt;15,"In Progress",
$AG139=15,"Completed",
SUM(AE139:AG139)&gt;15,"Error"
)</f>
        <v>In Progress</v>
      </c>
    </row>
    <row r="140" spans="1:34" ht="13" x14ac:dyDescent="0.25">
      <c r="A140" s="248"/>
      <c r="B140" s="14">
        <v>137</v>
      </c>
      <c r="C140" s="14" t="s">
        <v>1192</v>
      </c>
      <c r="D140" s="151" t="s">
        <v>5773</v>
      </c>
      <c r="E140" s="57" t="s">
        <v>5772</v>
      </c>
      <c r="F140" s="7" t="s">
        <v>51</v>
      </c>
      <c r="G140" s="7" t="s">
        <v>44</v>
      </c>
      <c r="H140" s="7" t="s">
        <v>5822</v>
      </c>
      <c r="I140" s="7" t="s">
        <v>5822</v>
      </c>
      <c r="J140" s="7" t="s">
        <v>9420</v>
      </c>
      <c r="K140" s="7" t="s">
        <v>5814</v>
      </c>
      <c r="L140" s="76">
        <v>10006019753</v>
      </c>
      <c r="M140" s="3"/>
      <c r="N140" s="201"/>
      <c r="O140" s="28" t="s">
        <v>11</v>
      </c>
      <c r="P140" s="28" t="s">
        <v>11</v>
      </c>
      <c r="Q140" s="28" t="s">
        <v>11</v>
      </c>
      <c r="R140" s="28" t="s">
        <v>11</v>
      </c>
      <c r="S140" s="28" t="s">
        <v>9</v>
      </c>
      <c r="T140" s="28" t="s">
        <v>9</v>
      </c>
      <c r="U140" s="28" t="s">
        <v>9</v>
      </c>
      <c r="V140" s="28" t="s">
        <v>9</v>
      </c>
      <c r="W140" s="28" t="s">
        <v>9</v>
      </c>
      <c r="X140" s="28" t="s">
        <v>9</v>
      </c>
      <c r="Y140" s="28" t="s">
        <v>9</v>
      </c>
      <c r="Z140" s="28" t="s">
        <v>9</v>
      </c>
      <c r="AA140" s="28" t="s">
        <v>9</v>
      </c>
      <c r="AB140" s="28" t="s">
        <v>9</v>
      </c>
      <c r="AC140" s="28" t="s">
        <v>9</v>
      </c>
      <c r="AD140" s="28" t="s">
        <v>10</v>
      </c>
      <c r="AE140" s="28"/>
      <c r="AF140" s="24">
        <f t="shared" si="9"/>
        <v>0</v>
      </c>
      <c r="AG140" s="24">
        <f t="shared" si="10"/>
        <v>4</v>
      </c>
      <c r="AH140" s="41" t="str" cm="1">
        <f t="array" ref="AH140">_xlfn.IFS(
$AE140=15,"Not Started",
$AG140&lt;15,"In Progress",
$AG140=15,"Completed",
SUM(AE140:AG140)&gt;15,"Error"
)</f>
        <v>In Progress</v>
      </c>
    </row>
    <row r="141" spans="1:34" ht="13" x14ac:dyDescent="0.25">
      <c r="A141" s="248"/>
      <c r="B141" s="14">
        <v>138</v>
      </c>
      <c r="C141" s="7" t="s">
        <v>1193</v>
      </c>
      <c r="D141" s="151" t="s">
        <v>5775</v>
      </c>
      <c r="E141" s="57" t="s">
        <v>5774</v>
      </c>
      <c r="F141" s="7" t="s">
        <v>43</v>
      </c>
      <c r="G141" s="7" t="s">
        <v>44</v>
      </c>
      <c r="H141" s="7" t="s">
        <v>5822</v>
      </c>
      <c r="I141" s="7" t="s">
        <v>5822</v>
      </c>
      <c r="J141" s="7" t="s">
        <v>9421</v>
      </c>
      <c r="K141" s="7" t="s">
        <v>5815</v>
      </c>
      <c r="L141" s="76">
        <v>10006018461</v>
      </c>
      <c r="M141" s="3"/>
      <c r="N141" s="201"/>
      <c r="O141" s="28" t="s">
        <v>11</v>
      </c>
      <c r="P141" s="28" t="s">
        <v>11</v>
      </c>
      <c r="Q141" s="28" t="s">
        <v>11</v>
      </c>
      <c r="R141" s="28" t="s">
        <v>11</v>
      </c>
      <c r="S141" s="28" t="s">
        <v>9</v>
      </c>
      <c r="T141" s="28" t="s">
        <v>9</v>
      </c>
      <c r="U141" s="28" t="s">
        <v>9</v>
      </c>
      <c r="V141" s="28" t="s">
        <v>9</v>
      </c>
      <c r="W141" s="28" t="s">
        <v>9</v>
      </c>
      <c r="X141" s="28" t="s">
        <v>9</v>
      </c>
      <c r="Y141" s="28" t="s">
        <v>9</v>
      </c>
      <c r="Z141" s="28" t="s">
        <v>9</v>
      </c>
      <c r="AA141" s="28" t="s">
        <v>9</v>
      </c>
      <c r="AB141" s="28" t="s">
        <v>9</v>
      </c>
      <c r="AC141" s="28" t="s">
        <v>9</v>
      </c>
      <c r="AD141" s="28" t="s">
        <v>10</v>
      </c>
      <c r="AE141" s="28"/>
      <c r="AF141" s="24">
        <f t="shared" si="9"/>
        <v>0</v>
      </c>
      <c r="AG141" s="24">
        <f t="shared" si="10"/>
        <v>4</v>
      </c>
      <c r="AH141" s="41" t="str" cm="1">
        <f t="array" ref="AH141">_xlfn.IFS(
$AE141=15,"Not Started",
$AG141&lt;15,"In Progress",
$AG141=15,"Completed",
SUM(AE141:AG141)&gt;15,"Error"
)</f>
        <v>In Progress</v>
      </c>
    </row>
    <row r="142" spans="1:34" ht="13" x14ac:dyDescent="0.25">
      <c r="A142" s="248"/>
      <c r="B142" s="14">
        <v>139</v>
      </c>
      <c r="C142" s="14" t="s">
        <v>1194</v>
      </c>
      <c r="D142" s="157" t="s">
        <v>10569</v>
      </c>
      <c r="E142" s="158" t="s">
        <v>10570</v>
      </c>
      <c r="F142" s="159" t="s">
        <v>47</v>
      </c>
      <c r="G142" s="159" t="s">
        <v>48</v>
      </c>
      <c r="H142" s="159" t="s">
        <v>5822</v>
      </c>
      <c r="I142" s="159" t="s">
        <v>5822</v>
      </c>
      <c r="J142" s="19" t="s">
        <v>10571</v>
      </c>
      <c r="K142" s="160" t="s">
        <v>8817</v>
      </c>
      <c r="L142" s="160">
        <v>10006019314</v>
      </c>
      <c r="M142" s="3"/>
      <c r="N142" s="201"/>
      <c r="O142" s="28" t="s">
        <v>11</v>
      </c>
      <c r="P142" s="28" t="s">
        <v>11</v>
      </c>
      <c r="Q142" s="28" t="s">
        <v>11</v>
      </c>
      <c r="R142" s="28" t="s">
        <v>11</v>
      </c>
      <c r="S142" s="28" t="s">
        <v>10</v>
      </c>
      <c r="T142" s="28" t="s">
        <v>9</v>
      </c>
      <c r="U142" s="28" t="s">
        <v>9</v>
      </c>
      <c r="V142" s="28" t="s">
        <v>9</v>
      </c>
      <c r="W142" s="28" t="s">
        <v>9</v>
      </c>
      <c r="X142" s="28" t="s">
        <v>9</v>
      </c>
      <c r="Y142" s="28" t="s">
        <v>9</v>
      </c>
      <c r="Z142" s="28" t="s">
        <v>9</v>
      </c>
      <c r="AA142" s="28" t="s">
        <v>9</v>
      </c>
      <c r="AB142" s="28" t="s">
        <v>9</v>
      </c>
      <c r="AC142" s="28" t="s">
        <v>9</v>
      </c>
      <c r="AD142" s="28" t="s">
        <v>10</v>
      </c>
      <c r="AE142" s="28"/>
      <c r="AF142" s="24">
        <f t="shared" si="9"/>
        <v>1</v>
      </c>
      <c r="AG142" s="24">
        <f t="shared" si="10"/>
        <v>4</v>
      </c>
      <c r="AH142" s="41" t="str" cm="1">
        <f t="array" ref="AH142">_xlfn.IFS(
$AE142=15,"Not Started",
$AG142&lt;15,"In Progress",
$AG142=15,"Completed",
SUM(AE142:AG142)&gt;15,"Error"
)</f>
        <v>In Progress</v>
      </c>
    </row>
    <row r="143" spans="1:34" ht="13" x14ac:dyDescent="0.25">
      <c r="A143" s="248"/>
      <c r="B143" s="14">
        <v>140</v>
      </c>
      <c r="C143" s="7" t="s">
        <v>1195</v>
      </c>
      <c r="D143" s="151" t="s">
        <v>5777</v>
      </c>
      <c r="E143" s="57" t="s">
        <v>5776</v>
      </c>
      <c r="F143" s="7" t="s">
        <v>51</v>
      </c>
      <c r="G143" s="7" t="s">
        <v>44</v>
      </c>
      <c r="H143" s="7" t="s">
        <v>5822</v>
      </c>
      <c r="I143" s="7" t="s">
        <v>5822</v>
      </c>
      <c r="J143" s="7" t="s">
        <v>9422</v>
      </c>
      <c r="K143" s="7" t="s">
        <v>5816</v>
      </c>
      <c r="L143" s="76">
        <v>10006019619</v>
      </c>
      <c r="M143" s="3"/>
      <c r="N143" s="201"/>
      <c r="O143" s="28" t="s">
        <v>11</v>
      </c>
      <c r="P143" s="28" t="s">
        <v>11</v>
      </c>
      <c r="Q143" s="28" t="s">
        <v>11</v>
      </c>
      <c r="R143" s="28" t="s">
        <v>11</v>
      </c>
      <c r="S143" s="28" t="s">
        <v>9</v>
      </c>
      <c r="T143" s="28" t="s">
        <v>9</v>
      </c>
      <c r="U143" s="28" t="s">
        <v>9</v>
      </c>
      <c r="V143" s="28" t="s">
        <v>9</v>
      </c>
      <c r="W143" s="28" t="s">
        <v>9</v>
      </c>
      <c r="X143" s="28" t="s">
        <v>9</v>
      </c>
      <c r="Y143" s="28" t="s">
        <v>9</v>
      </c>
      <c r="Z143" s="28" t="s">
        <v>9</v>
      </c>
      <c r="AA143" s="28" t="s">
        <v>9</v>
      </c>
      <c r="AB143" s="28" t="s">
        <v>9</v>
      </c>
      <c r="AC143" s="28" t="s">
        <v>9</v>
      </c>
      <c r="AD143" s="28" t="s">
        <v>10</v>
      </c>
      <c r="AE143" s="28"/>
      <c r="AF143" s="24">
        <f t="shared" si="9"/>
        <v>0</v>
      </c>
      <c r="AG143" s="24">
        <f t="shared" si="10"/>
        <v>4</v>
      </c>
      <c r="AH143" s="41" t="str" cm="1">
        <f t="array" ref="AH143">_xlfn.IFS(
$AE143=15,"Not Started",
$AG143&lt;15,"In Progress",
$AG143=15,"Completed",
SUM(AE143:AG143)&gt;15,"Error"
)</f>
        <v>In Progress</v>
      </c>
    </row>
    <row r="144" spans="1:34" ht="13" x14ac:dyDescent="0.25">
      <c r="A144" s="248"/>
      <c r="B144" s="14">
        <v>141</v>
      </c>
      <c r="C144" s="14" t="s">
        <v>1196</v>
      </c>
      <c r="D144" s="151" t="s">
        <v>5779</v>
      </c>
      <c r="E144" s="57" t="s">
        <v>5778</v>
      </c>
      <c r="F144" s="7" t="s">
        <v>43</v>
      </c>
      <c r="G144" s="7" t="s">
        <v>44</v>
      </c>
      <c r="H144" s="7" t="s">
        <v>5822</v>
      </c>
      <c r="I144" s="7" t="s">
        <v>5822</v>
      </c>
      <c r="J144" s="7" t="s">
        <v>9423</v>
      </c>
      <c r="K144" s="7" t="s">
        <v>5817</v>
      </c>
      <c r="L144" s="76">
        <v>10006064285</v>
      </c>
      <c r="M144" s="3"/>
      <c r="N144" s="201"/>
      <c r="O144" s="28" t="s">
        <v>11</v>
      </c>
      <c r="P144" s="28" t="s">
        <v>11</v>
      </c>
      <c r="Q144" s="28" t="s">
        <v>11</v>
      </c>
      <c r="R144" s="28" t="s">
        <v>11</v>
      </c>
      <c r="S144" s="28" t="s">
        <v>10</v>
      </c>
      <c r="T144" s="28" t="s">
        <v>9</v>
      </c>
      <c r="U144" s="28" t="s">
        <v>9</v>
      </c>
      <c r="V144" s="28" t="s">
        <v>9</v>
      </c>
      <c r="W144" s="28" t="s">
        <v>9</v>
      </c>
      <c r="X144" s="28" t="s">
        <v>9</v>
      </c>
      <c r="Y144" s="28" t="s">
        <v>9</v>
      </c>
      <c r="Z144" s="28" t="s">
        <v>9</v>
      </c>
      <c r="AA144" s="28" t="s">
        <v>9</v>
      </c>
      <c r="AB144" s="28" t="s">
        <v>9</v>
      </c>
      <c r="AC144" s="28" t="s">
        <v>9</v>
      </c>
      <c r="AD144" s="28" t="s">
        <v>10</v>
      </c>
      <c r="AE144" s="28"/>
      <c r="AF144" s="24">
        <f t="shared" si="9"/>
        <v>1</v>
      </c>
      <c r="AG144" s="24">
        <f t="shared" si="10"/>
        <v>4</v>
      </c>
      <c r="AH144" s="41" t="str" cm="1">
        <f t="array" ref="AH144">_xlfn.IFS(
$AE144=15,"Not Started",
$AG144&lt;15,"In Progress",
$AG144=15,"Completed",
SUM(AE144:AG144)&gt;15,"Error"
)</f>
        <v>In Progress</v>
      </c>
    </row>
    <row r="145" spans="1:34" ht="13" x14ac:dyDescent="0.25">
      <c r="A145" s="248"/>
      <c r="B145" s="14">
        <v>142</v>
      </c>
      <c r="C145" s="7" t="s">
        <v>1197</v>
      </c>
      <c r="D145" s="157" t="s">
        <v>10572</v>
      </c>
      <c r="E145" s="161" t="s">
        <v>10573</v>
      </c>
      <c r="F145" s="138" t="s">
        <v>9670</v>
      </c>
      <c r="G145" s="138" t="s">
        <v>48</v>
      </c>
      <c r="H145" s="138" t="s">
        <v>5822</v>
      </c>
      <c r="I145" s="138" t="s">
        <v>5822</v>
      </c>
      <c r="J145" s="7" t="s">
        <v>10574</v>
      </c>
      <c r="K145" s="162" t="s">
        <v>10575</v>
      </c>
      <c r="L145" s="162">
        <v>10006049734</v>
      </c>
      <c r="M145" s="3"/>
      <c r="N145" s="201"/>
      <c r="O145" s="28" t="s">
        <v>11</v>
      </c>
      <c r="P145" s="28" t="s">
        <v>11</v>
      </c>
      <c r="Q145" s="28" t="s">
        <v>11</v>
      </c>
      <c r="R145" s="28" t="s">
        <v>11</v>
      </c>
      <c r="S145" s="28" t="s">
        <v>10</v>
      </c>
      <c r="T145" s="28" t="s">
        <v>9</v>
      </c>
      <c r="U145" s="28" t="s">
        <v>9</v>
      </c>
      <c r="V145" s="28" t="s">
        <v>9</v>
      </c>
      <c r="W145" s="28" t="s">
        <v>9</v>
      </c>
      <c r="X145" s="28" t="s">
        <v>9</v>
      </c>
      <c r="Y145" s="28" t="s">
        <v>9</v>
      </c>
      <c r="Z145" s="28" t="s">
        <v>9</v>
      </c>
      <c r="AA145" s="28" t="s">
        <v>9</v>
      </c>
      <c r="AB145" s="28" t="s">
        <v>9</v>
      </c>
      <c r="AC145" s="28" t="s">
        <v>9</v>
      </c>
      <c r="AD145" s="28" t="s">
        <v>10</v>
      </c>
      <c r="AE145" s="28"/>
      <c r="AF145" s="24">
        <f t="shared" si="9"/>
        <v>1</v>
      </c>
      <c r="AG145" s="24">
        <f t="shared" si="10"/>
        <v>4</v>
      </c>
      <c r="AH145" s="41" t="str" cm="1">
        <f t="array" ref="AH145">_xlfn.IFS(
$AE145=15,"Not Started",
$AG145&lt;15,"In Progress",
$AG145=15,"Completed",
SUM(AE145:AG145)&gt;15,"Error"
)</f>
        <v>In Progress</v>
      </c>
    </row>
    <row r="146" spans="1:34" ht="13" x14ac:dyDescent="0.25">
      <c r="A146" s="248"/>
      <c r="B146" s="14">
        <v>143</v>
      </c>
      <c r="C146" s="14" t="s">
        <v>1198</v>
      </c>
      <c r="D146" s="151" t="s">
        <v>8677</v>
      </c>
      <c r="E146" s="57" t="s">
        <v>8542</v>
      </c>
      <c r="F146" s="7" t="s">
        <v>47</v>
      </c>
      <c r="G146" s="7" t="s">
        <v>48</v>
      </c>
      <c r="H146" s="7" t="s">
        <v>5822</v>
      </c>
      <c r="I146" s="7" t="s">
        <v>5822</v>
      </c>
      <c r="J146" s="7" t="s">
        <v>9424</v>
      </c>
      <c r="K146" s="7" t="s">
        <v>8833</v>
      </c>
      <c r="L146" s="76">
        <v>10006064015</v>
      </c>
      <c r="M146" s="3"/>
      <c r="N146" s="201"/>
      <c r="O146" s="28" t="s">
        <v>11</v>
      </c>
      <c r="P146" s="28" t="s">
        <v>11</v>
      </c>
      <c r="Q146" s="28" t="s">
        <v>11</v>
      </c>
      <c r="R146" s="28" t="s">
        <v>11</v>
      </c>
      <c r="S146" s="28" t="s">
        <v>10</v>
      </c>
      <c r="T146" s="28" t="s">
        <v>9</v>
      </c>
      <c r="U146" s="28" t="s">
        <v>9</v>
      </c>
      <c r="V146" s="28" t="s">
        <v>9</v>
      </c>
      <c r="W146" s="28" t="s">
        <v>9</v>
      </c>
      <c r="X146" s="28" t="s">
        <v>9</v>
      </c>
      <c r="Y146" s="28" t="s">
        <v>9</v>
      </c>
      <c r="Z146" s="28" t="s">
        <v>9</v>
      </c>
      <c r="AA146" s="28" t="s">
        <v>9</v>
      </c>
      <c r="AB146" s="28" t="s">
        <v>9</v>
      </c>
      <c r="AC146" s="28" t="s">
        <v>9</v>
      </c>
      <c r="AD146" s="28" t="s">
        <v>10</v>
      </c>
      <c r="AE146" s="28"/>
      <c r="AF146" s="24">
        <f t="shared" si="9"/>
        <v>1</v>
      </c>
      <c r="AG146" s="24">
        <f t="shared" si="10"/>
        <v>4</v>
      </c>
      <c r="AH146" s="41" t="str" cm="1">
        <f t="array" ref="AH146">_xlfn.IFS(
$AE146=15,"Not Started",
$AG146&lt;15,"In Progress",
$AG146=15,"Completed",
SUM(AE146:AG146)&gt;15,"Error"
)</f>
        <v>In Progress</v>
      </c>
    </row>
    <row r="147" spans="1:34" ht="13" x14ac:dyDescent="0.25">
      <c r="A147" s="248"/>
      <c r="B147" s="14">
        <v>144</v>
      </c>
      <c r="C147" s="7" t="s">
        <v>1199</v>
      </c>
      <c r="D147" s="151" t="s">
        <v>8678</v>
      </c>
      <c r="E147" s="57" t="s">
        <v>8543</v>
      </c>
      <c r="F147" s="7" t="s">
        <v>51</v>
      </c>
      <c r="G147" s="7" t="s">
        <v>48</v>
      </c>
      <c r="H147" s="7" t="s">
        <v>5822</v>
      </c>
      <c r="I147" s="7" t="s">
        <v>5822</v>
      </c>
      <c r="J147" s="7" t="s">
        <v>10590</v>
      </c>
      <c r="K147" s="7" t="s">
        <v>8834</v>
      </c>
      <c r="L147" s="76">
        <v>10006063457</v>
      </c>
      <c r="M147" s="3"/>
      <c r="N147" s="201"/>
      <c r="O147" s="28" t="s">
        <v>11</v>
      </c>
      <c r="P147" s="28" t="s">
        <v>11</v>
      </c>
      <c r="Q147" s="28" t="s">
        <v>11</v>
      </c>
      <c r="R147" s="28" t="s">
        <v>11</v>
      </c>
      <c r="S147" s="28" t="s">
        <v>10</v>
      </c>
      <c r="T147" s="28" t="s">
        <v>9</v>
      </c>
      <c r="U147" s="28" t="s">
        <v>9</v>
      </c>
      <c r="V147" s="28" t="s">
        <v>9</v>
      </c>
      <c r="W147" s="28" t="s">
        <v>9</v>
      </c>
      <c r="X147" s="28" t="s">
        <v>9</v>
      </c>
      <c r="Y147" s="28" t="s">
        <v>9</v>
      </c>
      <c r="Z147" s="28" t="s">
        <v>9</v>
      </c>
      <c r="AA147" s="28" t="s">
        <v>9</v>
      </c>
      <c r="AB147" s="28" t="s">
        <v>9</v>
      </c>
      <c r="AC147" s="28" t="s">
        <v>9</v>
      </c>
      <c r="AD147" s="28" t="s">
        <v>10</v>
      </c>
      <c r="AE147" s="28"/>
      <c r="AF147" s="24">
        <f t="shared" si="9"/>
        <v>1</v>
      </c>
      <c r="AG147" s="24">
        <f t="shared" si="10"/>
        <v>4</v>
      </c>
      <c r="AH147" s="41" t="str" cm="1">
        <f t="array" ref="AH147">_xlfn.IFS(
$AE147=15,"Not Started",
$AG147&lt;15,"In Progress",
$AG147=15,"Completed",
SUM(AE147:AG147)&gt;15,"Error"
)</f>
        <v>In Progress</v>
      </c>
    </row>
    <row r="148" spans="1:34" ht="13" x14ac:dyDescent="0.25">
      <c r="A148" s="248"/>
      <c r="B148" s="14">
        <v>145</v>
      </c>
      <c r="C148" s="14" t="s">
        <v>1200</v>
      </c>
      <c r="D148" s="151" t="s">
        <v>8679</v>
      </c>
      <c r="E148" s="57" t="s">
        <v>8544</v>
      </c>
      <c r="F148" s="7" t="s">
        <v>43</v>
      </c>
      <c r="G148" s="7" t="s">
        <v>44</v>
      </c>
      <c r="H148" s="7" t="s">
        <v>5822</v>
      </c>
      <c r="I148" s="7" t="s">
        <v>5822</v>
      </c>
      <c r="J148" s="7" t="s">
        <v>9425</v>
      </c>
      <c r="K148" s="7" t="s">
        <v>8835</v>
      </c>
      <c r="L148" s="76">
        <v>10006045637</v>
      </c>
      <c r="M148" s="3"/>
      <c r="N148" s="201"/>
      <c r="O148" s="28" t="s">
        <v>11</v>
      </c>
      <c r="P148" s="28" t="s">
        <v>11</v>
      </c>
      <c r="Q148" s="28" t="s">
        <v>11</v>
      </c>
      <c r="R148" s="28" t="s">
        <v>11</v>
      </c>
      <c r="S148" s="28" t="s">
        <v>9</v>
      </c>
      <c r="T148" s="28" t="s">
        <v>9</v>
      </c>
      <c r="U148" s="28" t="s">
        <v>9</v>
      </c>
      <c r="V148" s="28" t="s">
        <v>9</v>
      </c>
      <c r="W148" s="28" t="s">
        <v>9</v>
      </c>
      <c r="X148" s="28" t="s">
        <v>9</v>
      </c>
      <c r="Y148" s="28" t="s">
        <v>9</v>
      </c>
      <c r="Z148" s="28" t="s">
        <v>9</v>
      </c>
      <c r="AA148" s="28" t="s">
        <v>9</v>
      </c>
      <c r="AB148" s="28" t="s">
        <v>9</v>
      </c>
      <c r="AC148" s="28" t="s">
        <v>9</v>
      </c>
      <c r="AD148" s="28" t="s">
        <v>10</v>
      </c>
      <c r="AE148" s="28"/>
      <c r="AF148" s="24">
        <f t="shared" si="9"/>
        <v>0</v>
      </c>
      <c r="AG148" s="24">
        <f t="shared" si="10"/>
        <v>4</v>
      </c>
      <c r="AH148" s="41" t="str" cm="1">
        <f t="array" ref="AH148">_xlfn.IFS(
$AE148=15,"Not Started",
$AG148&lt;15,"In Progress",
$AG148=15,"Completed",
SUM(AE148:AG148)&gt;15,"Error"
)</f>
        <v>In Progress</v>
      </c>
    </row>
    <row r="149" spans="1:34" ht="13" x14ac:dyDescent="0.25">
      <c r="A149" s="248"/>
      <c r="B149" s="14">
        <v>146</v>
      </c>
      <c r="C149" s="7" t="s">
        <v>1201</v>
      </c>
      <c r="D149" s="151" t="s">
        <v>8680</v>
      </c>
      <c r="E149" s="57" t="s">
        <v>8545</v>
      </c>
      <c r="F149" s="7" t="s">
        <v>47</v>
      </c>
      <c r="G149" s="7" t="s">
        <v>44</v>
      </c>
      <c r="H149" s="7" t="s">
        <v>5822</v>
      </c>
      <c r="I149" s="7" t="s">
        <v>5821</v>
      </c>
      <c r="J149" s="7" t="s">
        <v>9426</v>
      </c>
      <c r="K149" s="7" t="s">
        <v>8836</v>
      </c>
      <c r="L149" s="76">
        <v>10006064178</v>
      </c>
      <c r="M149" s="3"/>
      <c r="N149" s="301"/>
      <c r="O149" s="28" t="s">
        <v>11</v>
      </c>
      <c r="P149" s="28" t="s">
        <v>11</v>
      </c>
      <c r="Q149" s="28" t="s">
        <v>11</v>
      </c>
      <c r="R149" s="28" t="s">
        <v>11</v>
      </c>
      <c r="S149" s="28" t="s">
        <v>9</v>
      </c>
      <c r="T149" s="28" t="s">
        <v>9</v>
      </c>
      <c r="U149" s="28" t="s">
        <v>9</v>
      </c>
      <c r="V149" s="28" t="s">
        <v>9</v>
      </c>
      <c r="W149" s="28" t="s">
        <v>9</v>
      </c>
      <c r="X149" s="28" t="s">
        <v>9</v>
      </c>
      <c r="Y149" s="28" t="s">
        <v>9</v>
      </c>
      <c r="Z149" s="28" t="s">
        <v>9</v>
      </c>
      <c r="AA149" s="28" t="s">
        <v>9</v>
      </c>
      <c r="AB149" s="28" t="s">
        <v>9</v>
      </c>
      <c r="AC149" s="28" t="s">
        <v>9</v>
      </c>
      <c r="AD149" s="28" t="s">
        <v>10</v>
      </c>
      <c r="AE149" s="28"/>
      <c r="AF149" s="24">
        <f t="shared" si="9"/>
        <v>0</v>
      </c>
      <c r="AG149" s="24">
        <f t="shared" si="10"/>
        <v>4</v>
      </c>
      <c r="AH149" s="41" t="str" cm="1">
        <f t="array" ref="AH149">_xlfn.IFS(
$AE149=15,"Not Started",
$AG149&lt;15,"In Progress",
$AG149=15,"Completed",
SUM(AE149:AG149)&gt;15,"Error"
)</f>
        <v>In Progress</v>
      </c>
    </row>
    <row r="150" spans="1:34" ht="13" x14ac:dyDescent="0.25">
      <c r="A150" s="248"/>
      <c r="B150" s="14">
        <v>147</v>
      </c>
      <c r="C150" s="14" t="s">
        <v>1202</v>
      </c>
      <c r="D150" s="151" t="s">
        <v>8681</v>
      </c>
      <c r="E150" s="57" t="s">
        <v>8546</v>
      </c>
      <c r="F150" s="7" t="s">
        <v>47</v>
      </c>
      <c r="G150" s="7" t="s">
        <v>48</v>
      </c>
      <c r="H150" s="7" t="s">
        <v>5822</v>
      </c>
      <c r="I150" s="7" t="s">
        <v>5822</v>
      </c>
      <c r="J150" s="7" t="s">
        <v>9427</v>
      </c>
      <c r="K150" s="7" t="s">
        <v>8837</v>
      </c>
      <c r="L150" s="76">
        <v>10006046062</v>
      </c>
      <c r="M150" s="3"/>
      <c r="N150" s="201">
        <v>46133</v>
      </c>
      <c r="O150" s="28" t="s">
        <v>11</v>
      </c>
      <c r="P150" s="28" t="s">
        <v>11</v>
      </c>
      <c r="Q150" s="28" t="s">
        <v>11</v>
      </c>
      <c r="R150" s="28" t="s">
        <v>11</v>
      </c>
      <c r="S150" s="28" t="s">
        <v>10</v>
      </c>
      <c r="T150" s="28" t="s">
        <v>9</v>
      </c>
      <c r="U150" s="28" t="s">
        <v>9</v>
      </c>
      <c r="V150" s="28" t="s">
        <v>9</v>
      </c>
      <c r="W150" s="28" t="s">
        <v>9</v>
      </c>
      <c r="X150" s="28" t="s">
        <v>9</v>
      </c>
      <c r="Y150" s="28" t="s">
        <v>9</v>
      </c>
      <c r="Z150" s="28" t="s">
        <v>9</v>
      </c>
      <c r="AA150" s="28" t="s">
        <v>9</v>
      </c>
      <c r="AB150" s="28" t="s">
        <v>9</v>
      </c>
      <c r="AC150" s="28" t="s">
        <v>9</v>
      </c>
      <c r="AD150" s="28" t="s">
        <v>10</v>
      </c>
      <c r="AE150" s="28"/>
      <c r="AF150" s="24">
        <f t="shared" si="9"/>
        <v>1</v>
      </c>
      <c r="AG150" s="24">
        <f t="shared" si="10"/>
        <v>4</v>
      </c>
      <c r="AH150" s="41" t="str" cm="1">
        <f t="array" ref="AH150">_xlfn.IFS(
$AE150=15,"Not Started",
$AG150&lt;15,"In Progress",
$AG150=15,"Completed",
SUM(AE150:AG150)&gt;15,"Error"
)</f>
        <v>In Progress</v>
      </c>
    </row>
    <row r="151" spans="1:34" ht="13" x14ac:dyDescent="0.25">
      <c r="A151" s="248"/>
      <c r="B151" s="14">
        <v>148</v>
      </c>
      <c r="C151" s="7" t="s">
        <v>1203</v>
      </c>
      <c r="D151" s="151" t="s">
        <v>8682</v>
      </c>
      <c r="E151" s="57" t="s">
        <v>8547</v>
      </c>
      <c r="F151" s="7" t="s">
        <v>43</v>
      </c>
      <c r="G151" s="7" t="s">
        <v>48</v>
      </c>
      <c r="H151" s="7" t="s">
        <v>5822</v>
      </c>
      <c r="I151" s="7" t="s">
        <v>5822</v>
      </c>
      <c r="J151" s="7" t="s">
        <v>9428</v>
      </c>
      <c r="K151" s="7" t="s">
        <v>8838</v>
      </c>
      <c r="L151" s="76">
        <v>10006034268</v>
      </c>
      <c r="M151" s="3"/>
      <c r="N151" s="302">
        <v>46135</v>
      </c>
      <c r="O151" s="28" t="s">
        <v>11</v>
      </c>
      <c r="P151" s="28" t="s">
        <v>11</v>
      </c>
      <c r="Q151" s="28" t="s">
        <v>11</v>
      </c>
      <c r="R151" s="28" t="s">
        <v>11</v>
      </c>
      <c r="S151" s="28" t="s">
        <v>9</v>
      </c>
      <c r="T151" s="28" t="s">
        <v>9</v>
      </c>
      <c r="U151" s="28" t="s">
        <v>9</v>
      </c>
      <c r="V151" s="28" t="s">
        <v>9</v>
      </c>
      <c r="W151" s="28" t="s">
        <v>9</v>
      </c>
      <c r="X151" s="28" t="s">
        <v>9</v>
      </c>
      <c r="Y151" s="28" t="s">
        <v>9</v>
      </c>
      <c r="Z151" s="28" t="s">
        <v>9</v>
      </c>
      <c r="AA151" s="28" t="s">
        <v>9</v>
      </c>
      <c r="AB151" s="28" t="s">
        <v>9</v>
      </c>
      <c r="AC151" s="28" t="s">
        <v>9</v>
      </c>
      <c r="AD151" s="28" t="s">
        <v>9</v>
      </c>
      <c r="AE151" s="28"/>
      <c r="AF151" s="24">
        <f t="shared" si="9"/>
        <v>0</v>
      </c>
      <c r="AG151" s="24">
        <f t="shared" si="10"/>
        <v>4</v>
      </c>
      <c r="AH151" s="41" t="str" cm="1">
        <f t="array" ref="AH151">_xlfn.IFS(
$AE151=15,"Not Started",
$AG151&lt;15,"In Progress",
$AG151=15,"Completed",
SUM(AE151:AG151)&gt;15,"Error"
)</f>
        <v>In Progress</v>
      </c>
    </row>
    <row r="152" spans="1:34" ht="13" x14ac:dyDescent="0.25">
      <c r="A152" s="248"/>
      <c r="B152" s="14">
        <v>149</v>
      </c>
      <c r="C152" s="14" t="s">
        <v>1204</v>
      </c>
      <c r="D152" s="151" t="s">
        <v>8683</v>
      </c>
      <c r="E152" s="57" t="s">
        <v>5836</v>
      </c>
      <c r="F152" s="7" t="s">
        <v>43</v>
      </c>
      <c r="G152" s="7" t="s">
        <v>48</v>
      </c>
      <c r="H152" s="7" t="s">
        <v>5822</v>
      </c>
      <c r="I152" s="7" t="s">
        <v>8884</v>
      </c>
      <c r="J152" s="7" t="s">
        <v>9429</v>
      </c>
      <c r="K152" s="7" t="s">
        <v>8839</v>
      </c>
      <c r="L152" s="76">
        <v>10093083557</v>
      </c>
      <c r="M152" s="3"/>
      <c r="N152" s="201">
        <v>46123</v>
      </c>
      <c r="O152" s="28" t="s">
        <v>11</v>
      </c>
      <c r="P152" s="28" t="s">
        <v>11</v>
      </c>
      <c r="Q152" s="28" t="s">
        <v>11</v>
      </c>
      <c r="R152" s="28" t="s">
        <v>11</v>
      </c>
      <c r="S152" s="28" t="s">
        <v>10</v>
      </c>
      <c r="T152" s="28" t="s">
        <v>9</v>
      </c>
      <c r="U152" s="28" t="s">
        <v>9</v>
      </c>
      <c r="V152" s="28" t="s">
        <v>9</v>
      </c>
      <c r="W152" s="28" t="s">
        <v>9</v>
      </c>
      <c r="X152" s="28" t="s">
        <v>9</v>
      </c>
      <c r="Y152" s="28" t="s">
        <v>9</v>
      </c>
      <c r="Z152" s="28" t="s">
        <v>9</v>
      </c>
      <c r="AA152" s="28" t="s">
        <v>9</v>
      </c>
      <c r="AB152" s="28" t="s">
        <v>9</v>
      </c>
      <c r="AC152" s="28" t="s">
        <v>9</v>
      </c>
      <c r="AD152" s="28" t="s">
        <v>10</v>
      </c>
      <c r="AE152" s="28"/>
      <c r="AF152" s="24">
        <f t="shared" si="9"/>
        <v>1</v>
      </c>
      <c r="AG152" s="24">
        <f t="shared" si="10"/>
        <v>4</v>
      </c>
      <c r="AH152" s="41" t="str" cm="1">
        <f t="array" ref="AH152">_xlfn.IFS(
$AE152=15,"Not Started",
$AG152&lt;15,"In Progress",
$AG152=15,"Completed",
SUM(AE152:AG152)&gt;15,"Error"
)</f>
        <v>In Progress</v>
      </c>
    </row>
    <row r="153" spans="1:34" ht="13" x14ac:dyDescent="0.25">
      <c r="A153" s="248"/>
      <c r="B153" s="14">
        <v>150</v>
      </c>
      <c r="C153" s="7" t="s">
        <v>1205</v>
      </c>
      <c r="D153" s="151" t="s">
        <v>8684</v>
      </c>
      <c r="E153" s="57" t="s">
        <v>8548</v>
      </c>
      <c r="F153" s="7" t="s">
        <v>43</v>
      </c>
      <c r="G153" s="7" t="s">
        <v>48</v>
      </c>
      <c r="H153" s="7" t="s">
        <v>5822</v>
      </c>
      <c r="I153" s="7" t="s">
        <v>8884</v>
      </c>
      <c r="J153" s="7" t="s">
        <v>9430</v>
      </c>
      <c r="K153" s="7" t="s">
        <v>8840</v>
      </c>
      <c r="L153" s="76">
        <v>10085050730</v>
      </c>
      <c r="M153" s="3"/>
      <c r="N153" s="201"/>
      <c r="O153" s="28" t="s">
        <v>11</v>
      </c>
      <c r="P153" s="28" t="s">
        <v>11</v>
      </c>
      <c r="Q153" s="28" t="s">
        <v>11</v>
      </c>
      <c r="R153" s="28" t="s">
        <v>11</v>
      </c>
      <c r="S153" s="28" t="s">
        <v>10</v>
      </c>
      <c r="T153" s="28" t="s">
        <v>9</v>
      </c>
      <c r="U153" s="28" t="s">
        <v>9</v>
      </c>
      <c r="V153" s="28" t="s">
        <v>9</v>
      </c>
      <c r="W153" s="28" t="s">
        <v>9</v>
      </c>
      <c r="X153" s="28" t="s">
        <v>9</v>
      </c>
      <c r="Y153" s="28" t="s">
        <v>9</v>
      </c>
      <c r="Z153" s="28" t="s">
        <v>9</v>
      </c>
      <c r="AA153" s="28" t="s">
        <v>9</v>
      </c>
      <c r="AB153" s="28" t="s">
        <v>9</v>
      </c>
      <c r="AC153" s="28" t="s">
        <v>9</v>
      </c>
      <c r="AD153" s="28" t="s">
        <v>10</v>
      </c>
      <c r="AE153" s="28"/>
      <c r="AF153" s="24">
        <f t="shared" si="9"/>
        <v>1</v>
      </c>
      <c r="AG153" s="24">
        <f t="shared" si="10"/>
        <v>4</v>
      </c>
      <c r="AH153" s="41" t="str" cm="1">
        <f t="array" ref="AH153">_xlfn.IFS(
$AE153=15,"Not Started",
$AG153&lt;15,"In Progress",
$AG153=15,"Completed",
SUM(AE153:AG153)&gt;15,"Error"
)</f>
        <v>In Progress</v>
      </c>
    </row>
    <row r="154" spans="1:34" ht="13" x14ac:dyDescent="0.25">
      <c r="A154" s="248"/>
      <c r="B154" s="14">
        <v>151</v>
      </c>
      <c r="C154" s="14" t="s">
        <v>1206</v>
      </c>
      <c r="D154" s="151" t="s">
        <v>8685</v>
      </c>
      <c r="E154" s="57" t="s">
        <v>8549</v>
      </c>
      <c r="F154" s="7" t="s">
        <v>43</v>
      </c>
      <c r="G154" s="7" t="s">
        <v>48</v>
      </c>
      <c r="H154" s="7" t="s">
        <v>5822</v>
      </c>
      <c r="I154" s="7" t="s">
        <v>8884</v>
      </c>
      <c r="J154" s="7" t="s">
        <v>9431</v>
      </c>
      <c r="K154" s="7" t="s">
        <v>8841</v>
      </c>
      <c r="L154" s="76">
        <v>10006034007</v>
      </c>
      <c r="M154" s="3"/>
      <c r="N154" s="201">
        <v>46121</v>
      </c>
      <c r="O154" s="28" t="s">
        <v>11</v>
      </c>
      <c r="P154" s="28" t="s">
        <v>11</v>
      </c>
      <c r="Q154" s="28" t="s">
        <v>11</v>
      </c>
      <c r="R154" s="28" t="s">
        <v>11</v>
      </c>
      <c r="S154" s="28" t="s">
        <v>10</v>
      </c>
      <c r="T154" s="28" t="s">
        <v>9</v>
      </c>
      <c r="U154" s="28" t="s">
        <v>9</v>
      </c>
      <c r="V154" s="28" t="s">
        <v>9</v>
      </c>
      <c r="W154" s="28" t="s">
        <v>9</v>
      </c>
      <c r="X154" s="28" t="s">
        <v>9</v>
      </c>
      <c r="Y154" s="28" t="s">
        <v>9</v>
      </c>
      <c r="Z154" s="28" t="s">
        <v>9</v>
      </c>
      <c r="AA154" s="28" t="s">
        <v>9</v>
      </c>
      <c r="AB154" s="28" t="s">
        <v>9</v>
      </c>
      <c r="AC154" s="28" t="s">
        <v>9</v>
      </c>
      <c r="AD154" s="28" t="s">
        <v>10</v>
      </c>
      <c r="AE154" s="28"/>
      <c r="AF154" s="24">
        <f t="shared" si="9"/>
        <v>1</v>
      </c>
      <c r="AG154" s="24">
        <f t="shared" si="10"/>
        <v>4</v>
      </c>
      <c r="AH154" s="41" t="str" cm="1">
        <f t="array" ref="AH154">_xlfn.IFS(
$AE154=15,"Not Started",
$AG154&lt;15,"In Progress",
$AG154=15,"Completed",
SUM(AE154:AG154)&gt;15,"Error"
)</f>
        <v>In Progress</v>
      </c>
    </row>
    <row r="155" spans="1:34" ht="13" x14ac:dyDescent="0.25">
      <c r="A155" s="248"/>
      <c r="B155" s="14">
        <v>152</v>
      </c>
      <c r="C155" s="7" t="s">
        <v>1207</v>
      </c>
      <c r="D155" s="151" t="s">
        <v>8686</v>
      </c>
      <c r="E155" s="57" t="s">
        <v>8550</v>
      </c>
      <c r="F155" s="7" t="s">
        <v>43</v>
      </c>
      <c r="G155" s="7" t="s">
        <v>44</v>
      </c>
      <c r="H155" s="7" t="s">
        <v>5822</v>
      </c>
      <c r="I155" s="7" t="s">
        <v>5821</v>
      </c>
      <c r="J155" s="7" t="s">
        <v>9432</v>
      </c>
      <c r="K155" s="176" t="s">
        <v>10591</v>
      </c>
      <c r="L155" s="176">
        <v>10006019673</v>
      </c>
      <c r="M155" s="3"/>
      <c r="N155" s="201"/>
      <c r="O155" s="28" t="s">
        <v>11</v>
      </c>
      <c r="P155" s="28" t="s">
        <v>11</v>
      </c>
      <c r="Q155" s="28" t="s">
        <v>11</v>
      </c>
      <c r="R155" s="28" t="s">
        <v>11</v>
      </c>
      <c r="S155" s="28" t="s">
        <v>10</v>
      </c>
      <c r="T155" s="28" t="s">
        <v>9</v>
      </c>
      <c r="U155" s="28" t="s">
        <v>9</v>
      </c>
      <c r="V155" s="28" t="s">
        <v>9</v>
      </c>
      <c r="W155" s="28" t="s">
        <v>9</v>
      </c>
      <c r="X155" s="28" t="s">
        <v>9</v>
      </c>
      <c r="Y155" s="28" t="s">
        <v>9</v>
      </c>
      <c r="Z155" s="28" t="s">
        <v>9</v>
      </c>
      <c r="AA155" s="28" t="s">
        <v>9</v>
      </c>
      <c r="AB155" s="28" t="s">
        <v>9</v>
      </c>
      <c r="AC155" s="28" t="s">
        <v>9</v>
      </c>
      <c r="AD155" s="28" t="s">
        <v>10</v>
      </c>
      <c r="AE155" s="28"/>
      <c r="AF155" s="24">
        <f t="shared" si="9"/>
        <v>1</v>
      </c>
      <c r="AG155" s="24">
        <f t="shared" si="10"/>
        <v>4</v>
      </c>
      <c r="AH155" s="41" t="str" cm="1">
        <f t="array" ref="AH155">_xlfn.IFS(
$AE155=15,"Not Started",
$AG155&lt;15,"In Progress",
$AG155=15,"Completed",
SUM(AE155:AG155)&gt;15,"Error"
)</f>
        <v>In Progress</v>
      </c>
    </row>
    <row r="156" spans="1:34" ht="13" x14ac:dyDescent="0.25">
      <c r="A156" s="248"/>
      <c r="B156" s="14">
        <v>153</v>
      </c>
      <c r="C156" s="14" t="s">
        <v>1208</v>
      </c>
      <c r="D156" s="151" t="s">
        <v>8687</v>
      </c>
      <c r="E156" s="57" t="s">
        <v>8551</v>
      </c>
      <c r="F156" s="7" t="s">
        <v>43</v>
      </c>
      <c r="G156" s="7" t="s">
        <v>44</v>
      </c>
      <c r="H156" s="7" t="s">
        <v>5822</v>
      </c>
      <c r="I156" s="7" t="s">
        <v>5821</v>
      </c>
      <c r="J156" s="7" t="s">
        <v>9433</v>
      </c>
      <c r="K156" s="7" t="s">
        <v>8842</v>
      </c>
      <c r="L156" s="76">
        <v>10006048399</v>
      </c>
      <c r="M156" s="3"/>
      <c r="N156" s="201"/>
      <c r="O156" s="28" t="s">
        <v>11</v>
      </c>
      <c r="P156" s="28" t="s">
        <v>11</v>
      </c>
      <c r="Q156" s="28" t="s">
        <v>11</v>
      </c>
      <c r="R156" s="28" t="s">
        <v>11</v>
      </c>
      <c r="S156" s="28" t="s">
        <v>9</v>
      </c>
      <c r="T156" s="28" t="s">
        <v>9</v>
      </c>
      <c r="U156" s="28" t="s">
        <v>9</v>
      </c>
      <c r="V156" s="28" t="s">
        <v>9</v>
      </c>
      <c r="W156" s="28" t="s">
        <v>9</v>
      </c>
      <c r="X156" s="28" t="s">
        <v>9</v>
      </c>
      <c r="Y156" s="28" t="s">
        <v>9</v>
      </c>
      <c r="Z156" s="28" t="s">
        <v>9</v>
      </c>
      <c r="AA156" s="28" t="s">
        <v>9</v>
      </c>
      <c r="AB156" s="28" t="s">
        <v>9</v>
      </c>
      <c r="AC156" s="28" t="s">
        <v>9</v>
      </c>
      <c r="AD156" s="28" t="s">
        <v>10</v>
      </c>
      <c r="AE156" s="28"/>
      <c r="AF156" s="24">
        <f t="shared" si="9"/>
        <v>0</v>
      </c>
      <c r="AG156" s="24">
        <f t="shared" si="10"/>
        <v>4</v>
      </c>
      <c r="AH156" s="41" t="str" cm="1">
        <f t="array" ref="AH156">_xlfn.IFS(
$AE156=15,"Not Started",
$AG156&lt;15,"In Progress",
$AG156=15,"Completed",
SUM(AE156:AG156)&gt;15,"Error"
)</f>
        <v>In Progress</v>
      </c>
    </row>
    <row r="157" spans="1:34" ht="13" x14ac:dyDescent="0.25">
      <c r="A157" s="248"/>
      <c r="B157" s="14">
        <v>154</v>
      </c>
      <c r="C157" s="7" t="s">
        <v>1209</v>
      </c>
      <c r="D157" s="151" t="s">
        <v>8688</v>
      </c>
      <c r="E157" s="57" t="s">
        <v>8552</v>
      </c>
      <c r="F157" s="7" t="s">
        <v>47</v>
      </c>
      <c r="G157" s="7" t="s">
        <v>48</v>
      </c>
      <c r="H157" s="7" t="s">
        <v>5822</v>
      </c>
      <c r="I157" s="7" t="s">
        <v>5821</v>
      </c>
      <c r="J157" s="7" t="s">
        <v>9434</v>
      </c>
      <c r="K157" s="7" t="s">
        <v>8843</v>
      </c>
      <c r="L157" s="76">
        <v>10006063582</v>
      </c>
      <c r="M157" s="3"/>
      <c r="N157" s="201"/>
      <c r="O157" s="28" t="s">
        <v>11</v>
      </c>
      <c r="P157" s="28" t="s">
        <v>11</v>
      </c>
      <c r="Q157" s="28" t="s">
        <v>11</v>
      </c>
      <c r="R157" s="28" t="s">
        <v>11</v>
      </c>
      <c r="S157" s="28" t="s">
        <v>10</v>
      </c>
      <c r="T157" s="28" t="s">
        <v>9</v>
      </c>
      <c r="U157" s="28" t="s">
        <v>9</v>
      </c>
      <c r="V157" s="28" t="s">
        <v>9</v>
      </c>
      <c r="W157" s="28" t="s">
        <v>9</v>
      </c>
      <c r="X157" s="28" t="s">
        <v>9</v>
      </c>
      <c r="Y157" s="28" t="s">
        <v>9</v>
      </c>
      <c r="Z157" s="28" t="s">
        <v>9</v>
      </c>
      <c r="AA157" s="28" t="s">
        <v>9</v>
      </c>
      <c r="AB157" s="28" t="s">
        <v>9</v>
      </c>
      <c r="AC157" s="28" t="s">
        <v>9</v>
      </c>
      <c r="AD157" s="28" t="s">
        <v>10</v>
      </c>
      <c r="AE157" s="28"/>
      <c r="AF157" s="24">
        <f t="shared" si="9"/>
        <v>1</v>
      </c>
      <c r="AG157" s="24">
        <f t="shared" si="10"/>
        <v>4</v>
      </c>
      <c r="AH157" s="41" t="str" cm="1">
        <f t="array" ref="AH157">_xlfn.IFS(
$AE157=15,"Not Started",
$AG157&lt;15,"In Progress",
$AG157=15,"Completed",
SUM(AE157:AG157)&gt;15,"Error"
)</f>
        <v>In Progress</v>
      </c>
    </row>
    <row r="158" spans="1:34" ht="13" x14ac:dyDescent="0.25">
      <c r="A158" s="248"/>
      <c r="B158" s="14">
        <v>155</v>
      </c>
      <c r="C158" s="14" t="s">
        <v>1210</v>
      </c>
      <c r="D158" s="151" t="s">
        <v>8689</v>
      </c>
      <c r="E158" s="57" t="s">
        <v>8553</v>
      </c>
      <c r="F158" s="7" t="s">
        <v>43</v>
      </c>
      <c r="G158" s="7" t="s">
        <v>48</v>
      </c>
      <c r="H158" s="7" t="s">
        <v>5822</v>
      </c>
      <c r="I158" s="7" t="s">
        <v>5821</v>
      </c>
      <c r="J158" s="7" t="s">
        <v>9435</v>
      </c>
      <c r="K158" s="7" t="s">
        <v>8844</v>
      </c>
      <c r="L158" s="76">
        <v>10006064571</v>
      </c>
      <c r="M158" s="3"/>
      <c r="N158" s="201"/>
      <c r="O158" s="28" t="s">
        <v>11</v>
      </c>
      <c r="P158" s="28" t="s">
        <v>11</v>
      </c>
      <c r="Q158" s="28" t="s">
        <v>11</v>
      </c>
      <c r="R158" s="28" t="s">
        <v>11</v>
      </c>
      <c r="S158" s="28" t="s">
        <v>10</v>
      </c>
      <c r="T158" s="28" t="s">
        <v>9</v>
      </c>
      <c r="U158" s="28" t="s">
        <v>9</v>
      </c>
      <c r="V158" s="28" t="s">
        <v>9</v>
      </c>
      <c r="W158" s="28" t="s">
        <v>9</v>
      </c>
      <c r="X158" s="28" t="s">
        <v>9</v>
      </c>
      <c r="Y158" s="28" t="s">
        <v>9</v>
      </c>
      <c r="Z158" s="28" t="s">
        <v>9</v>
      </c>
      <c r="AA158" s="28" t="s">
        <v>9</v>
      </c>
      <c r="AB158" s="28" t="s">
        <v>9</v>
      </c>
      <c r="AC158" s="28" t="s">
        <v>9</v>
      </c>
      <c r="AD158" s="28" t="s">
        <v>10</v>
      </c>
      <c r="AE158" s="28"/>
      <c r="AF158" s="24">
        <f t="shared" si="9"/>
        <v>1</v>
      </c>
      <c r="AG158" s="24">
        <f t="shared" si="10"/>
        <v>4</v>
      </c>
      <c r="AH158" s="41" t="str" cm="1">
        <f t="array" ref="AH158">_xlfn.IFS(
$AE158=15,"Not Started",
$AG158&lt;15,"In Progress",
$AG158=15,"Completed",
SUM(AE158:AG158)&gt;15,"Error"
)</f>
        <v>In Progress</v>
      </c>
    </row>
    <row r="159" spans="1:34" ht="13" x14ac:dyDescent="0.25">
      <c r="A159" s="248"/>
      <c r="B159" s="14">
        <v>156</v>
      </c>
      <c r="C159" s="7" t="s">
        <v>1211</v>
      </c>
      <c r="D159" s="151" t="s">
        <v>8690</v>
      </c>
      <c r="E159" s="57" t="s">
        <v>8554</v>
      </c>
      <c r="F159" s="7" t="s">
        <v>43</v>
      </c>
      <c r="G159" s="7" t="s">
        <v>44</v>
      </c>
      <c r="H159" s="7" t="s">
        <v>5822</v>
      </c>
      <c r="I159" s="7" t="s">
        <v>5821</v>
      </c>
      <c r="J159" s="7" t="s">
        <v>9436</v>
      </c>
      <c r="K159" s="7" t="s">
        <v>8845</v>
      </c>
      <c r="L159" s="76">
        <v>10006064070</v>
      </c>
      <c r="M159" s="3"/>
      <c r="N159" s="201"/>
      <c r="O159" s="28" t="s">
        <v>11</v>
      </c>
      <c r="P159" s="28" t="s">
        <v>11</v>
      </c>
      <c r="Q159" s="28" t="s">
        <v>11</v>
      </c>
      <c r="R159" s="28" t="s">
        <v>11</v>
      </c>
      <c r="S159" s="28" t="s">
        <v>9</v>
      </c>
      <c r="T159" s="28" t="s">
        <v>9</v>
      </c>
      <c r="U159" s="28" t="s">
        <v>9</v>
      </c>
      <c r="V159" s="28" t="s">
        <v>9</v>
      </c>
      <c r="W159" s="28" t="s">
        <v>9</v>
      </c>
      <c r="X159" s="28" t="s">
        <v>9</v>
      </c>
      <c r="Y159" s="28" t="s">
        <v>9</v>
      </c>
      <c r="Z159" s="28" t="s">
        <v>9</v>
      </c>
      <c r="AA159" s="28" t="s">
        <v>9</v>
      </c>
      <c r="AB159" s="28" t="s">
        <v>9</v>
      </c>
      <c r="AC159" s="28" t="s">
        <v>9</v>
      </c>
      <c r="AD159" s="28" t="s">
        <v>10</v>
      </c>
      <c r="AE159" s="28"/>
      <c r="AF159" s="24">
        <f t="shared" si="9"/>
        <v>0</v>
      </c>
      <c r="AG159" s="24">
        <f t="shared" si="10"/>
        <v>4</v>
      </c>
      <c r="AH159" s="41" t="str" cm="1">
        <f t="array" ref="AH159">_xlfn.IFS(
$AE159=15,"Not Started",
$AG159&lt;15,"In Progress",
$AG159=15,"Completed",
SUM(AE159:AG159)&gt;15,"Error"
)</f>
        <v>In Progress</v>
      </c>
    </row>
    <row r="160" spans="1:34" ht="13" x14ac:dyDescent="0.3">
      <c r="A160" s="248"/>
      <c r="B160" s="14">
        <v>157</v>
      </c>
      <c r="C160" s="14" t="s">
        <v>1212</v>
      </c>
      <c r="D160" s="172" t="s">
        <v>5831</v>
      </c>
      <c r="E160" s="173" t="s">
        <v>10595</v>
      </c>
      <c r="F160" s="142" t="s">
        <v>47</v>
      </c>
      <c r="G160" s="142" t="s">
        <v>48</v>
      </c>
      <c r="H160" s="142" t="s">
        <v>5822</v>
      </c>
      <c r="I160" s="142" t="s">
        <v>5822</v>
      </c>
      <c r="J160" s="142" t="s">
        <v>10596</v>
      </c>
      <c r="K160" s="142" t="s">
        <v>10597</v>
      </c>
      <c r="L160" s="174">
        <v>10089666884</v>
      </c>
      <c r="M160" s="175"/>
      <c r="N160" s="201"/>
      <c r="O160" s="28" t="s">
        <v>11</v>
      </c>
      <c r="P160" s="28" t="s">
        <v>11</v>
      </c>
      <c r="Q160" s="28" t="s">
        <v>11</v>
      </c>
      <c r="R160" s="28" t="s">
        <v>11</v>
      </c>
      <c r="S160" s="28" t="s">
        <v>10</v>
      </c>
      <c r="T160" s="28" t="s">
        <v>9</v>
      </c>
      <c r="U160" s="28" t="s">
        <v>9</v>
      </c>
      <c r="V160" s="28" t="s">
        <v>9</v>
      </c>
      <c r="W160" s="28" t="s">
        <v>9</v>
      </c>
      <c r="X160" s="28" t="s">
        <v>9</v>
      </c>
      <c r="Y160" s="28" t="s">
        <v>9</v>
      </c>
      <c r="Z160" s="28" t="s">
        <v>9</v>
      </c>
      <c r="AA160" s="28" t="s">
        <v>9</v>
      </c>
      <c r="AB160" s="28" t="s">
        <v>9</v>
      </c>
      <c r="AC160" s="28" t="s">
        <v>9</v>
      </c>
      <c r="AD160" s="28" t="s">
        <v>10</v>
      </c>
      <c r="AE160" s="28"/>
      <c r="AF160" s="24">
        <f t="shared" si="9"/>
        <v>1</v>
      </c>
      <c r="AG160" s="24">
        <f t="shared" si="10"/>
        <v>4</v>
      </c>
      <c r="AH160" s="41" t="str" cm="1">
        <f t="array" ref="AH160">_xlfn.IFS(
$AE160=15,"Not Started",
$AG160&lt;15,"In Progress",
$AG160=15,"Completed",
SUM(AE160:AG160)&gt;15,"Error"
)</f>
        <v>In Progress</v>
      </c>
    </row>
    <row r="161" spans="1:34" ht="13" x14ac:dyDescent="0.25">
      <c r="A161" s="248"/>
      <c r="B161" s="14">
        <v>158</v>
      </c>
      <c r="C161" s="7" t="s">
        <v>1213</v>
      </c>
      <c r="D161" s="151" t="s">
        <v>8691</v>
      </c>
      <c r="E161" s="57" t="s">
        <v>8555</v>
      </c>
      <c r="F161" s="7" t="s">
        <v>51</v>
      </c>
      <c r="G161" s="7" t="s">
        <v>48</v>
      </c>
      <c r="H161" s="7" t="s">
        <v>5822</v>
      </c>
      <c r="I161" s="7" t="s">
        <v>5822</v>
      </c>
      <c r="J161" s="7" t="s">
        <v>9437</v>
      </c>
      <c r="K161" s="7" t="s">
        <v>8846</v>
      </c>
      <c r="L161" s="76">
        <v>10006018891</v>
      </c>
      <c r="M161" s="3"/>
      <c r="N161" s="201"/>
      <c r="O161" s="28" t="s">
        <v>11</v>
      </c>
      <c r="P161" s="28" t="s">
        <v>11</v>
      </c>
      <c r="Q161" s="28" t="s">
        <v>11</v>
      </c>
      <c r="R161" s="28" t="s">
        <v>11</v>
      </c>
      <c r="S161" s="28" t="s">
        <v>10</v>
      </c>
      <c r="T161" s="28" t="s">
        <v>9</v>
      </c>
      <c r="U161" s="28" t="s">
        <v>9</v>
      </c>
      <c r="V161" s="28" t="s">
        <v>9</v>
      </c>
      <c r="W161" s="28" t="s">
        <v>9</v>
      </c>
      <c r="X161" s="28" t="s">
        <v>9</v>
      </c>
      <c r="Y161" s="28" t="s">
        <v>9</v>
      </c>
      <c r="Z161" s="28" t="s">
        <v>9</v>
      </c>
      <c r="AA161" s="28" t="s">
        <v>9</v>
      </c>
      <c r="AB161" s="28" t="s">
        <v>9</v>
      </c>
      <c r="AC161" s="28" t="s">
        <v>9</v>
      </c>
      <c r="AD161" s="28" t="s">
        <v>10</v>
      </c>
      <c r="AE161" s="28"/>
      <c r="AF161" s="24">
        <f t="shared" si="9"/>
        <v>1</v>
      </c>
      <c r="AG161" s="24">
        <f t="shared" si="10"/>
        <v>4</v>
      </c>
      <c r="AH161" s="41" t="str" cm="1">
        <f t="array" ref="AH161">_xlfn.IFS(
$AE161=15,"Not Started",
$AG161&lt;15,"In Progress",
$AG161=15,"Completed",
SUM(AE161:AG161)&gt;15,"Error"
)</f>
        <v>In Progress</v>
      </c>
    </row>
    <row r="162" spans="1:34" ht="13" x14ac:dyDescent="0.25">
      <c r="A162" s="248"/>
      <c r="B162" s="14">
        <v>159</v>
      </c>
      <c r="C162" s="14" t="s">
        <v>1214</v>
      </c>
      <c r="D162" s="151" t="s">
        <v>8692</v>
      </c>
      <c r="E162" s="57" t="s">
        <v>8556</v>
      </c>
      <c r="F162" s="7" t="s">
        <v>43</v>
      </c>
      <c r="G162" s="7" t="s">
        <v>48</v>
      </c>
      <c r="H162" s="7" t="s">
        <v>5822</v>
      </c>
      <c r="I162" s="7" t="s">
        <v>5822</v>
      </c>
      <c r="J162" s="7" t="s">
        <v>9438</v>
      </c>
      <c r="K162" s="176" t="s">
        <v>5818</v>
      </c>
      <c r="L162" s="176">
        <v>10006063798</v>
      </c>
      <c r="M162" s="3"/>
      <c r="N162" s="201"/>
      <c r="O162" s="28" t="s">
        <v>11</v>
      </c>
      <c r="P162" s="28" t="s">
        <v>11</v>
      </c>
      <c r="Q162" s="28" t="s">
        <v>11</v>
      </c>
      <c r="R162" s="28" t="s">
        <v>11</v>
      </c>
      <c r="S162" s="28" t="s">
        <v>10</v>
      </c>
      <c r="T162" s="28" t="s">
        <v>9</v>
      </c>
      <c r="U162" s="28" t="s">
        <v>9</v>
      </c>
      <c r="V162" s="28" t="s">
        <v>9</v>
      </c>
      <c r="W162" s="28" t="s">
        <v>9</v>
      </c>
      <c r="X162" s="28" t="s">
        <v>9</v>
      </c>
      <c r="Y162" s="28" t="s">
        <v>9</v>
      </c>
      <c r="Z162" s="28" t="s">
        <v>9</v>
      </c>
      <c r="AA162" s="28" t="s">
        <v>9</v>
      </c>
      <c r="AB162" s="28" t="s">
        <v>9</v>
      </c>
      <c r="AC162" s="28" t="s">
        <v>9</v>
      </c>
      <c r="AD162" s="28" t="s">
        <v>10</v>
      </c>
      <c r="AE162" s="28"/>
      <c r="AF162" s="24">
        <f t="shared" si="9"/>
        <v>1</v>
      </c>
      <c r="AG162" s="24">
        <f t="shared" si="10"/>
        <v>4</v>
      </c>
      <c r="AH162" s="41" t="str" cm="1">
        <f t="array" ref="AH162">_xlfn.IFS(
$AE162=15,"Not Started",
$AG162&lt;15,"In Progress",
$AG162=15,"Completed",
SUM(AE162:AG162)&gt;15,"Error"
)</f>
        <v>In Progress</v>
      </c>
    </row>
    <row r="163" spans="1:34" ht="13" x14ac:dyDescent="0.25">
      <c r="A163" s="248"/>
      <c r="B163" s="14">
        <v>160</v>
      </c>
      <c r="C163" s="7" t="s">
        <v>1215</v>
      </c>
      <c r="D163" s="151" t="s">
        <v>8693</v>
      </c>
      <c r="E163" s="57" t="s">
        <v>8557</v>
      </c>
      <c r="F163" s="7" t="s">
        <v>43</v>
      </c>
      <c r="G163" s="7" t="s">
        <v>48</v>
      </c>
      <c r="H163" s="7" t="s">
        <v>5822</v>
      </c>
      <c r="I163" s="7" t="s">
        <v>5822</v>
      </c>
      <c r="J163" s="7" t="s">
        <v>9439</v>
      </c>
      <c r="K163" s="177" t="s">
        <v>8847</v>
      </c>
      <c r="L163" s="178">
        <v>10006063528</v>
      </c>
      <c r="M163" s="3"/>
      <c r="N163" s="201"/>
      <c r="O163" s="28" t="s">
        <v>11</v>
      </c>
      <c r="P163" s="28" t="s">
        <v>11</v>
      </c>
      <c r="Q163" s="28" t="s">
        <v>11</v>
      </c>
      <c r="R163" s="28" t="s">
        <v>11</v>
      </c>
      <c r="S163" s="28" t="s">
        <v>10</v>
      </c>
      <c r="T163" s="28" t="s">
        <v>9</v>
      </c>
      <c r="U163" s="28" t="s">
        <v>9</v>
      </c>
      <c r="V163" s="28" t="s">
        <v>9</v>
      </c>
      <c r="W163" s="28" t="s">
        <v>9</v>
      </c>
      <c r="X163" s="28" t="s">
        <v>9</v>
      </c>
      <c r="Y163" s="28" t="s">
        <v>9</v>
      </c>
      <c r="Z163" s="28" t="s">
        <v>9</v>
      </c>
      <c r="AA163" s="28" t="s">
        <v>9</v>
      </c>
      <c r="AB163" s="28" t="s">
        <v>9</v>
      </c>
      <c r="AC163" s="28" t="s">
        <v>9</v>
      </c>
      <c r="AD163" s="28" t="s">
        <v>10</v>
      </c>
      <c r="AE163" s="28"/>
      <c r="AF163" s="24">
        <f t="shared" si="9"/>
        <v>1</v>
      </c>
      <c r="AG163" s="24">
        <f t="shared" si="10"/>
        <v>4</v>
      </c>
      <c r="AH163" s="41" t="str" cm="1">
        <f t="array" ref="AH163">_xlfn.IFS(
$AE163=15,"Not Started",
$AG163&lt;15,"In Progress",
$AG163=15,"Completed",
SUM(AE163:AG163)&gt;15,"Error"
)</f>
        <v>In Progress</v>
      </c>
    </row>
    <row r="164" spans="1:34" ht="13" x14ac:dyDescent="0.25">
      <c r="A164" s="248"/>
      <c r="B164" s="14">
        <v>161</v>
      </c>
      <c r="C164" s="14" t="s">
        <v>1216</v>
      </c>
      <c r="D164" s="151" t="s">
        <v>8694</v>
      </c>
      <c r="E164" s="57" t="s">
        <v>5739</v>
      </c>
      <c r="F164" s="7" t="s">
        <v>47</v>
      </c>
      <c r="G164" s="7" t="s">
        <v>48</v>
      </c>
      <c r="H164" s="7" t="s">
        <v>5822</v>
      </c>
      <c r="I164" s="7" t="s">
        <v>5822</v>
      </c>
      <c r="J164" s="7" t="s">
        <v>9440</v>
      </c>
      <c r="K164" s="176" t="s">
        <v>10592</v>
      </c>
      <c r="L164" s="176">
        <v>10089394855</v>
      </c>
      <c r="M164" s="3"/>
      <c r="N164" s="201"/>
      <c r="O164" s="28" t="s">
        <v>11</v>
      </c>
      <c r="P164" s="28" t="s">
        <v>11</v>
      </c>
      <c r="Q164" s="28" t="s">
        <v>11</v>
      </c>
      <c r="R164" s="28" t="s">
        <v>11</v>
      </c>
      <c r="S164" s="28" t="s">
        <v>10</v>
      </c>
      <c r="T164" s="28" t="s">
        <v>9</v>
      </c>
      <c r="U164" s="28" t="s">
        <v>9</v>
      </c>
      <c r="V164" s="28" t="s">
        <v>9</v>
      </c>
      <c r="W164" s="28" t="s">
        <v>9</v>
      </c>
      <c r="X164" s="28" t="s">
        <v>9</v>
      </c>
      <c r="Y164" s="28" t="s">
        <v>9</v>
      </c>
      <c r="Z164" s="28" t="s">
        <v>9</v>
      </c>
      <c r="AA164" s="28" t="s">
        <v>9</v>
      </c>
      <c r="AB164" s="28" t="s">
        <v>9</v>
      </c>
      <c r="AC164" s="28" t="s">
        <v>9</v>
      </c>
      <c r="AD164" s="28" t="s">
        <v>10</v>
      </c>
      <c r="AE164" s="28"/>
      <c r="AF164" s="24">
        <f t="shared" ref="AF164:AF195" si="11">COUNTIF(O164:AC164,$AF$2)</f>
        <v>1</v>
      </c>
      <c r="AG164" s="24">
        <f t="shared" ref="AG164:AG195" si="12">COUNTIF(O164:AC164,$AG$2)</f>
        <v>4</v>
      </c>
      <c r="AH164" s="41" t="str" cm="1">
        <f t="array" ref="AH164">_xlfn.IFS(
$AE164=15,"Not Started",
$AG164&lt;15,"In Progress",
$AG164=15,"Completed",
SUM(AE164:AG164)&gt;15,"Error"
)</f>
        <v>In Progress</v>
      </c>
    </row>
    <row r="165" spans="1:34" ht="13" x14ac:dyDescent="0.25">
      <c r="A165" s="248"/>
      <c r="B165" s="14">
        <v>162</v>
      </c>
      <c r="C165" s="7" t="s">
        <v>1217</v>
      </c>
      <c r="D165" s="151" t="s">
        <v>5781</v>
      </c>
      <c r="E165" s="57" t="s">
        <v>5780</v>
      </c>
      <c r="F165" s="7" t="s">
        <v>43</v>
      </c>
      <c r="G165" s="7" t="s">
        <v>44</v>
      </c>
      <c r="H165" s="7" t="s">
        <v>5822</v>
      </c>
      <c r="I165" s="7" t="s">
        <v>5822</v>
      </c>
      <c r="J165" s="7" t="s">
        <v>9441</v>
      </c>
      <c r="K165" s="7" t="s">
        <v>5818</v>
      </c>
      <c r="L165" s="76">
        <v>10006063798</v>
      </c>
      <c r="M165" s="3"/>
      <c r="N165" s="201"/>
      <c r="O165" s="28" t="s">
        <v>11</v>
      </c>
      <c r="P165" s="28" t="s">
        <v>11</v>
      </c>
      <c r="Q165" s="28" t="s">
        <v>11</v>
      </c>
      <c r="R165" s="28" t="s">
        <v>11</v>
      </c>
      <c r="S165" s="28" t="s">
        <v>9</v>
      </c>
      <c r="T165" s="28" t="s">
        <v>9</v>
      </c>
      <c r="U165" s="28" t="s">
        <v>9</v>
      </c>
      <c r="V165" s="28" t="s">
        <v>9</v>
      </c>
      <c r="W165" s="28" t="s">
        <v>9</v>
      </c>
      <c r="X165" s="28" t="s">
        <v>9</v>
      </c>
      <c r="Y165" s="28" t="s">
        <v>9</v>
      </c>
      <c r="Z165" s="28" t="s">
        <v>9</v>
      </c>
      <c r="AA165" s="28" t="s">
        <v>9</v>
      </c>
      <c r="AB165" s="28" t="s">
        <v>9</v>
      </c>
      <c r="AC165" s="28" t="s">
        <v>9</v>
      </c>
      <c r="AD165" s="28" t="s">
        <v>10</v>
      </c>
      <c r="AE165" s="28"/>
      <c r="AF165" s="24">
        <f t="shared" si="11"/>
        <v>0</v>
      </c>
      <c r="AG165" s="24">
        <f t="shared" si="12"/>
        <v>4</v>
      </c>
      <c r="AH165" s="41" t="str" cm="1">
        <f t="array" ref="AH165">_xlfn.IFS(
$AE165=15,"Not Started",
$AG165&lt;15,"In Progress",
$AG165=15,"Completed",
SUM(AE165:AG165)&gt;15,"Error"
)</f>
        <v>In Progress</v>
      </c>
    </row>
    <row r="166" spans="1:34" ht="13" x14ac:dyDescent="0.25">
      <c r="A166" s="248"/>
      <c r="B166" s="14">
        <v>163</v>
      </c>
      <c r="C166" s="14" t="s">
        <v>1218</v>
      </c>
      <c r="D166" s="151" t="s">
        <v>8695</v>
      </c>
      <c r="E166" s="57" t="s">
        <v>8558</v>
      </c>
      <c r="F166" s="7" t="s">
        <v>51</v>
      </c>
      <c r="G166" s="7" t="s">
        <v>48</v>
      </c>
      <c r="H166" s="7" t="s">
        <v>5822</v>
      </c>
      <c r="I166" s="7" t="s">
        <v>5822</v>
      </c>
      <c r="J166" s="7" t="s">
        <v>9442</v>
      </c>
      <c r="K166" s="7" t="s">
        <v>8848</v>
      </c>
      <c r="L166" s="76">
        <v>10006033986</v>
      </c>
      <c r="M166" s="3"/>
      <c r="N166" s="201">
        <v>46121</v>
      </c>
      <c r="O166" s="28" t="s">
        <v>11</v>
      </c>
      <c r="P166" s="28" t="s">
        <v>11</v>
      </c>
      <c r="Q166" s="28" t="s">
        <v>11</v>
      </c>
      <c r="R166" s="28" t="s">
        <v>11</v>
      </c>
      <c r="S166" s="28" t="s">
        <v>10</v>
      </c>
      <c r="T166" s="28" t="s">
        <v>9</v>
      </c>
      <c r="U166" s="28" t="s">
        <v>9</v>
      </c>
      <c r="V166" s="28" t="s">
        <v>9</v>
      </c>
      <c r="W166" s="28" t="s">
        <v>9</v>
      </c>
      <c r="X166" s="28" t="s">
        <v>9</v>
      </c>
      <c r="Y166" s="28" t="s">
        <v>9</v>
      </c>
      <c r="Z166" s="28" t="s">
        <v>9</v>
      </c>
      <c r="AA166" s="28" t="s">
        <v>9</v>
      </c>
      <c r="AB166" s="28" t="s">
        <v>9</v>
      </c>
      <c r="AC166" s="28" t="s">
        <v>9</v>
      </c>
      <c r="AD166" s="28" t="s">
        <v>10</v>
      </c>
      <c r="AE166" s="28"/>
      <c r="AF166" s="24">
        <f t="shared" si="11"/>
        <v>1</v>
      </c>
      <c r="AG166" s="24">
        <f t="shared" si="12"/>
        <v>4</v>
      </c>
      <c r="AH166" s="41" t="str" cm="1">
        <f t="array" ref="AH166">_xlfn.IFS(
$AE166=15,"Not Started",
$AG166&lt;15,"In Progress",
$AG166=15,"Completed",
SUM(AE166:AG166)&gt;15,"Error"
)</f>
        <v>In Progress</v>
      </c>
    </row>
    <row r="167" spans="1:34" ht="13" x14ac:dyDescent="0.25">
      <c r="A167" s="248"/>
      <c r="B167" s="14">
        <v>164</v>
      </c>
      <c r="C167" s="7" t="s">
        <v>1219</v>
      </c>
      <c r="D167" s="151" t="s">
        <v>5823</v>
      </c>
      <c r="E167" s="57" t="s">
        <v>8559</v>
      </c>
      <c r="F167" s="7" t="s">
        <v>47</v>
      </c>
      <c r="G167" s="7" t="s">
        <v>48</v>
      </c>
      <c r="H167" s="7" t="s">
        <v>5822</v>
      </c>
      <c r="I167" s="7" t="s">
        <v>5822</v>
      </c>
      <c r="J167" s="7" t="s">
        <v>9443</v>
      </c>
      <c r="K167" s="7" t="s">
        <v>8849</v>
      </c>
      <c r="L167" s="76">
        <v>10087178593</v>
      </c>
      <c r="M167" s="3"/>
      <c r="N167" s="202">
        <v>46151</v>
      </c>
      <c r="O167" s="28" t="s">
        <v>11</v>
      </c>
      <c r="P167" s="28" t="s">
        <v>11</v>
      </c>
      <c r="Q167" s="28" t="s">
        <v>11</v>
      </c>
      <c r="R167" s="28" t="s">
        <v>11</v>
      </c>
      <c r="S167" s="28" t="s">
        <v>10</v>
      </c>
      <c r="T167" s="28" t="s">
        <v>9</v>
      </c>
      <c r="U167" s="28" t="s">
        <v>9</v>
      </c>
      <c r="V167" s="28" t="s">
        <v>9</v>
      </c>
      <c r="W167" s="28" t="s">
        <v>9</v>
      </c>
      <c r="X167" s="28" t="s">
        <v>9</v>
      </c>
      <c r="Y167" s="28" t="s">
        <v>9</v>
      </c>
      <c r="Z167" s="28" t="s">
        <v>9</v>
      </c>
      <c r="AA167" s="28" t="s">
        <v>9</v>
      </c>
      <c r="AB167" s="28" t="s">
        <v>9</v>
      </c>
      <c r="AC167" s="28" t="s">
        <v>9</v>
      </c>
      <c r="AD167" s="28" t="s">
        <v>10</v>
      </c>
      <c r="AE167" s="28"/>
      <c r="AF167" s="24">
        <f t="shared" si="11"/>
        <v>1</v>
      </c>
      <c r="AG167" s="24">
        <f t="shared" si="12"/>
        <v>4</v>
      </c>
      <c r="AH167" s="41" t="str" cm="1">
        <f t="array" ref="AH167">_xlfn.IFS(
$AE167=15,"Not Started",
$AG167&lt;15,"In Progress",
$AG167=15,"Completed",
SUM(AE167:AG167)&gt;15,"Error"
)</f>
        <v>In Progress</v>
      </c>
    </row>
    <row r="168" spans="1:34" ht="13" x14ac:dyDescent="0.25">
      <c r="A168" s="248"/>
      <c r="B168" s="14">
        <v>165</v>
      </c>
      <c r="C168" s="14" t="s">
        <v>1220</v>
      </c>
      <c r="D168" s="151" t="s">
        <v>8696</v>
      </c>
      <c r="E168" s="57" t="s">
        <v>8560</v>
      </c>
      <c r="F168" s="7" t="s">
        <v>43</v>
      </c>
      <c r="G168" s="7" t="s">
        <v>48</v>
      </c>
      <c r="H168" s="7" t="s">
        <v>5822</v>
      </c>
      <c r="I168" s="7" t="s">
        <v>5822</v>
      </c>
      <c r="J168" s="7" t="s">
        <v>9444</v>
      </c>
      <c r="K168" s="7" t="s">
        <v>8850</v>
      </c>
      <c r="L168" s="76">
        <v>10006045360</v>
      </c>
      <c r="M168" s="3"/>
      <c r="N168" s="201"/>
      <c r="O168" s="28" t="s">
        <v>11</v>
      </c>
      <c r="P168" s="28" t="s">
        <v>11</v>
      </c>
      <c r="Q168" s="28" t="s">
        <v>11</v>
      </c>
      <c r="R168" s="28" t="s">
        <v>11</v>
      </c>
      <c r="S168" s="28" t="s">
        <v>10</v>
      </c>
      <c r="T168" s="28" t="s">
        <v>9</v>
      </c>
      <c r="U168" s="28" t="s">
        <v>9</v>
      </c>
      <c r="V168" s="28" t="s">
        <v>9</v>
      </c>
      <c r="W168" s="28" t="s">
        <v>9</v>
      </c>
      <c r="X168" s="28" t="s">
        <v>9</v>
      </c>
      <c r="Y168" s="28" t="s">
        <v>9</v>
      </c>
      <c r="Z168" s="28" t="s">
        <v>9</v>
      </c>
      <c r="AA168" s="28" t="s">
        <v>9</v>
      </c>
      <c r="AB168" s="28" t="s">
        <v>9</v>
      </c>
      <c r="AC168" s="28" t="s">
        <v>9</v>
      </c>
      <c r="AD168" s="28" t="s">
        <v>10</v>
      </c>
      <c r="AE168" s="28"/>
      <c r="AF168" s="24">
        <f t="shared" si="11"/>
        <v>1</v>
      </c>
      <c r="AG168" s="24">
        <f t="shared" si="12"/>
        <v>4</v>
      </c>
      <c r="AH168" s="41" t="str" cm="1">
        <f t="array" ref="AH168">_xlfn.IFS(
$AE168=15,"Not Started",
$AG168&lt;15,"In Progress",
$AG168=15,"Completed",
SUM(AE168:AG168)&gt;15,"Error"
)</f>
        <v>In Progress</v>
      </c>
    </row>
    <row r="169" spans="1:34" ht="13" x14ac:dyDescent="0.25">
      <c r="A169" s="248"/>
      <c r="B169" s="14">
        <v>166</v>
      </c>
      <c r="C169" s="7" t="s">
        <v>1221</v>
      </c>
      <c r="D169" s="151" t="s">
        <v>8697</v>
      </c>
      <c r="E169" s="57" t="s">
        <v>8561</v>
      </c>
      <c r="F169" s="7" t="s">
        <v>51</v>
      </c>
      <c r="G169" s="7" t="s">
        <v>44</v>
      </c>
      <c r="H169" s="7" t="s">
        <v>5822</v>
      </c>
      <c r="I169" s="7" t="s">
        <v>5822</v>
      </c>
      <c r="J169" s="7" t="s">
        <v>9445</v>
      </c>
      <c r="K169" s="7" t="s">
        <v>8851</v>
      </c>
      <c r="L169" s="76">
        <v>10006034535</v>
      </c>
      <c r="M169" s="3"/>
      <c r="N169" s="201">
        <v>46134</v>
      </c>
      <c r="O169" s="28" t="s">
        <v>11</v>
      </c>
      <c r="P169" s="28" t="s">
        <v>11</v>
      </c>
      <c r="Q169" s="28" t="s">
        <v>11</v>
      </c>
      <c r="R169" s="28" t="s">
        <v>11</v>
      </c>
      <c r="S169" s="28" t="s">
        <v>10</v>
      </c>
      <c r="T169" s="28" t="s">
        <v>11</v>
      </c>
      <c r="U169" s="28" t="s">
        <v>9</v>
      </c>
      <c r="V169" s="28" t="s">
        <v>9</v>
      </c>
      <c r="W169" s="28" t="s">
        <v>9</v>
      </c>
      <c r="X169" s="28" t="s">
        <v>9</v>
      </c>
      <c r="Y169" s="28" t="s">
        <v>9</v>
      </c>
      <c r="Z169" s="28" t="s">
        <v>9</v>
      </c>
      <c r="AA169" s="28" t="s">
        <v>9</v>
      </c>
      <c r="AB169" s="28" t="s">
        <v>9</v>
      </c>
      <c r="AC169" s="28" t="s">
        <v>9</v>
      </c>
      <c r="AD169" s="28" t="s">
        <v>10</v>
      </c>
      <c r="AE169" s="28"/>
      <c r="AF169" s="24">
        <f t="shared" si="11"/>
        <v>1</v>
      </c>
      <c r="AG169" s="24">
        <f t="shared" si="12"/>
        <v>5</v>
      </c>
      <c r="AH169" s="41" t="str" cm="1">
        <f t="array" ref="AH169">_xlfn.IFS(
$AE169=15,"Not Started",
$AG169&lt;15,"In Progress",
$AG169=15,"Completed",
SUM(AE169:AG169)&gt;15,"Error"
)</f>
        <v>In Progress</v>
      </c>
    </row>
    <row r="170" spans="1:34" ht="13" x14ac:dyDescent="0.25">
      <c r="A170" s="248"/>
      <c r="B170" s="14">
        <v>167</v>
      </c>
      <c r="C170" s="14" t="s">
        <v>1222</v>
      </c>
      <c r="D170" s="151" t="s">
        <v>8698</v>
      </c>
      <c r="E170" s="57" t="s">
        <v>8562</v>
      </c>
      <c r="F170" s="7" t="s">
        <v>43</v>
      </c>
      <c r="G170" s="7" t="s">
        <v>44</v>
      </c>
      <c r="H170" s="7" t="s">
        <v>5822</v>
      </c>
      <c r="I170" s="7" t="s">
        <v>5822</v>
      </c>
      <c r="J170" s="7" t="s">
        <v>9446</v>
      </c>
      <c r="K170" s="7" t="s">
        <v>8852</v>
      </c>
      <c r="L170" s="76">
        <v>10006033903</v>
      </c>
      <c r="M170" s="3"/>
      <c r="N170" s="201">
        <v>46139</v>
      </c>
      <c r="O170" s="28" t="s">
        <v>11</v>
      </c>
      <c r="P170" s="28" t="s">
        <v>11</v>
      </c>
      <c r="Q170" s="28" t="s">
        <v>11</v>
      </c>
      <c r="R170" s="28" t="s">
        <v>11</v>
      </c>
      <c r="S170" s="28" t="s">
        <v>10</v>
      </c>
      <c r="T170" s="28" t="s">
        <v>9</v>
      </c>
      <c r="U170" s="28" t="s">
        <v>9</v>
      </c>
      <c r="V170" s="28" t="s">
        <v>9</v>
      </c>
      <c r="W170" s="28" t="s">
        <v>9</v>
      </c>
      <c r="X170" s="28" t="s">
        <v>9</v>
      </c>
      <c r="Y170" s="28" t="s">
        <v>9</v>
      </c>
      <c r="Z170" s="28" t="s">
        <v>9</v>
      </c>
      <c r="AA170" s="28" t="s">
        <v>9</v>
      </c>
      <c r="AB170" s="28" t="s">
        <v>9</v>
      </c>
      <c r="AC170" s="28" t="s">
        <v>9</v>
      </c>
      <c r="AD170" s="28" t="s">
        <v>10</v>
      </c>
      <c r="AE170" s="28"/>
      <c r="AF170" s="24">
        <f t="shared" si="11"/>
        <v>1</v>
      </c>
      <c r="AG170" s="24">
        <f t="shared" si="12"/>
        <v>4</v>
      </c>
      <c r="AH170" s="41" t="str" cm="1">
        <f t="array" ref="AH170">_xlfn.IFS(
$AE170=15,"Not Started",
$AG170&lt;15,"In Progress",
$AG170=15,"Completed",
SUM(AE170:AG170)&gt;15,"Error"
)</f>
        <v>In Progress</v>
      </c>
    </row>
    <row r="171" spans="1:34" ht="13" x14ac:dyDescent="0.25">
      <c r="A171" s="248"/>
      <c r="B171" s="14">
        <v>168</v>
      </c>
      <c r="C171" s="7" t="s">
        <v>1223</v>
      </c>
      <c r="D171" s="151" t="s">
        <v>8699</v>
      </c>
      <c r="E171" s="57" t="s">
        <v>8563</v>
      </c>
      <c r="F171" s="7" t="s">
        <v>47</v>
      </c>
      <c r="G171" s="7" t="s">
        <v>44</v>
      </c>
      <c r="H171" s="7" t="s">
        <v>5822</v>
      </c>
      <c r="I171" s="7" t="s">
        <v>5822</v>
      </c>
      <c r="J171" s="7" t="s">
        <v>9447</v>
      </c>
      <c r="K171" s="7" t="s">
        <v>8853</v>
      </c>
      <c r="L171" s="76">
        <v>10006044881</v>
      </c>
      <c r="M171" s="3"/>
      <c r="N171" s="201">
        <v>46133</v>
      </c>
      <c r="O171" s="28" t="s">
        <v>11</v>
      </c>
      <c r="P171" s="28" t="s">
        <v>11</v>
      </c>
      <c r="Q171" s="28" t="s">
        <v>11</v>
      </c>
      <c r="R171" s="28" t="s">
        <v>11</v>
      </c>
      <c r="S171" s="28" t="s">
        <v>10</v>
      </c>
      <c r="T171" s="28" t="s">
        <v>11</v>
      </c>
      <c r="U171" s="28" t="s">
        <v>9</v>
      </c>
      <c r="V171" s="28" t="s">
        <v>9</v>
      </c>
      <c r="W171" s="28" t="s">
        <v>9</v>
      </c>
      <c r="X171" s="28" t="s">
        <v>9</v>
      </c>
      <c r="Y171" s="28" t="s">
        <v>9</v>
      </c>
      <c r="Z171" s="28" t="s">
        <v>9</v>
      </c>
      <c r="AA171" s="28" t="s">
        <v>9</v>
      </c>
      <c r="AB171" s="28" t="s">
        <v>9</v>
      </c>
      <c r="AC171" s="28" t="s">
        <v>9</v>
      </c>
      <c r="AD171" s="28" t="s">
        <v>10</v>
      </c>
      <c r="AE171" s="28"/>
      <c r="AF171" s="24">
        <f t="shared" si="11"/>
        <v>1</v>
      </c>
      <c r="AG171" s="24">
        <f t="shared" si="12"/>
        <v>5</v>
      </c>
      <c r="AH171" s="41" t="str" cm="1">
        <f t="array" ref="AH171">_xlfn.IFS(
$AE171=15,"Not Started",
$AG171&lt;15,"In Progress",
$AG171=15,"Completed",
SUM(AE171:AG171)&gt;15,"Error"
)</f>
        <v>In Progress</v>
      </c>
    </row>
    <row r="172" spans="1:34" ht="13" x14ac:dyDescent="0.25">
      <c r="A172" s="248"/>
      <c r="B172" s="14">
        <v>169</v>
      </c>
      <c r="C172" s="14" t="s">
        <v>1224</v>
      </c>
      <c r="D172" s="151" t="s">
        <v>8700</v>
      </c>
      <c r="E172" s="57" t="s">
        <v>8564</v>
      </c>
      <c r="F172" s="7" t="s">
        <v>9670</v>
      </c>
      <c r="G172" s="7" t="s">
        <v>48</v>
      </c>
      <c r="H172" s="7" t="s">
        <v>5822</v>
      </c>
      <c r="I172" s="7" t="s">
        <v>5822</v>
      </c>
      <c r="J172" s="7" t="s">
        <v>9448</v>
      </c>
      <c r="K172" s="7" t="s">
        <v>8854</v>
      </c>
      <c r="L172" s="76">
        <v>10103074431</v>
      </c>
      <c r="M172" s="3"/>
      <c r="N172" s="201"/>
      <c r="O172" s="28" t="s">
        <v>11</v>
      </c>
      <c r="P172" s="28" t="s">
        <v>11</v>
      </c>
      <c r="Q172" s="28" t="s">
        <v>11</v>
      </c>
      <c r="R172" s="28" t="s">
        <v>11</v>
      </c>
      <c r="S172" s="28" t="s">
        <v>10</v>
      </c>
      <c r="T172" s="28" t="s">
        <v>9</v>
      </c>
      <c r="U172" s="28" t="s">
        <v>9</v>
      </c>
      <c r="V172" s="28" t="s">
        <v>9</v>
      </c>
      <c r="W172" s="28" t="s">
        <v>9</v>
      </c>
      <c r="X172" s="28" t="s">
        <v>9</v>
      </c>
      <c r="Y172" s="28" t="s">
        <v>9</v>
      </c>
      <c r="Z172" s="28" t="s">
        <v>9</v>
      </c>
      <c r="AA172" s="28" t="s">
        <v>9</v>
      </c>
      <c r="AB172" s="28" t="s">
        <v>9</v>
      </c>
      <c r="AC172" s="28" t="s">
        <v>9</v>
      </c>
      <c r="AD172" s="28" t="s">
        <v>10</v>
      </c>
      <c r="AE172" s="28"/>
      <c r="AF172" s="24">
        <f t="shared" si="11"/>
        <v>1</v>
      </c>
      <c r="AG172" s="24">
        <f t="shared" si="12"/>
        <v>4</v>
      </c>
      <c r="AH172" s="41" t="str" cm="1">
        <f t="array" ref="AH172">_xlfn.IFS(
$AE172=15,"Not Started",
$AG172&lt;15,"In Progress",
$AG172=15,"Completed",
SUM(AE172:AG172)&gt;15,"Error"
)</f>
        <v>In Progress</v>
      </c>
    </row>
    <row r="173" spans="1:34" ht="13" x14ac:dyDescent="0.25">
      <c r="A173" s="248"/>
      <c r="B173" s="14">
        <v>170</v>
      </c>
      <c r="C173" s="7" t="s">
        <v>1225</v>
      </c>
      <c r="D173" s="151" t="s">
        <v>8701</v>
      </c>
      <c r="E173" s="57" t="s">
        <v>8565</v>
      </c>
      <c r="F173" s="7" t="s">
        <v>51</v>
      </c>
      <c r="G173" s="7" t="s">
        <v>44</v>
      </c>
      <c r="H173" s="7" t="s">
        <v>5822</v>
      </c>
      <c r="I173" s="7" t="s">
        <v>5822</v>
      </c>
      <c r="J173" s="7" t="s">
        <v>9449</v>
      </c>
      <c r="K173" s="7" t="s">
        <v>8855</v>
      </c>
      <c r="L173" s="76">
        <v>10005981880</v>
      </c>
      <c r="M173" s="3"/>
      <c r="N173" s="201"/>
      <c r="O173" s="28" t="s">
        <v>9</v>
      </c>
      <c r="P173" s="28" t="s">
        <v>9</v>
      </c>
      <c r="Q173" s="28" t="s">
        <v>9</v>
      </c>
      <c r="R173" s="28" t="s">
        <v>9</v>
      </c>
      <c r="S173" s="28" t="s">
        <v>9</v>
      </c>
      <c r="T173" s="28" t="s">
        <v>9</v>
      </c>
      <c r="U173" s="28" t="s">
        <v>9</v>
      </c>
      <c r="V173" s="28" t="s">
        <v>9</v>
      </c>
      <c r="W173" s="28" t="s">
        <v>9</v>
      </c>
      <c r="X173" s="28" t="s">
        <v>9</v>
      </c>
      <c r="Y173" s="28" t="s">
        <v>9</v>
      </c>
      <c r="Z173" s="28" t="s">
        <v>9</v>
      </c>
      <c r="AA173" s="28" t="s">
        <v>9</v>
      </c>
      <c r="AB173" s="28" t="s">
        <v>9</v>
      </c>
      <c r="AC173" s="28" t="s">
        <v>9</v>
      </c>
      <c r="AD173" s="28" t="s">
        <v>9</v>
      </c>
      <c r="AE173" s="28"/>
      <c r="AF173" s="24">
        <f t="shared" si="11"/>
        <v>0</v>
      </c>
      <c r="AG173" s="24">
        <f t="shared" si="12"/>
        <v>0</v>
      </c>
      <c r="AH173" s="41" t="str" cm="1">
        <f t="array" ref="AH173">_xlfn.IFS(
$AE173=15,"Not Started",
$AG173&lt;15,"In Progress",
$AG173=15,"Completed",
SUM(AE173:AG173)&gt;15,"Error"
)</f>
        <v>In Progress</v>
      </c>
    </row>
    <row r="174" spans="1:34" ht="13" x14ac:dyDescent="0.25">
      <c r="A174" s="248"/>
      <c r="B174" s="14">
        <v>171</v>
      </c>
      <c r="C174" s="14" t="s">
        <v>1226</v>
      </c>
      <c r="D174" s="151" t="s">
        <v>8702</v>
      </c>
      <c r="E174" s="57" t="s">
        <v>8566</v>
      </c>
      <c r="F174" s="7" t="s">
        <v>51</v>
      </c>
      <c r="G174" s="7" t="s">
        <v>44</v>
      </c>
      <c r="H174" s="7" t="s">
        <v>5822</v>
      </c>
      <c r="I174" s="7" t="s">
        <v>5822</v>
      </c>
      <c r="J174" s="7" t="s">
        <v>9450</v>
      </c>
      <c r="K174" s="7" t="s">
        <v>8856</v>
      </c>
      <c r="L174" s="76">
        <v>10006034562</v>
      </c>
      <c r="M174" s="3"/>
      <c r="N174" s="201">
        <v>46137</v>
      </c>
      <c r="O174" s="28" t="s">
        <v>11</v>
      </c>
      <c r="P174" s="28" t="s">
        <v>11</v>
      </c>
      <c r="Q174" s="28" t="s">
        <v>11</v>
      </c>
      <c r="R174" s="28" t="s">
        <v>11</v>
      </c>
      <c r="S174" s="28" t="s">
        <v>9</v>
      </c>
      <c r="T174" s="28" t="s">
        <v>9</v>
      </c>
      <c r="U174" s="28" t="s">
        <v>9</v>
      </c>
      <c r="V174" s="28" t="s">
        <v>9</v>
      </c>
      <c r="W174" s="28" t="s">
        <v>9</v>
      </c>
      <c r="X174" s="28" t="s">
        <v>9</v>
      </c>
      <c r="Y174" s="28" t="s">
        <v>9</v>
      </c>
      <c r="Z174" s="28" t="s">
        <v>9</v>
      </c>
      <c r="AA174" s="28" t="s">
        <v>9</v>
      </c>
      <c r="AB174" s="28" t="s">
        <v>9</v>
      </c>
      <c r="AC174" s="28" t="s">
        <v>9</v>
      </c>
      <c r="AD174" s="28" t="s">
        <v>10</v>
      </c>
      <c r="AE174" s="28"/>
      <c r="AF174" s="24">
        <f t="shared" si="11"/>
        <v>0</v>
      </c>
      <c r="AG174" s="24">
        <f t="shared" si="12"/>
        <v>4</v>
      </c>
      <c r="AH174" s="41" t="str" cm="1">
        <f t="array" ref="AH174">_xlfn.IFS(
$AE174=15,"Not Started",
$AG174&lt;15,"In Progress",
$AG174=15,"Completed",
SUM(AE174:AG174)&gt;15,"Error"
)</f>
        <v>In Progress</v>
      </c>
    </row>
    <row r="175" spans="1:34" ht="13" x14ac:dyDescent="0.25">
      <c r="A175" s="248"/>
      <c r="B175" s="14">
        <v>172</v>
      </c>
      <c r="C175" s="7" t="s">
        <v>1227</v>
      </c>
      <c r="D175" s="151" t="s">
        <v>8703</v>
      </c>
      <c r="E175" s="57" t="s">
        <v>8528</v>
      </c>
      <c r="F175" s="7" t="s">
        <v>43</v>
      </c>
      <c r="G175" s="7" t="s">
        <v>48</v>
      </c>
      <c r="H175" s="7" t="s">
        <v>5822</v>
      </c>
      <c r="I175" s="7" t="s">
        <v>5822</v>
      </c>
      <c r="J175" s="7" t="s">
        <v>9451</v>
      </c>
      <c r="K175" s="7" t="s">
        <v>8857</v>
      </c>
      <c r="L175" s="76">
        <v>10006047963</v>
      </c>
      <c r="M175" s="3"/>
      <c r="N175" s="201"/>
      <c r="O175" s="28" t="s">
        <v>9</v>
      </c>
      <c r="P175" s="28" t="s">
        <v>9</v>
      </c>
      <c r="Q175" s="28" t="s">
        <v>9</v>
      </c>
      <c r="R175" s="28" t="s">
        <v>9</v>
      </c>
      <c r="S175" s="28" t="s">
        <v>9</v>
      </c>
      <c r="T175" s="28" t="s">
        <v>9</v>
      </c>
      <c r="U175" s="28" t="s">
        <v>9</v>
      </c>
      <c r="V175" s="28" t="s">
        <v>9</v>
      </c>
      <c r="W175" s="28" t="s">
        <v>9</v>
      </c>
      <c r="X175" s="28" t="s">
        <v>9</v>
      </c>
      <c r="Y175" s="28" t="s">
        <v>9</v>
      </c>
      <c r="Z175" s="28" t="s">
        <v>9</v>
      </c>
      <c r="AA175" s="28" t="s">
        <v>9</v>
      </c>
      <c r="AB175" s="28" t="s">
        <v>9</v>
      </c>
      <c r="AC175" s="28" t="s">
        <v>9</v>
      </c>
      <c r="AD175" s="28" t="s">
        <v>9</v>
      </c>
      <c r="AE175" s="28"/>
      <c r="AF175" s="24">
        <f t="shared" si="11"/>
        <v>0</v>
      </c>
      <c r="AG175" s="24">
        <f t="shared" si="12"/>
        <v>0</v>
      </c>
      <c r="AH175" s="41" t="str" cm="1">
        <f t="array" ref="AH175">_xlfn.IFS(
$AE175=15,"Not Started",
$AG175&lt;15,"In Progress",
$AG175=15,"Completed",
SUM(AE175:AG175)&gt;15,"Error"
)</f>
        <v>In Progress</v>
      </c>
    </row>
    <row r="176" spans="1:34" ht="13" x14ac:dyDescent="0.25">
      <c r="A176" s="248"/>
      <c r="B176" s="14">
        <v>173</v>
      </c>
      <c r="C176" s="14" t="s">
        <v>1228</v>
      </c>
      <c r="D176" s="151" t="s">
        <v>8704</v>
      </c>
      <c r="E176" s="57" t="s">
        <v>8309</v>
      </c>
      <c r="F176" s="7" t="s">
        <v>9670</v>
      </c>
      <c r="G176" s="7" t="s">
        <v>48</v>
      </c>
      <c r="H176" s="7" t="s">
        <v>5822</v>
      </c>
      <c r="I176" s="7" t="s">
        <v>5822</v>
      </c>
      <c r="J176" s="7" t="s">
        <v>10593</v>
      </c>
      <c r="K176" s="7" t="s">
        <v>8858</v>
      </c>
      <c r="L176" s="76">
        <v>10006047981</v>
      </c>
      <c r="M176" s="3"/>
      <c r="N176" s="201">
        <v>46124</v>
      </c>
      <c r="O176" s="28" t="s">
        <v>11</v>
      </c>
      <c r="P176" s="28" t="s">
        <v>11</v>
      </c>
      <c r="Q176" s="28" t="s">
        <v>11</v>
      </c>
      <c r="R176" s="28" t="s">
        <v>11</v>
      </c>
      <c r="S176" s="28" t="s">
        <v>10</v>
      </c>
      <c r="T176" s="28" t="s">
        <v>9</v>
      </c>
      <c r="U176" s="28" t="s">
        <v>9</v>
      </c>
      <c r="V176" s="28" t="s">
        <v>9</v>
      </c>
      <c r="W176" s="28" t="s">
        <v>9</v>
      </c>
      <c r="X176" s="28" t="s">
        <v>9</v>
      </c>
      <c r="Y176" s="28" t="s">
        <v>9</v>
      </c>
      <c r="Z176" s="28" t="s">
        <v>9</v>
      </c>
      <c r="AA176" s="28" t="s">
        <v>9</v>
      </c>
      <c r="AB176" s="28" t="s">
        <v>9</v>
      </c>
      <c r="AC176" s="28" t="s">
        <v>9</v>
      </c>
      <c r="AD176" s="28" t="s">
        <v>10</v>
      </c>
      <c r="AE176" s="28"/>
      <c r="AF176" s="24">
        <f t="shared" si="11"/>
        <v>1</v>
      </c>
      <c r="AG176" s="24">
        <f t="shared" si="12"/>
        <v>4</v>
      </c>
      <c r="AH176" s="41" t="str" cm="1">
        <f t="array" ref="AH176">_xlfn.IFS(
$AE176=15,"Not Started",
$AG176&lt;15,"In Progress",
$AG176=15,"Completed",
SUM(AE176:AG176)&gt;15,"Error"
)</f>
        <v>In Progress</v>
      </c>
    </row>
    <row r="177" spans="1:34" ht="13" x14ac:dyDescent="0.25">
      <c r="A177" s="248"/>
      <c r="B177" s="14">
        <v>174</v>
      </c>
      <c r="C177" s="7" t="s">
        <v>1229</v>
      </c>
      <c r="D177" s="151" t="s">
        <v>8705</v>
      </c>
      <c r="E177" s="57" t="s">
        <v>8567</v>
      </c>
      <c r="F177" s="7" t="s">
        <v>43</v>
      </c>
      <c r="G177" s="7" t="s">
        <v>44</v>
      </c>
      <c r="H177" s="7" t="s">
        <v>5822</v>
      </c>
      <c r="I177" s="7" t="s">
        <v>5822</v>
      </c>
      <c r="J177" s="7" t="s">
        <v>9452</v>
      </c>
      <c r="K177" s="7" t="s">
        <v>8859</v>
      </c>
      <c r="L177" s="76">
        <v>10006047678</v>
      </c>
      <c r="M177" s="3"/>
      <c r="N177" s="201"/>
      <c r="O177" s="28" t="s">
        <v>11</v>
      </c>
      <c r="P177" s="28" t="s">
        <v>11</v>
      </c>
      <c r="Q177" s="28" t="s">
        <v>11</v>
      </c>
      <c r="R177" s="28" t="s">
        <v>11</v>
      </c>
      <c r="S177" s="28" t="s">
        <v>10</v>
      </c>
      <c r="T177" s="28" t="s">
        <v>9</v>
      </c>
      <c r="U177" s="28" t="s">
        <v>9</v>
      </c>
      <c r="V177" s="28" t="s">
        <v>9</v>
      </c>
      <c r="W177" s="28" t="s">
        <v>9</v>
      </c>
      <c r="X177" s="28" t="s">
        <v>9</v>
      </c>
      <c r="Y177" s="28" t="s">
        <v>9</v>
      </c>
      <c r="Z177" s="28" t="s">
        <v>9</v>
      </c>
      <c r="AA177" s="28" t="s">
        <v>9</v>
      </c>
      <c r="AB177" s="28" t="s">
        <v>9</v>
      </c>
      <c r="AC177" s="28" t="s">
        <v>9</v>
      </c>
      <c r="AD177" s="28" t="s">
        <v>10</v>
      </c>
      <c r="AE177" s="28"/>
      <c r="AF177" s="24">
        <f t="shared" si="11"/>
        <v>1</v>
      </c>
      <c r="AG177" s="24">
        <f t="shared" si="12"/>
        <v>4</v>
      </c>
      <c r="AH177" s="41" t="str" cm="1">
        <f t="array" ref="AH177">_xlfn.IFS(
$AE177=15,"Not Started",
$AG177&lt;15,"In Progress",
$AG177=15,"Completed",
SUM(AE177:AG177)&gt;15,"Error"
)</f>
        <v>In Progress</v>
      </c>
    </row>
    <row r="178" spans="1:34" ht="13" x14ac:dyDescent="0.25">
      <c r="A178" s="248"/>
      <c r="B178" s="14">
        <v>175</v>
      </c>
      <c r="C178" s="14" t="s">
        <v>1230</v>
      </c>
      <c r="D178" s="151" t="s">
        <v>8706</v>
      </c>
      <c r="E178" s="57" t="s">
        <v>8568</v>
      </c>
      <c r="F178" s="7" t="s">
        <v>47</v>
      </c>
      <c r="G178" s="7" t="s">
        <v>44</v>
      </c>
      <c r="H178" s="7" t="s">
        <v>5822</v>
      </c>
      <c r="I178" s="7" t="s">
        <v>8884</v>
      </c>
      <c r="J178" s="7" t="s">
        <v>9453</v>
      </c>
      <c r="K178" s="7" t="s">
        <v>8860</v>
      </c>
      <c r="L178" s="76">
        <v>10006033814</v>
      </c>
      <c r="M178" s="3"/>
      <c r="N178" s="201"/>
      <c r="O178" s="28" t="s">
        <v>11</v>
      </c>
      <c r="P178" s="28" t="s">
        <v>11</v>
      </c>
      <c r="Q178" s="28" t="s">
        <v>11</v>
      </c>
      <c r="R178" s="28" t="s">
        <v>11</v>
      </c>
      <c r="S178" s="28" t="s">
        <v>10</v>
      </c>
      <c r="T178" s="28" t="s">
        <v>9</v>
      </c>
      <c r="U178" s="28" t="s">
        <v>9</v>
      </c>
      <c r="V178" s="28" t="s">
        <v>9</v>
      </c>
      <c r="W178" s="28" t="s">
        <v>9</v>
      </c>
      <c r="X178" s="28" t="s">
        <v>9</v>
      </c>
      <c r="Y178" s="28" t="s">
        <v>9</v>
      </c>
      <c r="Z178" s="28" t="s">
        <v>9</v>
      </c>
      <c r="AA178" s="28" t="s">
        <v>9</v>
      </c>
      <c r="AB178" s="28" t="s">
        <v>9</v>
      </c>
      <c r="AC178" s="28" t="s">
        <v>9</v>
      </c>
      <c r="AD178" s="28" t="s">
        <v>10</v>
      </c>
      <c r="AE178" s="28"/>
      <c r="AF178" s="24">
        <f t="shared" si="11"/>
        <v>1</v>
      </c>
      <c r="AG178" s="24">
        <f t="shared" si="12"/>
        <v>4</v>
      </c>
      <c r="AH178" s="41" t="str" cm="1">
        <f t="array" ref="AH178">_xlfn.IFS(
$AE178=15,"Not Started",
$AG178&lt;15,"In Progress",
$AG178=15,"Completed",
SUM(AE178:AG178)&gt;15,"Error"
)</f>
        <v>In Progress</v>
      </c>
    </row>
    <row r="179" spans="1:34" ht="13" x14ac:dyDescent="0.25">
      <c r="A179" s="248"/>
      <c r="B179" s="14">
        <v>176</v>
      </c>
      <c r="C179" s="7" t="s">
        <v>1231</v>
      </c>
      <c r="D179" s="151" t="s">
        <v>8707</v>
      </c>
      <c r="E179" s="57" t="s">
        <v>8569</v>
      </c>
      <c r="F179" s="7" t="s">
        <v>43</v>
      </c>
      <c r="G179" s="7" t="s">
        <v>44</v>
      </c>
      <c r="H179" s="7" t="s">
        <v>5822</v>
      </c>
      <c r="I179" s="7" t="s">
        <v>8884</v>
      </c>
      <c r="J179" s="7" t="s">
        <v>9454</v>
      </c>
      <c r="K179" s="7" t="s">
        <v>8861</v>
      </c>
      <c r="L179" s="76">
        <v>10006046151</v>
      </c>
      <c r="M179" s="3"/>
      <c r="N179" s="201">
        <v>46135</v>
      </c>
      <c r="O179" s="28" t="s">
        <v>11</v>
      </c>
      <c r="P179" s="28" t="s">
        <v>11</v>
      </c>
      <c r="Q179" s="28" t="s">
        <v>11</v>
      </c>
      <c r="R179" s="28" t="s">
        <v>11</v>
      </c>
      <c r="S179" s="28" t="s">
        <v>9</v>
      </c>
      <c r="T179" s="28" t="s">
        <v>9</v>
      </c>
      <c r="U179" s="28" t="s">
        <v>9</v>
      </c>
      <c r="V179" s="28" t="s">
        <v>9</v>
      </c>
      <c r="W179" s="28" t="s">
        <v>9</v>
      </c>
      <c r="X179" s="28" t="s">
        <v>9</v>
      </c>
      <c r="Y179" s="28" t="s">
        <v>9</v>
      </c>
      <c r="Z179" s="28" t="s">
        <v>9</v>
      </c>
      <c r="AA179" s="28" t="s">
        <v>9</v>
      </c>
      <c r="AB179" s="28" t="s">
        <v>9</v>
      </c>
      <c r="AC179" s="28" t="s">
        <v>9</v>
      </c>
      <c r="AD179" s="28" t="s">
        <v>9</v>
      </c>
      <c r="AE179" s="28"/>
      <c r="AF179" s="24">
        <f t="shared" si="11"/>
        <v>0</v>
      </c>
      <c r="AG179" s="24">
        <f t="shared" si="12"/>
        <v>4</v>
      </c>
      <c r="AH179" s="41" t="str" cm="1">
        <f t="array" ref="AH179">_xlfn.IFS(
$AE179=15,"Not Started",
$AG179&lt;15,"In Progress",
$AG179=15,"Completed",
SUM(AE179:AG179)&gt;15,"Error"
)</f>
        <v>In Progress</v>
      </c>
    </row>
    <row r="180" spans="1:34" ht="13" x14ac:dyDescent="0.25">
      <c r="A180" s="248"/>
      <c r="B180" s="14">
        <v>177</v>
      </c>
      <c r="C180" s="14" t="s">
        <v>1232</v>
      </c>
      <c r="D180" s="151" t="s">
        <v>8708</v>
      </c>
      <c r="E180" s="57" t="s">
        <v>8570</v>
      </c>
      <c r="F180" s="7" t="s">
        <v>43</v>
      </c>
      <c r="G180" s="7" t="s">
        <v>48</v>
      </c>
      <c r="H180" s="7" t="s">
        <v>5822</v>
      </c>
      <c r="I180" s="7" t="s">
        <v>5821</v>
      </c>
      <c r="J180" s="7" t="s">
        <v>9455</v>
      </c>
      <c r="K180" s="7" t="s">
        <v>8862</v>
      </c>
      <c r="L180" s="76">
        <v>10006063081</v>
      </c>
      <c r="M180" s="3"/>
      <c r="N180" s="201"/>
      <c r="O180" s="28" t="s">
        <v>11</v>
      </c>
      <c r="P180" s="28" t="s">
        <v>11</v>
      </c>
      <c r="Q180" s="28" t="s">
        <v>11</v>
      </c>
      <c r="R180" s="28" t="s">
        <v>11</v>
      </c>
      <c r="S180" s="28" t="s">
        <v>10</v>
      </c>
      <c r="T180" s="28" t="s">
        <v>9</v>
      </c>
      <c r="U180" s="28" t="s">
        <v>9</v>
      </c>
      <c r="V180" s="28" t="s">
        <v>9</v>
      </c>
      <c r="W180" s="28" t="s">
        <v>9</v>
      </c>
      <c r="X180" s="28" t="s">
        <v>9</v>
      </c>
      <c r="Y180" s="28" t="s">
        <v>9</v>
      </c>
      <c r="Z180" s="28" t="s">
        <v>9</v>
      </c>
      <c r="AA180" s="28" t="s">
        <v>9</v>
      </c>
      <c r="AB180" s="28" t="s">
        <v>9</v>
      </c>
      <c r="AC180" s="28" t="s">
        <v>9</v>
      </c>
      <c r="AD180" s="28" t="s">
        <v>10</v>
      </c>
      <c r="AE180" s="28"/>
      <c r="AF180" s="24">
        <f t="shared" si="11"/>
        <v>1</v>
      </c>
      <c r="AG180" s="24">
        <f t="shared" si="12"/>
        <v>4</v>
      </c>
      <c r="AH180" s="41" t="str" cm="1">
        <f t="array" ref="AH180">_xlfn.IFS(
$AE180=15,"Not Started",
$AG180&lt;15,"In Progress",
$AG180=15,"Completed",
SUM(AE180:AG180)&gt;15,"Error"
)</f>
        <v>In Progress</v>
      </c>
    </row>
    <row r="181" spans="1:34" ht="13" x14ac:dyDescent="0.25">
      <c r="A181" s="248"/>
      <c r="B181" s="14">
        <v>178</v>
      </c>
      <c r="C181" s="7" t="s">
        <v>1233</v>
      </c>
      <c r="D181" s="143" t="s">
        <v>8709</v>
      </c>
      <c r="E181" s="144" t="s">
        <v>8571</v>
      </c>
      <c r="F181" s="142" t="s">
        <v>51</v>
      </c>
      <c r="G181" s="142" t="s">
        <v>48</v>
      </c>
      <c r="H181" s="142" t="s">
        <v>5822</v>
      </c>
      <c r="I181" s="142" t="s">
        <v>5821</v>
      </c>
      <c r="J181" s="142" t="s">
        <v>9456</v>
      </c>
      <c r="K181" s="142" t="s">
        <v>8863</v>
      </c>
      <c r="L181" s="174">
        <v>10006073963</v>
      </c>
      <c r="M181" s="175"/>
      <c r="N181" s="201"/>
      <c r="O181" s="28" t="s">
        <v>11</v>
      </c>
      <c r="P181" s="28" t="s">
        <v>11</v>
      </c>
      <c r="Q181" s="28" t="s">
        <v>11</v>
      </c>
      <c r="R181" s="28" t="s">
        <v>11</v>
      </c>
      <c r="S181" s="28" t="s">
        <v>10</v>
      </c>
      <c r="T181" s="28" t="s">
        <v>9</v>
      </c>
      <c r="U181" s="28" t="s">
        <v>9</v>
      </c>
      <c r="V181" s="28" t="s">
        <v>9</v>
      </c>
      <c r="W181" s="28" t="s">
        <v>9</v>
      </c>
      <c r="X181" s="28" t="s">
        <v>9</v>
      </c>
      <c r="Y181" s="28" t="s">
        <v>9</v>
      </c>
      <c r="Z181" s="28" t="s">
        <v>9</v>
      </c>
      <c r="AA181" s="28" t="s">
        <v>9</v>
      </c>
      <c r="AB181" s="28" t="s">
        <v>9</v>
      </c>
      <c r="AC181" s="28" t="s">
        <v>9</v>
      </c>
      <c r="AD181" s="28" t="s">
        <v>10</v>
      </c>
      <c r="AE181" s="28"/>
      <c r="AF181" s="24">
        <f t="shared" si="11"/>
        <v>1</v>
      </c>
      <c r="AG181" s="24">
        <f t="shared" si="12"/>
        <v>4</v>
      </c>
      <c r="AH181" s="41" t="str" cm="1">
        <f t="array" ref="AH181">_xlfn.IFS(
$AE181=15,"Not Started",
$AG181&lt;15,"In Progress",
$AG181=15,"Completed",
SUM(AE181:AG181)&gt;15,"Error"
)</f>
        <v>In Progress</v>
      </c>
    </row>
    <row r="182" spans="1:34" ht="13" x14ac:dyDescent="0.25">
      <c r="A182" s="248"/>
      <c r="B182" s="14">
        <v>179</v>
      </c>
      <c r="C182" s="14" t="s">
        <v>1234</v>
      </c>
      <c r="D182" s="151" t="s">
        <v>5783</v>
      </c>
      <c r="E182" s="57" t="s">
        <v>5782</v>
      </c>
      <c r="F182" s="7" t="s">
        <v>47</v>
      </c>
      <c r="G182" s="7" t="s">
        <v>44</v>
      </c>
      <c r="H182" s="7" t="s">
        <v>5822</v>
      </c>
      <c r="I182" s="7" t="s">
        <v>5821</v>
      </c>
      <c r="J182" s="7" t="s">
        <v>9457</v>
      </c>
      <c r="K182" s="7" t="s">
        <v>5819</v>
      </c>
      <c r="L182" s="76">
        <v>10006016724</v>
      </c>
      <c r="M182" s="3"/>
      <c r="N182" s="201"/>
      <c r="O182" s="28" t="s">
        <v>11</v>
      </c>
      <c r="P182" s="28" t="s">
        <v>11</v>
      </c>
      <c r="Q182" s="28" t="s">
        <v>11</v>
      </c>
      <c r="R182" s="28" t="s">
        <v>11</v>
      </c>
      <c r="S182" s="28" t="s">
        <v>9</v>
      </c>
      <c r="T182" s="28" t="s">
        <v>9</v>
      </c>
      <c r="U182" s="28" t="s">
        <v>9</v>
      </c>
      <c r="V182" s="28" t="s">
        <v>9</v>
      </c>
      <c r="W182" s="28" t="s">
        <v>9</v>
      </c>
      <c r="X182" s="28" t="s">
        <v>9</v>
      </c>
      <c r="Y182" s="28" t="s">
        <v>9</v>
      </c>
      <c r="Z182" s="28" t="s">
        <v>9</v>
      </c>
      <c r="AA182" s="28" t="s">
        <v>9</v>
      </c>
      <c r="AB182" s="28" t="s">
        <v>9</v>
      </c>
      <c r="AC182" s="28" t="s">
        <v>9</v>
      </c>
      <c r="AD182" s="28" t="s">
        <v>10</v>
      </c>
      <c r="AE182" s="28"/>
      <c r="AF182" s="24">
        <f t="shared" si="11"/>
        <v>0</v>
      </c>
      <c r="AG182" s="24">
        <f t="shared" si="12"/>
        <v>4</v>
      </c>
      <c r="AH182" s="41" t="str" cm="1">
        <f t="array" ref="AH182">_xlfn.IFS(
$AE182=15,"Not Started",
$AG182&lt;15,"In Progress",
$AG182=15,"Completed",
SUM(AE182:AG182)&gt;15,"Error"
)</f>
        <v>In Progress</v>
      </c>
    </row>
    <row r="183" spans="1:34" ht="13" x14ac:dyDescent="0.25">
      <c r="A183" s="248"/>
      <c r="B183" s="14">
        <v>180</v>
      </c>
      <c r="C183" s="7" t="s">
        <v>1235</v>
      </c>
      <c r="D183" s="151" t="s">
        <v>5785</v>
      </c>
      <c r="E183" s="57" t="s">
        <v>5784</v>
      </c>
      <c r="F183" s="7" t="s">
        <v>43</v>
      </c>
      <c r="G183" s="7" t="s">
        <v>44</v>
      </c>
      <c r="H183" s="7" t="s">
        <v>5822</v>
      </c>
      <c r="I183" s="7" t="s">
        <v>5821</v>
      </c>
      <c r="J183" s="7" t="s">
        <v>10594</v>
      </c>
      <c r="K183" s="7" t="s">
        <v>5820</v>
      </c>
      <c r="L183" s="76">
        <v>10006041208</v>
      </c>
      <c r="M183" s="3"/>
      <c r="N183" s="201"/>
      <c r="O183" s="28" t="s">
        <v>11</v>
      </c>
      <c r="P183" s="28" t="s">
        <v>11</v>
      </c>
      <c r="Q183" s="28" t="s">
        <v>11</v>
      </c>
      <c r="R183" s="28" t="s">
        <v>11</v>
      </c>
      <c r="S183" s="28" t="s">
        <v>10</v>
      </c>
      <c r="T183" s="28" t="s">
        <v>9</v>
      </c>
      <c r="U183" s="28" t="s">
        <v>9</v>
      </c>
      <c r="V183" s="28" t="s">
        <v>9</v>
      </c>
      <c r="W183" s="28" t="s">
        <v>9</v>
      </c>
      <c r="X183" s="28" t="s">
        <v>9</v>
      </c>
      <c r="Y183" s="28" t="s">
        <v>9</v>
      </c>
      <c r="Z183" s="28" t="s">
        <v>9</v>
      </c>
      <c r="AA183" s="28" t="s">
        <v>9</v>
      </c>
      <c r="AB183" s="28" t="s">
        <v>9</v>
      </c>
      <c r="AC183" s="28" t="s">
        <v>9</v>
      </c>
      <c r="AD183" s="28" t="s">
        <v>10</v>
      </c>
      <c r="AE183" s="28"/>
      <c r="AF183" s="24">
        <f t="shared" si="11"/>
        <v>1</v>
      </c>
      <c r="AG183" s="24">
        <f t="shared" si="12"/>
        <v>4</v>
      </c>
      <c r="AH183" s="41" t="str" cm="1">
        <f t="array" ref="AH183">_xlfn.IFS(
$AE183=15,"Not Started",
$AG183&lt;15,"In Progress",
$AG183=15,"Completed",
SUM(AE183:AG183)&gt;15,"Error"
)</f>
        <v>In Progress</v>
      </c>
    </row>
    <row r="184" spans="1:34" ht="13" x14ac:dyDescent="0.25">
      <c r="A184" s="248"/>
      <c r="B184" s="14">
        <v>181</v>
      </c>
      <c r="C184" s="14" t="s">
        <v>1236</v>
      </c>
      <c r="D184" s="157" t="s">
        <v>10562</v>
      </c>
      <c r="E184" s="161" t="s">
        <v>10563</v>
      </c>
      <c r="F184" s="138" t="s">
        <v>9670</v>
      </c>
      <c r="G184" s="138" t="s">
        <v>48</v>
      </c>
      <c r="H184" s="138" t="s">
        <v>5822</v>
      </c>
      <c r="I184" s="138" t="s">
        <v>5822</v>
      </c>
      <c r="J184" s="7" t="s">
        <v>10564</v>
      </c>
      <c r="K184" s="162" t="s">
        <v>8864</v>
      </c>
      <c r="L184" s="162">
        <v>10006019717</v>
      </c>
      <c r="M184" s="3"/>
      <c r="N184" s="201">
        <v>46120</v>
      </c>
      <c r="O184" s="28" t="s">
        <v>11</v>
      </c>
      <c r="P184" s="28" t="s">
        <v>11</v>
      </c>
      <c r="Q184" s="28" t="s">
        <v>11</v>
      </c>
      <c r="R184" s="28" t="s">
        <v>11</v>
      </c>
      <c r="S184" s="28" t="s">
        <v>9</v>
      </c>
      <c r="T184" s="28" t="s">
        <v>9</v>
      </c>
      <c r="U184" s="28" t="s">
        <v>9</v>
      </c>
      <c r="V184" s="28" t="s">
        <v>9</v>
      </c>
      <c r="W184" s="28" t="s">
        <v>9</v>
      </c>
      <c r="X184" s="28" t="s">
        <v>9</v>
      </c>
      <c r="Y184" s="28" t="s">
        <v>9</v>
      </c>
      <c r="Z184" s="28" t="s">
        <v>9</v>
      </c>
      <c r="AA184" s="28" t="s">
        <v>9</v>
      </c>
      <c r="AB184" s="28" t="s">
        <v>9</v>
      </c>
      <c r="AC184" s="28" t="s">
        <v>9</v>
      </c>
      <c r="AD184" s="28" t="s">
        <v>10</v>
      </c>
      <c r="AE184" s="28"/>
      <c r="AF184" s="24">
        <f t="shared" si="11"/>
        <v>0</v>
      </c>
      <c r="AG184" s="24">
        <f t="shared" si="12"/>
        <v>4</v>
      </c>
      <c r="AH184" s="41" t="str" cm="1">
        <f t="array" ref="AH184">_xlfn.IFS(
$AE184=15,"Not Started",
$AG184&lt;15,"In Progress",
$AG184=15,"Completed",
SUM(AE184:AG184)&gt;15,"Error"
)</f>
        <v>In Progress</v>
      </c>
    </row>
    <row r="185" spans="1:34" ht="13" x14ac:dyDescent="0.25">
      <c r="A185" s="248"/>
      <c r="B185" s="14">
        <v>182</v>
      </c>
      <c r="C185" s="7" t="s">
        <v>1237</v>
      </c>
      <c r="D185" s="157" t="s">
        <v>10565</v>
      </c>
      <c r="E185" s="161" t="s">
        <v>10566</v>
      </c>
      <c r="F185" s="138" t="s">
        <v>43</v>
      </c>
      <c r="G185" s="138" t="s">
        <v>48</v>
      </c>
      <c r="H185" s="138" t="s">
        <v>5822</v>
      </c>
      <c r="I185" s="138" t="s">
        <v>5822</v>
      </c>
      <c r="J185" s="138" t="s">
        <v>10567</v>
      </c>
      <c r="K185" s="138" t="s">
        <v>10568</v>
      </c>
      <c r="L185" s="166">
        <v>10084051053</v>
      </c>
      <c r="M185" s="3"/>
      <c r="N185" s="201"/>
      <c r="O185" s="28" t="s">
        <v>11</v>
      </c>
      <c r="P185" s="28" t="s">
        <v>11</v>
      </c>
      <c r="Q185" s="28" t="s">
        <v>11</v>
      </c>
      <c r="R185" s="28" t="s">
        <v>11</v>
      </c>
      <c r="S185" s="28" t="s">
        <v>10</v>
      </c>
      <c r="T185" s="28" t="s">
        <v>9</v>
      </c>
      <c r="U185" s="28" t="s">
        <v>9</v>
      </c>
      <c r="V185" s="28" t="s">
        <v>9</v>
      </c>
      <c r="W185" s="28" t="s">
        <v>9</v>
      </c>
      <c r="X185" s="28" t="s">
        <v>9</v>
      </c>
      <c r="Y185" s="28" t="s">
        <v>9</v>
      </c>
      <c r="Z185" s="28" t="s">
        <v>9</v>
      </c>
      <c r="AA185" s="28" t="s">
        <v>9</v>
      </c>
      <c r="AB185" s="28" t="s">
        <v>9</v>
      </c>
      <c r="AC185" s="28" t="s">
        <v>9</v>
      </c>
      <c r="AD185" s="28" t="s">
        <v>10</v>
      </c>
      <c r="AE185" s="28"/>
      <c r="AF185" s="24">
        <f t="shared" si="11"/>
        <v>1</v>
      </c>
      <c r="AG185" s="24">
        <f t="shared" si="12"/>
        <v>4</v>
      </c>
      <c r="AH185" s="41" t="str" cm="1">
        <f t="array" ref="AH185">_xlfn.IFS(
$AE185=15,"Not Started",
$AG185&lt;15,"In Progress",
$AG185=15,"Completed",
SUM(AE185:AG185)&gt;15,"Error"
)</f>
        <v>In Progress</v>
      </c>
    </row>
    <row r="186" spans="1:34" ht="13" x14ac:dyDescent="0.25">
      <c r="A186" s="248"/>
      <c r="B186" s="14">
        <v>183</v>
      </c>
      <c r="C186" s="14" t="s">
        <v>1238</v>
      </c>
      <c r="D186" s="143" t="s">
        <v>8710</v>
      </c>
      <c r="E186" s="144" t="s">
        <v>8572</v>
      </c>
      <c r="F186" s="142" t="s">
        <v>43</v>
      </c>
      <c r="G186" s="142" t="s">
        <v>44</v>
      </c>
      <c r="H186" s="142" t="s">
        <v>5822</v>
      </c>
      <c r="I186" s="142" t="s">
        <v>5821</v>
      </c>
      <c r="J186" s="142" t="s">
        <v>9458</v>
      </c>
      <c r="K186" s="142" t="s">
        <v>8864</v>
      </c>
      <c r="L186" s="174">
        <v>10006019717</v>
      </c>
      <c r="M186" s="175"/>
      <c r="N186" s="201"/>
      <c r="O186" s="28" t="s">
        <v>11</v>
      </c>
      <c r="P186" s="28" t="s">
        <v>11</v>
      </c>
      <c r="Q186" s="28" t="s">
        <v>11</v>
      </c>
      <c r="R186" s="28" t="s">
        <v>11</v>
      </c>
      <c r="S186" s="28" t="s">
        <v>10</v>
      </c>
      <c r="T186" s="28" t="s">
        <v>9</v>
      </c>
      <c r="U186" s="28" t="s">
        <v>9</v>
      </c>
      <c r="V186" s="28" t="s">
        <v>9</v>
      </c>
      <c r="W186" s="28" t="s">
        <v>9</v>
      </c>
      <c r="X186" s="28" t="s">
        <v>9</v>
      </c>
      <c r="Y186" s="28" t="s">
        <v>9</v>
      </c>
      <c r="Z186" s="28" t="s">
        <v>9</v>
      </c>
      <c r="AA186" s="28" t="s">
        <v>9</v>
      </c>
      <c r="AB186" s="28" t="s">
        <v>9</v>
      </c>
      <c r="AC186" s="28" t="s">
        <v>9</v>
      </c>
      <c r="AD186" s="28" t="s">
        <v>10</v>
      </c>
      <c r="AE186" s="28"/>
      <c r="AF186" s="24">
        <f t="shared" si="11"/>
        <v>1</v>
      </c>
      <c r="AG186" s="24">
        <f t="shared" si="12"/>
        <v>4</v>
      </c>
      <c r="AH186" s="41" t="str" cm="1">
        <f t="array" ref="AH186">_xlfn.IFS(
$AE186=15,"Not Started",
$AG186&lt;15,"In Progress",
$AG186=15,"Completed",
SUM(AE186:AG186)&gt;15,"Error"
)</f>
        <v>In Progress</v>
      </c>
    </row>
    <row r="187" spans="1:34" ht="13" x14ac:dyDescent="0.25">
      <c r="A187" s="248"/>
      <c r="B187" s="14">
        <v>184</v>
      </c>
      <c r="C187" s="7" t="s">
        <v>1239</v>
      </c>
      <c r="D187" s="151" t="s">
        <v>8711</v>
      </c>
      <c r="E187" s="57" t="s">
        <v>8573</v>
      </c>
      <c r="F187" s="7" t="s">
        <v>43</v>
      </c>
      <c r="G187" s="7" t="s">
        <v>48</v>
      </c>
      <c r="H187" s="7" t="s">
        <v>5822</v>
      </c>
      <c r="I187" s="7" t="s">
        <v>5821</v>
      </c>
      <c r="J187" s="7" t="s">
        <v>9459</v>
      </c>
      <c r="K187" s="7" t="s">
        <v>8865</v>
      </c>
      <c r="L187" s="76">
        <v>10006048998</v>
      </c>
      <c r="M187" s="3"/>
      <c r="N187" s="201"/>
      <c r="O187" s="28" t="s">
        <v>11</v>
      </c>
      <c r="P187" s="28" t="s">
        <v>11</v>
      </c>
      <c r="Q187" s="28" t="s">
        <v>11</v>
      </c>
      <c r="R187" s="28" t="s">
        <v>11</v>
      </c>
      <c r="S187" s="28" t="s">
        <v>10</v>
      </c>
      <c r="T187" s="28" t="s">
        <v>9</v>
      </c>
      <c r="U187" s="28" t="s">
        <v>9</v>
      </c>
      <c r="V187" s="28" t="s">
        <v>9</v>
      </c>
      <c r="W187" s="28" t="s">
        <v>9</v>
      </c>
      <c r="X187" s="28" t="s">
        <v>9</v>
      </c>
      <c r="Y187" s="28" t="s">
        <v>9</v>
      </c>
      <c r="Z187" s="28" t="s">
        <v>9</v>
      </c>
      <c r="AA187" s="28" t="s">
        <v>9</v>
      </c>
      <c r="AB187" s="28" t="s">
        <v>9</v>
      </c>
      <c r="AC187" s="28" t="s">
        <v>9</v>
      </c>
      <c r="AD187" s="28" t="s">
        <v>10</v>
      </c>
      <c r="AE187" s="28"/>
      <c r="AF187" s="24">
        <f t="shared" si="11"/>
        <v>1</v>
      </c>
      <c r="AG187" s="24">
        <f t="shared" si="12"/>
        <v>4</v>
      </c>
      <c r="AH187" s="41" t="str" cm="1">
        <f t="array" ref="AH187">_xlfn.IFS(
$AE187=15,"Not Started",
$AG187&lt;15,"In Progress",
$AG187=15,"Completed",
SUM(AE187:AG187)&gt;15,"Error"
)</f>
        <v>In Progress</v>
      </c>
    </row>
    <row r="188" spans="1:34" ht="13" x14ac:dyDescent="0.25">
      <c r="A188" s="248"/>
      <c r="B188" s="14">
        <v>185</v>
      </c>
      <c r="C188" s="14" t="s">
        <v>1240</v>
      </c>
      <c r="D188" s="151" t="s">
        <v>8712</v>
      </c>
      <c r="E188" s="57" t="s">
        <v>8574</v>
      </c>
      <c r="F188" s="7" t="s">
        <v>51</v>
      </c>
      <c r="G188" s="7" t="s">
        <v>48</v>
      </c>
      <c r="H188" s="7" t="s">
        <v>5822</v>
      </c>
      <c r="I188" s="7" t="s">
        <v>5821</v>
      </c>
      <c r="J188" s="7" t="s">
        <v>9460</v>
      </c>
      <c r="K188" s="7" t="s">
        <v>8866</v>
      </c>
      <c r="L188" s="76">
        <v>10104775825</v>
      </c>
      <c r="M188" s="3"/>
      <c r="N188" s="201"/>
      <c r="O188" s="28" t="s">
        <v>11</v>
      </c>
      <c r="P188" s="28" t="s">
        <v>11</v>
      </c>
      <c r="Q188" s="28" t="s">
        <v>11</v>
      </c>
      <c r="R188" s="28" t="s">
        <v>11</v>
      </c>
      <c r="S188" s="28" t="s">
        <v>10</v>
      </c>
      <c r="T188" s="28" t="s">
        <v>9</v>
      </c>
      <c r="U188" s="28" t="s">
        <v>9</v>
      </c>
      <c r="V188" s="28" t="s">
        <v>9</v>
      </c>
      <c r="W188" s="28" t="s">
        <v>9</v>
      </c>
      <c r="X188" s="28" t="s">
        <v>9</v>
      </c>
      <c r="Y188" s="28" t="s">
        <v>9</v>
      </c>
      <c r="Z188" s="28" t="s">
        <v>9</v>
      </c>
      <c r="AA188" s="28" t="s">
        <v>9</v>
      </c>
      <c r="AB188" s="28" t="s">
        <v>9</v>
      </c>
      <c r="AC188" s="28" t="s">
        <v>9</v>
      </c>
      <c r="AD188" s="28" t="s">
        <v>10</v>
      </c>
      <c r="AE188" s="28"/>
      <c r="AF188" s="24">
        <f t="shared" si="11"/>
        <v>1</v>
      </c>
      <c r="AG188" s="24">
        <f t="shared" si="12"/>
        <v>4</v>
      </c>
      <c r="AH188" s="41" t="str" cm="1">
        <f t="array" ref="AH188">_xlfn.IFS(
$AE188=15,"Not Started",
$AG188&lt;15,"In Progress",
$AG188=15,"Completed",
SUM(AE188:AG188)&gt;15,"Error"
)</f>
        <v>In Progress</v>
      </c>
    </row>
    <row r="189" spans="1:34" ht="13" x14ac:dyDescent="0.25">
      <c r="A189" s="248"/>
      <c r="B189" s="14">
        <v>186</v>
      </c>
      <c r="C189" s="7" t="s">
        <v>1241</v>
      </c>
      <c r="D189" s="151" t="s">
        <v>8713</v>
      </c>
      <c r="E189" s="57" t="s">
        <v>8575</v>
      </c>
      <c r="F189" s="7" t="s">
        <v>9670</v>
      </c>
      <c r="G189" s="7" t="s">
        <v>48</v>
      </c>
      <c r="H189" s="7" t="s">
        <v>5822</v>
      </c>
      <c r="I189" s="7" t="s">
        <v>5821</v>
      </c>
      <c r="J189" s="7" t="s">
        <v>9461</v>
      </c>
      <c r="K189" s="7" t="s">
        <v>8867</v>
      </c>
      <c r="L189" s="76">
        <v>10006018774</v>
      </c>
      <c r="M189" s="3"/>
      <c r="N189" s="201"/>
      <c r="O189" s="28" t="s">
        <v>11</v>
      </c>
      <c r="P189" s="28" t="s">
        <v>11</v>
      </c>
      <c r="Q189" s="28" t="s">
        <v>11</v>
      </c>
      <c r="R189" s="28" t="s">
        <v>11</v>
      </c>
      <c r="S189" s="28" t="s">
        <v>10</v>
      </c>
      <c r="T189" s="28" t="s">
        <v>9</v>
      </c>
      <c r="U189" s="28" t="s">
        <v>9</v>
      </c>
      <c r="V189" s="28" t="s">
        <v>9</v>
      </c>
      <c r="W189" s="28" t="s">
        <v>9</v>
      </c>
      <c r="X189" s="28" t="s">
        <v>9</v>
      </c>
      <c r="Y189" s="28" t="s">
        <v>9</v>
      </c>
      <c r="Z189" s="28" t="s">
        <v>9</v>
      </c>
      <c r="AA189" s="28" t="s">
        <v>9</v>
      </c>
      <c r="AB189" s="28" t="s">
        <v>9</v>
      </c>
      <c r="AC189" s="28" t="s">
        <v>9</v>
      </c>
      <c r="AD189" s="28" t="s">
        <v>10</v>
      </c>
      <c r="AE189" s="28"/>
      <c r="AF189" s="24">
        <f t="shared" si="11"/>
        <v>1</v>
      </c>
      <c r="AG189" s="24">
        <f t="shared" si="12"/>
        <v>4</v>
      </c>
      <c r="AH189" s="41" t="str" cm="1">
        <f t="array" ref="AH189">_xlfn.IFS(
$AE189=15,"Not Started",
$AG189&lt;15,"In Progress",
$AG189=15,"Completed",
SUM(AE189:AG189)&gt;15,"Error"
)</f>
        <v>In Progress</v>
      </c>
    </row>
    <row r="190" spans="1:34" ht="13" x14ac:dyDescent="0.25">
      <c r="A190" s="248"/>
      <c r="B190" s="14">
        <v>187</v>
      </c>
      <c r="C190" s="14" t="s">
        <v>1242</v>
      </c>
      <c r="D190" s="151" t="s">
        <v>8714</v>
      </c>
      <c r="E190" s="57" t="s">
        <v>8576</v>
      </c>
      <c r="F190" s="7" t="s">
        <v>9670</v>
      </c>
      <c r="G190" s="7" t="s">
        <v>48</v>
      </c>
      <c r="H190" s="7" t="s">
        <v>5822</v>
      </c>
      <c r="I190" s="7" t="s">
        <v>5821</v>
      </c>
      <c r="J190" s="7" t="s">
        <v>9462</v>
      </c>
      <c r="K190" s="7" t="s">
        <v>8868</v>
      </c>
      <c r="L190" s="76">
        <v>10104212597</v>
      </c>
      <c r="M190" s="3"/>
      <c r="N190" s="201"/>
      <c r="O190" s="28" t="s">
        <v>11</v>
      </c>
      <c r="P190" s="28" t="s">
        <v>11</v>
      </c>
      <c r="Q190" s="28" t="s">
        <v>11</v>
      </c>
      <c r="R190" s="28" t="s">
        <v>11</v>
      </c>
      <c r="S190" s="28" t="s">
        <v>10</v>
      </c>
      <c r="T190" s="28" t="s">
        <v>9</v>
      </c>
      <c r="U190" s="28" t="s">
        <v>9</v>
      </c>
      <c r="V190" s="28" t="s">
        <v>9</v>
      </c>
      <c r="W190" s="28" t="s">
        <v>9</v>
      </c>
      <c r="X190" s="28" t="s">
        <v>9</v>
      </c>
      <c r="Y190" s="28" t="s">
        <v>9</v>
      </c>
      <c r="Z190" s="28" t="s">
        <v>9</v>
      </c>
      <c r="AA190" s="28" t="s">
        <v>9</v>
      </c>
      <c r="AB190" s="28" t="s">
        <v>9</v>
      </c>
      <c r="AC190" s="28" t="s">
        <v>9</v>
      </c>
      <c r="AD190" s="28" t="s">
        <v>10</v>
      </c>
      <c r="AE190" s="28"/>
      <c r="AF190" s="24">
        <f t="shared" si="11"/>
        <v>1</v>
      </c>
      <c r="AG190" s="24">
        <f t="shared" si="12"/>
        <v>4</v>
      </c>
      <c r="AH190" s="41" t="str" cm="1">
        <f t="array" ref="AH190">_xlfn.IFS(
$AE190=15,"Not Started",
$AG190&lt;15,"In Progress",
$AG190=15,"Completed",
SUM(AE190:AG190)&gt;15,"Error"
)</f>
        <v>In Progress</v>
      </c>
    </row>
    <row r="191" spans="1:34" ht="13" x14ac:dyDescent="0.25">
      <c r="A191" s="248"/>
      <c r="B191" s="14">
        <v>188</v>
      </c>
      <c r="C191" s="7" t="s">
        <v>1243</v>
      </c>
      <c r="D191" s="151" t="s">
        <v>8715</v>
      </c>
      <c r="E191" s="57" t="s">
        <v>8577</v>
      </c>
      <c r="F191" s="7" t="s">
        <v>9670</v>
      </c>
      <c r="G191" s="7" t="s">
        <v>48</v>
      </c>
      <c r="H191" s="7" t="s">
        <v>5822</v>
      </c>
      <c r="I191" s="7" t="s">
        <v>5821</v>
      </c>
      <c r="J191" s="7" t="s">
        <v>9463</v>
      </c>
      <c r="K191" s="7" t="s">
        <v>8869</v>
      </c>
      <c r="L191" s="76">
        <v>10104099589</v>
      </c>
      <c r="M191" s="3"/>
      <c r="N191" s="201"/>
      <c r="O191" s="28" t="s">
        <v>11</v>
      </c>
      <c r="P191" s="28" t="s">
        <v>11</v>
      </c>
      <c r="Q191" s="28" t="s">
        <v>11</v>
      </c>
      <c r="R191" s="28" t="s">
        <v>11</v>
      </c>
      <c r="S191" s="28" t="s">
        <v>10</v>
      </c>
      <c r="T191" s="28" t="s">
        <v>9</v>
      </c>
      <c r="U191" s="28" t="s">
        <v>9</v>
      </c>
      <c r="V191" s="28" t="s">
        <v>9</v>
      </c>
      <c r="W191" s="28" t="s">
        <v>9</v>
      </c>
      <c r="X191" s="28" t="s">
        <v>9</v>
      </c>
      <c r="Y191" s="28" t="s">
        <v>9</v>
      </c>
      <c r="Z191" s="28" t="s">
        <v>9</v>
      </c>
      <c r="AA191" s="28" t="s">
        <v>9</v>
      </c>
      <c r="AB191" s="28" t="s">
        <v>9</v>
      </c>
      <c r="AC191" s="28" t="s">
        <v>9</v>
      </c>
      <c r="AD191" s="28" t="s">
        <v>10</v>
      </c>
      <c r="AE191" s="28"/>
      <c r="AF191" s="24">
        <f t="shared" si="11"/>
        <v>1</v>
      </c>
      <c r="AG191" s="24">
        <f t="shared" si="12"/>
        <v>4</v>
      </c>
      <c r="AH191" s="41" t="str" cm="1">
        <f t="array" ref="AH191">_xlfn.IFS(
$AE191=15,"Not Started",
$AG191&lt;15,"In Progress",
$AG191=15,"Completed",
SUM(AE191:AG191)&gt;15,"Error"
)</f>
        <v>In Progress</v>
      </c>
    </row>
    <row r="192" spans="1:34" ht="13" x14ac:dyDescent="0.25">
      <c r="A192" s="248"/>
      <c r="B192" s="14">
        <v>189</v>
      </c>
      <c r="C192" s="14" t="s">
        <v>1244</v>
      </c>
      <c r="D192" s="143" t="s">
        <v>8716</v>
      </c>
      <c r="E192" s="144" t="s">
        <v>8578</v>
      </c>
      <c r="F192" s="142" t="s">
        <v>9670</v>
      </c>
      <c r="G192" s="142" t="s">
        <v>48</v>
      </c>
      <c r="H192" s="142" t="s">
        <v>5822</v>
      </c>
      <c r="I192" s="142" t="s">
        <v>5821</v>
      </c>
      <c r="J192" s="142" t="s">
        <v>9464</v>
      </c>
      <c r="K192" s="142" t="s">
        <v>8870</v>
      </c>
      <c r="L192" s="174">
        <v>10006041941</v>
      </c>
      <c r="M192" s="175"/>
      <c r="N192" s="201"/>
      <c r="O192" s="28" t="s">
        <v>11</v>
      </c>
      <c r="P192" s="28" t="s">
        <v>11</v>
      </c>
      <c r="Q192" s="28" t="s">
        <v>11</v>
      </c>
      <c r="R192" s="28" t="s">
        <v>11</v>
      </c>
      <c r="S192" s="28" t="s">
        <v>10</v>
      </c>
      <c r="T192" s="28" t="s">
        <v>9</v>
      </c>
      <c r="U192" s="28" t="s">
        <v>9</v>
      </c>
      <c r="V192" s="28" t="s">
        <v>9</v>
      </c>
      <c r="W192" s="28" t="s">
        <v>9</v>
      </c>
      <c r="X192" s="28" t="s">
        <v>9</v>
      </c>
      <c r="Y192" s="28" t="s">
        <v>9</v>
      </c>
      <c r="Z192" s="28" t="s">
        <v>9</v>
      </c>
      <c r="AA192" s="28" t="s">
        <v>9</v>
      </c>
      <c r="AB192" s="28" t="s">
        <v>9</v>
      </c>
      <c r="AC192" s="28" t="s">
        <v>9</v>
      </c>
      <c r="AD192" s="28" t="s">
        <v>10</v>
      </c>
      <c r="AE192" s="28"/>
      <c r="AF192" s="24">
        <f t="shared" si="11"/>
        <v>1</v>
      </c>
      <c r="AG192" s="24">
        <f t="shared" si="12"/>
        <v>4</v>
      </c>
      <c r="AH192" s="41" t="str" cm="1">
        <f t="array" ref="AH192">_xlfn.IFS(
$AE192=15,"Not Started",
$AG192&lt;15,"In Progress",
$AG192=15,"Completed",
SUM(AE192:AG192)&gt;15,"Error"
)</f>
        <v>In Progress</v>
      </c>
    </row>
    <row r="193" spans="1:34" ht="13" x14ac:dyDescent="0.25">
      <c r="A193" s="248"/>
      <c r="B193" s="14">
        <v>190</v>
      </c>
      <c r="C193" s="7" t="s">
        <v>1245</v>
      </c>
      <c r="D193" s="151" t="s">
        <v>8717</v>
      </c>
      <c r="E193" s="57" t="s">
        <v>5829</v>
      </c>
      <c r="F193" s="7" t="s">
        <v>43</v>
      </c>
      <c r="G193" s="7" t="s">
        <v>48</v>
      </c>
      <c r="H193" s="7" t="s">
        <v>5822</v>
      </c>
      <c r="I193" s="7" t="s">
        <v>8884</v>
      </c>
      <c r="J193" s="7" t="s">
        <v>9465</v>
      </c>
      <c r="K193" s="7" t="s">
        <v>8871</v>
      </c>
      <c r="L193" s="76">
        <v>10006046115</v>
      </c>
      <c r="M193" s="3"/>
      <c r="N193" s="201">
        <v>46123</v>
      </c>
      <c r="O193" s="28" t="s">
        <v>11</v>
      </c>
      <c r="P193" s="28" t="s">
        <v>11</v>
      </c>
      <c r="Q193" s="28" t="s">
        <v>11</v>
      </c>
      <c r="R193" s="28" t="s">
        <v>11</v>
      </c>
      <c r="S193" s="28" t="s">
        <v>10</v>
      </c>
      <c r="T193" s="28" t="s">
        <v>9</v>
      </c>
      <c r="U193" s="28" t="s">
        <v>9</v>
      </c>
      <c r="V193" s="28" t="s">
        <v>9</v>
      </c>
      <c r="W193" s="28" t="s">
        <v>9</v>
      </c>
      <c r="X193" s="28" t="s">
        <v>9</v>
      </c>
      <c r="Y193" s="28" t="s">
        <v>9</v>
      </c>
      <c r="Z193" s="28" t="s">
        <v>9</v>
      </c>
      <c r="AA193" s="28" t="s">
        <v>9</v>
      </c>
      <c r="AB193" s="28" t="s">
        <v>9</v>
      </c>
      <c r="AC193" s="28" t="s">
        <v>9</v>
      </c>
      <c r="AD193" s="28" t="s">
        <v>10</v>
      </c>
      <c r="AE193" s="28"/>
      <c r="AF193" s="24">
        <f t="shared" si="11"/>
        <v>1</v>
      </c>
      <c r="AG193" s="24">
        <f t="shared" si="12"/>
        <v>4</v>
      </c>
      <c r="AH193" s="41" t="str" cm="1">
        <f t="array" ref="AH193">_xlfn.IFS(
$AE193=15,"Not Started",
$AG193&lt;15,"In Progress",
$AG193=15,"Completed",
SUM(AE193:AG193)&gt;15,"Error"
)</f>
        <v>In Progress</v>
      </c>
    </row>
    <row r="194" spans="1:34" ht="13" x14ac:dyDescent="0.25">
      <c r="A194" s="248"/>
      <c r="B194" s="14">
        <v>191</v>
      </c>
      <c r="C194" s="14" t="s">
        <v>1246</v>
      </c>
      <c r="D194" s="143" t="s">
        <v>8718</v>
      </c>
      <c r="E194" s="144" t="s">
        <v>8579</v>
      </c>
      <c r="F194" s="142" t="s">
        <v>9670</v>
      </c>
      <c r="G194" s="142" t="s">
        <v>48</v>
      </c>
      <c r="H194" s="142" t="s">
        <v>5822</v>
      </c>
      <c r="I194" s="142" t="s">
        <v>5821</v>
      </c>
      <c r="J194" s="142" t="s">
        <v>9466</v>
      </c>
      <c r="K194" s="142" t="s">
        <v>8872</v>
      </c>
      <c r="L194" s="174">
        <v>10091519920</v>
      </c>
      <c r="M194" s="175"/>
      <c r="N194" s="201"/>
      <c r="O194" s="28" t="s">
        <v>11</v>
      </c>
      <c r="P194" s="28" t="s">
        <v>11</v>
      </c>
      <c r="Q194" s="28" t="s">
        <v>11</v>
      </c>
      <c r="R194" s="28" t="s">
        <v>11</v>
      </c>
      <c r="S194" s="28" t="s">
        <v>10</v>
      </c>
      <c r="T194" s="28" t="s">
        <v>9</v>
      </c>
      <c r="U194" s="28" t="s">
        <v>9</v>
      </c>
      <c r="V194" s="28" t="s">
        <v>9</v>
      </c>
      <c r="W194" s="28" t="s">
        <v>9</v>
      </c>
      <c r="X194" s="28" t="s">
        <v>9</v>
      </c>
      <c r="Y194" s="28" t="s">
        <v>9</v>
      </c>
      <c r="Z194" s="28" t="s">
        <v>9</v>
      </c>
      <c r="AA194" s="28" t="s">
        <v>9</v>
      </c>
      <c r="AB194" s="28" t="s">
        <v>9</v>
      </c>
      <c r="AC194" s="28" t="s">
        <v>9</v>
      </c>
      <c r="AD194" s="28" t="s">
        <v>10</v>
      </c>
      <c r="AE194" s="28"/>
      <c r="AF194" s="24">
        <f t="shared" si="11"/>
        <v>1</v>
      </c>
      <c r="AG194" s="24">
        <f t="shared" si="12"/>
        <v>4</v>
      </c>
      <c r="AH194" s="41" t="str" cm="1">
        <f t="array" ref="AH194">_xlfn.IFS(
$AE194=15,"Not Started",
$AG194&lt;15,"In Progress",
$AG194=15,"Completed",
SUM(AE194:AG194)&gt;15,"Error"
)</f>
        <v>In Progress</v>
      </c>
    </row>
    <row r="195" spans="1:34" ht="13" x14ac:dyDescent="0.25">
      <c r="A195" s="248"/>
      <c r="B195" s="14">
        <v>192</v>
      </c>
      <c r="C195" s="7" t="s">
        <v>1247</v>
      </c>
      <c r="D195" s="143" t="s">
        <v>8719</v>
      </c>
      <c r="E195" s="144" t="s">
        <v>8580</v>
      </c>
      <c r="F195" s="142" t="s">
        <v>9670</v>
      </c>
      <c r="G195" s="142" t="s">
        <v>48</v>
      </c>
      <c r="H195" s="142" t="s">
        <v>5822</v>
      </c>
      <c r="I195" s="142" t="s">
        <v>5821</v>
      </c>
      <c r="J195" s="142" t="s">
        <v>9467</v>
      </c>
      <c r="K195" s="142" t="s">
        <v>8873</v>
      </c>
      <c r="L195" s="174">
        <v>10104181697</v>
      </c>
      <c r="M195" s="175"/>
      <c r="N195" s="201"/>
      <c r="O195" s="28" t="s">
        <v>11</v>
      </c>
      <c r="P195" s="28" t="s">
        <v>11</v>
      </c>
      <c r="Q195" s="28" t="s">
        <v>11</v>
      </c>
      <c r="R195" s="28" t="s">
        <v>11</v>
      </c>
      <c r="S195" s="28" t="s">
        <v>10</v>
      </c>
      <c r="T195" s="28" t="s">
        <v>9</v>
      </c>
      <c r="U195" s="28" t="s">
        <v>9</v>
      </c>
      <c r="V195" s="28" t="s">
        <v>9</v>
      </c>
      <c r="W195" s="28" t="s">
        <v>9</v>
      </c>
      <c r="X195" s="28" t="s">
        <v>9</v>
      </c>
      <c r="Y195" s="28" t="s">
        <v>9</v>
      </c>
      <c r="Z195" s="28" t="s">
        <v>9</v>
      </c>
      <c r="AA195" s="28" t="s">
        <v>9</v>
      </c>
      <c r="AB195" s="28" t="s">
        <v>9</v>
      </c>
      <c r="AC195" s="28" t="s">
        <v>9</v>
      </c>
      <c r="AD195" s="28" t="s">
        <v>10</v>
      </c>
      <c r="AE195" s="28"/>
      <c r="AF195" s="24">
        <f t="shared" si="11"/>
        <v>1</v>
      </c>
      <c r="AG195" s="24">
        <f t="shared" si="12"/>
        <v>4</v>
      </c>
      <c r="AH195" s="41" t="str" cm="1">
        <f t="array" ref="AH195">_xlfn.IFS(
$AE195=15,"Not Started",
$AG195&lt;15,"In Progress",
$AG195=15,"Completed",
SUM(AE195:AG195)&gt;15,"Error"
)</f>
        <v>In Progress</v>
      </c>
    </row>
    <row r="196" spans="1:34" ht="13" x14ac:dyDescent="0.25">
      <c r="A196" s="248"/>
      <c r="B196" s="14">
        <v>193</v>
      </c>
      <c r="C196" s="14" t="s">
        <v>1248</v>
      </c>
      <c r="D196" s="151" t="s">
        <v>8720</v>
      </c>
      <c r="E196" s="57" t="s">
        <v>8581</v>
      </c>
      <c r="F196" s="7" t="s">
        <v>47</v>
      </c>
      <c r="G196" s="7" t="s">
        <v>48</v>
      </c>
      <c r="H196" s="7" t="s">
        <v>5822</v>
      </c>
      <c r="I196" s="7" t="s">
        <v>8884</v>
      </c>
      <c r="J196" s="7" t="s">
        <v>9468</v>
      </c>
      <c r="K196" s="7" t="s">
        <v>8874</v>
      </c>
      <c r="L196" s="76">
        <v>10006033215</v>
      </c>
      <c r="M196" s="3"/>
      <c r="N196" s="201"/>
      <c r="O196" s="28" t="s">
        <v>11</v>
      </c>
      <c r="P196" s="28" t="s">
        <v>11</v>
      </c>
      <c r="Q196" s="28" t="s">
        <v>11</v>
      </c>
      <c r="R196" s="28" t="s">
        <v>11</v>
      </c>
      <c r="S196" s="28" t="s">
        <v>10</v>
      </c>
      <c r="T196" s="28" t="s">
        <v>9</v>
      </c>
      <c r="U196" s="28" t="s">
        <v>9</v>
      </c>
      <c r="V196" s="28" t="s">
        <v>9</v>
      </c>
      <c r="W196" s="28" t="s">
        <v>9</v>
      </c>
      <c r="X196" s="28" t="s">
        <v>9</v>
      </c>
      <c r="Y196" s="28" t="s">
        <v>9</v>
      </c>
      <c r="Z196" s="28" t="s">
        <v>9</v>
      </c>
      <c r="AA196" s="28" t="s">
        <v>9</v>
      </c>
      <c r="AB196" s="28" t="s">
        <v>9</v>
      </c>
      <c r="AC196" s="28" t="s">
        <v>9</v>
      </c>
      <c r="AD196" s="28" t="s">
        <v>10</v>
      </c>
      <c r="AE196" s="28"/>
      <c r="AF196" s="24">
        <f t="shared" ref="AF196:AF203" si="13">COUNTIF(O196:AC196,$AF$2)</f>
        <v>1</v>
      </c>
      <c r="AG196" s="24">
        <f t="shared" ref="AG196:AG203" si="14">COUNTIF(O196:AC196,$AG$2)</f>
        <v>4</v>
      </c>
      <c r="AH196" s="41" t="str" cm="1">
        <f t="array" ref="AH196">_xlfn.IFS(
$AE196=15,"Not Started",
$AG196&lt;15,"In Progress",
$AG196=15,"Completed",
SUM(AE196:AG196)&gt;15,"Error"
)</f>
        <v>In Progress</v>
      </c>
    </row>
    <row r="197" spans="1:34" ht="13" x14ac:dyDescent="0.25">
      <c r="A197" s="248"/>
      <c r="B197" s="14">
        <v>194</v>
      </c>
      <c r="C197" s="7" t="s">
        <v>1249</v>
      </c>
      <c r="D197" s="151" t="s">
        <v>8721</v>
      </c>
      <c r="E197" s="57" t="s">
        <v>8582</v>
      </c>
      <c r="F197" s="7" t="s">
        <v>47</v>
      </c>
      <c r="G197" s="7" t="s">
        <v>44</v>
      </c>
      <c r="H197" s="7" t="s">
        <v>5822</v>
      </c>
      <c r="I197" s="7" t="s">
        <v>5821</v>
      </c>
      <c r="J197" s="7" t="s">
        <v>9469</v>
      </c>
      <c r="K197" s="7" t="s">
        <v>8875</v>
      </c>
      <c r="L197" s="76">
        <v>10104571413</v>
      </c>
      <c r="M197" s="3"/>
      <c r="N197" s="201"/>
      <c r="O197" s="28" t="s">
        <v>11</v>
      </c>
      <c r="P197" s="28" t="s">
        <v>11</v>
      </c>
      <c r="Q197" s="28" t="s">
        <v>11</v>
      </c>
      <c r="R197" s="28" t="s">
        <v>11</v>
      </c>
      <c r="S197" s="28" t="s">
        <v>10</v>
      </c>
      <c r="T197" s="28" t="s">
        <v>9</v>
      </c>
      <c r="U197" s="28" t="s">
        <v>9</v>
      </c>
      <c r="V197" s="28" t="s">
        <v>9</v>
      </c>
      <c r="W197" s="28" t="s">
        <v>9</v>
      </c>
      <c r="X197" s="28" t="s">
        <v>9</v>
      </c>
      <c r="Y197" s="28" t="s">
        <v>9</v>
      </c>
      <c r="Z197" s="28" t="s">
        <v>9</v>
      </c>
      <c r="AA197" s="28" t="s">
        <v>9</v>
      </c>
      <c r="AB197" s="28" t="s">
        <v>9</v>
      </c>
      <c r="AC197" s="28" t="s">
        <v>9</v>
      </c>
      <c r="AD197" s="28" t="s">
        <v>10</v>
      </c>
      <c r="AE197" s="28"/>
      <c r="AF197" s="24">
        <f t="shared" si="13"/>
        <v>1</v>
      </c>
      <c r="AG197" s="24">
        <f t="shared" si="14"/>
        <v>4</v>
      </c>
      <c r="AH197" s="41" t="str" cm="1">
        <f t="array" ref="AH197">_xlfn.IFS(
$AE197=15,"Not Started",
$AG197&lt;15,"In Progress",
$AG197=15,"Completed",
SUM(AE197:AG197)&gt;15,"Error"
)</f>
        <v>In Progress</v>
      </c>
    </row>
    <row r="198" spans="1:34" ht="13" x14ac:dyDescent="0.25">
      <c r="A198" s="248"/>
      <c r="B198" s="14">
        <v>195</v>
      </c>
      <c r="C198" s="14" t="s">
        <v>1250</v>
      </c>
      <c r="D198" s="151" t="s">
        <v>8722</v>
      </c>
      <c r="E198" s="57" t="s">
        <v>8583</v>
      </c>
      <c r="F198" s="7" t="s">
        <v>51</v>
      </c>
      <c r="G198" s="7" t="s">
        <v>48</v>
      </c>
      <c r="H198" s="7" t="s">
        <v>5822</v>
      </c>
      <c r="I198" s="7" t="s">
        <v>8884</v>
      </c>
      <c r="J198" s="7" t="s">
        <v>9470</v>
      </c>
      <c r="K198" s="7" t="s">
        <v>8876</v>
      </c>
      <c r="L198" s="76">
        <v>10006045163</v>
      </c>
      <c r="M198" s="3"/>
      <c r="N198" s="201">
        <v>46121</v>
      </c>
      <c r="O198" s="28" t="s">
        <v>11</v>
      </c>
      <c r="P198" s="28" t="s">
        <v>11</v>
      </c>
      <c r="Q198" s="28" t="s">
        <v>11</v>
      </c>
      <c r="R198" s="28" t="s">
        <v>11</v>
      </c>
      <c r="S198" s="28" t="s">
        <v>10</v>
      </c>
      <c r="T198" s="28" t="s">
        <v>9</v>
      </c>
      <c r="U198" s="28" t="s">
        <v>9</v>
      </c>
      <c r="V198" s="28" t="s">
        <v>9</v>
      </c>
      <c r="W198" s="28" t="s">
        <v>9</v>
      </c>
      <c r="X198" s="28" t="s">
        <v>9</v>
      </c>
      <c r="Y198" s="28" t="s">
        <v>9</v>
      </c>
      <c r="Z198" s="28" t="s">
        <v>9</v>
      </c>
      <c r="AA198" s="28" t="s">
        <v>9</v>
      </c>
      <c r="AB198" s="28" t="s">
        <v>9</v>
      </c>
      <c r="AC198" s="28" t="s">
        <v>9</v>
      </c>
      <c r="AD198" s="28" t="s">
        <v>10</v>
      </c>
      <c r="AE198" s="28"/>
      <c r="AF198" s="24">
        <f t="shared" si="13"/>
        <v>1</v>
      </c>
      <c r="AG198" s="24">
        <f t="shared" si="14"/>
        <v>4</v>
      </c>
      <c r="AH198" s="41" t="str" cm="1">
        <f t="array" ref="AH198">_xlfn.IFS(
$AE198=15,"Not Started",
$AG198&lt;15,"In Progress",
$AG198=15,"Completed",
SUM(AE198:AG198)&gt;15,"Error"
)</f>
        <v>In Progress</v>
      </c>
    </row>
    <row r="199" spans="1:34" ht="13" x14ac:dyDescent="0.25">
      <c r="A199" s="248"/>
      <c r="B199" s="14">
        <v>196</v>
      </c>
      <c r="C199" s="7" t="s">
        <v>1251</v>
      </c>
      <c r="D199" s="151" t="s">
        <v>8723</v>
      </c>
      <c r="E199" s="57" t="s">
        <v>8584</v>
      </c>
      <c r="F199" s="7" t="s">
        <v>9670</v>
      </c>
      <c r="G199" s="7" t="s">
        <v>48</v>
      </c>
      <c r="H199" s="7" t="s">
        <v>5822</v>
      </c>
      <c r="I199" s="7" t="s">
        <v>8884</v>
      </c>
      <c r="J199" s="7" t="s">
        <v>9471</v>
      </c>
      <c r="K199" s="7" t="s">
        <v>8877</v>
      </c>
      <c r="L199" s="76">
        <v>10006046133</v>
      </c>
      <c r="M199" s="3"/>
      <c r="N199" s="201"/>
      <c r="O199" s="28" t="s">
        <v>11</v>
      </c>
      <c r="P199" s="28" t="s">
        <v>11</v>
      </c>
      <c r="Q199" s="28" t="s">
        <v>11</v>
      </c>
      <c r="R199" s="28" t="s">
        <v>11</v>
      </c>
      <c r="S199" s="28" t="s">
        <v>10</v>
      </c>
      <c r="T199" s="28" t="s">
        <v>9</v>
      </c>
      <c r="U199" s="28" t="s">
        <v>9</v>
      </c>
      <c r="V199" s="28" t="s">
        <v>9</v>
      </c>
      <c r="W199" s="28" t="s">
        <v>9</v>
      </c>
      <c r="X199" s="28" t="s">
        <v>9</v>
      </c>
      <c r="Y199" s="28" t="s">
        <v>9</v>
      </c>
      <c r="Z199" s="28" t="s">
        <v>9</v>
      </c>
      <c r="AA199" s="28" t="s">
        <v>9</v>
      </c>
      <c r="AB199" s="28" t="s">
        <v>9</v>
      </c>
      <c r="AC199" s="28" t="s">
        <v>9</v>
      </c>
      <c r="AD199" s="28" t="s">
        <v>10</v>
      </c>
      <c r="AE199" s="28"/>
      <c r="AF199" s="24">
        <f t="shared" si="13"/>
        <v>1</v>
      </c>
      <c r="AG199" s="24">
        <f t="shared" si="14"/>
        <v>4</v>
      </c>
      <c r="AH199" s="41" t="str" cm="1">
        <f t="array" ref="AH199">_xlfn.IFS(
$AE199=15,"Not Started",
$AG199&lt;15,"In Progress",
$AG199=15,"Completed",
SUM(AE199:AG199)&gt;15,"Error"
)</f>
        <v>In Progress</v>
      </c>
    </row>
    <row r="200" spans="1:34" ht="13" x14ac:dyDescent="0.25">
      <c r="A200" s="248"/>
      <c r="B200" s="14">
        <v>197</v>
      </c>
      <c r="C200" s="14" t="s">
        <v>1252</v>
      </c>
      <c r="D200" s="151" t="s">
        <v>8724</v>
      </c>
      <c r="E200" s="57" t="s">
        <v>8585</v>
      </c>
      <c r="F200" s="7" t="s">
        <v>9670</v>
      </c>
      <c r="G200" s="7" t="s">
        <v>48</v>
      </c>
      <c r="H200" s="7" t="s">
        <v>5822</v>
      </c>
      <c r="I200" s="7" t="s">
        <v>8884</v>
      </c>
      <c r="J200" s="7" t="s">
        <v>9472</v>
      </c>
      <c r="K200" s="7" t="s">
        <v>8878</v>
      </c>
      <c r="L200" s="76">
        <v>10101986942</v>
      </c>
      <c r="M200" s="3"/>
      <c r="N200" s="201"/>
      <c r="O200" s="28" t="s">
        <v>11</v>
      </c>
      <c r="P200" s="28" t="s">
        <v>11</v>
      </c>
      <c r="Q200" s="28" t="s">
        <v>11</v>
      </c>
      <c r="R200" s="28" t="s">
        <v>11</v>
      </c>
      <c r="S200" s="28" t="s">
        <v>10</v>
      </c>
      <c r="T200" s="28" t="s">
        <v>9</v>
      </c>
      <c r="U200" s="28" t="s">
        <v>9</v>
      </c>
      <c r="V200" s="28" t="s">
        <v>9</v>
      </c>
      <c r="W200" s="28" t="s">
        <v>9</v>
      </c>
      <c r="X200" s="28" t="s">
        <v>9</v>
      </c>
      <c r="Y200" s="28" t="s">
        <v>9</v>
      </c>
      <c r="Z200" s="28" t="s">
        <v>9</v>
      </c>
      <c r="AA200" s="28" t="s">
        <v>9</v>
      </c>
      <c r="AB200" s="28" t="s">
        <v>9</v>
      </c>
      <c r="AC200" s="28" t="s">
        <v>9</v>
      </c>
      <c r="AD200" s="28" t="s">
        <v>10</v>
      </c>
      <c r="AE200" s="28"/>
      <c r="AF200" s="24">
        <f t="shared" si="13"/>
        <v>1</v>
      </c>
      <c r="AG200" s="24">
        <f t="shared" si="14"/>
        <v>4</v>
      </c>
      <c r="AH200" s="41" t="str" cm="1">
        <f t="array" ref="AH200">_xlfn.IFS(
$AE200=15,"Not Started",
$AG200&lt;15,"In Progress",
$AG200=15,"Completed",
SUM(AE200:AG200)&gt;15,"Error"
)</f>
        <v>In Progress</v>
      </c>
    </row>
    <row r="201" spans="1:34" ht="13" x14ac:dyDescent="0.25">
      <c r="A201" s="248"/>
      <c r="B201" s="14">
        <v>198</v>
      </c>
      <c r="C201" s="7" t="s">
        <v>1253</v>
      </c>
      <c r="D201" s="151" t="s">
        <v>8725</v>
      </c>
      <c r="E201" s="57" t="s">
        <v>8586</v>
      </c>
      <c r="F201" s="7" t="s">
        <v>43</v>
      </c>
      <c r="G201" s="7" t="s">
        <v>44</v>
      </c>
      <c r="H201" s="7" t="s">
        <v>5822</v>
      </c>
      <c r="I201" s="7" t="s">
        <v>5822</v>
      </c>
      <c r="J201" s="7" t="s">
        <v>9473</v>
      </c>
      <c r="K201" s="7" t="s">
        <v>8879</v>
      </c>
      <c r="L201" s="76">
        <v>10006063199</v>
      </c>
      <c r="M201" s="3"/>
      <c r="N201" s="201"/>
      <c r="O201" s="28" t="s">
        <v>11</v>
      </c>
      <c r="P201" s="28" t="s">
        <v>11</v>
      </c>
      <c r="Q201" s="28" t="s">
        <v>11</v>
      </c>
      <c r="R201" s="28" t="s">
        <v>11</v>
      </c>
      <c r="S201" s="28" t="s">
        <v>10</v>
      </c>
      <c r="T201" s="28" t="s">
        <v>9</v>
      </c>
      <c r="U201" s="28" t="s">
        <v>9</v>
      </c>
      <c r="V201" s="28" t="s">
        <v>9</v>
      </c>
      <c r="W201" s="28" t="s">
        <v>9</v>
      </c>
      <c r="X201" s="28" t="s">
        <v>9</v>
      </c>
      <c r="Y201" s="28" t="s">
        <v>9</v>
      </c>
      <c r="Z201" s="28" t="s">
        <v>9</v>
      </c>
      <c r="AA201" s="28" t="s">
        <v>9</v>
      </c>
      <c r="AB201" s="28" t="s">
        <v>9</v>
      </c>
      <c r="AC201" s="28" t="s">
        <v>9</v>
      </c>
      <c r="AD201" s="28" t="s">
        <v>10</v>
      </c>
      <c r="AE201" s="28"/>
      <c r="AF201" s="24">
        <f t="shared" si="13"/>
        <v>1</v>
      </c>
      <c r="AG201" s="24">
        <f t="shared" si="14"/>
        <v>4</v>
      </c>
      <c r="AH201" s="41" t="str" cm="1">
        <f t="array" ref="AH201">_xlfn.IFS(
$AE201=15,"Not Started",
$AG201&lt;15,"In Progress",
$AG201=15,"Completed",
SUM(AE201:AG201)&gt;15,"Error"
)</f>
        <v>In Progress</v>
      </c>
    </row>
    <row r="202" spans="1:34" ht="13" x14ac:dyDescent="0.25">
      <c r="A202" s="248"/>
      <c r="B202" s="14">
        <v>199</v>
      </c>
      <c r="C202" s="14" t="s">
        <v>1254</v>
      </c>
      <c r="D202" s="151" t="s">
        <v>8726</v>
      </c>
      <c r="E202" s="57" t="s">
        <v>8587</v>
      </c>
      <c r="F202" s="7" t="s">
        <v>43</v>
      </c>
      <c r="G202" s="7" t="s">
        <v>44</v>
      </c>
      <c r="H202" s="7" t="s">
        <v>5822</v>
      </c>
      <c r="I202" s="7" t="s">
        <v>5822</v>
      </c>
      <c r="J202" s="7" t="s">
        <v>9474</v>
      </c>
      <c r="K202" s="7" t="s">
        <v>8880</v>
      </c>
      <c r="L202" s="76">
        <v>10006064202</v>
      </c>
      <c r="M202" s="3"/>
      <c r="N202" s="201"/>
      <c r="O202" s="28" t="s">
        <v>11</v>
      </c>
      <c r="P202" s="28" t="s">
        <v>11</v>
      </c>
      <c r="Q202" s="28" t="s">
        <v>11</v>
      </c>
      <c r="R202" s="28" t="s">
        <v>11</v>
      </c>
      <c r="S202" s="28" t="s">
        <v>10</v>
      </c>
      <c r="T202" s="28" t="s">
        <v>9</v>
      </c>
      <c r="U202" s="28" t="s">
        <v>9</v>
      </c>
      <c r="V202" s="28" t="s">
        <v>9</v>
      </c>
      <c r="W202" s="28" t="s">
        <v>9</v>
      </c>
      <c r="X202" s="28" t="s">
        <v>9</v>
      </c>
      <c r="Y202" s="28" t="s">
        <v>9</v>
      </c>
      <c r="Z202" s="28" t="s">
        <v>9</v>
      </c>
      <c r="AA202" s="28" t="s">
        <v>9</v>
      </c>
      <c r="AB202" s="28" t="s">
        <v>9</v>
      </c>
      <c r="AC202" s="28" t="s">
        <v>9</v>
      </c>
      <c r="AD202" s="28" t="s">
        <v>10</v>
      </c>
      <c r="AE202" s="28"/>
      <c r="AF202" s="24">
        <f t="shared" si="13"/>
        <v>1</v>
      </c>
      <c r="AG202" s="24">
        <f t="shared" si="14"/>
        <v>4</v>
      </c>
      <c r="AH202" s="41" t="str" cm="1">
        <f t="array" ref="AH202">_xlfn.IFS(
$AE202=15,"Not Started",
$AG202&lt;15,"In Progress",
$AG202=15,"Completed",
SUM(AE202:AG202)&gt;15,"Error"
)</f>
        <v>In Progress</v>
      </c>
    </row>
    <row r="203" spans="1:34" ht="13" x14ac:dyDescent="0.25">
      <c r="A203" s="249"/>
      <c r="B203" s="14">
        <v>200</v>
      </c>
      <c r="C203" s="76" t="s">
        <v>1255</v>
      </c>
      <c r="D203" s="163" t="s">
        <v>8727</v>
      </c>
      <c r="E203" s="102" t="s">
        <v>8588</v>
      </c>
      <c r="F203" s="19" t="s">
        <v>43</v>
      </c>
      <c r="G203" s="19" t="s">
        <v>44</v>
      </c>
      <c r="H203" s="19" t="s">
        <v>5822</v>
      </c>
      <c r="I203" s="19" t="s">
        <v>5822</v>
      </c>
      <c r="J203" s="19" t="s">
        <v>9475</v>
      </c>
      <c r="K203" s="19" t="s">
        <v>8881</v>
      </c>
      <c r="L203" s="164">
        <v>10006046563</v>
      </c>
      <c r="M203" s="3"/>
      <c r="N203" s="201"/>
      <c r="O203" s="28" t="s">
        <v>11</v>
      </c>
      <c r="P203" s="28" t="s">
        <v>11</v>
      </c>
      <c r="Q203" s="28" t="s">
        <v>11</v>
      </c>
      <c r="R203" s="28" t="s">
        <v>11</v>
      </c>
      <c r="S203" s="28" t="s">
        <v>10</v>
      </c>
      <c r="T203" s="28" t="s">
        <v>9</v>
      </c>
      <c r="U203" s="28" t="s">
        <v>9</v>
      </c>
      <c r="V203" s="28" t="s">
        <v>9</v>
      </c>
      <c r="W203" s="28" t="s">
        <v>9</v>
      </c>
      <c r="X203" s="28" t="s">
        <v>9</v>
      </c>
      <c r="Y203" s="28" t="s">
        <v>9</v>
      </c>
      <c r="Z203" s="28" t="s">
        <v>9</v>
      </c>
      <c r="AA203" s="28" t="s">
        <v>9</v>
      </c>
      <c r="AB203" s="28" t="s">
        <v>9</v>
      </c>
      <c r="AC203" s="28" t="s">
        <v>9</v>
      </c>
      <c r="AD203" s="28" t="s">
        <v>10</v>
      </c>
      <c r="AE203" s="28"/>
      <c r="AF203" s="24">
        <f t="shared" si="13"/>
        <v>1</v>
      </c>
      <c r="AG203" s="24">
        <f t="shared" si="14"/>
        <v>4</v>
      </c>
      <c r="AH203" s="41" t="str" cm="1">
        <f t="array" ref="AH203">_xlfn.IFS(
$AE203=15,"Not Started",
$AG203&lt;15,"In Progress",
$AG203=15,"Completed",
SUM(AE203:AG203)&gt;15,"Error"
)</f>
        <v>In Progress</v>
      </c>
    </row>
    <row r="204" spans="1:34" ht="15.75" customHeight="1" x14ac:dyDescent="0.25">
      <c r="A204" s="67" t="s">
        <v>251</v>
      </c>
      <c r="B204" s="67"/>
      <c r="C204" s="67"/>
      <c r="D204" s="67"/>
      <c r="E204" s="67"/>
      <c r="F204" s="67"/>
      <c r="G204" s="67"/>
      <c r="H204" s="67"/>
      <c r="I204" s="67"/>
      <c r="J204" s="148"/>
      <c r="K204" s="67"/>
      <c r="L204" s="67"/>
      <c r="M204" s="257" t="s">
        <v>251</v>
      </c>
      <c r="N204" s="67" t="s">
        <v>11</v>
      </c>
      <c r="O204" s="72">
        <f t="shared" ref="O204:AA204" si="15">COUNTIF(O$3:O$203,"Completed")</f>
        <v>165</v>
      </c>
      <c r="P204" s="72">
        <f t="shared" si="15"/>
        <v>165</v>
      </c>
      <c r="Q204" s="72">
        <f t="shared" si="15"/>
        <v>165</v>
      </c>
      <c r="R204" s="72">
        <f t="shared" si="15"/>
        <v>165</v>
      </c>
      <c r="S204" s="72">
        <f t="shared" si="15"/>
        <v>0</v>
      </c>
      <c r="T204" s="72">
        <f t="shared" si="15"/>
        <v>18</v>
      </c>
      <c r="U204" s="72">
        <f t="shared" si="15"/>
        <v>0</v>
      </c>
      <c r="V204" s="72">
        <f t="shared" si="15"/>
        <v>0</v>
      </c>
      <c r="W204" s="72">
        <f t="shared" si="15"/>
        <v>0</v>
      </c>
      <c r="X204" s="72">
        <f t="shared" si="15"/>
        <v>0</v>
      </c>
      <c r="Y204" s="72">
        <f t="shared" si="15"/>
        <v>0</v>
      </c>
      <c r="Z204" s="72">
        <f t="shared" si="15"/>
        <v>0</v>
      </c>
      <c r="AA204" s="72">
        <f t="shared" si="15"/>
        <v>0</v>
      </c>
      <c r="AB204" s="72">
        <f>COUNTIF(AB$2:AB$203,"Completed")</f>
        <v>0</v>
      </c>
      <c r="AC204" s="72">
        <f>COUNTIF(AC$2:AC$203,"Completed")</f>
        <v>0</v>
      </c>
      <c r="AD204" s="72">
        <f>COUNTIF(AD$2:AD$203,"Completed")</f>
        <v>0</v>
      </c>
      <c r="AE204" s="24">
        <f>COUNTIF(O204:AC204,$AE$2)</f>
        <v>0</v>
      </c>
      <c r="AF204" s="24">
        <f>COUNTIF(O204:AC204,$AF$2)</f>
        <v>0</v>
      </c>
      <c r="AG204" s="24">
        <f>COUNTIF(O204:AC204,$AG$2)</f>
        <v>0</v>
      </c>
      <c r="AH204" s="40" cm="1">
        <f t="array" ref="AH204">SUM(O204:AC204/15)</f>
        <v>45.2</v>
      </c>
    </row>
    <row r="205" spans="1:34" ht="15.75" customHeight="1" x14ac:dyDescent="0.25">
      <c r="M205" s="258"/>
      <c r="N205" s="67" t="s">
        <v>10</v>
      </c>
      <c r="O205" s="73">
        <f t="shared" ref="O205:AA205" si="16">COUNTIF(O$3:O$203,"In Progress")</f>
        <v>0</v>
      </c>
      <c r="P205" s="73">
        <f t="shared" si="16"/>
        <v>0</v>
      </c>
      <c r="Q205" s="73">
        <f t="shared" si="16"/>
        <v>0</v>
      </c>
      <c r="R205" s="73">
        <f t="shared" si="16"/>
        <v>0</v>
      </c>
      <c r="S205" s="73">
        <f t="shared" si="16"/>
        <v>115</v>
      </c>
      <c r="T205" s="73">
        <f t="shared" si="16"/>
        <v>0</v>
      </c>
      <c r="U205" s="73">
        <f t="shared" si="16"/>
        <v>0</v>
      </c>
      <c r="V205" s="73">
        <f t="shared" si="16"/>
        <v>0</v>
      </c>
      <c r="W205" s="73">
        <f t="shared" si="16"/>
        <v>0</v>
      </c>
      <c r="X205" s="73">
        <f t="shared" si="16"/>
        <v>0</v>
      </c>
      <c r="Y205" s="73">
        <f t="shared" si="16"/>
        <v>0</v>
      </c>
      <c r="Z205" s="73">
        <f t="shared" si="16"/>
        <v>0</v>
      </c>
      <c r="AA205" s="73">
        <f t="shared" si="16"/>
        <v>0</v>
      </c>
      <c r="AB205" s="73">
        <f>COUNTIF(AB$2:AB$203,"In Progress")</f>
        <v>0</v>
      </c>
      <c r="AC205" s="73">
        <f>COUNTIF(AC$2:AC$203,"In Progress")</f>
        <v>0</v>
      </c>
      <c r="AD205" s="73">
        <f>COUNTIF(AD$2:AD$203,"In Progress")</f>
        <v>162</v>
      </c>
    </row>
    <row r="206" spans="1:34" ht="15.75" customHeight="1" x14ac:dyDescent="0.25">
      <c r="M206" s="259"/>
      <c r="N206" s="67" t="s">
        <v>9</v>
      </c>
      <c r="O206" s="74">
        <f t="shared" ref="O206:AA206" si="17">COUNTIF(O$3:O$203,"Not Started")</f>
        <v>35</v>
      </c>
      <c r="P206" s="74">
        <f t="shared" si="17"/>
        <v>35</v>
      </c>
      <c r="Q206" s="74">
        <f t="shared" si="17"/>
        <v>35</v>
      </c>
      <c r="R206" s="74">
        <f t="shared" si="17"/>
        <v>35</v>
      </c>
      <c r="S206" s="74">
        <f t="shared" si="17"/>
        <v>85</v>
      </c>
      <c r="T206" s="74">
        <f t="shared" si="17"/>
        <v>182</v>
      </c>
      <c r="U206" s="74">
        <f t="shared" si="17"/>
        <v>200</v>
      </c>
      <c r="V206" s="74">
        <f t="shared" si="17"/>
        <v>200</v>
      </c>
      <c r="W206" s="74">
        <f t="shared" si="17"/>
        <v>200</v>
      </c>
      <c r="X206" s="74">
        <f t="shared" si="17"/>
        <v>200</v>
      </c>
      <c r="Y206" s="74">
        <f t="shared" si="17"/>
        <v>200</v>
      </c>
      <c r="Z206" s="74">
        <f t="shared" si="17"/>
        <v>200</v>
      </c>
      <c r="AA206" s="74">
        <f t="shared" si="17"/>
        <v>200</v>
      </c>
      <c r="AB206" s="74">
        <f>COUNTIF(AB$2:AB$203,"Not Started")</f>
        <v>200</v>
      </c>
      <c r="AC206" s="74">
        <f>COUNTIF(AC$2:AC$203,"Not Started")</f>
        <v>200</v>
      </c>
      <c r="AD206" s="74">
        <f>COUNTIF(AD$2:AD$203,"Not Started")</f>
        <v>38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E6:AE117 AE119:AE203" name="Range1"/>
    <protectedRange sqref="AE5" name="Range1_3"/>
    <protectedRange sqref="AE118" name="Range1_5"/>
    <protectedRange sqref="N187:N203 N4:N185 O4:AD203" name="Range1_1"/>
  </protectedRanges>
  <autoFilter ref="A1:AG204" xr:uid="{D10B9EE0-5B77-4C60-A0DF-4F45EBFC7383}"/>
  <mergeCells count="14">
    <mergeCell ref="AF2:AF3"/>
    <mergeCell ref="AG2:AG3"/>
    <mergeCell ref="AH2:AH3"/>
    <mergeCell ref="A2:A3"/>
    <mergeCell ref="N2:N3"/>
    <mergeCell ref="O2:R2"/>
    <mergeCell ref="S2:AA2"/>
    <mergeCell ref="AB2:AB3"/>
    <mergeCell ref="M204:M206"/>
    <mergeCell ref="A4:A203"/>
    <mergeCell ref="AC2:AC3"/>
    <mergeCell ref="AD2:AD3"/>
    <mergeCell ref="AE2:AE3"/>
    <mergeCell ref="B2:M2"/>
  </mergeCells>
  <phoneticPr fontId="14" type="noConversion"/>
  <conditionalFormatting sqref="AE204:AG204 C4:C203 AF4:AG203 D5:I159 D161:I202 F160:I160 K165:L203 K163:L163 K4:L97 K99:L154 K156:L161 J4:J204">
    <cfRule type="cellIs" dxfId="495" priority="252" operator="equal">
      <formula>"In Progress"</formula>
    </cfRule>
    <cfRule type="cellIs" dxfId="494" priority="253" operator="equal">
      <formula>"Completed"</formula>
    </cfRule>
  </conditionalFormatting>
  <conditionalFormatting sqref="AH4:AH203">
    <cfRule type="cellIs" dxfId="493" priority="249" operator="equal">
      <formula>"In Progress"</formula>
    </cfRule>
    <cfRule type="cellIs" dxfId="492" priority="250" operator="equal">
      <formula>"Completed"</formula>
    </cfRule>
    <cfRule type="cellIs" dxfId="491" priority="251" operator="equal">
      <formula>"Not Started"</formula>
    </cfRule>
  </conditionalFormatting>
  <conditionalFormatting sqref="B4:B203">
    <cfRule type="cellIs" dxfId="490" priority="228" operator="equal">
      <formula>"In Progress"</formula>
    </cfRule>
    <cfRule type="cellIs" dxfId="489" priority="229" operator="equal">
      <formula>"Completed"</formula>
    </cfRule>
  </conditionalFormatting>
  <conditionalFormatting sqref="G4:G203">
    <cfRule type="containsText" dxfId="488" priority="151" operator="containsText" text="Girls">
      <formula>NOT(ISERROR(SEARCH("Girls",G4)))</formula>
    </cfRule>
  </conditionalFormatting>
  <conditionalFormatting sqref="J184">
    <cfRule type="cellIs" dxfId="487" priority="147" operator="equal">
      <formula>"In Progress"</formula>
    </cfRule>
    <cfRule type="cellIs" dxfId="486" priority="148" operator="equal">
      <formula>"Completed"</formula>
    </cfRule>
  </conditionalFormatting>
  <conditionalFormatting sqref="D185">
    <cfRule type="cellIs" dxfId="485" priority="143" operator="equal">
      <formula>"In Progress"</formula>
    </cfRule>
    <cfRule type="cellIs" dxfId="484" priority="144" operator="equal">
      <formula>"Completed"</formula>
    </cfRule>
  </conditionalFormatting>
  <conditionalFormatting sqref="D203:I203">
    <cfRule type="cellIs" dxfId="483" priority="162" operator="equal">
      <formula>"In Progress"</formula>
    </cfRule>
    <cfRule type="cellIs" dxfId="482" priority="163" operator="equal">
      <formula>"Completed"</formula>
    </cfRule>
  </conditionalFormatting>
  <conditionalFormatting sqref="K184:L184">
    <cfRule type="cellIs" dxfId="481" priority="159" operator="equal">
      <formula>"In Progress"</formula>
    </cfRule>
    <cfRule type="cellIs" dxfId="480" priority="160" operator="equal">
      <formula>"Completed"</formula>
    </cfRule>
  </conditionalFormatting>
  <conditionalFormatting sqref="D4:I4">
    <cfRule type="cellIs" dxfId="479" priority="157" operator="equal">
      <formula>"In Progress"</formula>
    </cfRule>
    <cfRule type="cellIs" dxfId="478" priority="158" operator="equal">
      <formula>"Completed"</formula>
    </cfRule>
  </conditionalFormatting>
  <conditionalFormatting sqref="F184">
    <cfRule type="cellIs" dxfId="477" priority="153" operator="equal">
      <formula>"In Progress"</formula>
    </cfRule>
    <cfRule type="cellIs" dxfId="476" priority="154" operator="equal">
      <formula>"Completed"</formula>
    </cfRule>
  </conditionalFormatting>
  <conditionalFormatting sqref="E185">
    <cfRule type="cellIs" dxfId="475" priority="145" operator="equal">
      <formula>"In Progress"</formula>
    </cfRule>
    <cfRule type="cellIs" dxfId="474" priority="146" operator="equal">
      <formula>"Completed"</formula>
    </cfRule>
  </conditionalFormatting>
  <conditionalFormatting sqref="AE6:AE117 AE119:AE203">
    <cfRule type="cellIs" dxfId="473" priority="73" operator="equal">
      <formula>"In Progress"</formula>
    </cfRule>
    <cfRule type="cellIs" dxfId="472" priority="74" operator="equal">
      <formula>"Completed"</formula>
    </cfRule>
  </conditionalFormatting>
  <conditionalFormatting sqref="AE6:AE117 AE119:AE203">
    <cfRule type="cellIs" dxfId="471" priority="72" operator="equal">
      <formula>"Not Started"</formula>
    </cfRule>
  </conditionalFormatting>
  <conditionalFormatting sqref="AE118">
    <cfRule type="cellIs" dxfId="470" priority="66" operator="equal">
      <formula>"Not Started"</formula>
    </cfRule>
  </conditionalFormatting>
  <conditionalFormatting sqref="AE5">
    <cfRule type="cellIs" dxfId="469" priority="70" operator="equal">
      <formula>"In Progress"</formula>
    </cfRule>
    <cfRule type="cellIs" dxfId="468" priority="71" operator="equal">
      <formula>"Completed"</formula>
    </cfRule>
  </conditionalFormatting>
  <conditionalFormatting sqref="AE5">
    <cfRule type="cellIs" dxfId="467" priority="69" operator="equal">
      <formula>"Not Started"</formula>
    </cfRule>
  </conditionalFormatting>
  <conditionalFormatting sqref="AE118">
    <cfRule type="cellIs" dxfId="466" priority="67" operator="equal">
      <formula>"In Progress"</formula>
    </cfRule>
    <cfRule type="cellIs" dxfId="465" priority="68" operator="equal">
      <formula>"Completed"</formula>
    </cfRule>
  </conditionalFormatting>
  <conditionalFormatting sqref="AE4">
    <cfRule type="cellIs" dxfId="461" priority="52" operator="equal">
      <formula>"In Progress"</formula>
    </cfRule>
    <cfRule type="cellIs" dxfId="460" priority="53" operator="equal">
      <formula>"Completed"</formula>
    </cfRule>
  </conditionalFormatting>
  <conditionalFormatting sqref="N151:N159 N5:N149 N160:AD203 O4:AD159">
    <cfRule type="cellIs" dxfId="45" priority="10" operator="equal">
      <formula>"In Progress"</formula>
    </cfRule>
    <cfRule type="cellIs" dxfId="44" priority="11" operator="equal">
      <formula>"Completed"</formula>
    </cfRule>
  </conditionalFormatting>
  <conditionalFormatting sqref="O4:AD203">
    <cfRule type="cellIs" dxfId="43" priority="9" operator="equal">
      <formula>"Not Started"</formula>
    </cfRule>
  </conditionalFormatting>
  <conditionalFormatting sqref="N4">
    <cfRule type="cellIs" dxfId="42" priority="7" operator="equal">
      <formula>"In Progress"</formula>
    </cfRule>
    <cfRule type="cellIs" dxfId="41" priority="8" operator="equal">
      <formula>"Completed"</formula>
    </cfRule>
  </conditionalFormatting>
  <conditionalFormatting sqref="N186">
    <cfRule type="cellIs" dxfId="40" priority="5" operator="equal">
      <formula>"In Progress"</formula>
    </cfRule>
    <cfRule type="cellIs" dxfId="39" priority="6" operator="equal">
      <formula>"Completed"</formula>
    </cfRule>
  </conditionalFormatting>
  <conditionalFormatting sqref="N203">
    <cfRule type="cellIs" dxfId="38" priority="3" operator="equal">
      <formula>"In Progress"</formula>
    </cfRule>
    <cfRule type="cellIs" dxfId="37" priority="4" operator="equal">
      <formula>"Completed"</formula>
    </cfRule>
  </conditionalFormatting>
  <conditionalFormatting sqref="N150">
    <cfRule type="cellIs" dxfId="36" priority="1" operator="equal">
      <formula>"In Progress"</formula>
    </cfRule>
    <cfRule type="cellIs" dxfId="35" priority="2" operator="equal">
      <formula>"Completed"</formula>
    </cfRule>
  </conditionalFormatting>
  <dataValidations count="3">
    <dataValidation type="list" allowBlank="1" showInputMessage="1" showErrorMessage="1" sqref="G4:G203" xr:uid="{7D754400-5C91-4F4B-9C28-664B3BCFC004}">
      <formula1>$AM$4:$AM$6</formula1>
    </dataValidation>
    <dataValidation type="list" allowBlank="1" showInputMessage="1" showErrorMessage="1" sqref="F4:F203" xr:uid="{02465E01-0560-4DB2-AEBF-DDC68A6378D6}">
      <formula1>$AL$4:$AL$9</formula1>
    </dataValidation>
    <dataValidation type="list" allowBlank="1" showInputMessage="1" showErrorMessage="1" sqref="AE5:AE203 O4:AD203" xr:uid="{9A43F7C5-E9D1-466B-A7E1-4D7C768B8F5E}">
      <formula1>$AN$4:$AN$7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2" operator="containsText" id="{3F786158-81EF-49A0-A3C4-7EC1774EEA77}">
            <xm:f>NOT(ISERROR(SEARCH($G$4,G4)))</xm:f>
            <xm:f>$G$4</xm:f>
            <x14:dxf>
              <font>
                <b/>
                <i val="0"/>
                <color rgb="FF00B050"/>
              </font>
            </x14:dxf>
          </x14:cfRule>
          <xm:sqref>G4:G203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F6F4-952E-474C-B8B3-8F9AB5F72F1B}">
  <sheetPr>
    <outlinePr summaryBelow="0" summaryRight="0"/>
  </sheetPr>
  <dimension ref="A1:AM206"/>
  <sheetViews>
    <sheetView showGridLines="0" zoomScale="96" zoomScaleNormal="96" workbookViewId="0">
      <selection activeCell="E14" sqref="E14"/>
    </sheetView>
  </sheetViews>
  <sheetFormatPr defaultColWidth="12.54296875" defaultRowHeight="15.75" customHeight="1" x14ac:dyDescent="0.25"/>
  <cols>
    <col min="1" max="1" width="12.54296875" style="1"/>
    <col min="2" max="2" width="7.90625" style="1" bestFit="1" customWidth="1"/>
    <col min="3" max="3" width="16.08984375" style="1" bestFit="1" customWidth="1"/>
    <col min="4" max="4" width="29.54296875" style="1" bestFit="1" customWidth="1"/>
    <col min="5" max="5" width="45.1796875" style="1" bestFit="1" customWidth="1"/>
    <col min="6" max="6" width="15.26953125" style="1" customWidth="1"/>
    <col min="7" max="7" width="8.1796875" style="1" customWidth="1"/>
    <col min="8" max="9" width="7.81640625" style="1" customWidth="1"/>
    <col min="10" max="10" width="35.453125" style="1" customWidth="1"/>
    <col min="11" max="11" width="18.54296875" style="1" customWidth="1"/>
    <col min="12" max="12" width="12.54296875" style="1" customWidth="1"/>
    <col min="13" max="13" width="12.54296875" style="1"/>
    <col min="14" max="14" width="24.453125" style="1" bestFit="1" customWidth="1"/>
    <col min="15" max="16" width="12.54296875" style="1"/>
    <col min="17" max="17" width="14.81640625" style="1" customWidth="1"/>
    <col min="18" max="18" width="14.7265625" style="1" customWidth="1"/>
    <col min="19" max="19" width="12.54296875" style="1"/>
    <col min="20" max="20" width="15.81640625" style="1" customWidth="1"/>
    <col min="21" max="21" width="20.1796875" style="1" customWidth="1"/>
    <col min="22" max="35" width="12.54296875" style="1"/>
    <col min="36" max="36" width="37.81640625" style="1" customWidth="1"/>
    <col min="37" max="37" width="18.453125" style="1" hidden="1" customWidth="1"/>
    <col min="38" max="38" width="12.54296875" style="1" hidden="1" customWidth="1"/>
    <col min="39" max="39" width="0" style="1" hidden="1" customWidth="1"/>
    <col min="40" max="16384" width="12.54296875" style="1"/>
  </cols>
  <sheetData>
    <row r="1" spans="1:39" ht="37" customHeight="1" x14ac:dyDescent="0.25">
      <c r="C1" s="44" t="s">
        <v>0</v>
      </c>
      <c r="D1" s="45">
        <v>46152</v>
      </c>
    </row>
    <row r="2" spans="1:39" ht="13" x14ac:dyDescent="0.25">
      <c r="A2" s="236" t="s">
        <v>1</v>
      </c>
      <c r="B2" s="237" t="s">
        <v>2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9"/>
      <c r="N2" s="253" t="s">
        <v>3</v>
      </c>
      <c r="O2" s="241" t="s">
        <v>4</v>
      </c>
      <c r="P2" s="241"/>
      <c r="Q2" s="241"/>
      <c r="R2" s="241"/>
      <c r="S2" s="295" t="s">
        <v>5</v>
      </c>
      <c r="T2" s="296"/>
      <c r="U2" s="296"/>
      <c r="V2" s="296"/>
      <c r="W2" s="296"/>
      <c r="X2" s="296"/>
      <c r="Y2" s="296"/>
      <c r="Z2" s="296"/>
      <c r="AA2" s="297"/>
      <c r="AB2" s="244" t="s">
        <v>6</v>
      </c>
      <c r="AC2" s="251" t="s">
        <v>7</v>
      </c>
      <c r="AD2" s="279" t="s">
        <v>8</v>
      </c>
      <c r="AE2" s="281" t="s">
        <v>9</v>
      </c>
      <c r="AF2" s="281" t="s">
        <v>10</v>
      </c>
      <c r="AG2" s="281" t="s">
        <v>11</v>
      </c>
      <c r="AH2" s="281" t="s">
        <v>12</v>
      </c>
    </row>
    <row r="3" spans="1:39" s="2" customFormat="1" ht="47" x14ac:dyDescent="0.25">
      <c r="A3" s="236"/>
      <c r="B3" s="23" t="s">
        <v>9669</v>
      </c>
      <c r="C3" s="23" t="s">
        <v>13</v>
      </c>
      <c r="D3" s="23" t="s">
        <v>14</v>
      </c>
      <c r="E3" s="23" t="s">
        <v>15</v>
      </c>
      <c r="F3" s="23" t="s">
        <v>10256</v>
      </c>
      <c r="G3" s="23" t="s">
        <v>17</v>
      </c>
      <c r="H3" s="23" t="s">
        <v>18</v>
      </c>
      <c r="I3" s="23" t="s">
        <v>19</v>
      </c>
      <c r="J3" s="93" t="s">
        <v>10257</v>
      </c>
      <c r="K3" s="23" t="s">
        <v>21</v>
      </c>
      <c r="L3" s="23" t="s">
        <v>22</v>
      </c>
      <c r="M3" s="23" t="s">
        <v>23</v>
      </c>
      <c r="N3" s="254"/>
      <c r="O3" s="42" t="s">
        <v>24</v>
      </c>
      <c r="P3" s="42" t="s">
        <v>25</v>
      </c>
      <c r="Q3" s="42" t="s">
        <v>26</v>
      </c>
      <c r="R3" s="42" t="s">
        <v>27</v>
      </c>
      <c r="S3" s="43" t="s">
        <v>28</v>
      </c>
      <c r="T3" s="43" t="s">
        <v>29</v>
      </c>
      <c r="U3" s="43" t="s">
        <v>30</v>
      </c>
      <c r="V3" s="43" t="s">
        <v>31</v>
      </c>
      <c r="W3" s="43" t="s">
        <v>32</v>
      </c>
      <c r="X3" s="43" t="s">
        <v>33</v>
      </c>
      <c r="Y3" s="43" t="s">
        <v>34</v>
      </c>
      <c r="Z3" s="43" t="s">
        <v>35</v>
      </c>
      <c r="AA3" s="43" t="s">
        <v>36</v>
      </c>
      <c r="AB3" s="244"/>
      <c r="AC3" s="251"/>
      <c r="AD3" s="280"/>
      <c r="AE3" s="282"/>
      <c r="AF3" s="282"/>
      <c r="AG3" s="282"/>
      <c r="AH3" s="282"/>
      <c r="AK3" s="5" t="s">
        <v>16</v>
      </c>
      <c r="AL3" s="5" t="s">
        <v>17</v>
      </c>
      <c r="AM3" s="5" t="s">
        <v>37</v>
      </c>
    </row>
    <row r="4" spans="1:39" ht="15.75" customHeight="1" x14ac:dyDescent="0.25">
      <c r="A4" s="255" t="s">
        <v>1658</v>
      </c>
      <c r="B4" s="100">
        <v>1</v>
      </c>
      <c r="C4" s="63" t="s">
        <v>1659</v>
      </c>
      <c r="D4" s="53" t="s">
        <v>5976</v>
      </c>
      <c r="E4" s="57" t="s">
        <v>7602</v>
      </c>
      <c r="F4" s="7" t="s">
        <v>43</v>
      </c>
      <c r="G4" s="7" t="s">
        <v>44</v>
      </c>
      <c r="H4" s="7" t="s">
        <v>6206</v>
      </c>
      <c r="I4" s="7" t="s">
        <v>6206</v>
      </c>
      <c r="J4" s="7" t="s">
        <v>7852</v>
      </c>
      <c r="K4" s="7" t="s">
        <v>6087</v>
      </c>
      <c r="L4" s="7">
        <v>10052885233</v>
      </c>
      <c r="M4" s="7"/>
      <c r="N4" s="231">
        <v>46135</v>
      </c>
      <c r="O4" s="232" t="s">
        <v>11</v>
      </c>
      <c r="P4" s="232" t="s">
        <v>11</v>
      </c>
      <c r="Q4" s="232" t="s">
        <v>11</v>
      </c>
      <c r="R4" s="232" t="s">
        <v>11</v>
      </c>
      <c r="S4" s="232" t="s">
        <v>9</v>
      </c>
      <c r="T4" s="232" t="s">
        <v>9</v>
      </c>
      <c r="U4" s="232" t="s">
        <v>9</v>
      </c>
      <c r="V4" s="232" t="s">
        <v>9</v>
      </c>
      <c r="W4" s="232" t="s">
        <v>9</v>
      </c>
      <c r="X4" s="232" t="s">
        <v>9</v>
      </c>
      <c r="Y4" s="232" t="s">
        <v>9</v>
      </c>
      <c r="Z4" s="232" t="s">
        <v>9</v>
      </c>
      <c r="AA4" s="232" t="s">
        <v>9</v>
      </c>
      <c r="AB4" s="232" t="s">
        <v>9</v>
      </c>
      <c r="AC4" s="232" t="s">
        <v>9</v>
      </c>
      <c r="AD4" s="232" t="s">
        <v>9</v>
      </c>
      <c r="AE4" s="24">
        <f t="shared" ref="AE4:AE35" si="0">COUNTIF(O4:AC4,$AE$2)</f>
        <v>11</v>
      </c>
      <c r="AF4" s="24">
        <f t="shared" ref="AF4:AF35" si="1">COUNTIF(O4:AC4,$AF$2)</f>
        <v>0</v>
      </c>
      <c r="AG4" s="24">
        <f t="shared" ref="AG4:AG35" si="2">COUNTIF(O4:AC4,$AG$2)</f>
        <v>4</v>
      </c>
      <c r="AH4" s="41" t="str" cm="1">
        <f t="array" ref="AH4">_xlfn.IFS(
$AE4=15,"Not Started",
$AG4&lt;15,"In Progress",
$AG4=15,"Completed",
SUM(AE4:AG4)&gt;15,"Error"
)</f>
        <v>In Progress</v>
      </c>
      <c r="AK4" s="3" t="s">
        <v>43</v>
      </c>
      <c r="AL4" s="3" t="s">
        <v>44</v>
      </c>
      <c r="AM4" s="3" t="s">
        <v>9</v>
      </c>
    </row>
    <row r="5" spans="1:39" ht="15.5" x14ac:dyDescent="0.25">
      <c r="A5" s="256"/>
      <c r="B5" s="100">
        <v>2</v>
      </c>
      <c r="C5" s="64" t="s">
        <v>1660</v>
      </c>
      <c r="D5" s="53" t="s">
        <v>5977</v>
      </c>
      <c r="E5" s="57" t="s">
        <v>7603</v>
      </c>
      <c r="F5" s="7" t="s">
        <v>43</v>
      </c>
      <c r="G5" s="7" t="s">
        <v>44</v>
      </c>
      <c r="H5" s="7" t="s">
        <v>6206</v>
      </c>
      <c r="I5" s="7" t="s">
        <v>6206</v>
      </c>
      <c r="J5" s="7" t="s">
        <v>7853</v>
      </c>
      <c r="K5" s="7" t="s">
        <v>6088</v>
      </c>
      <c r="L5" s="7">
        <v>10052454478</v>
      </c>
      <c r="M5" s="7"/>
      <c r="N5" s="231">
        <v>46124</v>
      </c>
      <c r="O5" s="232" t="s">
        <v>11</v>
      </c>
      <c r="P5" s="232" t="s">
        <v>11</v>
      </c>
      <c r="Q5" s="232" t="s">
        <v>11</v>
      </c>
      <c r="R5" s="232" t="s">
        <v>11</v>
      </c>
      <c r="S5" s="232" t="s">
        <v>9</v>
      </c>
      <c r="T5" s="232" t="s">
        <v>9</v>
      </c>
      <c r="U5" s="232" t="s">
        <v>9</v>
      </c>
      <c r="V5" s="232" t="s">
        <v>9</v>
      </c>
      <c r="W5" s="232" t="s">
        <v>9</v>
      </c>
      <c r="X5" s="232" t="s">
        <v>9</v>
      </c>
      <c r="Y5" s="232" t="s">
        <v>9</v>
      </c>
      <c r="Z5" s="232" t="s">
        <v>9</v>
      </c>
      <c r="AA5" s="232" t="s">
        <v>9</v>
      </c>
      <c r="AB5" s="232" t="s">
        <v>9</v>
      </c>
      <c r="AC5" s="232" t="s">
        <v>9</v>
      </c>
      <c r="AD5" s="232" t="s">
        <v>9</v>
      </c>
      <c r="AE5" s="24">
        <f t="shared" si="0"/>
        <v>11</v>
      </c>
      <c r="AF5" s="24">
        <f t="shared" si="1"/>
        <v>0</v>
      </c>
      <c r="AG5" s="24">
        <f t="shared" si="2"/>
        <v>4</v>
      </c>
      <c r="AH5" s="41" t="str" cm="1">
        <f t="array" ref="AH5">_xlfn.IFS(
$AE5=15,"Not Started",
$AG5&lt;15,"In Progress",
$AG5=15,"Completed",
SUM(AE5:AG5)&gt;15,"Error"
)</f>
        <v>In Progress</v>
      </c>
      <c r="AK5" s="3" t="s">
        <v>47</v>
      </c>
      <c r="AL5" s="3" t="s">
        <v>48</v>
      </c>
      <c r="AM5" s="3" t="s">
        <v>10</v>
      </c>
    </row>
    <row r="6" spans="1:39" ht="15.5" x14ac:dyDescent="0.25">
      <c r="A6" s="248"/>
      <c r="B6" s="100">
        <v>3</v>
      </c>
      <c r="C6" s="14" t="s">
        <v>1661</v>
      </c>
      <c r="D6" s="53" t="s">
        <v>7528</v>
      </c>
      <c r="E6" s="57" t="s">
        <v>7604</v>
      </c>
      <c r="F6" s="7" t="s">
        <v>47</v>
      </c>
      <c r="G6" s="7" t="s">
        <v>48</v>
      </c>
      <c r="H6" s="7" t="s">
        <v>6206</v>
      </c>
      <c r="I6" s="7" t="s">
        <v>6206</v>
      </c>
      <c r="J6" s="7" t="s">
        <v>7854</v>
      </c>
      <c r="K6" s="7" t="s">
        <v>7774</v>
      </c>
      <c r="L6" s="7">
        <v>10052930821</v>
      </c>
      <c r="M6" s="7"/>
      <c r="N6" s="231">
        <v>46126</v>
      </c>
      <c r="O6" s="232" t="s">
        <v>11</v>
      </c>
      <c r="P6" s="232" t="s">
        <v>11</v>
      </c>
      <c r="Q6" s="232" t="s">
        <v>11</v>
      </c>
      <c r="R6" s="232" t="s">
        <v>11</v>
      </c>
      <c r="S6" s="232" t="s">
        <v>9</v>
      </c>
      <c r="T6" s="232" t="s">
        <v>9</v>
      </c>
      <c r="U6" s="232" t="s">
        <v>9</v>
      </c>
      <c r="V6" s="232" t="s">
        <v>9</v>
      </c>
      <c r="W6" s="232" t="s">
        <v>9</v>
      </c>
      <c r="X6" s="232" t="s">
        <v>9</v>
      </c>
      <c r="Y6" s="232" t="s">
        <v>9</v>
      </c>
      <c r="Z6" s="232" t="s">
        <v>9</v>
      </c>
      <c r="AA6" s="232" t="s">
        <v>9</v>
      </c>
      <c r="AB6" s="232" t="s">
        <v>9</v>
      </c>
      <c r="AC6" s="232" t="s">
        <v>9</v>
      </c>
      <c r="AD6" s="232" t="s">
        <v>9</v>
      </c>
      <c r="AE6" s="24">
        <f t="shared" si="0"/>
        <v>11</v>
      </c>
      <c r="AF6" s="24">
        <f t="shared" si="1"/>
        <v>0</v>
      </c>
      <c r="AG6" s="24">
        <f t="shared" si="2"/>
        <v>4</v>
      </c>
      <c r="AH6" s="41" t="str" cm="1">
        <f t="array" ref="AH6">_xlfn.IFS(
$AE6=15,"Not Started",
$AG6&lt;15,"In Progress",
$AG6=15,"Completed",
SUM(AE6:AG6)&gt;15,"Error"
)</f>
        <v>In Progress</v>
      </c>
      <c r="AK6" s="3" t="s">
        <v>51</v>
      </c>
      <c r="AL6" s="3" t="s">
        <v>52</v>
      </c>
      <c r="AM6" s="3" t="s">
        <v>11</v>
      </c>
    </row>
    <row r="7" spans="1:39" ht="15.5" x14ac:dyDescent="0.25">
      <c r="A7" s="248"/>
      <c r="B7" s="100">
        <v>4</v>
      </c>
      <c r="C7" s="7" t="s">
        <v>1662</v>
      </c>
      <c r="D7" s="53" t="s">
        <v>5978</v>
      </c>
      <c r="E7" s="57" t="s">
        <v>7605</v>
      </c>
      <c r="F7" s="7" t="s">
        <v>9671</v>
      </c>
      <c r="G7" s="7" t="s">
        <v>48</v>
      </c>
      <c r="H7" s="7" t="s">
        <v>6206</v>
      </c>
      <c r="I7" s="7" t="s">
        <v>6206</v>
      </c>
      <c r="J7" s="7" t="s">
        <v>7855</v>
      </c>
      <c r="K7" s="7" t="s">
        <v>6089</v>
      </c>
      <c r="L7" s="7">
        <v>10052807003</v>
      </c>
      <c r="M7" s="7"/>
      <c r="N7" s="231">
        <v>46124</v>
      </c>
      <c r="O7" s="232" t="s">
        <v>11</v>
      </c>
      <c r="P7" s="232" t="s">
        <v>11</v>
      </c>
      <c r="Q7" s="232" t="s">
        <v>11</v>
      </c>
      <c r="R7" s="232" t="s">
        <v>11</v>
      </c>
      <c r="S7" s="232" t="s">
        <v>9</v>
      </c>
      <c r="T7" s="232" t="s">
        <v>9</v>
      </c>
      <c r="U7" s="232" t="s">
        <v>9</v>
      </c>
      <c r="V7" s="232" t="s">
        <v>9</v>
      </c>
      <c r="W7" s="232" t="s">
        <v>9</v>
      </c>
      <c r="X7" s="232" t="s">
        <v>9</v>
      </c>
      <c r="Y7" s="232" t="s">
        <v>9</v>
      </c>
      <c r="Z7" s="232" t="s">
        <v>9</v>
      </c>
      <c r="AA7" s="232" t="s">
        <v>9</v>
      </c>
      <c r="AB7" s="232" t="s">
        <v>9</v>
      </c>
      <c r="AC7" s="232" t="s">
        <v>9</v>
      </c>
      <c r="AD7" s="232" t="s">
        <v>9</v>
      </c>
      <c r="AE7" s="24">
        <f t="shared" si="0"/>
        <v>11</v>
      </c>
      <c r="AF7" s="24">
        <f t="shared" si="1"/>
        <v>0</v>
      </c>
      <c r="AG7" s="24">
        <f t="shared" si="2"/>
        <v>4</v>
      </c>
      <c r="AH7" s="41" t="str" cm="1">
        <f t="array" ref="AH7">_xlfn.IFS(
$AE7=15,"Not Started",
$AG7&lt;15,"In Progress",
$AG7=15,"Completed",
SUM(AE7:AG7)&gt;15,"Error"
)</f>
        <v>In Progress</v>
      </c>
      <c r="AK7" s="3" t="s">
        <v>9672</v>
      </c>
      <c r="AL7" s="3"/>
      <c r="AM7" s="3" t="s">
        <v>52</v>
      </c>
    </row>
    <row r="8" spans="1:39" ht="15.5" x14ac:dyDescent="0.25">
      <c r="A8" s="248"/>
      <c r="B8" s="100">
        <v>5</v>
      </c>
      <c r="C8" s="14" t="s">
        <v>1663</v>
      </c>
      <c r="D8" s="53" t="s">
        <v>5979</v>
      </c>
      <c r="E8" s="57" t="s">
        <v>7606</v>
      </c>
      <c r="F8" s="7" t="s">
        <v>43</v>
      </c>
      <c r="G8" s="7" t="s">
        <v>44</v>
      </c>
      <c r="H8" s="7" t="s">
        <v>6206</v>
      </c>
      <c r="I8" s="7" t="s">
        <v>6206</v>
      </c>
      <c r="J8" s="7" t="s">
        <v>7856</v>
      </c>
      <c r="K8" s="7" t="s">
        <v>6090</v>
      </c>
      <c r="L8" s="7">
        <v>10053051853</v>
      </c>
      <c r="M8" s="7"/>
      <c r="N8" s="48"/>
      <c r="O8" s="232" t="s">
        <v>9</v>
      </c>
      <c r="P8" s="232" t="s">
        <v>9</v>
      </c>
      <c r="Q8" s="232" t="s">
        <v>9</v>
      </c>
      <c r="R8" s="232" t="s">
        <v>9</v>
      </c>
      <c r="S8" s="232" t="s">
        <v>9</v>
      </c>
      <c r="T8" s="232" t="s">
        <v>9</v>
      </c>
      <c r="U8" s="232" t="s">
        <v>9</v>
      </c>
      <c r="V8" s="232" t="s">
        <v>9</v>
      </c>
      <c r="W8" s="232" t="s">
        <v>9</v>
      </c>
      <c r="X8" s="232" t="s">
        <v>9</v>
      </c>
      <c r="Y8" s="232" t="s">
        <v>9</v>
      </c>
      <c r="Z8" s="232" t="s">
        <v>9</v>
      </c>
      <c r="AA8" s="232" t="s">
        <v>9</v>
      </c>
      <c r="AB8" s="232" t="s">
        <v>9</v>
      </c>
      <c r="AC8" s="232" t="s">
        <v>9</v>
      </c>
      <c r="AD8" s="232" t="s">
        <v>9</v>
      </c>
      <c r="AE8" s="24">
        <f t="shared" si="0"/>
        <v>15</v>
      </c>
      <c r="AF8" s="24">
        <f t="shared" si="1"/>
        <v>0</v>
      </c>
      <c r="AG8" s="24">
        <f t="shared" si="2"/>
        <v>0</v>
      </c>
      <c r="AH8" s="41" t="str" cm="1">
        <f t="array" ref="AH8">_xlfn.IFS(
$AE8=15,"Not Started",
$AG8&lt;15,"In Progress",
$AG8=15,"Completed",
SUM(AE8:AG8)&gt;15,"Error"
)</f>
        <v>Not Started</v>
      </c>
      <c r="AK8" s="3" t="s">
        <v>9671</v>
      </c>
      <c r="AL8" s="3"/>
      <c r="AM8" s="3"/>
    </row>
    <row r="9" spans="1:39" ht="15.5" x14ac:dyDescent="0.25">
      <c r="A9" s="248"/>
      <c r="B9" s="100">
        <v>6</v>
      </c>
      <c r="C9" s="7" t="s">
        <v>1664</v>
      </c>
      <c r="D9" s="53" t="s">
        <v>7529</v>
      </c>
      <c r="E9" s="57" t="s">
        <v>7607</v>
      </c>
      <c r="F9" s="7" t="s">
        <v>51</v>
      </c>
      <c r="G9" s="7" t="s">
        <v>44</v>
      </c>
      <c r="H9" s="7" t="s">
        <v>6206</v>
      </c>
      <c r="I9" s="7" t="s">
        <v>6206</v>
      </c>
      <c r="J9" s="7" t="s">
        <v>7857</v>
      </c>
      <c r="K9" s="7" t="s">
        <v>7775</v>
      </c>
      <c r="L9" s="7">
        <v>10052805321</v>
      </c>
      <c r="M9" s="7"/>
      <c r="N9" s="231">
        <v>46126</v>
      </c>
      <c r="O9" s="232" t="s">
        <v>11</v>
      </c>
      <c r="P9" s="232" t="s">
        <v>11</v>
      </c>
      <c r="Q9" s="232" t="s">
        <v>11</v>
      </c>
      <c r="R9" s="232" t="s">
        <v>11</v>
      </c>
      <c r="S9" s="232" t="s">
        <v>9</v>
      </c>
      <c r="T9" s="232" t="s">
        <v>9</v>
      </c>
      <c r="U9" s="232" t="s">
        <v>9</v>
      </c>
      <c r="V9" s="232" t="s">
        <v>9</v>
      </c>
      <c r="W9" s="232" t="s">
        <v>9</v>
      </c>
      <c r="X9" s="232" t="s">
        <v>9</v>
      </c>
      <c r="Y9" s="232" t="s">
        <v>9</v>
      </c>
      <c r="Z9" s="232" t="s">
        <v>9</v>
      </c>
      <c r="AA9" s="232" t="s">
        <v>9</v>
      </c>
      <c r="AB9" s="232" t="s">
        <v>9</v>
      </c>
      <c r="AC9" s="232" t="s">
        <v>9</v>
      </c>
      <c r="AD9" s="232" t="s">
        <v>9</v>
      </c>
      <c r="AE9" s="24">
        <f t="shared" si="0"/>
        <v>11</v>
      </c>
      <c r="AF9" s="24">
        <f t="shared" si="1"/>
        <v>0</v>
      </c>
      <c r="AG9" s="24">
        <f t="shared" si="2"/>
        <v>4</v>
      </c>
      <c r="AH9" s="41" t="str" cm="1">
        <f t="array" ref="AH9">_xlfn.IFS(
$AE9=15,"Not Started",
$AG9&lt;15,"In Progress",
$AG9=15,"Completed",
SUM(AE9:AG9)&gt;15,"Error"
)</f>
        <v>In Progress</v>
      </c>
      <c r="AK9" s="3" t="s">
        <v>52</v>
      </c>
      <c r="AL9" s="3"/>
      <c r="AM9" s="3"/>
    </row>
    <row r="10" spans="1:39" ht="15.5" x14ac:dyDescent="0.25">
      <c r="A10" s="248"/>
      <c r="B10" s="100">
        <v>7</v>
      </c>
      <c r="C10" s="14" t="s">
        <v>1665</v>
      </c>
      <c r="D10" s="53" t="s">
        <v>5980</v>
      </c>
      <c r="E10" s="57" t="s">
        <v>7608</v>
      </c>
      <c r="F10" s="7" t="s">
        <v>43</v>
      </c>
      <c r="G10" s="7" t="s">
        <v>44</v>
      </c>
      <c r="H10" s="7" t="s">
        <v>6206</v>
      </c>
      <c r="I10" s="7" t="s">
        <v>6206</v>
      </c>
      <c r="J10" s="7" t="s">
        <v>7858</v>
      </c>
      <c r="K10" s="7" t="s">
        <v>6091</v>
      </c>
      <c r="L10" s="7">
        <v>10052805152</v>
      </c>
      <c r="M10" s="7"/>
      <c r="N10" s="231">
        <v>46142</v>
      </c>
      <c r="O10" s="232" t="s">
        <v>11</v>
      </c>
      <c r="P10" s="232" t="s">
        <v>11</v>
      </c>
      <c r="Q10" s="232" t="s">
        <v>11</v>
      </c>
      <c r="R10" s="232" t="s">
        <v>11</v>
      </c>
      <c r="S10" s="232" t="s">
        <v>9</v>
      </c>
      <c r="T10" s="232" t="s">
        <v>9</v>
      </c>
      <c r="U10" s="232" t="s">
        <v>9</v>
      </c>
      <c r="V10" s="232" t="s">
        <v>9</v>
      </c>
      <c r="W10" s="232" t="s">
        <v>9</v>
      </c>
      <c r="X10" s="232" t="s">
        <v>9</v>
      </c>
      <c r="Y10" s="232" t="s">
        <v>9</v>
      </c>
      <c r="Z10" s="232" t="s">
        <v>9</v>
      </c>
      <c r="AA10" s="232" t="s">
        <v>9</v>
      </c>
      <c r="AB10" s="232" t="s">
        <v>9</v>
      </c>
      <c r="AC10" s="232" t="s">
        <v>9</v>
      </c>
      <c r="AD10" s="232" t="s">
        <v>9</v>
      </c>
      <c r="AE10" s="24">
        <f t="shared" si="0"/>
        <v>11</v>
      </c>
      <c r="AF10" s="24">
        <f t="shared" si="1"/>
        <v>0</v>
      </c>
      <c r="AG10" s="24">
        <f t="shared" si="2"/>
        <v>4</v>
      </c>
      <c r="AH10" s="41" t="str" cm="1">
        <f t="array" ref="AH10">_xlfn.IFS(
$AE10=15,"Not Started",
$AG10&lt;15,"In Progress",
$AG10=15,"Completed",
SUM(AE10:AG10)&gt;15,"Error"
)</f>
        <v>In Progress</v>
      </c>
    </row>
    <row r="11" spans="1:39" ht="15.5" x14ac:dyDescent="0.25">
      <c r="A11" s="248"/>
      <c r="B11" s="100">
        <v>8</v>
      </c>
      <c r="C11" s="7" t="s">
        <v>1666</v>
      </c>
      <c r="D11" s="53" t="s">
        <v>7530</v>
      </c>
      <c r="E11" s="57" t="s">
        <v>7609</v>
      </c>
      <c r="F11" s="7" t="s">
        <v>51</v>
      </c>
      <c r="G11" s="7" t="s">
        <v>44</v>
      </c>
      <c r="H11" s="7" t="s">
        <v>6206</v>
      </c>
      <c r="I11" s="7" t="s">
        <v>6206</v>
      </c>
      <c r="J11" s="7" t="s">
        <v>7859</v>
      </c>
      <c r="K11" s="7" t="s">
        <v>7776</v>
      </c>
      <c r="L11" s="7">
        <v>10052805466</v>
      </c>
      <c r="M11" s="7"/>
      <c r="N11" s="231">
        <v>46132</v>
      </c>
      <c r="O11" s="232" t="s">
        <v>11</v>
      </c>
      <c r="P11" s="232" t="s">
        <v>11</v>
      </c>
      <c r="Q11" s="232" t="s">
        <v>11</v>
      </c>
      <c r="R11" s="232" t="s">
        <v>11</v>
      </c>
      <c r="S11" s="232" t="s">
        <v>9</v>
      </c>
      <c r="T11" s="232" t="s">
        <v>9</v>
      </c>
      <c r="U11" s="232" t="s">
        <v>9</v>
      </c>
      <c r="V11" s="232" t="s">
        <v>9</v>
      </c>
      <c r="W11" s="232" t="s">
        <v>9</v>
      </c>
      <c r="X11" s="232" t="s">
        <v>9</v>
      </c>
      <c r="Y11" s="232" t="s">
        <v>9</v>
      </c>
      <c r="Z11" s="232" t="s">
        <v>9</v>
      </c>
      <c r="AA11" s="232" t="s">
        <v>9</v>
      </c>
      <c r="AB11" s="232" t="s">
        <v>9</v>
      </c>
      <c r="AC11" s="232" t="s">
        <v>9</v>
      </c>
      <c r="AD11" s="232" t="s">
        <v>9</v>
      </c>
      <c r="AE11" s="24">
        <f t="shared" si="0"/>
        <v>11</v>
      </c>
      <c r="AF11" s="24">
        <f t="shared" si="1"/>
        <v>0</v>
      </c>
      <c r="AG11" s="24">
        <f t="shared" si="2"/>
        <v>4</v>
      </c>
      <c r="AH11" s="41" t="str" cm="1">
        <f t="array" ref="AH11">_xlfn.IFS(
$AE11=15,"Not Started",
$AG11&lt;15,"In Progress",
$AG11=15,"Completed",
SUM(AE11:AG11)&gt;15,"Error"
)</f>
        <v>In Progress</v>
      </c>
    </row>
    <row r="12" spans="1:39" ht="15.5" x14ac:dyDescent="0.25">
      <c r="A12" s="248"/>
      <c r="B12" s="100">
        <v>9</v>
      </c>
      <c r="C12" s="14" t="s">
        <v>1667</v>
      </c>
      <c r="D12" s="53" t="s">
        <v>5981</v>
      </c>
      <c r="E12" s="57" t="s">
        <v>7610</v>
      </c>
      <c r="F12" s="7" t="s">
        <v>47</v>
      </c>
      <c r="G12" s="7" t="s">
        <v>44</v>
      </c>
      <c r="H12" s="7" t="s">
        <v>6206</v>
      </c>
      <c r="I12" s="7" t="s">
        <v>6206</v>
      </c>
      <c r="J12" s="7" t="s">
        <v>7860</v>
      </c>
      <c r="K12" s="7" t="s">
        <v>6092</v>
      </c>
      <c r="L12" s="7">
        <v>10052574931</v>
      </c>
      <c r="M12" s="7"/>
      <c r="N12" s="231">
        <v>46132</v>
      </c>
      <c r="O12" s="232" t="s">
        <v>11</v>
      </c>
      <c r="P12" s="232" t="s">
        <v>11</v>
      </c>
      <c r="Q12" s="232" t="s">
        <v>11</v>
      </c>
      <c r="R12" s="232" t="s">
        <v>11</v>
      </c>
      <c r="S12" s="232" t="s">
        <v>9</v>
      </c>
      <c r="T12" s="232" t="s">
        <v>9</v>
      </c>
      <c r="U12" s="232" t="s">
        <v>9</v>
      </c>
      <c r="V12" s="232" t="s">
        <v>9</v>
      </c>
      <c r="W12" s="232" t="s">
        <v>9</v>
      </c>
      <c r="X12" s="232" t="s">
        <v>9</v>
      </c>
      <c r="Y12" s="232" t="s">
        <v>9</v>
      </c>
      <c r="Z12" s="232" t="s">
        <v>9</v>
      </c>
      <c r="AA12" s="232" t="s">
        <v>9</v>
      </c>
      <c r="AB12" s="232" t="s">
        <v>9</v>
      </c>
      <c r="AC12" s="232" t="s">
        <v>9</v>
      </c>
      <c r="AD12" s="232" t="s">
        <v>9</v>
      </c>
      <c r="AE12" s="24">
        <f t="shared" si="0"/>
        <v>11</v>
      </c>
      <c r="AF12" s="24">
        <f t="shared" si="1"/>
        <v>0</v>
      </c>
      <c r="AG12" s="24">
        <f t="shared" si="2"/>
        <v>4</v>
      </c>
      <c r="AH12" s="41" t="str" cm="1">
        <f t="array" ref="AH12">_xlfn.IFS(
$AE12=15,"Not Started",
$AG12&lt;15,"In Progress",
$AG12=15,"Completed",
SUM(AE12:AG12)&gt;15,"Error"
)</f>
        <v>In Progress</v>
      </c>
    </row>
    <row r="13" spans="1:39" ht="15.5" x14ac:dyDescent="0.25">
      <c r="A13" s="248"/>
      <c r="B13" s="100">
        <v>10</v>
      </c>
      <c r="C13" s="7" t="s">
        <v>1668</v>
      </c>
      <c r="D13" s="53" t="s">
        <v>5982</v>
      </c>
      <c r="E13" s="57" t="s">
        <v>7611</v>
      </c>
      <c r="F13" s="7" t="s">
        <v>43</v>
      </c>
      <c r="G13" s="7" t="s">
        <v>44</v>
      </c>
      <c r="H13" s="7" t="s">
        <v>6206</v>
      </c>
      <c r="I13" s="7" t="s">
        <v>6206</v>
      </c>
      <c r="J13" s="7" t="s">
        <v>7861</v>
      </c>
      <c r="K13" s="7" t="s">
        <v>6093</v>
      </c>
      <c r="L13" s="7">
        <v>10052741538</v>
      </c>
      <c r="M13" s="7"/>
      <c r="N13" s="231">
        <v>46131</v>
      </c>
      <c r="O13" s="232" t="s">
        <v>11</v>
      </c>
      <c r="P13" s="232" t="s">
        <v>11</v>
      </c>
      <c r="Q13" s="232" t="s">
        <v>11</v>
      </c>
      <c r="R13" s="232" t="s">
        <v>11</v>
      </c>
      <c r="S13" s="232" t="s">
        <v>9</v>
      </c>
      <c r="T13" s="232" t="s">
        <v>9</v>
      </c>
      <c r="U13" s="232" t="s">
        <v>9</v>
      </c>
      <c r="V13" s="232" t="s">
        <v>9</v>
      </c>
      <c r="W13" s="232" t="s">
        <v>9</v>
      </c>
      <c r="X13" s="232" t="s">
        <v>9</v>
      </c>
      <c r="Y13" s="232" t="s">
        <v>9</v>
      </c>
      <c r="Z13" s="232" t="s">
        <v>9</v>
      </c>
      <c r="AA13" s="232" t="s">
        <v>9</v>
      </c>
      <c r="AB13" s="232" t="s">
        <v>9</v>
      </c>
      <c r="AC13" s="232" t="s">
        <v>9</v>
      </c>
      <c r="AD13" s="232" t="s">
        <v>9</v>
      </c>
      <c r="AE13" s="24">
        <f t="shared" si="0"/>
        <v>11</v>
      </c>
      <c r="AF13" s="24">
        <f t="shared" si="1"/>
        <v>0</v>
      </c>
      <c r="AG13" s="24">
        <f t="shared" si="2"/>
        <v>4</v>
      </c>
      <c r="AH13" s="41" t="str" cm="1">
        <f t="array" ref="AH13">_xlfn.IFS(
$AE13=15,"Not Started",
$AG13&lt;15,"In Progress",
$AG13=15,"Completed",
SUM(AE13:AG13)&gt;15,"Error"
)</f>
        <v>In Progress</v>
      </c>
    </row>
    <row r="14" spans="1:39" ht="24.5" customHeight="1" x14ac:dyDescent="0.25">
      <c r="A14" s="248"/>
      <c r="B14" s="100">
        <v>11</v>
      </c>
      <c r="C14" s="14" t="s">
        <v>1669</v>
      </c>
      <c r="D14" s="79" t="s">
        <v>10255</v>
      </c>
      <c r="E14" s="80" t="s">
        <v>10236</v>
      </c>
      <c r="F14" s="7" t="s">
        <v>47</v>
      </c>
      <c r="G14" s="7" t="s">
        <v>48</v>
      </c>
      <c r="H14" s="7" t="s">
        <v>6206</v>
      </c>
      <c r="I14" s="7" t="s">
        <v>6206</v>
      </c>
      <c r="J14" s="7" t="s">
        <v>7862</v>
      </c>
      <c r="K14" s="7" t="s">
        <v>6094</v>
      </c>
      <c r="L14" s="7">
        <v>10053049013</v>
      </c>
      <c r="M14" s="7"/>
      <c r="N14" s="48"/>
      <c r="O14" s="232" t="s">
        <v>9</v>
      </c>
      <c r="P14" s="232" t="s">
        <v>9</v>
      </c>
      <c r="Q14" s="232" t="s">
        <v>9</v>
      </c>
      <c r="R14" s="232" t="s">
        <v>9</v>
      </c>
      <c r="S14" s="232" t="s">
        <v>9</v>
      </c>
      <c r="T14" s="232" t="s">
        <v>9</v>
      </c>
      <c r="U14" s="232" t="s">
        <v>9</v>
      </c>
      <c r="V14" s="232" t="s">
        <v>9</v>
      </c>
      <c r="W14" s="232" t="s">
        <v>9</v>
      </c>
      <c r="X14" s="232" t="s">
        <v>9</v>
      </c>
      <c r="Y14" s="232" t="s">
        <v>9</v>
      </c>
      <c r="Z14" s="232" t="s">
        <v>9</v>
      </c>
      <c r="AA14" s="232" t="s">
        <v>9</v>
      </c>
      <c r="AB14" s="232" t="s">
        <v>9</v>
      </c>
      <c r="AC14" s="232" t="s">
        <v>9</v>
      </c>
      <c r="AD14" s="232" t="s">
        <v>9</v>
      </c>
      <c r="AE14" s="24">
        <f t="shared" si="0"/>
        <v>15</v>
      </c>
      <c r="AF14" s="24">
        <f t="shared" si="1"/>
        <v>0</v>
      </c>
      <c r="AG14" s="24">
        <f t="shared" si="2"/>
        <v>0</v>
      </c>
      <c r="AH14" s="41" t="str" cm="1">
        <f t="array" ref="AH14">_xlfn.IFS(
$AE14=15,"Not Started",
$AG14&lt;15,"In Progress",
$AG14=15,"Completed",
SUM(AE14:AG14)&gt;15,"Error"
)</f>
        <v>Not Started</v>
      </c>
    </row>
    <row r="15" spans="1:39" ht="15.75" customHeight="1" x14ac:dyDescent="0.25">
      <c r="A15" s="248"/>
      <c r="B15" s="100">
        <v>12</v>
      </c>
      <c r="C15" s="7" t="s">
        <v>1670</v>
      </c>
      <c r="D15" s="53" t="s">
        <v>5983</v>
      </c>
      <c r="E15" s="57" t="s">
        <v>7612</v>
      </c>
      <c r="F15" s="7" t="s">
        <v>43</v>
      </c>
      <c r="G15" s="7" t="s">
        <v>44</v>
      </c>
      <c r="H15" s="7" t="s">
        <v>6206</v>
      </c>
      <c r="I15" s="7" t="s">
        <v>6206</v>
      </c>
      <c r="J15" s="7" t="s">
        <v>7863</v>
      </c>
      <c r="K15" s="7" t="s">
        <v>6095</v>
      </c>
      <c r="L15" s="7">
        <v>10052494473</v>
      </c>
      <c r="M15" s="7"/>
      <c r="N15" s="48"/>
      <c r="O15" s="232" t="s">
        <v>9</v>
      </c>
      <c r="P15" s="232" t="s">
        <v>9</v>
      </c>
      <c r="Q15" s="232" t="s">
        <v>9</v>
      </c>
      <c r="R15" s="232" t="s">
        <v>9</v>
      </c>
      <c r="S15" s="232" t="s">
        <v>9</v>
      </c>
      <c r="T15" s="232" t="s">
        <v>9</v>
      </c>
      <c r="U15" s="232" t="s">
        <v>9</v>
      </c>
      <c r="V15" s="232" t="s">
        <v>9</v>
      </c>
      <c r="W15" s="232" t="s">
        <v>9</v>
      </c>
      <c r="X15" s="232" t="s">
        <v>9</v>
      </c>
      <c r="Y15" s="232" t="s">
        <v>9</v>
      </c>
      <c r="Z15" s="232" t="s">
        <v>9</v>
      </c>
      <c r="AA15" s="232" t="s">
        <v>9</v>
      </c>
      <c r="AB15" s="232" t="s">
        <v>9</v>
      </c>
      <c r="AC15" s="232" t="s">
        <v>9</v>
      </c>
      <c r="AD15" s="232" t="s">
        <v>9</v>
      </c>
      <c r="AE15" s="24">
        <f t="shared" si="0"/>
        <v>15</v>
      </c>
      <c r="AF15" s="24">
        <f t="shared" si="1"/>
        <v>0</v>
      </c>
      <c r="AG15" s="24">
        <f t="shared" si="2"/>
        <v>0</v>
      </c>
      <c r="AH15" s="41" t="str" cm="1">
        <f t="array" ref="AH15">_xlfn.IFS(
$AE15=15,"Not Started",
$AG15&lt;15,"In Progress",
$AG15=15,"Completed",
SUM(AE15:AG15)&gt;15,"Error"
)</f>
        <v>Not Started</v>
      </c>
    </row>
    <row r="16" spans="1:39" ht="15.75" customHeight="1" x14ac:dyDescent="0.25">
      <c r="A16" s="248"/>
      <c r="B16" s="100">
        <v>13</v>
      </c>
      <c r="C16" s="14" t="s">
        <v>1671</v>
      </c>
      <c r="D16" s="53" t="s">
        <v>5984</v>
      </c>
      <c r="E16" s="57" t="s">
        <v>7613</v>
      </c>
      <c r="F16" s="7" t="s">
        <v>43</v>
      </c>
      <c r="G16" s="7" t="s">
        <v>48</v>
      </c>
      <c r="H16" s="7" t="s">
        <v>6206</v>
      </c>
      <c r="I16" s="7" t="s">
        <v>6206</v>
      </c>
      <c r="J16" s="7" t="s">
        <v>7864</v>
      </c>
      <c r="K16" s="7" t="s">
        <v>6096</v>
      </c>
      <c r="L16" s="7">
        <v>10052445924</v>
      </c>
      <c r="M16" s="7"/>
      <c r="N16" s="231">
        <v>46147</v>
      </c>
      <c r="O16" s="232" t="s">
        <v>11</v>
      </c>
      <c r="P16" s="232" t="s">
        <v>11</v>
      </c>
      <c r="Q16" s="232" t="s">
        <v>11</v>
      </c>
      <c r="R16" s="232" t="s">
        <v>11</v>
      </c>
      <c r="S16" s="232" t="s">
        <v>9</v>
      </c>
      <c r="T16" s="232" t="s">
        <v>9</v>
      </c>
      <c r="U16" s="232" t="s">
        <v>9</v>
      </c>
      <c r="V16" s="232" t="s">
        <v>9</v>
      </c>
      <c r="W16" s="232" t="s">
        <v>9</v>
      </c>
      <c r="X16" s="232" t="s">
        <v>9</v>
      </c>
      <c r="Y16" s="232" t="s">
        <v>9</v>
      </c>
      <c r="Z16" s="232" t="s">
        <v>9</v>
      </c>
      <c r="AA16" s="232" t="s">
        <v>9</v>
      </c>
      <c r="AB16" s="232" t="s">
        <v>9</v>
      </c>
      <c r="AC16" s="232" t="s">
        <v>9</v>
      </c>
      <c r="AD16" s="232" t="s">
        <v>9</v>
      </c>
      <c r="AE16" s="24">
        <f t="shared" si="0"/>
        <v>11</v>
      </c>
      <c r="AF16" s="24">
        <f t="shared" si="1"/>
        <v>0</v>
      </c>
      <c r="AG16" s="24">
        <f t="shared" si="2"/>
        <v>4</v>
      </c>
      <c r="AH16" s="41" t="str" cm="1">
        <f t="array" ref="AH16">_xlfn.IFS(
$AE16=15,"Not Started",
$AG16&lt;15,"In Progress",
$AG16=15,"Completed",
SUM(AE16:AG16)&gt;15,"Error"
)</f>
        <v>In Progress</v>
      </c>
    </row>
    <row r="17" spans="1:34" ht="15.75" customHeight="1" x14ac:dyDescent="0.25">
      <c r="A17" s="248"/>
      <c r="B17" s="100">
        <v>14</v>
      </c>
      <c r="C17" s="7" t="s">
        <v>1672</v>
      </c>
      <c r="D17" s="53" t="s">
        <v>5985</v>
      </c>
      <c r="E17" s="57" t="s">
        <v>7614</v>
      </c>
      <c r="F17" s="7" t="s">
        <v>51</v>
      </c>
      <c r="G17" s="7" t="s">
        <v>44</v>
      </c>
      <c r="H17" s="7" t="s">
        <v>6206</v>
      </c>
      <c r="I17" s="7" t="s">
        <v>6206</v>
      </c>
      <c r="J17" s="7" t="s">
        <v>7863</v>
      </c>
      <c r="K17" s="7" t="s">
        <v>6097</v>
      </c>
      <c r="L17" s="7">
        <v>10052892256</v>
      </c>
      <c r="M17" s="7"/>
      <c r="N17" s="231">
        <v>46135</v>
      </c>
      <c r="O17" s="232" t="s">
        <v>11</v>
      </c>
      <c r="P17" s="232" t="s">
        <v>11</v>
      </c>
      <c r="Q17" s="232" t="s">
        <v>11</v>
      </c>
      <c r="R17" s="232" t="s">
        <v>11</v>
      </c>
      <c r="S17" s="232" t="s">
        <v>9</v>
      </c>
      <c r="T17" s="232" t="s">
        <v>9</v>
      </c>
      <c r="U17" s="232" t="s">
        <v>9</v>
      </c>
      <c r="V17" s="232" t="s">
        <v>9</v>
      </c>
      <c r="W17" s="232" t="s">
        <v>9</v>
      </c>
      <c r="X17" s="232" t="s">
        <v>9</v>
      </c>
      <c r="Y17" s="232" t="s">
        <v>9</v>
      </c>
      <c r="Z17" s="232" t="s">
        <v>9</v>
      </c>
      <c r="AA17" s="232" t="s">
        <v>9</v>
      </c>
      <c r="AB17" s="232" t="s">
        <v>9</v>
      </c>
      <c r="AC17" s="232" t="s">
        <v>9</v>
      </c>
      <c r="AD17" s="232" t="s">
        <v>9</v>
      </c>
      <c r="AE17" s="24">
        <f t="shared" si="0"/>
        <v>11</v>
      </c>
      <c r="AF17" s="24">
        <f t="shared" si="1"/>
        <v>0</v>
      </c>
      <c r="AG17" s="24">
        <f t="shared" si="2"/>
        <v>4</v>
      </c>
      <c r="AH17" s="41" t="str" cm="1">
        <f t="array" ref="AH17">_xlfn.IFS(
$AE17=15,"Not Started",
$AG17&lt;15,"In Progress",
$AG17=15,"Completed",
SUM(AE17:AG17)&gt;15,"Error"
)</f>
        <v>In Progress</v>
      </c>
    </row>
    <row r="18" spans="1:34" ht="15.75" customHeight="1" x14ac:dyDescent="0.25">
      <c r="A18" s="248"/>
      <c r="B18" s="100">
        <v>15</v>
      </c>
      <c r="C18" s="14" t="s">
        <v>1673</v>
      </c>
      <c r="D18" s="53" t="s">
        <v>5986</v>
      </c>
      <c r="E18" s="57" t="s">
        <v>7615</v>
      </c>
      <c r="F18" s="7" t="s">
        <v>51</v>
      </c>
      <c r="G18" s="7" t="s">
        <v>48</v>
      </c>
      <c r="H18" s="7" t="s">
        <v>6206</v>
      </c>
      <c r="I18" s="7" t="s">
        <v>6206</v>
      </c>
      <c r="J18" s="7" t="s">
        <v>7865</v>
      </c>
      <c r="K18" s="7" t="s">
        <v>6098</v>
      </c>
      <c r="L18" s="7">
        <v>10053005485</v>
      </c>
      <c r="M18" s="7"/>
      <c r="N18" s="231">
        <v>46128</v>
      </c>
      <c r="O18" s="232" t="s">
        <v>11</v>
      </c>
      <c r="P18" s="232" t="s">
        <v>11</v>
      </c>
      <c r="Q18" s="232" t="s">
        <v>11</v>
      </c>
      <c r="R18" s="232" t="s">
        <v>11</v>
      </c>
      <c r="S18" s="232" t="s">
        <v>9</v>
      </c>
      <c r="T18" s="232" t="s">
        <v>9</v>
      </c>
      <c r="U18" s="232" t="s">
        <v>9</v>
      </c>
      <c r="V18" s="232" t="s">
        <v>9</v>
      </c>
      <c r="W18" s="232" t="s">
        <v>9</v>
      </c>
      <c r="X18" s="232" t="s">
        <v>9</v>
      </c>
      <c r="Y18" s="232" t="s">
        <v>9</v>
      </c>
      <c r="Z18" s="232" t="s">
        <v>9</v>
      </c>
      <c r="AA18" s="232" t="s">
        <v>9</v>
      </c>
      <c r="AB18" s="232" t="s">
        <v>9</v>
      </c>
      <c r="AC18" s="232" t="s">
        <v>9</v>
      </c>
      <c r="AD18" s="232" t="s">
        <v>9</v>
      </c>
      <c r="AE18" s="24">
        <f t="shared" si="0"/>
        <v>11</v>
      </c>
      <c r="AF18" s="24">
        <f t="shared" si="1"/>
        <v>0</v>
      </c>
      <c r="AG18" s="24">
        <f t="shared" si="2"/>
        <v>4</v>
      </c>
      <c r="AH18" s="41" t="str" cm="1">
        <f t="array" ref="AH18">_xlfn.IFS(
$AE18=15,"Not Started",
$AG18&lt;15,"In Progress",
$AG18=15,"Completed",
SUM(AE18:AG18)&gt;15,"Error"
)</f>
        <v>In Progress</v>
      </c>
    </row>
    <row r="19" spans="1:34" ht="15.75" customHeight="1" x14ac:dyDescent="0.25">
      <c r="A19" s="248"/>
      <c r="B19" s="100">
        <v>16</v>
      </c>
      <c r="C19" s="7" t="s">
        <v>1674</v>
      </c>
      <c r="D19" s="53" t="s">
        <v>5987</v>
      </c>
      <c r="E19" s="57" t="s">
        <v>7616</v>
      </c>
      <c r="F19" s="7" t="s">
        <v>47</v>
      </c>
      <c r="G19" s="7" t="s">
        <v>48</v>
      </c>
      <c r="H19" s="7" t="s">
        <v>6206</v>
      </c>
      <c r="I19" s="7" t="s">
        <v>6206</v>
      </c>
      <c r="J19" s="7" t="s">
        <v>7866</v>
      </c>
      <c r="K19" s="7" t="s">
        <v>6099</v>
      </c>
      <c r="L19" s="7">
        <v>10052741799</v>
      </c>
      <c r="M19" s="7"/>
      <c r="N19" s="231">
        <v>46131</v>
      </c>
      <c r="O19" s="232" t="s">
        <v>11</v>
      </c>
      <c r="P19" s="232" t="s">
        <v>11</v>
      </c>
      <c r="Q19" s="232" t="s">
        <v>11</v>
      </c>
      <c r="R19" s="232" t="s">
        <v>11</v>
      </c>
      <c r="S19" s="232" t="s">
        <v>9</v>
      </c>
      <c r="T19" s="232" t="s">
        <v>9</v>
      </c>
      <c r="U19" s="232" t="s">
        <v>9</v>
      </c>
      <c r="V19" s="232" t="s">
        <v>9</v>
      </c>
      <c r="W19" s="232" t="s">
        <v>9</v>
      </c>
      <c r="X19" s="232" t="s">
        <v>9</v>
      </c>
      <c r="Y19" s="232" t="s">
        <v>9</v>
      </c>
      <c r="Z19" s="232" t="s">
        <v>9</v>
      </c>
      <c r="AA19" s="232" t="s">
        <v>9</v>
      </c>
      <c r="AB19" s="232" t="s">
        <v>9</v>
      </c>
      <c r="AC19" s="232" t="s">
        <v>9</v>
      </c>
      <c r="AD19" s="232" t="s">
        <v>9</v>
      </c>
      <c r="AE19" s="24">
        <f t="shared" si="0"/>
        <v>11</v>
      </c>
      <c r="AF19" s="24">
        <f t="shared" si="1"/>
        <v>0</v>
      </c>
      <c r="AG19" s="24">
        <f t="shared" si="2"/>
        <v>4</v>
      </c>
      <c r="AH19" s="41" t="str" cm="1">
        <f t="array" ref="AH19">_xlfn.IFS(
$AE19=15,"Not Started",
$AG19&lt;15,"In Progress",
$AG19=15,"Completed",
SUM(AE19:AG19)&gt;15,"Error"
)</f>
        <v>In Progress</v>
      </c>
    </row>
    <row r="20" spans="1:34" ht="15.75" customHeight="1" x14ac:dyDescent="0.25">
      <c r="A20" s="248"/>
      <c r="B20" s="100">
        <v>17</v>
      </c>
      <c r="C20" s="14" t="s">
        <v>1675</v>
      </c>
      <c r="D20" s="53" t="s">
        <v>5988</v>
      </c>
      <c r="E20" s="57" t="s">
        <v>7617</v>
      </c>
      <c r="F20" s="7" t="s">
        <v>9671</v>
      </c>
      <c r="G20" s="7" t="s">
        <v>48</v>
      </c>
      <c r="H20" s="7" t="s">
        <v>6206</v>
      </c>
      <c r="I20" s="7" t="s">
        <v>6206</v>
      </c>
      <c r="J20" s="7" t="s">
        <v>7867</v>
      </c>
      <c r="K20" s="7" t="s">
        <v>6100</v>
      </c>
      <c r="L20" s="7">
        <v>10095085800</v>
      </c>
      <c r="M20" s="7"/>
      <c r="N20" s="48"/>
      <c r="O20" s="232" t="s">
        <v>9</v>
      </c>
      <c r="P20" s="232" t="s">
        <v>9</v>
      </c>
      <c r="Q20" s="232" t="s">
        <v>9</v>
      </c>
      <c r="R20" s="232" t="s">
        <v>9</v>
      </c>
      <c r="S20" s="232" t="s">
        <v>9</v>
      </c>
      <c r="T20" s="232" t="s">
        <v>9</v>
      </c>
      <c r="U20" s="232" t="s">
        <v>9</v>
      </c>
      <c r="V20" s="232" t="s">
        <v>9</v>
      </c>
      <c r="W20" s="232" t="s">
        <v>9</v>
      </c>
      <c r="X20" s="232" t="s">
        <v>9</v>
      </c>
      <c r="Y20" s="232" t="s">
        <v>9</v>
      </c>
      <c r="Z20" s="232" t="s">
        <v>9</v>
      </c>
      <c r="AA20" s="232" t="s">
        <v>9</v>
      </c>
      <c r="AB20" s="232" t="s">
        <v>9</v>
      </c>
      <c r="AC20" s="232" t="s">
        <v>9</v>
      </c>
      <c r="AD20" s="232" t="s">
        <v>9</v>
      </c>
      <c r="AE20" s="24">
        <f t="shared" si="0"/>
        <v>15</v>
      </c>
      <c r="AF20" s="24">
        <f t="shared" si="1"/>
        <v>0</v>
      </c>
      <c r="AG20" s="24">
        <f t="shared" si="2"/>
        <v>0</v>
      </c>
      <c r="AH20" s="41" t="str" cm="1">
        <f t="array" ref="AH20">_xlfn.IFS(
$AE20=15,"Not Started",
$AG20&lt;15,"In Progress",
$AG20=15,"Completed",
SUM(AE20:AG20)&gt;15,"Error"
)</f>
        <v>Not Started</v>
      </c>
    </row>
    <row r="21" spans="1:34" ht="15.5" x14ac:dyDescent="0.25">
      <c r="A21" s="248"/>
      <c r="B21" s="100">
        <v>18</v>
      </c>
      <c r="C21" s="7" t="s">
        <v>1676</v>
      </c>
      <c r="D21" s="53" t="s">
        <v>5989</v>
      </c>
      <c r="E21" s="57" t="s">
        <v>7618</v>
      </c>
      <c r="F21" s="7" t="s">
        <v>9671</v>
      </c>
      <c r="G21" s="7" t="s">
        <v>48</v>
      </c>
      <c r="H21" s="7" t="s">
        <v>6206</v>
      </c>
      <c r="I21" s="7" t="s">
        <v>6206</v>
      </c>
      <c r="J21" s="7" t="s">
        <v>7868</v>
      </c>
      <c r="K21" s="7" t="s">
        <v>6101</v>
      </c>
      <c r="L21" s="7">
        <v>10102470716</v>
      </c>
      <c r="M21" s="7"/>
      <c r="N21" s="231">
        <v>46145</v>
      </c>
      <c r="O21" s="232" t="s">
        <v>11</v>
      </c>
      <c r="P21" s="232" t="s">
        <v>11</v>
      </c>
      <c r="Q21" s="232" t="s">
        <v>11</v>
      </c>
      <c r="R21" s="232" t="s">
        <v>11</v>
      </c>
      <c r="S21" s="232" t="s">
        <v>9</v>
      </c>
      <c r="T21" s="232" t="s">
        <v>9</v>
      </c>
      <c r="U21" s="232" t="s">
        <v>9</v>
      </c>
      <c r="V21" s="232" t="s">
        <v>9</v>
      </c>
      <c r="W21" s="232" t="s">
        <v>9</v>
      </c>
      <c r="X21" s="232" t="s">
        <v>9</v>
      </c>
      <c r="Y21" s="232" t="s">
        <v>9</v>
      </c>
      <c r="Z21" s="232" t="s">
        <v>9</v>
      </c>
      <c r="AA21" s="232" t="s">
        <v>9</v>
      </c>
      <c r="AB21" s="232" t="s">
        <v>9</v>
      </c>
      <c r="AC21" s="232" t="s">
        <v>9</v>
      </c>
      <c r="AD21" s="232" t="s">
        <v>9</v>
      </c>
      <c r="AE21" s="24">
        <f t="shared" si="0"/>
        <v>11</v>
      </c>
      <c r="AF21" s="24">
        <f t="shared" si="1"/>
        <v>0</v>
      </c>
      <c r="AG21" s="24">
        <f t="shared" si="2"/>
        <v>4</v>
      </c>
      <c r="AH21" s="41" t="str" cm="1">
        <f t="array" ref="AH21">_xlfn.IFS(
$AE21=15,"Not Started",
$AG21&lt;15,"In Progress",
$AG21=15,"Completed",
SUM(AE21:AG21)&gt;15,"Error"
)</f>
        <v>In Progress</v>
      </c>
    </row>
    <row r="22" spans="1:34" ht="15.5" x14ac:dyDescent="0.25">
      <c r="A22" s="248"/>
      <c r="B22" s="100">
        <v>19</v>
      </c>
      <c r="C22" s="14" t="s">
        <v>1677</v>
      </c>
      <c r="D22" s="53" t="s">
        <v>5990</v>
      </c>
      <c r="E22" s="57" t="s">
        <v>7619</v>
      </c>
      <c r="F22" s="7" t="s">
        <v>43</v>
      </c>
      <c r="G22" s="7" t="s">
        <v>48</v>
      </c>
      <c r="H22" s="7" t="s">
        <v>6206</v>
      </c>
      <c r="I22" s="7" t="s">
        <v>6206</v>
      </c>
      <c r="J22" s="7" t="s">
        <v>7869</v>
      </c>
      <c r="K22" s="7" t="s">
        <v>6102</v>
      </c>
      <c r="L22" s="7">
        <v>10052929679</v>
      </c>
      <c r="M22" s="7"/>
      <c r="N22" s="231">
        <v>46141</v>
      </c>
      <c r="O22" s="232" t="s">
        <v>11</v>
      </c>
      <c r="P22" s="232" t="s">
        <v>11</v>
      </c>
      <c r="Q22" s="232" t="s">
        <v>11</v>
      </c>
      <c r="R22" s="232" t="s">
        <v>11</v>
      </c>
      <c r="S22" s="232" t="s">
        <v>9</v>
      </c>
      <c r="T22" s="232" t="s">
        <v>9</v>
      </c>
      <c r="U22" s="232" t="s">
        <v>9</v>
      </c>
      <c r="V22" s="232" t="s">
        <v>9</v>
      </c>
      <c r="W22" s="232" t="s">
        <v>9</v>
      </c>
      <c r="X22" s="232" t="s">
        <v>9</v>
      </c>
      <c r="Y22" s="232" t="s">
        <v>9</v>
      </c>
      <c r="Z22" s="232" t="s">
        <v>9</v>
      </c>
      <c r="AA22" s="232" t="s">
        <v>9</v>
      </c>
      <c r="AB22" s="232" t="s">
        <v>9</v>
      </c>
      <c r="AC22" s="232" t="s">
        <v>9</v>
      </c>
      <c r="AD22" s="232" t="s">
        <v>9</v>
      </c>
      <c r="AE22" s="24">
        <f t="shared" si="0"/>
        <v>11</v>
      </c>
      <c r="AF22" s="24">
        <f t="shared" si="1"/>
        <v>0</v>
      </c>
      <c r="AG22" s="24">
        <f t="shared" si="2"/>
        <v>4</v>
      </c>
      <c r="AH22" s="41" t="str" cm="1">
        <f t="array" ref="AH22">_xlfn.IFS(
$AE22=15,"Not Started",
$AG22&lt;15,"In Progress",
$AG22=15,"Completed",
SUM(AE22:AG22)&gt;15,"Error"
)</f>
        <v>In Progress</v>
      </c>
    </row>
    <row r="23" spans="1:34" ht="15.5" x14ac:dyDescent="0.25">
      <c r="A23" s="248"/>
      <c r="B23" s="100">
        <v>20</v>
      </c>
      <c r="C23" s="7" t="s">
        <v>1678</v>
      </c>
      <c r="D23" s="53" t="s">
        <v>5991</v>
      </c>
      <c r="E23" s="57" t="s">
        <v>7620</v>
      </c>
      <c r="F23" s="7" t="s">
        <v>43</v>
      </c>
      <c r="G23" s="7" t="s">
        <v>48</v>
      </c>
      <c r="H23" s="7" t="s">
        <v>6206</v>
      </c>
      <c r="I23" s="7" t="s">
        <v>6206</v>
      </c>
      <c r="J23" s="7" t="s">
        <v>7870</v>
      </c>
      <c r="K23" s="7" t="s">
        <v>6103</v>
      </c>
      <c r="L23" s="7">
        <v>10053050159</v>
      </c>
      <c r="M23" s="7"/>
      <c r="N23" s="48"/>
      <c r="O23" s="232" t="s">
        <v>9</v>
      </c>
      <c r="P23" s="232" t="s">
        <v>9</v>
      </c>
      <c r="Q23" s="232" t="s">
        <v>9</v>
      </c>
      <c r="R23" s="232" t="s">
        <v>9</v>
      </c>
      <c r="S23" s="232" t="s">
        <v>9</v>
      </c>
      <c r="T23" s="232" t="s">
        <v>9</v>
      </c>
      <c r="U23" s="232" t="s">
        <v>9</v>
      </c>
      <c r="V23" s="232" t="s">
        <v>9</v>
      </c>
      <c r="W23" s="232" t="s">
        <v>9</v>
      </c>
      <c r="X23" s="232" t="s">
        <v>9</v>
      </c>
      <c r="Y23" s="232" t="s">
        <v>9</v>
      </c>
      <c r="Z23" s="232" t="s">
        <v>9</v>
      </c>
      <c r="AA23" s="232" t="s">
        <v>9</v>
      </c>
      <c r="AB23" s="232" t="s">
        <v>9</v>
      </c>
      <c r="AC23" s="232" t="s">
        <v>9</v>
      </c>
      <c r="AD23" s="232" t="s">
        <v>9</v>
      </c>
      <c r="AE23" s="24">
        <f t="shared" si="0"/>
        <v>15</v>
      </c>
      <c r="AF23" s="24">
        <f t="shared" si="1"/>
        <v>0</v>
      </c>
      <c r="AG23" s="24">
        <f t="shared" si="2"/>
        <v>0</v>
      </c>
      <c r="AH23" s="41" t="str" cm="1">
        <f t="array" ref="AH23">_xlfn.IFS(
$AE23=15,"Not Started",
$AG23&lt;15,"In Progress",
$AG23=15,"Completed",
SUM(AE23:AG23)&gt;15,"Error"
)</f>
        <v>Not Started</v>
      </c>
    </row>
    <row r="24" spans="1:34" ht="15.5" x14ac:dyDescent="0.25">
      <c r="A24" s="248"/>
      <c r="B24" s="100">
        <v>21</v>
      </c>
      <c r="C24" s="14" t="s">
        <v>1679</v>
      </c>
      <c r="D24" s="53" t="s">
        <v>7531</v>
      </c>
      <c r="E24" s="57" t="s">
        <v>7621</v>
      </c>
      <c r="F24" s="7" t="s">
        <v>9672</v>
      </c>
      <c r="G24" s="7" t="s">
        <v>48</v>
      </c>
      <c r="H24" s="7" t="s">
        <v>6206</v>
      </c>
      <c r="I24" s="7" t="s">
        <v>6206</v>
      </c>
      <c r="J24" s="7" t="s">
        <v>7871</v>
      </c>
      <c r="K24" s="7" t="s">
        <v>7777</v>
      </c>
      <c r="L24" s="7">
        <v>10082489358</v>
      </c>
      <c r="M24" s="7"/>
      <c r="N24" s="48"/>
      <c r="O24" s="232" t="s">
        <v>9</v>
      </c>
      <c r="P24" s="232" t="s">
        <v>9</v>
      </c>
      <c r="Q24" s="232" t="s">
        <v>9</v>
      </c>
      <c r="R24" s="232" t="s">
        <v>9</v>
      </c>
      <c r="S24" s="232" t="s">
        <v>9</v>
      </c>
      <c r="T24" s="232" t="s">
        <v>9</v>
      </c>
      <c r="U24" s="232" t="s">
        <v>9</v>
      </c>
      <c r="V24" s="232" t="s">
        <v>9</v>
      </c>
      <c r="W24" s="232" t="s">
        <v>9</v>
      </c>
      <c r="X24" s="232" t="s">
        <v>9</v>
      </c>
      <c r="Y24" s="232" t="s">
        <v>9</v>
      </c>
      <c r="Z24" s="232" t="s">
        <v>9</v>
      </c>
      <c r="AA24" s="232" t="s">
        <v>9</v>
      </c>
      <c r="AB24" s="232" t="s">
        <v>9</v>
      </c>
      <c r="AC24" s="232" t="s">
        <v>9</v>
      </c>
      <c r="AD24" s="232" t="s">
        <v>9</v>
      </c>
      <c r="AE24" s="24">
        <f t="shared" si="0"/>
        <v>15</v>
      </c>
      <c r="AF24" s="24">
        <f t="shared" si="1"/>
        <v>0</v>
      </c>
      <c r="AG24" s="24">
        <f t="shared" si="2"/>
        <v>0</v>
      </c>
      <c r="AH24" s="41" t="str" cm="1">
        <f t="array" ref="AH24">_xlfn.IFS(
$AE24=15,"Not Started",
$AG24&lt;15,"In Progress",
$AG24=15,"Completed",
SUM(AE24:AG24)&gt;15,"Error"
)</f>
        <v>Not Started</v>
      </c>
    </row>
    <row r="25" spans="1:34" ht="15.5" x14ac:dyDescent="0.25">
      <c r="A25" s="248"/>
      <c r="B25" s="100">
        <v>22</v>
      </c>
      <c r="C25" s="7" t="s">
        <v>1680</v>
      </c>
      <c r="D25" s="53" t="s">
        <v>7532</v>
      </c>
      <c r="E25" s="57" t="s">
        <v>7622</v>
      </c>
      <c r="F25" s="7" t="s">
        <v>51</v>
      </c>
      <c r="G25" s="7" t="s">
        <v>44</v>
      </c>
      <c r="H25" s="7" t="s">
        <v>6206</v>
      </c>
      <c r="I25" s="7" t="s">
        <v>6206</v>
      </c>
      <c r="J25" s="7" t="s">
        <v>7872</v>
      </c>
      <c r="K25" s="7" t="s">
        <v>7778</v>
      </c>
      <c r="L25" s="7">
        <v>10052702370</v>
      </c>
      <c r="M25" s="7"/>
      <c r="N25" s="48"/>
      <c r="O25" s="232" t="s">
        <v>9</v>
      </c>
      <c r="P25" s="232" t="s">
        <v>9</v>
      </c>
      <c r="Q25" s="232" t="s">
        <v>9</v>
      </c>
      <c r="R25" s="232" t="s">
        <v>9</v>
      </c>
      <c r="S25" s="232" t="s">
        <v>9</v>
      </c>
      <c r="T25" s="232" t="s">
        <v>9</v>
      </c>
      <c r="U25" s="232" t="s">
        <v>9</v>
      </c>
      <c r="V25" s="232" t="s">
        <v>9</v>
      </c>
      <c r="W25" s="232" t="s">
        <v>9</v>
      </c>
      <c r="X25" s="232" t="s">
        <v>9</v>
      </c>
      <c r="Y25" s="232" t="s">
        <v>9</v>
      </c>
      <c r="Z25" s="232" t="s">
        <v>9</v>
      </c>
      <c r="AA25" s="232" t="s">
        <v>9</v>
      </c>
      <c r="AB25" s="232" t="s">
        <v>9</v>
      </c>
      <c r="AC25" s="232" t="s">
        <v>9</v>
      </c>
      <c r="AD25" s="232" t="s">
        <v>9</v>
      </c>
      <c r="AE25" s="24">
        <f t="shared" si="0"/>
        <v>15</v>
      </c>
      <c r="AF25" s="24">
        <f t="shared" si="1"/>
        <v>0</v>
      </c>
      <c r="AG25" s="24">
        <f t="shared" si="2"/>
        <v>0</v>
      </c>
      <c r="AH25" s="41" t="str" cm="1">
        <f t="array" ref="AH25">_xlfn.IFS(
$AE25=15,"Not Started",
$AG25&lt;15,"In Progress",
$AG25=15,"Completed",
SUM(AE25:AG25)&gt;15,"Error"
)</f>
        <v>Not Started</v>
      </c>
    </row>
    <row r="26" spans="1:34" ht="15.5" x14ac:dyDescent="0.25">
      <c r="A26" s="248"/>
      <c r="B26" s="100">
        <v>23</v>
      </c>
      <c r="C26" s="14" t="s">
        <v>1681</v>
      </c>
      <c r="D26" s="53" t="s">
        <v>5992</v>
      </c>
      <c r="E26" s="57" t="s">
        <v>7623</v>
      </c>
      <c r="F26" s="7" t="s">
        <v>9671</v>
      </c>
      <c r="G26" s="7" t="s">
        <v>48</v>
      </c>
      <c r="H26" s="7" t="s">
        <v>6206</v>
      </c>
      <c r="I26" s="7" t="s">
        <v>6206</v>
      </c>
      <c r="J26" s="7" t="s">
        <v>7873</v>
      </c>
      <c r="K26" s="7" t="s">
        <v>6104</v>
      </c>
      <c r="L26" s="7">
        <v>10052374493</v>
      </c>
      <c r="M26" s="7"/>
      <c r="N26" s="231">
        <v>46120</v>
      </c>
      <c r="O26" s="232" t="s">
        <v>11</v>
      </c>
      <c r="P26" s="232" t="s">
        <v>11</v>
      </c>
      <c r="Q26" s="232" t="s">
        <v>11</v>
      </c>
      <c r="R26" s="232" t="s">
        <v>11</v>
      </c>
      <c r="S26" s="232" t="s">
        <v>9</v>
      </c>
      <c r="T26" s="232" t="s">
        <v>9</v>
      </c>
      <c r="U26" s="232" t="s">
        <v>9</v>
      </c>
      <c r="V26" s="232" t="s">
        <v>9</v>
      </c>
      <c r="W26" s="232" t="s">
        <v>9</v>
      </c>
      <c r="X26" s="232" t="s">
        <v>9</v>
      </c>
      <c r="Y26" s="232" t="s">
        <v>9</v>
      </c>
      <c r="Z26" s="232" t="s">
        <v>9</v>
      </c>
      <c r="AA26" s="232" t="s">
        <v>9</v>
      </c>
      <c r="AB26" s="232" t="s">
        <v>9</v>
      </c>
      <c r="AC26" s="232" t="s">
        <v>9</v>
      </c>
      <c r="AD26" s="232" t="s">
        <v>9</v>
      </c>
      <c r="AE26" s="24">
        <f t="shared" si="0"/>
        <v>11</v>
      </c>
      <c r="AF26" s="24">
        <f t="shared" si="1"/>
        <v>0</v>
      </c>
      <c r="AG26" s="24">
        <f t="shared" si="2"/>
        <v>4</v>
      </c>
      <c r="AH26" s="41" t="str" cm="1">
        <f t="array" ref="AH26">_xlfn.IFS(
$AE26=15,"Not Started",
$AG26&lt;15,"In Progress",
$AG26=15,"Completed",
SUM(AE26:AG26)&gt;15,"Error"
)</f>
        <v>In Progress</v>
      </c>
    </row>
    <row r="27" spans="1:34" ht="15.5" x14ac:dyDescent="0.25">
      <c r="A27" s="248"/>
      <c r="B27" s="100">
        <v>24</v>
      </c>
      <c r="C27" s="7" t="s">
        <v>1682</v>
      </c>
      <c r="D27" s="53" t="s">
        <v>5993</v>
      </c>
      <c r="E27" s="57" t="s">
        <v>7624</v>
      </c>
      <c r="F27" s="7" t="s">
        <v>47</v>
      </c>
      <c r="G27" s="7" t="s">
        <v>48</v>
      </c>
      <c r="H27" s="7" t="s">
        <v>6206</v>
      </c>
      <c r="I27" s="7" t="s">
        <v>6206</v>
      </c>
      <c r="J27" s="7" t="s">
        <v>7874</v>
      </c>
      <c r="K27" s="7" t="s">
        <v>6105</v>
      </c>
      <c r="L27" s="7">
        <v>10084789193</v>
      </c>
      <c r="M27" s="7"/>
      <c r="N27" s="231">
        <v>46118</v>
      </c>
      <c r="O27" s="232" t="s">
        <v>11</v>
      </c>
      <c r="P27" s="232" t="s">
        <v>11</v>
      </c>
      <c r="Q27" s="232" t="s">
        <v>11</v>
      </c>
      <c r="R27" s="232" t="s">
        <v>11</v>
      </c>
      <c r="S27" s="232" t="s">
        <v>9</v>
      </c>
      <c r="T27" s="232" t="s">
        <v>9</v>
      </c>
      <c r="U27" s="232" t="s">
        <v>9</v>
      </c>
      <c r="V27" s="232" t="s">
        <v>9</v>
      </c>
      <c r="W27" s="232" t="s">
        <v>9</v>
      </c>
      <c r="X27" s="232" t="s">
        <v>9</v>
      </c>
      <c r="Y27" s="232" t="s">
        <v>9</v>
      </c>
      <c r="Z27" s="232" t="s">
        <v>9</v>
      </c>
      <c r="AA27" s="232" t="s">
        <v>9</v>
      </c>
      <c r="AB27" s="232" t="s">
        <v>9</v>
      </c>
      <c r="AC27" s="232" t="s">
        <v>9</v>
      </c>
      <c r="AD27" s="232" t="s">
        <v>9</v>
      </c>
      <c r="AE27" s="24">
        <f t="shared" si="0"/>
        <v>11</v>
      </c>
      <c r="AF27" s="24">
        <f t="shared" si="1"/>
        <v>0</v>
      </c>
      <c r="AG27" s="24">
        <f t="shared" si="2"/>
        <v>4</v>
      </c>
      <c r="AH27" s="41" t="str" cm="1">
        <f t="array" ref="AH27">_xlfn.IFS(
$AE27=15,"Not Started",
$AG27&lt;15,"In Progress",
$AG27=15,"Completed",
SUM(AE27:AG27)&gt;15,"Error"
)</f>
        <v>In Progress</v>
      </c>
    </row>
    <row r="28" spans="1:34" ht="15.5" x14ac:dyDescent="0.25">
      <c r="A28" s="248"/>
      <c r="B28" s="100">
        <v>25</v>
      </c>
      <c r="C28" s="14" t="s">
        <v>1683</v>
      </c>
      <c r="D28" s="53" t="s">
        <v>5730</v>
      </c>
      <c r="E28" s="57" t="s">
        <v>5729</v>
      </c>
      <c r="F28" s="7" t="s">
        <v>43</v>
      </c>
      <c r="G28" s="7" t="s">
        <v>44</v>
      </c>
      <c r="H28" s="7" t="s">
        <v>6206</v>
      </c>
      <c r="I28" s="7" t="s">
        <v>6206</v>
      </c>
      <c r="J28" s="7" t="s">
        <v>7875</v>
      </c>
      <c r="K28" s="7" t="s">
        <v>6106</v>
      </c>
      <c r="L28" s="7">
        <v>10052743201</v>
      </c>
      <c r="M28" s="7"/>
      <c r="N28" s="231">
        <v>46130</v>
      </c>
      <c r="O28" s="232" t="s">
        <v>11</v>
      </c>
      <c r="P28" s="232" t="s">
        <v>11</v>
      </c>
      <c r="Q28" s="232" t="s">
        <v>11</v>
      </c>
      <c r="R28" s="232" t="s">
        <v>11</v>
      </c>
      <c r="S28" s="232" t="s">
        <v>9</v>
      </c>
      <c r="T28" s="232" t="s">
        <v>9</v>
      </c>
      <c r="U28" s="232" t="s">
        <v>9</v>
      </c>
      <c r="V28" s="232" t="s">
        <v>9</v>
      </c>
      <c r="W28" s="232" t="s">
        <v>9</v>
      </c>
      <c r="X28" s="232" t="s">
        <v>9</v>
      </c>
      <c r="Y28" s="232" t="s">
        <v>9</v>
      </c>
      <c r="Z28" s="232" t="s">
        <v>9</v>
      </c>
      <c r="AA28" s="232" t="s">
        <v>9</v>
      </c>
      <c r="AB28" s="232" t="s">
        <v>9</v>
      </c>
      <c r="AC28" s="232" t="s">
        <v>9</v>
      </c>
      <c r="AD28" s="232" t="s">
        <v>9</v>
      </c>
      <c r="AE28" s="24">
        <f t="shared" si="0"/>
        <v>11</v>
      </c>
      <c r="AF28" s="24">
        <f t="shared" si="1"/>
        <v>0</v>
      </c>
      <c r="AG28" s="24">
        <f t="shared" si="2"/>
        <v>4</v>
      </c>
      <c r="AH28" s="41" t="str" cm="1">
        <f t="array" ref="AH28">_xlfn.IFS(
$AE28=15,"Not Started",
$AG28&lt;15,"In Progress",
$AG28=15,"Completed",
SUM(AE28:AG28)&gt;15,"Error"
)</f>
        <v>In Progress</v>
      </c>
    </row>
    <row r="29" spans="1:34" ht="15.5" x14ac:dyDescent="0.25">
      <c r="A29" s="248"/>
      <c r="B29" s="100">
        <v>26</v>
      </c>
      <c r="C29" s="7" t="s">
        <v>1684</v>
      </c>
      <c r="D29" s="53" t="s">
        <v>5994</v>
      </c>
      <c r="E29" s="57" t="s">
        <v>7625</v>
      </c>
      <c r="F29" s="7" t="s">
        <v>47</v>
      </c>
      <c r="G29" s="7" t="s">
        <v>48</v>
      </c>
      <c r="H29" s="7" t="s">
        <v>6206</v>
      </c>
      <c r="I29" s="7" t="s">
        <v>6206</v>
      </c>
      <c r="J29" s="7" t="s">
        <v>7876</v>
      </c>
      <c r="K29" s="7" t="s">
        <v>6107</v>
      </c>
      <c r="L29" s="7">
        <v>10052736467</v>
      </c>
      <c r="M29" s="7"/>
      <c r="N29" s="48"/>
      <c r="O29" s="232" t="s">
        <v>9</v>
      </c>
      <c r="P29" s="232" t="s">
        <v>9</v>
      </c>
      <c r="Q29" s="232" t="s">
        <v>9</v>
      </c>
      <c r="R29" s="232" t="s">
        <v>9</v>
      </c>
      <c r="S29" s="232" t="s">
        <v>9</v>
      </c>
      <c r="T29" s="232" t="s">
        <v>9</v>
      </c>
      <c r="U29" s="232" t="s">
        <v>9</v>
      </c>
      <c r="V29" s="232" t="s">
        <v>9</v>
      </c>
      <c r="W29" s="232" t="s">
        <v>9</v>
      </c>
      <c r="X29" s="232" t="s">
        <v>9</v>
      </c>
      <c r="Y29" s="232" t="s">
        <v>9</v>
      </c>
      <c r="Z29" s="232" t="s">
        <v>9</v>
      </c>
      <c r="AA29" s="232" t="s">
        <v>9</v>
      </c>
      <c r="AB29" s="232" t="s">
        <v>9</v>
      </c>
      <c r="AC29" s="232" t="s">
        <v>9</v>
      </c>
      <c r="AD29" s="232" t="s">
        <v>9</v>
      </c>
      <c r="AE29" s="24">
        <f t="shared" si="0"/>
        <v>15</v>
      </c>
      <c r="AF29" s="24">
        <f t="shared" si="1"/>
        <v>0</v>
      </c>
      <c r="AG29" s="24">
        <f t="shared" si="2"/>
        <v>0</v>
      </c>
      <c r="AH29" s="41" t="str" cm="1">
        <f t="array" ref="AH29">_xlfn.IFS(
$AE29=15,"Not Started",
$AG29&lt;15,"In Progress",
$AG29=15,"Completed",
SUM(AE29:AG29)&gt;15,"Error"
)</f>
        <v>Not Started</v>
      </c>
    </row>
    <row r="30" spans="1:34" ht="15.5" x14ac:dyDescent="0.25">
      <c r="A30" s="248"/>
      <c r="B30" s="100">
        <v>27</v>
      </c>
      <c r="C30" s="14" t="s">
        <v>1685</v>
      </c>
      <c r="D30" s="53" t="s">
        <v>5995</v>
      </c>
      <c r="E30" s="57" t="s">
        <v>7626</v>
      </c>
      <c r="F30" s="7" t="s">
        <v>9671</v>
      </c>
      <c r="G30" s="7" t="s">
        <v>48</v>
      </c>
      <c r="H30" s="7" t="s">
        <v>6206</v>
      </c>
      <c r="I30" s="7" t="s">
        <v>6206</v>
      </c>
      <c r="J30" s="7" t="s">
        <v>7877</v>
      </c>
      <c r="K30" s="7" t="s">
        <v>6108</v>
      </c>
      <c r="L30" s="7">
        <v>10052783298</v>
      </c>
      <c r="M30" s="7"/>
      <c r="N30" s="231">
        <v>46144</v>
      </c>
      <c r="O30" s="232" t="s">
        <v>11</v>
      </c>
      <c r="P30" s="232" t="s">
        <v>11</v>
      </c>
      <c r="Q30" s="232" t="s">
        <v>11</v>
      </c>
      <c r="R30" s="232" t="s">
        <v>11</v>
      </c>
      <c r="S30" s="232" t="s">
        <v>9</v>
      </c>
      <c r="T30" s="232" t="s">
        <v>9</v>
      </c>
      <c r="U30" s="232" t="s">
        <v>9</v>
      </c>
      <c r="V30" s="232" t="s">
        <v>9</v>
      </c>
      <c r="W30" s="232" t="s">
        <v>9</v>
      </c>
      <c r="X30" s="232" t="s">
        <v>9</v>
      </c>
      <c r="Y30" s="232" t="s">
        <v>9</v>
      </c>
      <c r="Z30" s="232" t="s">
        <v>9</v>
      </c>
      <c r="AA30" s="232" t="s">
        <v>9</v>
      </c>
      <c r="AB30" s="232" t="s">
        <v>9</v>
      </c>
      <c r="AC30" s="232" t="s">
        <v>9</v>
      </c>
      <c r="AD30" s="232" t="s">
        <v>9</v>
      </c>
      <c r="AE30" s="24">
        <f t="shared" si="0"/>
        <v>11</v>
      </c>
      <c r="AF30" s="24">
        <f t="shared" si="1"/>
        <v>0</v>
      </c>
      <c r="AG30" s="24">
        <f t="shared" si="2"/>
        <v>4</v>
      </c>
      <c r="AH30" s="41" t="str" cm="1">
        <f t="array" ref="AH30">_xlfn.IFS(
$AE30=15,"Not Started",
$AG30&lt;15,"In Progress",
$AG30=15,"Completed",
SUM(AE30:AG30)&gt;15,"Error"
)</f>
        <v>In Progress</v>
      </c>
    </row>
    <row r="31" spans="1:34" ht="15.5" x14ac:dyDescent="0.25">
      <c r="A31" s="248"/>
      <c r="B31" s="100">
        <v>28</v>
      </c>
      <c r="C31" s="7" t="s">
        <v>1686</v>
      </c>
      <c r="D31" s="53" t="s">
        <v>7533</v>
      </c>
      <c r="E31" s="57" t="s">
        <v>7627</v>
      </c>
      <c r="F31" s="7" t="s">
        <v>47</v>
      </c>
      <c r="G31" s="7" t="s">
        <v>44</v>
      </c>
      <c r="H31" s="7" t="s">
        <v>6206</v>
      </c>
      <c r="I31" s="7" t="s">
        <v>6206</v>
      </c>
      <c r="J31" s="7" t="s">
        <v>7878</v>
      </c>
      <c r="K31" s="7" t="s">
        <v>7779</v>
      </c>
      <c r="L31" s="7">
        <v>10052781506</v>
      </c>
      <c r="M31" s="7"/>
      <c r="N31" s="231">
        <v>46146</v>
      </c>
      <c r="O31" s="232" t="s">
        <v>11</v>
      </c>
      <c r="P31" s="232" t="s">
        <v>11</v>
      </c>
      <c r="Q31" s="232" t="s">
        <v>11</v>
      </c>
      <c r="R31" s="232" t="s">
        <v>11</v>
      </c>
      <c r="S31" s="232" t="s">
        <v>9</v>
      </c>
      <c r="T31" s="232" t="s">
        <v>9</v>
      </c>
      <c r="U31" s="232" t="s">
        <v>9</v>
      </c>
      <c r="V31" s="232" t="s">
        <v>9</v>
      </c>
      <c r="W31" s="232" t="s">
        <v>9</v>
      </c>
      <c r="X31" s="232" t="s">
        <v>9</v>
      </c>
      <c r="Y31" s="232" t="s">
        <v>9</v>
      </c>
      <c r="Z31" s="232" t="s">
        <v>9</v>
      </c>
      <c r="AA31" s="232" t="s">
        <v>9</v>
      </c>
      <c r="AB31" s="232" t="s">
        <v>9</v>
      </c>
      <c r="AC31" s="232" t="s">
        <v>9</v>
      </c>
      <c r="AD31" s="232" t="s">
        <v>9</v>
      </c>
      <c r="AE31" s="24">
        <f t="shared" si="0"/>
        <v>11</v>
      </c>
      <c r="AF31" s="24">
        <f t="shared" si="1"/>
        <v>0</v>
      </c>
      <c r="AG31" s="24">
        <f t="shared" si="2"/>
        <v>4</v>
      </c>
      <c r="AH31" s="41" t="str" cm="1">
        <f t="array" ref="AH31">_xlfn.IFS(
$AE31=15,"Not Started",
$AG31&lt;15,"In Progress",
$AG31=15,"Completed",
SUM(AE31:AG31)&gt;15,"Error"
)</f>
        <v>In Progress</v>
      </c>
    </row>
    <row r="32" spans="1:34" ht="15.5" x14ac:dyDescent="0.25">
      <c r="A32" s="248"/>
      <c r="B32" s="100">
        <v>29</v>
      </c>
      <c r="C32" s="14" t="s">
        <v>1687</v>
      </c>
      <c r="D32" s="53" t="s">
        <v>5996</v>
      </c>
      <c r="E32" s="57" t="s">
        <v>7628</v>
      </c>
      <c r="F32" s="7" t="s">
        <v>51</v>
      </c>
      <c r="G32" s="7" t="s">
        <v>44</v>
      </c>
      <c r="H32" s="7" t="s">
        <v>6206</v>
      </c>
      <c r="I32" s="7" t="s">
        <v>6206</v>
      </c>
      <c r="J32" s="7" t="s">
        <v>7879</v>
      </c>
      <c r="K32" s="7" t="s">
        <v>6109</v>
      </c>
      <c r="L32" s="7">
        <v>10053051227</v>
      </c>
      <c r="M32" s="7"/>
      <c r="N32" s="48" t="s">
        <v>11480</v>
      </c>
      <c r="O32" s="232" t="s">
        <v>11</v>
      </c>
      <c r="P32" s="232" t="s">
        <v>11</v>
      </c>
      <c r="Q32" s="232" t="s">
        <v>11</v>
      </c>
      <c r="R32" s="232" t="s">
        <v>11</v>
      </c>
      <c r="S32" s="232" t="s">
        <v>9</v>
      </c>
      <c r="T32" s="232" t="s">
        <v>9</v>
      </c>
      <c r="U32" s="232" t="s">
        <v>9</v>
      </c>
      <c r="V32" s="232" t="s">
        <v>9</v>
      </c>
      <c r="W32" s="232" t="s">
        <v>9</v>
      </c>
      <c r="X32" s="232" t="s">
        <v>9</v>
      </c>
      <c r="Y32" s="232" t="s">
        <v>9</v>
      </c>
      <c r="Z32" s="232" t="s">
        <v>9</v>
      </c>
      <c r="AA32" s="232" t="s">
        <v>9</v>
      </c>
      <c r="AB32" s="232" t="s">
        <v>9</v>
      </c>
      <c r="AC32" s="232" t="s">
        <v>9</v>
      </c>
      <c r="AD32" s="232" t="s">
        <v>9</v>
      </c>
      <c r="AE32" s="24">
        <f t="shared" si="0"/>
        <v>11</v>
      </c>
      <c r="AF32" s="24">
        <f t="shared" si="1"/>
        <v>0</v>
      </c>
      <c r="AG32" s="24">
        <f t="shared" si="2"/>
        <v>4</v>
      </c>
      <c r="AH32" s="41" t="str" cm="1">
        <f t="array" ref="AH32">_xlfn.IFS(
$AE32=15,"Not Started",
$AG32&lt;15,"In Progress",
$AG32=15,"Completed",
SUM(AE32:AG32)&gt;15,"Error"
)</f>
        <v>In Progress</v>
      </c>
    </row>
    <row r="33" spans="1:34" ht="15.5" x14ac:dyDescent="0.25">
      <c r="A33" s="248"/>
      <c r="B33" s="100">
        <v>30</v>
      </c>
      <c r="C33" s="7" t="s">
        <v>1688</v>
      </c>
      <c r="D33" s="53" t="s">
        <v>7534</v>
      </c>
      <c r="E33" s="57" t="s">
        <v>7629</v>
      </c>
      <c r="F33" s="7" t="s">
        <v>51</v>
      </c>
      <c r="G33" s="7" t="s">
        <v>44</v>
      </c>
      <c r="H33" s="7" t="s">
        <v>6206</v>
      </c>
      <c r="I33" s="7" t="s">
        <v>6206</v>
      </c>
      <c r="J33" s="7" t="s">
        <v>7880</v>
      </c>
      <c r="K33" s="7" t="s">
        <v>7780</v>
      </c>
      <c r="L33" s="7">
        <v>10096688630</v>
      </c>
      <c r="M33" s="7"/>
      <c r="N33" s="48"/>
      <c r="O33" s="232" t="s">
        <v>9</v>
      </c>
      <c r="P33" s="232" t="s">
        <v>9</v>
      </c>
      <c r="Q33" s="232" t="s">
        <v>9</v>
      </c>
      <c r="R33" s="232" t="s">
        <v>9</v>
      </c>
      <c r="S33" s="232" t="s">
        <v>9</v>
      </c>
      <c r="T33" s="232" t="s">
        <v>9</v>
      </c>
      <c r="U33" s="232" t="s">
        <v>9</v>
      </c>
      <c r="V33" s="232" t="s">
        <v>9</v>
      </c>
      <c r="W33" s="232" t="s">
        <v>9</v>
      </c>
      <c r="X33" s="232" t="s">
        <v>9</v>
      </c>
      <c r="Y33" s="232" t="s">
        <v>9</v>
      </c>
      <c r="Z33" s="232" t="s">
        <v>9</v>
      </c>
      <c r="AA33" s="232" t="s">
        <v>9</v>
      </c>
      <c r="AB33" s="232" t="s">
        <v>9</v>
      </c>
      <c r="AC33" s="232" t="s">
        <v>9</v>
      </c>
      <c r="AD33" s="232" t="s">
        <v>9</v>
      </c>
      <c r="AE33" s="24">
        <f t="shared" si="0"/>
        <v>15</v>
      </c>
      <c r="AF33" s="24">
        <f t="shared" si="1"/>
        <v>0</v>
      </c>
      <c r="AG33" s="24">
        <f t="shared" si="2"/>
        <v>0</v>
      </c>
      <c r="AH33" s="41" t="str" cm="1">
        <f t="array" ref="AH33">_xlfn.IFS(
$AE33=15,"Not Started",
$AG33&lt;15,"In Progress",
$AG33=15,"Completed",
SUM(AE33:AG33)&gt;15,"Error"
)</f>
        <v>Not Started</v>
      </c>
    </row>
    <row r="34" spans="1:34" ht="15.5" x14ac:dyDescent="0.25">
      <c r="A34" s="248"/>
      <c r="B34" s="100">
        <v>31</v>
      </c>
      <c r="C34" s="14" t="s">
        <v>1689</v>
      </c>
      <c r="D34" s="53" t="s">
        <v>7535</v>
      </c>
      <c r="E34" s="57" t="s">
        <v>7630</v>
      </c>
      <c r="F34" s="7" t="s">
        <v>9671</v>
      </c>
      <c r="G34" s="7" t="s">
        <v>48</v>
      </c>
      <c r="H34" s="7" t="s">
        <v>6206</v>
      </c>
      <c r="I34" s="7" t="s">
        <v>6206</v>
      </c>
      <c r="J34" s="7" t="s">
        <v>7881</v>
      </c>
      <c r="K34" s="7" t="s">
        <v>7781</v>
      </c>
      <c r="L34" s="7">
        <v>10052971501</v>
      </c>
      <c r="M34" s="7"/>
      <c r="N34" s="48"/>
      <c r="O34" s="232" t="s">
        <v>9</v>
      </c>
      <c r="P34" s="232" t="s">
        <v>9</v>
      </c>
      <c r="Q34" s="232" t="s">
        <v>9</v>
      </c>
      <c r="R34" s="232" t="s">
        <v>9</v>
      </c>
      <c r="S34" s="232" t="s">
        <v>9</v>
      </c>
      <c r="T34" s="232" t="s">
        <v>9</v>
      </c>
      <c r="U34" s="232" t="s">
        <v>9</v>
      </c>
      <c r="V34" s="232" t="s">
        <v>9</v>
      </c>
      <c r="W34" s="232" t="s">
        <v>9</v>
      </c>
      <c r="X34" s="232" t="s">
        <v>9</v>
      </c>
      <c r="Y34" s="232" t="s">
        <v>9</v>
      </c>
      <c r="Z34" s="232" t="s">
        <v>9</v>
      </c>
      <c r="AA34" s="232" t="s">
        <v>9</v>
      </c>
      <c r="AB34" s="232" t="s">
        <v>9</v>
      </c>
      <c r="AC34" s="232" t="s">
        <v>9</v>
      </c>
      <c r="AD34" s="232" t="s">
        <v>9</v>
      </c>
      <c r="AE34" s="24">
        <f t="shared" si="0"/>
        <v>15</v>
      </c>
      <c r="AF34" s="24">
        <f t="shared" si="1"/>
        <v>0</v>
      </c>
      <c r="AG34" s="24">
        <f t="shared" si="2"/>
        <v>0</v>
      </c>
      <c r="AH34" s="41" t="str" cm="1">
        <f t="array" ref="AH34">_xlfn.IFS(
$AE34=15,"Not Started",
$AG34&lt;15,"In Progress",
$AG34=15,"Completed",
SUM(AE34:AG34)&gt;15,"Error"
)</f>
        <v>Not Started</v>
      </c>
    </row>
    <row r="35" spans="1:34" ht="15.5" x14ac:dyDescent="0.25">
      <c r="A35" s="248"/>
      <c r="B35" s="100">
        <v>32</v>
      </c>
      <c r="C35" s="7" t="s">
        <v>1690</v>
      </c>
      <c r="D35" s="53" t="s">
        <v>7536</v>
      </c>
      <c r="E35" s="57" t="s">
        <v>7631</v>
      </c>
      <c r="F35" s="7" t="s">
        <v>43</v>
      </c>
      <c r="G35" s="7" t="s">
        <v>44</v>
      </c>
      <c r="H35" s="7" t="s">
        <v>6206</v>
      </c>
      <c r="I35" s="7" t="s">
        <v>6206</v>
      </c>
      <c r="J35" s="7" t="s">
        <v>7882</v>
      </c>
      <c r="K35" s="7" t="s">
        <v>7782</v>
      </c>
      <c r="L35" s="7">
        <v>10052738864</v>
      </c>
      <c r="M35" s="7"/>
      <c r="N35" s="48"/>
      <c r="O35" s="232" t="s">
        <v>9</v>
      </c>
      <c r="P35" s="232" t="s">
        <v>9</v>
      </c>
      <c r="Q35" s="232" t="s">
        <v>9</v>
      </c>
      <c r="R35" s="232" t="s">
        <v>9</v>
      </c>
      <c r="S35" s="232" t="s">
        <v>9</v>
      </c>
      <c r="T35" s="232" t="s">
        <v>9</v>
      </c>
      <c r="U35" s="232" t="s">
        <v>9</v>
      </c>
      <c r="V35" s="232" t="s">
        <v>9</v>
      </c>
      <c r="W35" s="232" t="s">
        <v>9</v>
      </c>
      <c r="X35" s="232" t="s">
        <v>9</v>
      </c>
      <c r="Y35" s="232" t="s">
        <v>9</v>
      </c>
      <c r="Z35" s="232" t="s">
        <v>9</v>
      </c>
      <c r="AA35" s="232" t="s">
        <v>9</v>
      </c>
      <c r="AB35" s="232" t="s">
        <v>9</v>
      </c>
      <c r="AC35" s="232" t="s">
        <v>9</v>
      </c>
      <c r="AD35" s="232" t="s">
        <v>9</v>
      </c>
      <c r="AE35" s="24">
        <f t="shared" si="0"/>
        <v>15</v>
      </c>
      <c r="AF35" s="24">
        <f t="shared" si="1"/>
        <v>0</v>
      </c>
      <c r="AG35" s="24">
        <f t="shared" si="2"/>
        <v>0</v>
      </c>
      <c r="AH35" s="41" t="str" cm="1">
        <f t="array" ref="AH35">_xlfn.IFS(
$AE35=15,"Not Started",
$AG35&lt;15,"In Progress",
$AG35=15,"Completed",
SUM(AE35:AG35)&gt;15,"Error"
)</f>
        <v>Not Started</v>
      </c>
    </row>
    <row r="36" spans="1:34" ht="15.5" x14ac:dyDescent="0.25">
      <c r="A36" s="248"/>
      <c r="B36" s="100">
        <v>33</v>
      </c>
      <c r="C36" s="14" t="s">
        <v>1691</v>
      </c>
      <c r="D36" s="53" t="s">
        <v>5997</v>
      </c>
      <c r="E36" s="57" t="s">
        <v>7632</v>
      </c>
      <c r="F36" s="7" t="s">
        <v>9671</v>
      </c>
      <c r="G36" s="7" t="s">
        <v>48</v>
      </c>
      <c r="H36" s="7" t="s">
        <v>6206</v>
      </c>
      <c r="I36" s="7" t="s">
        <v>6206</v>
      </c>
      <c r="J36" s="7" t="s">
        <v>7883</v>
      </c>
      <c r="K36" s="7" t="s">
        <v>6110</v>
      </c>
      <c r="L36" s="7">
        <v>10053091133</v>
      </c>
      <c r="M36" s="7"/>
      <c r="N36" s="48"/>
      <c r="O36" s="232" t="s">
        <v>9</v>
      </c>
      <c r="P36" s="232" t="s">
        <v>9</v>
      </c>
      <c r="Q36" s="232" t="s">
        <v>9</v>
      </c>
      <c r="R36" s="232" t="s">
        <v>9</v>
      </c>
      <c r="S36" s="232" t="s">
        <v>9</v>
      </c>
      <c r="T36" s="232" t="s">
        <v>9</v>
      </c>
      <c r="U36" s="232" t="s">
        <v>9</v>
      </c>
      <c r="V36" s="232" t="s">
        <v>9</v>
      </c>
      <c r="W36" s="232" t="s">
        <v>9</v>
      </c>
      <c r="X36" s="232" t="s">
        <v>9</v>
      </c>
      <c r="Y36" s="232" t="s">
        <v>9</v>
      </c>
      <c r="Z36" s="232" t="s">
        <v>9</v>
      </c>
      <c r="AA36" s="232" t="s">
        <v>9</v>
      </c>
      <c r="AB36" s="232" t="s">
        <v>9</v>
      </c>
      <c r="AC36" s="232" t="s">
        <v>9</v>
      </c>
      <c r="AD36" s="232" t="s">
        <v>9</v>
      </c>
      <c r="AE36" s="24">
        <f t="shared" ref="AE36:AE67" si="3">COUNTIF(O36:AC36,$AE$2)</f>
        <v>15</v>
      </c>
      <c r="AF36" s="24">
        <f t="shared" ref="AF36:AF67" si="4">COUNTIF(O36:AC36,$AF$2)</f>
        <v>0</v>
      </c>
      <c r="AG36" s="24">
        <f t="shared" ref="AG36:AG67" si="5">COUNTIF(O36:AC36,$AG$2)</f>
        <v>0</v>
      </c>
      <c r="AH36" s="41" t="str" cm="1">
        <f t="array" ref="AH36">_xlfn.IFS(
$AE36=15,"Not Started",
$AG36&lt;15,"In Progress",
$AG36=15,"Completed",
SUM(AE36:AG36)&gt;15,"Error"
)</f>
        <v>Not Started</v>
      </c>
    </row>
    <row r="37" spans="1:34" ht="15.5" x14ac:dyDescent="0.25">
      <c r="A37" s="248"/>
      <c r="B37" s="100">
        <v>34</v>
      </c>
      <c r="C37" s="7" t="s">
        <v>1692</v>
      </c>
      <c r="D37" s="53" t="s">
        <v>5998</v>
      </c>
      <c r="E37" s="57" t="s">
        <v>7633</v>
      </c>
      <c r="F37" s="7" t="s">
        <v>43</v>
      </c>
      <c r="G37" s="7" t="s">
        <v>44</v>
      </c>
      <c r="H37" s="7" t="s">
        <v>6206</v>
      </c>
      <c r="I37" s="7" t="s">
        <v>6206</v>
      </c>
      <c r="J37" s="7" t="s">
        <v>7884</v>
      </c>
      <c r="K37" s="7" t="s">
        <v>6111</v>
      </c>
      <c r="L37" s="7">
        <v>10053045220</v>
      </c>
      <c r="M37" s="7"/>
      <c r="N37" s="48"/>
      <c r="O37" s="232" t="s">
        <v>9</v>
      </c>
      <c r="P37" s="232" t="s">
        <v>9</v>
      </c>
      <c r="Q37" s="232" t="s">
        <v>9</v>
      </c>
      <c r="R37" s="232" t="s">
        <v>9</v>
      </c>
      <c r="S37" s="232" t="s">
        <v>9</v>
      </c>
      <c r="T37" s="232" t="s">
        <v>9</v>
      </c>
      <c r="U37" s="232" t="s">
        <v>9</v>
      </c>
      <c r="V37" s="232" t="s">
        <v>9</v>
      </c>
      <c r="W37" s="232" t="s">
        <v>9</v>
      </c>
      <c r="X37" s="232" t="s">
        <v>9</v>
      </c>
      <c r="Y37" s="232" t="s">
        <v>9</v>
      </c>
      <c r="Z37" s="232" t="s">
        <v>9</v>
      </c>
      <c r="AA37" s="232" t="s">
        <v>9</v>
      </c>
      <c r="AB37" s="232" t="s">
        <v>9</v>
      </c>
      <c r="AC37" s="232" t="s">
        <v>9</v>
      </c>
      <c r="AD37" s="232" t="s">
        <v>9</v>
      </c>
      <c r="AE37" s="24">
        <f t="shared" si="3"/>
        <v>15</v>
      </c>
      <c r="AF37" s="24">
        <f t="shared" si="4"/>
        <v>0</v>
      </c>
      <c r="AG37" s="24">
        <f t="shared" si="5"/>
        <v>0</v>
      </c>
      <c r="AH37" s="41" t="str" cm="1">
        <f t="array" ref="AH37">_xlfn.IFS(
$AE37=15,"Not Started",
$AG37&lt;15,"In Progress",
$AG37=15,"Completed",
SUM(AE37:AG37)&gt;15,"Error"
)</f>
        <v>Not Started</v>
      </c>
    </row>
    <row r="38" spans="1:34" ht="15.5" x14ac:dyDescent="0.25">
      <c r="A38" s="248"/>
      <c r="B38" s="100">
        <v>35</v>
      </c>
      <c r="C38" s="14" t="s">
        <v>1693</v>
      </c>
      <c r="D38" s="53" t="s">
        <v>5999</v>
      </c>
      <c r="E38" s="57" t="s">
        <v>7634</v>
      </c>
      <c r="F38" s="7" t="s">
        <v>43</v>
      </c>
      <c r="G38" s="7" t="s">
        <v>44</v>
      </c>
      <c r="H38" s="7" t="s">
        <v>6206</v>
      </c>
      <c r="I38" s="7" t="s">
        <v>6206</v>
      </c>
      <c r="J38" s="7" t="s">
        <v>7885</v>
      </c>
      <c r="K38" s="7" t="s">
        <v>6112</v>
      </c>
      <c r="L38" s="7">
        <v>10052932791</v>
      </c>
      <c r="M38" s="7"/>
      <c r="N38" s="48"/>
      <c r="O38" s="232" t="s">
        <v>9</v>
      </c>
      <c r="P38" s="232" t="s">
        <v>9</v>
      </c>
      <c r="Q38" s="232" t="s">
        <v>9</v>
      </c>
      <c r="R38" s="232" t="s">
        <v>9</v>
      </c>
      <c r="S38" s="232" t="s">
        <v>9</v>
      </c>
      <c r="T38" s="232" t="s">
        <v>9</v>
      </c>
      <c r="U38" s="232" t="s">
        <v>9</v>
      </c>
      <c r="V38" s="232" t="s">
        <v>9</v>
      </c>
      <c r="W38" s="232" t="s">
        <v>9</v>
      </c>
      <c r="X38" s="232" t="s">
        <v>9</v>
      </c>
      <c r="Y38" s="232" t="s">
        <v>9</v>
      </c>
      <c r="Z38" s="232" t="s">
        <v>9</v>
      </c>
      <c r="AA38" s="232" t="s">
        <v>9</v>
      </c>
      <c r="AB38" s="232" t="s">
        <v>9</v>
      </c>
      <c r="AC38" s="232" t="s">
        <v>9</v>
      </c>
      <c r="AD38" s="232" t="s">
        <v>9</v>
      </c>
      <c r="AE38" s="24">
        <f t="shared" si="3"/>
        <v>15</v>
      </c>
      <c r="AF38" s="24">
        <f t="shared" si="4"/>
        <v>0</v>
      </c>
      <c r="AG38" s="24">
        <f t="shared" si="5"/>
        <v>0</v>
      </c>
      <c r="AH38" s="41" t="str" cm="1">
        <f t="array" ref="AH38">_xlfn.IFS(
$AE38=15,"Not Started",
$AG38&lt;15,"In Progress",
$AG38=15,"Completed",
SUM(AE38:AG38)&gt;15,"Error"
)</f>
        <v>Not Started</v>
      </c>
    </row>
    <row r="39" spans="1:34" ht="15.5" x14ac:dyDescent="0.25">
      <c r="A39" s="248"/>
      <c r="B39" s="100">
        <v>36</v>
      </c>
      <c r="C39" s="7" t="s">
        <v>1694</v>
      </c>
      <c r="D39" s="53" t="s">
        <v>6000</v>
      </c>
      <c r="E39" s="57" t="s">
        <v>7635</v>
      </c>
      <c r="F39" s="7" t="s">
        <v>43</v>
      </c>
      <c r="G39" s="7" t="s">
        <v>48</v>
      </c>
      <c r="H39" s="7" t="s">
        <v>6206</v>
      </c>
      <c r="I39" s="7" t="s">
        <v>6206</v>
      </c>
      <c r="J39" s="7" t="s">
        <v>7886</v>
      </c>
      <c r="K39" s="7" t="s">
        <v>6113</v>
      </c>
      <c r="L39" s="7">
        <v>10052736618</v>
      </c>
      <c r="M39" s="7"/>
      <c r="N39" s="48"/>
      <c r="O39" s="232" t="s">
        <v>9</v>
      </c>
      <c r="P39" s="232" t="s">
        <v>9</v>
      </c>
      <c r="Q39" s="232" t="s">
        <v>9</v>
      </c>
      <c r="R39" s="232" t="s">
        <v>9</v>
      </c>
      <c r="S39" s="232" t="s">
        <v>9</v>
      </c>
      <c r="T39" s="232" t="s">
        <v>9</v>
      </c>
      <c r="U39" s="232" t="s">
        <v>9</v>
      </c>
      <c r="V39" s="232" t="s">
        <v>9</v>
      </c>
      <c r="W39" s="232" t="s">
        <v>9</v>
      </c>
      <c r="X39" s="232" t="s">
        <v>9</v>
      </c>
      <c r="Y39" s="232" t="s">
        <v>9</v>
      </c>
      <c r="Z39" s="232" t="s">
        <v>9</v>
      </c>
      <c r="AA39" s="232" t="s">
        <v>9</v>
      </c>
      <c r="AB39" s="232" t="s">
        <v>9</v>
      </c>
      <c r="AC39" s="232" t="s">
        <v>9</v>
      </c>
      <c r="AD39" s="232" t="s">
        <v>9</v>
      </c>
      <c r="AE39" s="24">
        <f t="shared" si="3"/>
        <v>15</v>
      </c>
      <c r="AF39" s="24">
        <f t="shared" si="4"/>
        <v>0</v>
      </c>
      <c r="AG39" s="24">
        <f t="shared" si="5"/>
        <v>0</v>
      </c>
      <c r="AH39" s="41" t="str" cm="1">
        <f t="array" ref="AH39">_xlfn.IFS(
$AE39=15,"Not Started",
$AG39&lt;15,"In Progress",
$AG39=15,"Completed",
SUM(AE39:AG39)&gt;15,"Error"
)</f>
        <v>Not Started</v>
      </c>
    </row>
    <row r="40" spans="1:34" ht="15.5" x14ac:dyDescent="0.25">
      <c r="A40" s="248"/>
      <c r="B40" s="100">
        <v>37</v>
      </c>
      <c r="C40" s="14" t="s">
        <v>1695</v>
      </c>
      <c r="D40" s="53" t="s">
        <v>7537</v>
      </c>
      <c r="E40" s="57" t="s">
        <v>7636</v>
      </c>
      <c r="F40" s="7" t="s">
        <v>47</v>
      </c>
      <c r="G40" s="7" t="s">
        <v>48</v>
      </c>
      <c r="H40" s="7" t="s">
        <v>6206</v>
      </c>
      <c r="I40" s="7" t="s">
        <v>6206</v>
      </c>
      <c r="J40" s="7" t="s">
        <v>7887</v>
      </c>
      <c r="K40" s="7" t="s">
        <v>7783</v>
      </c>
      <c r="L40" s="7">
        <v>10053054256</v>
      </c>
      <c r="M40" s="7"/>
      <c r="N40" s="48"/>
      <c r="O40" s="232" t="s">
        <v>9</v>
      </c>
      <c r="P40" s="232" t="s">
        <v>9</v>
      </c>
      <c r="Q40" s="232" t="s">
        <v>9</v>
      </c>
      <c r="R40" s="232" t="s">
        <v>9</v>
      </c>
      <c r="S40" s="232" t="s">
        <v>9</v>
      </c>
      <c r="T40" s="232" t="s">
        <v>9</v>
      </c>
      <c r="U40" s="232" t="s">
        <v>9</v>
      </c>
      <c r="V40" s="232" t="s">
        <v>9</v>
      </c>
      <c r="W40" s="232" t="s">
        <v>9</v>
      </c>
      <c r="X40" s="232" t="s">
        <v>9</v>
      </c>
      <c r="Y40" s="232" t="s">
        <v>9</v>
      </c>
      <c r="Z40" s="232" t="s">
        <v>9</v>
      </c>
      <c r="AA40" s="232" t="s">
        <v>9</v>
      </c>
      <c r="AB40" s="232" t="s">
        <v>9</v>
      </c>
      <c r="AC40" s="232" t="s">
        <v>9</v>
      </c>
      <c r="AD40" s="232" t="s">
        <v>9</v>
      </c>
      <c r="AE40" s="24">
        <f t="shared" si="3"/>
        <v>15</v>
      </c>
      <c r="AF40" s="24">
        <f t="shared" si="4"/>
        <v>0</v>
      </c>
      <c r="AG40" s="24">
        <f t="shared" si="5"/>
        <v>0</v>
      </c>
      <c r="AH40" s="41" t="str" cm="1">
        <f t="array" ref="AH40">_xlfn.IFS(
$AE40=15,"Not Started",
$AG40&lt;15,"In Progress",
$AG40=15,"Completed",
SUM(AE40:AG40)&gt;15,"Error"
)</f>
        <v>Not Started</v>
      </c>
    </row>
    <row r="41" spans="1:34" ht="15.5" x14ac:dyDescent="0.25">
      <c r="A41" s="248"/>
      <c r="B41" s="100">
        <v>38</v>
      </c>
      <c r="C41" s="7" t="s">
        <v>1696</v>
      </c>
      <c r="D41" s="53" t="s">
        <v>6001</v>
      </c>
      <c r="E41" s="57" t="s">
        <v>7637</v>
      </c>
      <c r="F41" s="7" t="s">
        <v>51</v>
      </c>
      <c r="G41" s="7" t="s">
        <v>44</v>
      </c>
      <c r="H41" s="7" t="s">
        <v>6206</v>
      </c>
      <c r="I41" s="7" t="s">
        <v>6206</v>
      </c>
      <c r="J41" s="7" t="s">
        <v>7888</v>
      </c>
      <c r="K41" s="7" t="s">
        <v>6114</v>
      </c>
      <c r="L41" s="7">
        <v>10052736289</v>
      </c>
      <c r="M41" s="7"/>
      <c r="N41" s="48"/>
      <c r="O41" s="232" t="s">
        <v>9</v>
      </c>
      <c r="P41" s="232" t="s">
        <v>9</v>
      </c>
      <c r="Q41" s="232" t="s">
        <v>9</v>
      </c>
      <c r="R41" s="232" t="s">
        <v>9</v>
      </c>
      <c r="S41" s="232" t="s">
        <v>9</v>
      </c>
      <c r="T41" s="232" t="s">
        <v>9</v>
      </c>
      <c r="U41" s="232" t="s">
        <v>9</v>
      </c>
      <c r="V41" s="232" t="s">
        <v>9</v>
      </c>
      <c r="W41" s="232" t="s">
        <v>9</v>
      </c>
      <c r="X41" s="232" t="s">
        <v>9</v>
      </c>
      <c r="Y41" s="232" t="s">
        <v>9</v>
      </c>
      <c r="Z41" s="232" t="s">
        <v>9</v>
      </c>
      <c r="AA41" s="232" t="s">
        <v>9</v>
      </c>
      <c r="AB41" s="232" t="s">
        <v>9</v>
      </c>
      <c r="AC41" s="232" t="s">
        <v>9</v>
      </c>
      <c r="AD41" s="232" t="s">
        <v>9</v>
      </c>
      <c r="AE41" s="24">
        <f t="shared" si="3"/>
        <v>15</v>
      </c>
      <c r="AF41" s="24">
        <f t="shared" si="4"/>
        <v>0</v>
      </c>
      <c r="AG41" s="24">
        <f t="shared" si="5"/>
        <v>0</v>
      </c>
      <c r="AH41" s="41" t="str" cm="1">
        <f t="array" ref="AH41">_xlfn.IFS(
$AE41=15,"Not Started",
$AG41&lt;15,"In Progress",
$AG41=15,"Completed",
SUM(AE41:AG41)&gt;15,"Error"
)</f>
        <v>Not Started</v>
      </c>
    </row>
    <row r="42" spans="1:34" ht="15.5" x14ac:dyDescent="0.25">
      <c r="A42" s="248"/>
      <c r="B42" s="100">
        <v>39</v>
      </c>
      <c r="C42" s="14" t="s">
        <v>1697</v>
      </c>
      <c r="D42" s="53" t="s">
        <v>6002</v>
      </c>
      <c r="E42" s="57" t="s">
        <v>7638</v>
      </c>
      <c r="F42" s="7" t="s">
        <v>47</v>
      </c>
      <c r="G42" s="7" t="s">
        <v>48</v>
      </c>
      <c r="H42" s="7" t="s">
        <v>6206</v>
      </c>
      <c r="I42" s="7" t="s">
        <v>6206</v>
      </c>
      <c r="J42" s="7" t="s">
        <v>7889</v>
      </c>
      <c r="K42" s="7" t="s">
        <v>6115</v>
      </c>
      <c r="L42" s="7">
        <v>10052374359</v>
      </c>
      <c r="M42" s="7"/>
      <c r="N42" s="48"/>
      <c r="O42" s="232" t="s">
        <v>9</v>
      </c>
      <c r="P42" s="232" t="s">
        <v>9</v>
      </c>
      <c r="Q42" s="232" t="s">
        <v>9</v>
      </c>
      <c r="R42" s="232" t="s">
        <v>9</v>
      </c>
      <c r="S42" s="232" t="s">
        <v>9</v>
      </c>
      <c r="T42" s="232" t="s">
        <v>9</v>
      </c>
      <c r="U42" s="232" t="s">
        <v>9</v>
      </c>
      <c r="V42" s="232" t="s">
        <v>9</v>
      </c>
      <c r="W42" s="232" t="s">
        <v>9</v>
      </c>
      <c r="X42" s="232" t="s">
        <v>9</v>
      </c>
      <c r="Y42" s="232" t="s">
        <v>9</v>
      </c>
      <c r="Z42" s="232" t="s">
        <v>9</v>
      </c>
      <c r="AA42" s="232" t="s">
        <v>9</v>
      </c>
      <c r="AB42" s="232" t="s">
        <v>9</v>
      </c>
      <c r="AC42" s="232" t="s">
        <v>9</v>
      </c>
      <c r="AD42" s="232" t="s">
        <v>9</v>
      </c>
      <c r="AE42" s="24">
        <f t="shared" si="3"/>
        <v>15</v>
      </c>
      <c r="AF42" s="24">
        <f t="shared" si="4"/>
        <v>0</v>
      </c>
      <c r="AG42" s="24">
        <f t="shared" si="5"/>
        <v>0</v>
      </c>
      <c r="AH42" s="41" t="str" cm="1">
        <f t="array" ref="AH42">_xlfn.IFS(
$AE42=15,"Not Started",
$AG42&lt;15,"In Progress",
$AG42=15,"Completed",
SUM(AE42:AG42)&gt;15,"Error"
)</f>
        <v>Not Started</v>
      </c>
    </row>
    <row r="43" spans="1:34" ht="15.5" x14ac:dyDescent="0.25">
      <c r="A43" s="248"/>
      <c r="B43" s="100">
        <v>40</v>
      </c>
      <c r="C43" s="7" t="s">
        <v>1698</v>
      </c>
      <c r="D43" s="53" t="s">
        <v>6003</v>
      </c>
      <c r="E43" s="57" t="s">
        <v>7639</v>
      </c>
      <c r="F43" s="7" t="s">
        <v>47</v>
      </c>
      <c r="G43" s="7" t="s">
        <v>44</v>
      </c>
      <c r="H43" s="7" t="s">
        <v>6206</v>
      </c>
      <c r="I43" s="7" t="s">
        <v>6206</v>
      </c>
      <c r="J43" s="7" t="s">
        <v>7890</v>
      </c>
      <c r="K43" s="7" t="s">
        <v>6116</v>
      </c>
      <c r="L43" s="7">
        <v>10052528286</v>
      </c>
      <c r="M43" s="7"/>
      <c r="N43" s="48"/>
      <c r="O43" s="232" t="s">
        <v>9</v>
      </c>
      <c r="P43" s="232" t="s">
        <v>9</v>
      </c>
      <c r="Q43" s="232" t="s">
        <v>9</v>
      </c>
      <c r="R43" s="232" t="s">
        <v>9</v>
      </c>
      <c r="S43" s="232" t="s">
        <v>9</v>
      </c>
      <c r="T43" s="232" t="s">
        <v>9</v>
      </c>
      <c r="U43" s="232" t="s">
        <v>9</v>
      </c>
      <c r="V43" s="232" t="s">
        <v>9</v>
      </c>
      <c r="W43" s="232" t="s">
        <v>9</v>
      </c>
      <c r="X43" s="232" t="s">
        <v>9</v>
      </c>
      <c r="Y43" s="232" t="s">
        <v>9</v>
      </c>
      <c r="Z43" s="232" t="s">
        <v>9</v>
      </c>
      <c r="AA43" s="232" t="s">
        <v>9</v>
      </c>
      <c r="AB43" s="232" t="s">
        <v>9</v>
      </c>
      <c r="AC43" s="232" t="s">
        <v>9</v>
      </c>
      <c r="AD43" s="232" t="s">
        <v>9</v>
      </c>
      <c r="AE43" s="24">
        <f t="shared" si="3"/>
        <v>15</v>
      </c>
      <c r="AF43" s="24">
        <f t="shared" si="4"/>
        <v>0</v>
      </c>
      <c r="AG43" s="24">
        <f t="shared" si="5"/>
        <v>0</v>
      </c>
      <c r="AH43" s="41" t="str" cm="1">
        <f t="array" ref="AH43">_xlfn.IFS(
$AE43=15,"Not Started",
$AG43&lt;15,"In Progress",
$AG43=15,"Completed",
SUM(AE43:AG43)&gt;15,"Error"
)</f>
        <v>Not Started</v>
      </c>
    </row>
    <row r="44" spans="1:34" ht="15.5" x14ac:dyDescent="0.25">
      <c r="A44" s="248"/>
      <c r="B44" s="100">
        <v>41</v>
      </c>
      <c r="C44" s="14" t="s">
        <v>1699</v>
      </c>
      <c r="D44" s="53" t="s">
        <v>7538</v>
      </c>
      <c r="E44" s="57" t="s">
        <v>7640</v>
      </c>
      <c r="F44" s="7" t="s">
        <v>43</v>
      </c>
      <c r="G44" s="7" t="s">
        <v>44</v>
      </c>
      <c r="H44" s="7" t="s">
        <v>6206</v>
      </c>
      <c r="I44" s="7" t="s">
        <v>6206</v>
      </c>
      <c r="J44" s="7" t="s">
        <v>7891</v>
      </c>
      <c r="K44" s="7" t="s">
        <v>7784</v>
      </c>
      <c r="L44" s="7">
        <v>10052932066</v>
      </c>
      <c r="M44" s="7"/>
      <c r="N44" s="48"/>
      <c r="O44" s="232" t="s">
        <v>9</v>
      </c>
      <c r="P44" s="232" t="s">
        <v>9</v>
      </c>
      <c r="Q44" s="232" t="s">
        <v>9</v>
      </c>
      <c r="R44" s="232" t="s">
        <v>9</v>
      </c>
      <c r="S44" s="232" t="s">
        <v>9</v>
      </c>
      <c r="T44" s="232" t="s">
        <v>9</v>
      </c>
      <c r="U44" s="232" t="s">
        <v>9</v>
      </c>
      <c r="V44" s="232" t="s">
        <v>9</v>
      </c>
      <c r="W44" s="232" t="s">
        <v>9</v>
      </c>
      <c r="X44" s="232" t="s">
        <v>9</v>
      </c>
      <c r="Y44" s="232" t="s">
        <v>9</v>
      </c>
      <c r="Z44" s="232" t="s">
        <v>9</v>
      </c>
      <c r="AA44" s="232" t="s">
        <v>9</v>
      </c>
      <c r="AB44" s="232" t="s">
        <v>9</v>
      </c>
      <c r="AC44" s="232" t="s">
        <v>9</v>
      </c>
      <c r="AD44" s="232" t="s">
        <v>9</v>
      </c>
      <c r="AE44" s="24">
        <f t="shared" si="3"/>
        <v>15</v>
      </c>
      <c r="AF44" s="24">
        <f t="shared" si="4"/>
        <v>0</v>
      </c>
      <c r="AG44" s="24">
        <f t="shared" si="5"/>
        <v>0</v>
      </c>
      <c r="AH44" s="41" t="str" cm="1">
        <f t="array" ref="AH44">_xlfn.IFS(
$AE44=15,"Not Started",
$AG44&lt;15,"In Progress",
$AG44=15,"Completed",
SUM(AE44:AG44)&gt;15,"Error"
)</f>
        <v>Not Started</v>
      </c>
    </row>
    <row r="45" spans="1:34" ht="15.5" x14ac:dyDescent="0.25">
      <c r="A45" s="248"/>
      <c r="B45" s="100">
        <v>42</v>
      </c>
      <c r="C45" s="7" t="s">
        <v>1700</v>
      </c>
      <c r="D45" s="53" t="s">
        <v>7539</v>
      </c>
      <c r="E45" s="57" t="s">
        <v>7641</v>
      </c>
      <c r="F45" s="7" t="s">
        <v>9672</v>
      </c>
      <c r="G45" s="7" t="s">
        <v>48</v>
      </c>
      <c r="H45" s="7" t="s">
        <v>6206</v>
      </c>
      <c r="I45" s="7" t="s">
        <v>6206</v>
      </c>
      <c r="J45" s="7" t="s">
        <v>7892</v>
      </c>
      <c r="K45" s="7" t="s">
        <v>7785</v>
      </c>
      <c r="L45" s="7">
        <v>10052608691</v>
      </c>
      <c r="M45" s="7"/>
      <c r="N45" s="48"/>
      <c r="O45" s="232" t="s">
        <v>9</v>
      </c>
      <c r="P45" s="232" t="s">
        <v>9</v>
      </c>
      <c r="Q45" s="232" t="s">
        <v>9</v>
      </c>
      <c r="R45" s="232" t="s">
        <v>9</v>
      </c>
      <c r="S45" s="232" t="s">
        <v>9</v>
      </c>
      <c r="T45" s="232" t="s">
        <v>9</v>
      </c>
      <c r="U45" s="232" t="s">
        <v>9</v>
      </c>
      <c r="V45" s="232" t="s">
        <v>9</v>
      </c>
      <c r="W45" s="232" t="s">
        <v>9</v>
      </c>
      <c r="X45" s="232" t="s">
        <v>9</v>
      </c>
      <c r="Y45" s="232" t="s">
        <v>9</v>
      </c>
      <c r="Z45" s="232" t="s">
        <v>9</v>
      </c>
      <c r="AA45" s="232" t="s">
        <v>9</v>
      </c>
      <c r="AB45" s="232" t="s">
        <v>9</v>
      </c>
      <c r="AC45" s="232" t="s">
        <v>9</v>
      </c>
      <c r="AD45" s="232" t="s">
        <v>9</v>
      </c>
      <c r="AE45" s="24">
        <f t="shared" si="3"/>
        <v>15</v>
      </c>
      <c r="AF45" s="24">
        <f t="shared" si="4"/>
        <v>0</v>
      </c>
      <c r="AG45" s="24">
        <f t="shared" si="5"/>
        <v>0</v>
      </c>
      <c r="AH45" s="41" t="str" cm="1">
        <f t="array" ref="AH45">_xlfn.IFS(
$AE45=15,"Not Started",
$AG45&lt;15,"In Progress",
$AG45=15,"Completed",
SUM(AE45:AG45)&gt;15,"Error"
)</f>
        <v>Not Started</v>
      </c>
    </row>
    <row r="46" spans="1:34" ht="26" x14ac:dyDescent="0.25">
      <c r="A46" s="248"/>
      <c r="B46" s="100">
        <v>43</v>
      </c>
      <c r="C46" s="14" t="s">
        <v>1701</v>
      </c>
      <c r="D46" s="53" t="s">
        <v>7540</v>
      </c>
      <c r="E46" s="80" t="s">
        <v>10237</v>
      </c>
      <c r="F46" s="7" t="s">
        <v>51</v>
      </c>
      <c r="G46" s="7" t="s">
        <v>44</v>
      </c>
      <c r="H46" s="7" t="s">
        <v>6206</v>
      </c>
      <c r="I46" s="7" t="s">
        <v>6206</v>
      </c>
      <c r="J46" s="7" t="s">
        <v>7893</v>
      </c>
      <c r="K46" s="7" t="s">
        <v>7786</v>
      </c>
      <c r="L46" s="7">
        <v>10052704472</v>
      </c>
      <c r="M46" s="7"/>
      <c r="N46" s="48"/>
      <c r="O46" s="232" t="s">
        <v>9</v>
      </c>
      <c r="P46" s="232" t="s">
        <v>9</v>
      </c>
      <c r="Q46" s="232" t="s">
        <v>9</v>
      </c>
      <c r="R46" s="232" t="s">
        <v>9</v>
      </c>
      <c r="S46" s="232" t="s">
        <v>9</v>
      </c>
      <c r="T46" s="232" t="s">
        <v>9</v>
      </c>
      <c r="U46" s="232" t="s">
        <v>9</v>
      </c>
      <c r="V46" s="232" t="s">
        <v>9</v>
      </c>
      <c r="W46" s="232" t="s">
        <v>9</v>
      </c>
      <c r="X46" s="232" t="s">
        <v>9</v>
      </c>
      <c r="Y46" s="232" t="s">
        <v>9</v>
      </c>
      <c r="Z46" s="232" t="s">
        <v>9</v>
      </c>
      <c r="AA46" s="232" t="s">
        <v>9</v>
      </c>
      <c r="AB46" s="232" t="s">
        <v>9</v>
      </c>
      <c r="AC46" s="232" t="s">
        <v>9</v>
      </c>
      <c r="AD46" s="232" t="s">
        <v>9</v>
      </c>
      <c r="AE46" s="24">
        <f t="shared" si="3"/>
        <v>15</v>
      </c>
      <c r="AF46" s="24">
        <f t="shared" si="4"/>
        <v>0</v>
      </c>
      <c r="AG46" s="24">
        <f t="shared" si="5"/>
        <v>0</v>
      </c>
      <c r="AH46" s="41" t="str" cm="1">
        <f t="array" ref="AH46">_xlfn.IFS(
$AE46=15,"Not Started",
$AG46&lt;15,"In Progress",
$AG46=15,"Completed",
SUM(AE46:AG46)&gt;15,"Error"
)</f>
        <v>Not Started</v>
      </c>
    </row>
    <row r="47" spans="1:34" ht="15.5" x14ac:dyDescent="0.25">
      <c r="A47" s="248"/>
      <c r="B47" s="100">
        <v>44</v>
      </c>
      <c r="C47" s="7" t="s">
        <v>1702</v>
      </c>
      <c r="D47" s="53" t="s">
        <v>7541</v>
      </c>
      <c r="E47" s="57" t="s">
        <v>7642</v>
      </c>
      <c r="F47" s="7" t="s">
        <v>43</v>
      </c>
      <c r="G47" s="7" t="s">
        <v>48</v>
      </c>
      <c r="H47" s="7" t="s">
        <v>6206</v>
      </c>
      <c r="I47" s="7" t="s">
        <v>6206</v>
      </c>
      <c r="J47" s="7" t="s">
        <v>7894</v>
      </c>
      <c r="K47" s="7" t="s">
        <v>7787</v>
      </c>
      <c r="L47" s="7">
        <v>10095382359</v>
      </c>
      <c r="M47" s="7"/>
      <c r="N47" s="48"/>
      <c r="O47" s="232" t="s">
        <v>9</v>
      </c>
      <c r="P47" s="232" t="s">
        <v>9</v>
      </c>
      <c r="Q47" s="232" t="s">
        <v>9</v>
      </c>
      <c r="R47" s="232" t="s">
        <v>9</v>
      </c>
      <c r="S47" s="232" t="s">
        <v>9</v>
      </c>
      <c r="T47" s="232" t="s">
        <v>9</v>
      </c>
      <c r="U47" s="232" t="s">
        <v>9</v>
      </c>
      <c r="V47" s="232" t="s">
        <v>9</v>
      </c>
      <c r="W47" s="232" t="s">
        <v>9</v>
      </c>
      <c r="X47" s="232" t="s">
        <v>9</v>
      </c>
      <c r="Y47" s="232" t="s">
        <v>9</v>
      </c>
      <c r="Z47" s="232" t="s">
        <v>9</v>
      </c>
      <c r="AA47" s="232" t="s">
        <v>9</v>
      </c>
      <c r="AB47" s="232" t="s">
        <v>9</v>
      </c>
      <c r="AC47" s="232" t="s">
        <v>9</v>
      </c>
      <c r="AD47" s="232" t="s">
        <v>9</v>
      </c>
      <c r="AE47" s="24">
        <f t="shared" si="3"/>
        <v>15</v>
      </c>
      <c r="AF47" s="24">
        <f t="shared" si="4"/>
        <v>0</v>
      </c>
      <c r="AG47" s="24">
        <f t="shared" si="5"/>
        <v>0</v>
      </c>
      <c r="AH47" s="41" t="str" cm="1">
        <f t="array" ref="AH47">_xlfn.IFS(
$AE47=15,"Not Started",
$AG47&lt;15,"In Progress",
$AG47=15,"Completed",
SUM(AE47:AG47)&gt;15,"Error"
)</f>
        <v>Not Started</v>
      </c>
    </row>
    <row r="48" spans="1:34" ht="15.5" x14ac:dyDescent="0.25">
      <c r="A48" s="248"/>
      <c r="B48" s="100">
        <v>45</v>
      </c>
      <c r="C48" s="14" t="s">
        <v>1703</v>
      </c>
      <c r="D48" s="53" t="s">
        <v>7542</v>
      </c>
      <c r="E48" s="57" t="s">
        <v>7643</v>
      </c>
      <c r="F48" s="7" t="s">
        <v>43</v>
      </c>
      <c r="G48" s="7" t="s">
        <v>48</v>
      </c>
      <c r="H48" s="7" t="s">
        <v>6206</v>
      </c>
      <c r="I48" s="7" t="s">
        <v>6206</v>
      </c>
      <c r="J48" s="7" t="s">
        <v>7895</v>
      </c>
      <c r="K48" s="7" t="s">
        <v>7788</v>
      </c>
      <c r="L48" s="7">
        <v>10052932271</v>
      </c>
      <c r="M48" s="7"/>
      <c r="N48" s="48"/>
      <c r="O48" s="232" t="s">
        <v>9</v>
      </c>
      <c r="P48" s="232" t="s">
        <v>9</v>
      </c>
      <c r="Q48" s="232" t="s">
        <v>9</v>
      </c>
      <c r="R48" s="232" t="s">
        <v>9</v>
      </c>
      <c r="S48" s="232" t="s">
        <v>9</v>
      </c>
      <c r="T48" s="232" t="s">
        <v>9</v>
      </c>
      <c r="U48" s="232" t="s">
        <v>9</v>
      </c>
      <c r="V48" s="232" t="s">
        <v>9</v>
      </c>
      <c r="W48" s="232" t="s">
        <v>9</v>
      </c>
      <c r="X48" s="232" t="s">
        <v>9</v>
      </c>
      <c r="Y48" s="232" t="s">
        <v>9</v>
      </c>
      <c r="Z48" s="232" t="s">
        <v>9</v>
      </c>
      <c r="AA48" s="232" t="s">
        <v>9</v>
      </c>
      <c r="AB48" s="232" t="s">
        <v>9</v>
      </c>
      <c r="AC48" s="232" t="s">
        <v>9</v>
      </c>
      <c r="AD48" s="232" t="s">
        <v>9</v>
      </c>
      <c r="AE48" s="24">
        <f t="shared" si="3"/>
        <v>15</v>
      </c>
      <c r="AF48" s="24">
        <f t="shared" si="4"/>
        <v>0</v>
      </c>
      <c r="AG48" s="24">
        <f t="shared" si="5"/>
        <v>0</v>
      </c>
      <c r="AH48" s="41" t="str" cm="1">
        <f t="array" ref="AH48">_xlfn.IFS(
$AE48=15,"Not Started",
$AG48&lt;15,"In Progress",
$AG48=15,"Completed",
SUM(AE48:AG48)&gt;15,"Error"
)</f>
        <v>Not Started</v>
      </c>
    </row>
    <row r="49" spans="1:34" ht="15.5" x14ac:dyDescent="0.25">
      <c r="A49" s="248"/>
      <c r="B49" s="100">
        <v>46</v>
      </c>
      <c r="C49" s="7" t="s">
        <v>1704</v>
      </c>
      <c r="D49" s="53" t="s">
        <v>7543</v>
      </c>
      <c r="E49" s="57" t="s">
        <v>7644</v>
      </c>
      <c r="F49" s="7" t="s">
        <v>43</v>
      </c>
      <c r="G49" s="7" t="s">
        <v>44</v>
      </c>
      <c r="H49" s="7" t="s">
        <v>6206</v>
      </c>
      <c r="I49" s="7" t="s">
        <v>6206</v>
      </c>
      <c r="J49" s="7" t="s">
        <v>7896</v>
      </c>
      <c r="K49" s="7" t="s">
        <v>7789</v>
      </c>
      <c r="L49" s="7">
        <v>10052779811</v>
      </c>
      <c r="M49" s="7"/>
      <c r="N49" s="48"/>
      <c r="O49" s="232" t="s">
        <v>9</v>
      </c>
      <c r="P49" s="232" t="s">
        <v>9</v>
      </c>
      <c r="Q49" s="232" t="s">
        <v>9</v>
      </c>
      <c r="R49" s="232" t="s">
        <v>9</v>
      </c>
      <c r="S49" s="232" t="s">
        <v>9</v>
      </c>
      <c r="T49" s="232" t="s">
        <v>9</v>
      </c>
      <c r="U49" s="232" t="s">
        <v>9</v>
      </c>
      <c r="V49" s="232" t="s">
        <v>9</v>
      </c>
      <c r="W49" s="232" t="s">
        <v>9</v>
      </c>
      <c r="X49" s="232" t="s">
        <v>9</v>
      </c>
      <c r="Y49" s="232" t="s">
        <v>9</v>
      </c>
      <c r="Z49" s="232" t="s">
        <v>9</v>
      </c>
      <c r="AA49" s="232" t="s">
        <v>9</v>
      </c>
      <c r="AB49" s="232" t="s">
        <v>9</v>
      </c>
      <c r="AC49" s="232" t="s">
        <v>9</v>
      </c>
      <c r="AD49" s="232" t="s">
        <v>9</v>
      </c>
      <c r="AE49" s="24">
        <f t="shared" si="3"/>
        <v>15</v>
      </c>
      <c r="AF49" s="24">
        <f t="shared" si="4"/>
        <v>0</v>
      </c>
      <c r="AG49" s="24">
        <f t="shared" si="5"/>
        <v>0</v>
      </c>
      <c r="AH49" s="41" t="str" cm="1">
        <f t="array" ref="AH49">_xlfn.IFS(
$AE49=15,"Not Started",
$AG49&lt;15,"In Progress",
$AG49=15,"Completed",
SUM(AE49:AG49)&gt;15,"Error"
)</f>
        <v>Not Started</v>
      </c>
    </row>
    <row r="50" spans="1:34" ht="15.5" x14ac:dyDescent="0.25">
      <c r="A50" s="248"/>
      <c r="B50" s="100">
        <v>47</v>
      </c>
      <c r="C50" s="14" t="s">
        <v>1705</v>
      </c>
      <c r="D50" s="53" t="s">
        <v>7544</v>
      </c>
      <c r="E50" s="57" t="s">
        <v>7645</v>
      </c>
      <c r="F50" s="7" t="s">
        <v>47</v>
      </c>
      <c r="G50" s="7" t="s">
        <v>48</v>
      </c>
      <c r="H50" s="7" t="s">
        <v>6206</v>
      </c>
      <c r="I50" s="7" t="s">
        <v>6206</v>
      </c>
      <c r="J50" s="7" t="s">
        <v>7897</v>
      </c>
      <c r="K50" s="7" t="s">
        <v>7790</v>
      </c>
      <c r="L50" s="7">
        <v>10053116420</v>
      </c>
      <c r="M50" s="7"/>
      <c r="N50" s="48"/>
      <c r="O50" s="232" t="s">
        <v>9</v>
      </c>
      <c r="P50" s="232" t="s">
        <v>9</v>
      </c>
      <c r="Q50" s="232" t="s">
        <v>9</v>
      </c>
      <c r="R50" s="232" t="s">
        <v>9</v>
      </c>
      <c r="S50" s="232" t="s">
        <v>9</v>
      </c>
      <c r="T50" s="232" t="s">
        <v>9</v>
      </c>
      <c r="U50" s="232" t="s">
        <v>9</v>
      </c>
      <c r="V50" s="232" t="s">
        <v>9</v>
      </c>
      <c r="W50" s="232" t="s">
        <v>9</v>
      </c>
      <c r="X50" s="232" t="s">
        <v>9</v>
      </c>
      <c r="Y50" s="232" t="s">
        <v>9</v>
      </c>
      <c r="Z50" s="232" t="s">
        <v>9</v>
      </c>
      <c r="AA50" s="232" t="s">
        <v>9</v>
      </c>
      <c r="AB50" s="232" t="s">
        <v>9</v>
      </c>
      <c r="AC50" s="232" t="s">
        <v>9</v>
      </c>
      <c r="AD50" s="232" t="s">
        <v>9</v>
      </c>
      <c r="AE50" s="24">
        <f t="shared" si="3"/>
        <v>15</v>
      </c>
      <c r="AF50" s="24">
        <f t="shared" si="4"/>
        <v>0</v>
      </c>
      <c r="AG50" s="24">
        <f t="shared" si="5"/>
        <v>0</v>
      </c>
      <c r="AH50" s="41" t="str" cm="1">
        <f t="array" ref="AH50">_xlfn.IFS(
$AE50=15,"Not Started",
$AG50&lt;15,"In Progress",
$AG50=15,"Completed",
SUM(AE50:AG50)&gt;15,"Error"
)</f>
        <v>Not Started</v>
      </c>
    </row>
    <row r="51" spans="1:34" ht="15.5" x14ac:dyDescent="0.25">
      <c r="A51" s="248"/>
      <c r="B51" s="100">
        <v>48</v>
      </c>
      <c r="C51" s="7" t="s">
        <v>1706</v>
      </c>
      <c r="D51" s="53" t="s">
        <v>7545</v>
      </c>
      <c r="E51" s="57" t="s">
        <v>7646</v>
      </c>
      <c r="F51" s="7" t="s">
        <v>43</v>
      </c>
      <c r="G51" s="7" t="s">
        <v>44</v>
      </c>
      <c r="H51" s="7" t="s">
        <v>6206</v>
      </c>
      <c r="I51" s="7" t="s">
        <v>6206</v>
      </c>
      <c r="J51" s="7" t="s">
        <v>7898</v>
      </c>
      <c r="K51" s="7" t="s">
        <v>7791</v>
      </c>
      <c r="L51" s="7">
        <v>10052529167</v>
      </c>
      <c r="M51" s="7"/>
      <c r="N51" s="48"/>
      <c r="O51" s="232" t="s">
        <v>9</v>
      </c>
      <c r="P51" s="232" t="s">
        <v>9</v>
      </c>
      <c r="Q51" s="232" t="s">
        <v>9</v>
      </c>
      <c r="R51" s="232" t="s">
        <v>9</v>
      </c>
      <c r="S51" s="232" t="s">
        <v>9</v>
      </c>
      <c r="T51" s="232" t="s">
        <v>9</v>
      </c>
      <c r="U51" s="232" t="s">
        <v>9</v>
      </c>
      <c r="V51" s="232" t="s">
        <v>9</v>
      </c>
      <c r="W51" s="232" t="s">
        <v>9</v>
      </c>
      <c r="X51" s="232" t="s">
        <v>9</v>
      </c>
      <c r="Y51" s="232" t="s">
        <v>9</v>
      </c>
      <c r="Z51" s="232" t="s">
        <v>9</v>
      </c>
      <c r="AA51" s="232" t="s">
        <v>9</v>
      </c>
      <c r="AB51" s="232" t="s">
        <v>9</v>
      </c>
      <c r="AC51" s="232" t="s">
        <v>9</v>
      </c>
      <c r="AD51" s="232" t="s">
        <v>9</v>
      </c>
      <c r="AE51" s="24">
        <f t="shared" si="3"/>
        <v>15</v>
      </c>
      <c r="AF51" s="24">
        <f t="shared" si="4"/>
        <v>0</v>
      </c>
      <c r="AG51" s="24">
        <f t="shared" si="5"/>
        <v>0</v>
      </c>
      <c r="AH51" s="41" t="str" cm="1">
        <f t="array" ref="AH51">_xlfn.IFS(
$AE51=15,"Not Started",
$AG51&lt;15,"In Progress",
$AG51=15,"Completed",
SUM(AE51:AG51)&gt;15,"Error"
)</f>
        <v>Not Started</v>
      </c>
    </row>
    <row r="52" spans="1:34" ht="15.5" x14ac:dyDescent="0.25">
      <c r="A52" s="248"/>
      <c r="B52" s="100">
        <v>49</v>
      </c>
      <c r="C52" s="14" t="s">
        <v>1707</v>
      </c>
      <c r="D52" s="53" t="s">
        <v>7546</v>
      </c>
      <c r="E52" s="57" t="s">
        <v>7647</v>
      </c>
      <c r="F52" s="7" t="s">
        <v>51</v>
      </c>
      <c r="G52" s="7" t="s">
        <v>44</v>
      </c>
      <c r="H52" s="7" t="s">
        <v>6206</v>
      </c>
      <c r="I52" s="7" t="s">
        <v>6206</v>
      </c>
      <c r="J52" s="7" t="s">
        <v>7899</v>
      </c>
      <c r="K52" s="7" t="s">
        <v>7792</v>
      </c>
      <c r="L52" s="7">
        <v>10083402511</v>
      </c>
      <c r="M52" s="7"/>
      <c r="N52" s="48"/>
      <c r="O52" s="232" t="s">
        <v>9</v>
      </c>
      <c r="P52" s="232" t="s">
        <v>9</v>
      </c>
      <c r="Q52" s="232" t="s">
        <v>9</v>
      </c>
      <c r="R52" s="232" t="s">
        <v>9</v>
      </c>
      <c r="S52" s="232" t="s">
        <v>9</v>
      </c>
      <c r="T52" s="232" t="s">
        <v>9</v>
      </c>
      <c r="U52" s="232" t="s">
        <v>9</v>
      </c>
      <c r="V52" s="232" t="s">
        <v>9</v>
      </c>
      <c r="W52" s="232" t="s">
        <v>9</v>
      </c>
      <c r="X52" s="232" t="s">
        <v>9</v>
      </c>
      <c r="Y52" s="232" t="s">
        <v>9</v>
      </c>
      <c r="Z52" s="232" t="s">
        <v>9</v>
      </c>
      <c r="AA52" s="232" t="s">
        <v>9</v>
      </c>
      <c r="AB52" s="232" t="s">
        <v>9</v>
      </c>
      <c r="AC52" s="232" t="s">
        <v>9</v>
      </c>
      <c r="AD52" s="232" t="s">
        <v>9</v>
      </c>
      <c r="AE52" s="24">
        <f t="shared" si="3"/>
        <v>15</v>
      </c>
      <c r="AF52" s="24">
        <f t="shared" si="4"/>
        <v>0</v>
      </c>
      <c r="AG52" s="24">
        <f t="shared" si="5"/>
        <v>0</v>
      </c>
      <c r="AH52" s="41" t="str" cm="1">
        <f t="array" ref="AH52">_xlfn.IFS(
$AE52=15,"Not Started",
$AG52&lt;15,"In Progress",
$AG52=15,"Completed",
SUM(AE52:AG52)&gt;15,"Error"
)</f>
        <v>Not Started</v>
      </c>
    </row>
    <row r="53" spans="1:34" ht="15.5" x14ac:dyDescent="0.25">
      <c r="A53" s="248"/>
      <c r="B53" s="100">
        <v>50</v>
      </c>
      <c r="C53" s="7" t="s">
        <v>1708</v>
      </c>
      <c r="D53" s="53" t="s">
        <v>4303</v>
      </c>
      <c r="E53" s="57" t="s">
        <v>7648</v>
      </c>
      <c r="F53" s="7" t="s">
        <v>47</v>
      </c>
      <c r="G53" s="7" t="s">
        <v>44</v>
      </c>
      <c r="H53" s="7" t="s">
        <v>6206</v>
      </c>
      <c r="I53" s="7" t="s">
        <v>6206</v>
      </c>
      <c r="J53" s="7" t="s">
        <v>7900</v>
      </c>
      <c r="K53" s="7" t="s">
        <v>6117</v>
      </c>
      <c r="L53" s="7">
        <v>10052848409</v>
      </c>
      <c r="M53" s="7"/>
      <c r="N53" s="231">
        <v>46141</v>
      </c>
      <c r="O53" s="232" t="s">
        <v>11</v>
      </c>
      <c r="P53" s="232" t="s">
        <v>11</v>
      </c>
      <c r="Q53" s="232" t="s">
        <v>11</v>
      </c>
      <c r="R53" s="232" t="s">
        <v>11</v>
      </c>
      <c r="S53" s="232" t="s">
        <v>9</v>
      </c>
      <c r="T53" s="232" t="s">
        <v>9</v>
      </c>
      <c r="U53" s="232" t="s">
        <v>9</v>
      </c>
      <c r="V53" s="232" t="s">
        <v>9</v>
      </c>
      <c r="W53" s="232" t="s">
        <v>9</v>
      </c>
      <c r="X53" s="232" t="s">
        <v>9</v>
      </c>
      <c r="Y53" s="232" t="s">
        <v>9</v>
      </c>
      <c r="Z53" s="232" t="s">
        <v>9</v>
      </c>
      <c r="AA53" s="232" t="s">
        <v>9</v>
      </c>
      <c r="AB53" s="232" t="s">
        <v>9</v>
      </c>
      <c r="AC53" s="232" t="s">
        <v>9</v>
      </c>
      <c r="AD53" s="232" t="s">
        <v>9</v>
      </c>
      <c r="AE53" s="24">
        <f t="shared" si="3"/>
        <v>11</v>
      </c>
      <c r="AF53" s="24">
        <f t="shared" si="4"/>
        <v>0</v>
      </c>
      <c r="AG53" s="24">
        <f t="shared" si="5"/>
        <v>4</v>
      </c>
      <c r="AH53" s="41" t="str" cm="1">
        <f t="array" ref="AH53">_xlfn.IFS(
$AE53=15,"Not Started",
$AG53&lt;15,"In Progress",
$AG53=15,"Completed",
SUM(AE53:AG53)&gt;15,"Error"
)</f>
        <v>In Progress</v>
      </c>
    </row>
    <row r="54" spans="1:34" ht="15.5" x14ac:dyDescent="0.25">
      <c r="A54" s="248"/>
      <c r="B54" s="100">
        <v>51</v>
      </c>
      <c r="C54" s="14" t="s">
        <v>1709</v>
      </c>
      <c r="D54" s="53" t="s">
        <v>7547</v>
      </c>
      <c r="E54" s="57" t="s">
        <v>7649</v>
      </c>
      <c r="F54" s="7" t="s">
        <v>47</v>
      </c>
      <c r="G54" s="7" t="s">
        <v>44</v>
      </c>
      <c r="H54" s="7" t="s">
        <v>6206</v>
      </c>
      <c r="I54" s="7" t="s">
        <v>6206</v>
      </c>
      <c r="J54" s="7" t="s">
        <v>7901</v>
      </c>
      <c r="K54" s="7" t="s">
        <v>7793</v>
      </c>
      <c r="L54" s="7">
        <v>10052806104</v>
      </c>
      <c r="M54" s="7"/>
      <c r="N54" s="48"/>
      <c r="O54" s="232" t="s">
        <v>9</v>
      </c>
      <c r="P54" s="232" t="s">
        <v>9</v>
      </c>
      <c r="Q54" s="232" t="s">
        <v>9</v>
      </c>
      <c r="R54" s="232" t="s">
        <v>9</v>
      </c>
      <c r="S54" s="232" t="s">
        <v>9</v>
      </c>
      <c r="T54" s="232" t="s">
        <v>9</v>
      </c>
      <c r="U54" s="232" t="s">
        <v>9</v>
      </c>
      <c r="V54" s="232" t="s">
        <v>9</v>
      </c>
      <c r="W54" s="232" t="s">
        <v>9</v>
      </c>
      <c r="X54" s="232" t="s">
        <v>9</v>
      </c>
      <c r="Y54" s="232" t="s">
        <v>9</v>
      </c>
      <c r="Z54" s="232" t="s">
        <v>9</v>
      </c>
      <c r="AA54" s="232" t="s">
        <v>9</v>
      </c>
      <c r="AB54" s="232" t="s">
        <v>9</v>
      </c>
      <c r="AC54" s="232" t="s">
        <v>9</v>
      </c>
      <c r="AD54" s="232" t="s">
        <v>9</v>
      </c>
      <c r="AE54" s="24">
        <f t="shared" si="3"/>
        <v>15</v>
      </c>
      <c r="AF54" s="24">
        <f t="shared" si="4"/>
        <v>0</v>
      </c>
      <c r="AG54" s="24">
        <f t="shared" si="5"/>
        <v>0</v>
      </c>
      <c r="AH54" s="41" t="str" cm="1">
        <f t="array" ref="AH54">_xlfn.IFS(
$AE54=15,"Not Started",
$AG54&lt;15,"In Progress",
$AG54=15,"Completed",
SUM(AE54:AG54)&gt;15,"Error"
)</f>
        <v>Not Started</v>
      </c>
    </row>
    <row r="55" spans="1:34" ht="15.5" x14ac:dyDescent="0.25">
      <c r="A55" s="248"/>
      <c r="B55" s="100">
        <v>52</v>
      </c>
      <c r="C55" s="7" t="s">
        <v>1710</v>
      </c>
      <c r="D55" s="53" t="s">
        <v>6004</v>
      </c>
      <c r="E55" s="57" t="s">
        <v>7650</v>
      </c>
      <c r="F55" s="7" t="s">
        <v>43</v>
      </c>
      <c r="G55" s="7" t="s">
        <v>44</v>
      </c>
      <c r="H55" s="7" t="s">
        <v>6206</v>
      </c>
      <c r="I55" s="7" t="s">
        <v>6206</v>
      </c>
      <c r="J55" s="7" t="s">
        <v>7902</v>
      </c>
      <c r="K55" s="7" t="s">
        <v>6118</v>
      </c>
      <c r="L55" s="7">
        <v>10052605779</v>
      </c>
      <c r="M55" s="7"/>
      <c r="N55" s="48"/>
      <c r="O55" s="232" t="s">
        <v>9</v>
      </c>
      <c r="P55" s="232" t="s">
        <v>9</v>
      </c>
      <c r="Q55" s="232" t="s">
        <v>9</v>
      </c>
      <c r="R55" s="232" t="s">
        <v>9</v>
      </c>
      <c r="S55" s="232" t="s">
        <v>9</v>
      </c>
      <c r="T55" s="232" t="s">
        <v>9</v>
      </c>
      <c r="U55" s="232" t="s">
        <v>9</v>
      </c>
      <c r="V55" s="232" t="s">
        <v>9</v>
      </c>
      <c r="W55" s="232" t="s">
        <v>9</v>
      </c>
      <c r="X55" s="232" t="s">
        <v>9</v>
      </c>
      <c r="Y55" s="232" t="s">
        <v>9</v>
      </c>
      <c r="Z55" s="232" t="s">
        <v>9</v>
      </c>
      <c r="AA55" s="232" t="s">
        <v>9</v>
      </c>
      <c r="AB55" s="232" t="s">
        <v>9</v>
      </c>
      <c r="AC55" s="232" t="s">
        <v>9</v>
      </c>
      <c r="AD55" s="232" t="s">
        <v>9</v>
      </c>
      <c r="AE55" s="24">
        <f t="shared" si="3"/>
        <v>15</v>
      </c>
      <c r="AF55" s="24">
        <f t="shared" si="4"/>
        <v>0</v>
      </c>
      <c r="AG55" s="24">
        <f t="shared" si="5"/>
        <v>0</v>
      </c>
      <c r="AH55" s="41" t="str" cm="1">
        <f t="array" ref="AH55">_xlfn.IFS(
$AE55=15,"Not Started",
$AG55&lt;15,"In Progress",
$AG55=15,"Completed",
SUM(AE55:AG55)&gt;15,"Error"
)</f>
        <v>Not Started</v>
      </c>
    </row>
    <row r="56" spans="1:34" ht="15.5" x14ac:dyDescent="0.25">
      <c r="A56" s="248"/>
      <c r="B56" s="100">
        <v>53</v>
      </c>
      <c r="C56" s="14" t="s">
        <v>1711</v>
      </c>
      <c r="D56" s="53" t="s">
        <v>7548</v>
      </c>
      <c r="E56" s="57" t="s">
        <v>7651</v>
      </c>
      <c r="F56" s="7" t="s">
        <v>47</v>
      </c>
      <c r="G56" s="7" t="s">
        <v>48</v>
      </c>
      <c r="H56" s="7" t="s">
        <v>6206</v>
      </c>
      <c r="I56" s="7" t="s">
        <v>6206</v>
      </c>
      <c r="J56" s="7" t="s">
        <v>7903</v>
      </c>
      <c r="K56" s="7" t="s">
        <v>7794</v>
      </c>
      <c r="L56" s="7">
        <v>10052452188</v>
      </c>
      <c r="M56" s="7"/>
      <c r="N56" s="48"/>
      <c r="O56" s="232" t="s">
        <v>9</v>
      </c>
      <c r="P56" s="232" t="s">
        <v>9</v>
      </c>
      <c r="Q56" s="232" t="s">
        <v>9</v>
      </c>
      <c r="R56" s="232" t="s">
        <v>9</v>
      </c>
      <c r="S56" s="232" t="s">
        <v>9</v>
      </c>
      <c r="T56" s="232" t="s">
        <v>9</v>
      </c>
      <c r="U56" s="232" t="s">
        <v>9</v>
      </c>
      <c r="V56" s="232" t="s">
        <v>9</v>
      </c>
      <c r="W56" s="232" t="s">
        <v>9</v>
      </c>
      <c r="X56" s="232" t="s">
        <v>9</v>
      </c>
      <c r="Y56" s="232" t="s">
        <v>9</v>
      </c>
      <c r="Z56" s="232" t="s">
        <v>9</v>
      </c>
      <c r="AA56" s="232" t="s">
        <v>9</v>
      </c>
      <c r="AB56" s="232" t="s">
        <v>9</v>
      </c>
      <c r="AC56" s="232" t="s">
        <v>9</v>
      </c>
      <c r="AD56" s="232" t="s">
        <v>9</v>
      </c>
      <c r="AE56" s="24">
        <f t="shared" si="3"/>
        <v>15</v>
      </c>
      <c r="AF56" s="24">
        <f t="shared" si="4"/>
        <v>0</v>
      </c>
      <c r="AG56" s="24">
        <f t="shared" si="5"/>
        <v>0</v>
      </c>
      <c r="AH56" s="41" t="str" cm="1">
        <f t="array" ref="AH56">_xlfn.IFS(
$AE56=15,"Not Started",
$AG56&lt;15,"In Progress",
$AG56=15,"Completed",
SUM(AE56:AG56)&gt;15,"Error"
)</f>
        <v>Not Started</v>
      </c>
    </row>
    <row r="57" spans="1:34" ht="15.5" x14ac:dyDescent="0.25">
      <c r="A57" s="248"/>
      <c r="B57" s="100">
        <v>54</v>
      </c>
      <c r="C57" s="7" t="s">
        <v>1712</v>
      </c>
      <c r="D57" s="53" t="s">
        <v>7549</v>
      </c>
      <c r="E57" s="57" t="s">
        <v>7652</v>
      </c>
      <c r="F57" s="7" t="s">
        <v>43</v>
      </c>
      <c r="G57" s="7" t="s">
        <v>48</v>
      </c>
      <c r="H57" s="7" t="s">
        <v>6206</v>
      </c>
      <c r="I57" s="7" t="s">
        <v>6206</v>
      </c>
      <c r="J57" s="7" t="s">
        <v>7904</v>
      </c>
      <c r="K57" s="7" t="s">
        <v>7795</v>
      </c>
      <c r="L57" s="7">
        <v>10053010073</v>
      </c>
      <c r="M57" s="7"/>
      <c r="N57" s="48"/>
      <c r="O57" s="232" t="s">
        <v>9</v>
      </c>
      <c r="P57" s="232" t="s">
        <v>9</v>
      </c>
      <c r="Q57" s="232" t="s">
        <v>9</v>
      </c>
      <c r="R57" s="232" t="s">
        <v>9</v>
      </c>
      <c r="S57" s="232" t="s">
        <v>9</v>
      </c>
      <c r="T57" s="232" t="s">
        <v>9</v>
      </c>
      <c r="U57" s="232" t="s">
        <v>9</v>
      </c>
      <c r="V57" s="232" t="s">
        <v>9</v>
      </c>
      <c r="W57" s="232" t="s">
        <v>9</v>
      </c>
      <c r="X57" s="232" t="s">
        <v>9</v>
      </c>
      <c r="Y57" s="232" t="s">
        <v>9</v>
      </c>
      <c r="Z57" s="232" t="s">
        <v>9</v>
      </c>
      <c r="AA57" s="232" t="s">
        <v>9</v>
      </c>
      <c r="AB57" s="232" t="s">
        <v>9</v>
      </c>
      <c r="AC57" s="232" t="s">
        <v>9</v>
      </c>
      <c r="AD57" s="232" t="s">
        <v>9</v>
      </c>
      <c r="AE57" s="24">
        <f t="shared" si="3"/>
        <v>15</v>
      </c>
      <c r="AF57" s="24">
        <f t="shared" si="4"/>
        <v>0</v>
      </c>
      <c r="AG57" s="24">
        <f t="shared" si="5"/>
        <v>0</v>
      </c>
      <c r="AH57" s="41" t="str" cm="1">
        <f t="array" ref="AH57">_xlfn.IFS(
$AE57=15,"Not Started",
$AG57&lt;15,"In Progress",
$AG57=15,"Completed",
SUM(AE57:AG57)&gt;15,"Error"
)</f>
        <v>Not Started</v>
      </c>
    </row>
    <row r="58" spans="1:34" ht="15.5" x14ac:dyDescent="0.25">
      <c r="A58" s="248"/>
      <c r="B58" s="100">
        <v>55</v>
      </c>
      <c r="C58" s="14" t="s">
        <v>1713</v>
      </c>
      <c r="D58" s="53" t="s">
        <v>7550</v>
      </c>
      <c r="E58" s="57" t="s">
        <v>7653</v>
      </c>
      <c r="F58" s="7" t="s">
        <v>43</v>
      </c>
      <c r="G58" s="7" t="s">
        <v>48</v>
      </c>
      <c r="H58" s="7" t="s">
        <v>6206</v>
      </c>
      <c r="I58" s="7" t="s">
        <v>6206</v>
      </c>
      <c r="J58" s="7" t="s">
        <v>7905</v>
      </c>
      <c r="K58" s="7" t="s">
        <v>7796</v>
      </c>
      <c r="L58" s="7">
        <v>10052532421</v>
      </c>
      <c r="M58" s="7"/>
      <c r="N58" s="48"/>
      <c r="O58" s="232" t="s">
        <v>9</v>
      </c>
      <c r="P58" s="232" t="s">
        <v>9</v>
      </c>
      <c r="Q58" s="232" t="s">
        <v>9</v>
      </c>
      <c r="R58" s="232" t="s">
        <v>9</v>
      </c>
      <c r="S58" s="232" t="s">
        <v>9</v>
      </c>
      <c r="T58" s="232" t="s">
        <v>9</v>
      </c>
      <c r="U58" s="232" t="s">
        <v>9</v>
      </c>
      <c r="V58" s="232" t="s">
        <v>9</v>
      </c>
      <c r="W58" s="232" t="s">
        <v>9</v>
      </c>
      <c r="X58" s="232" t="s">
        <v>9</v>
      </c>
      <c r="Y58" s="232" t="s">
        <v>9</v>
      </c>
      <c r="Z58" s="232" t="s">
        <v>9</v>
      </c>
      <c r="AA58" s="232" t="s">
        <v>9</v>
      </c>
      <c r="AB58" s="232" t="s">
        <v>9</v>
      </c>
      <c r="AC58" s="232" t="s">
        <v>9</v>
      </c>
      <c r="AD58" s="232" t="s">
        <v>9</v>
      </c>
      <c r="AE58" s="24">
        <f t="shared" si="3"/>
        <v>15</v>
      </c>
      <c r="AF58" s="24">
        <f t="shared" si="4"/>
        <v>0</v>
      </c>
      <c r="AG58" s="24">
        <f t="shared" si="5"/>
        <v>0</v>
      </c>
      <c r="AH58" s="41" t="str" cm="1">
        <f t="array" ref="AH58">_xlfn.IFS(
$AE58=15,"Not Started",
$AG58&lt;15,"In Progress",
$AG58=15,"Completed",
SUM(AE58:AG58)&gt;15,"Error"
)</f>
        <v>Not Started</v>
      </c>
    </row>
    <row r="59" spans="1:34" ht="15.5" x14ac:dyDescent="0.25">
      <c r="A59" s="248"/>
      <c r="B59" s="100">
        <v>56</v>
      </c>
      <c r="C59" s="7" t="s">
        <v>1714</v>
      </c>
      <c r="D59" s="53" t="s">
        <v>7551</v>
      </c>
      <c r="E59" s="57" t="s">
        <v>7654</v>
      </c>
      <c r="F59" s="7" t="s">
        <v>47</v>
      </c>
      <c r="G59" s="7" t="s">
        <v>48</v>
      </c>
      <c r="H59" s="7" t="s">
        <v>6206</v>
      </c>
      <c r="I59" s="7" t="s">
        <v>6206</v>
      </c>
      <c r="J59" s="7" t="s">
        <v>7906</v>
      </c>
      <c r="K59" s="7" t="s">
        <v>7797</v>
      </c>
      <c r="L59" s="7">
        <v>10052450049</v>
      </c>
      <c r="M59" s="7"/>
      <c r="N59" s="48"/>
      <c r="O59" s="232" t="s">
        <v>9</v>
      </c>
      <c r="P59" s="232" t="s">
        <v>9</v>
      </c>
      <c r="Q59" s="232" t="s">
        <v>9</v>
      </c>
      <c r="R59" s="232" t="s">
        <v>9</v>
      </c>
      <c r="S59" s="232" t="s">
        <v>9</v>
      </c>
      <c r="T59" s="232" t="s">
        <v>9</v>
      </c>
      <c r="U59" s="232" t="s">
        <v>9</v>
      </c>
      <c r="V59" s="232" t="s">
        <v>9</v>
      </c>
      <c r="W59" s="232" t="s">
        <v>9</v>
      </c>
      <c r="X59" s="232" t="s">
        <v>9</v>
      </c>
      <c r="Y59" s="232" t="s">
        <v>9</v>
      </c>
      <c r="Z59" s="232" t="s">
        <v>9</v>
      </c>
      <c r="AA59" s="232" t="s">
        <v>9</v>
      </c>
      <c r="AB59" s="232" t="s">
        <v>9</v>
      </c>
      <c r="AC59" s="232" t="s">
        <v>9</v>
      </c>
      <c r="AD59" s="232" t="s">
        <v>9</v>
      </c>
      <c r="AE59" s="24">
        <f t="shared" si="3"/>
        <v>15</v>
      </c>
      <c r="AF59" s="24">
        <f t="shared" si="4"/>
        <v>0</v>
      </c>
      <c r="AG59" s="24">
        <f t="shared" si="5"/>
        <v>0</v>
      </c>
      <c r="AH59" s="41" t="str" cm="1">
        <f t="array" ref="AH59">_xlfn.IFS(
$AE59=15,"Not Started",
$AG59&lt;15,"In Progress",
$AG59=15,"Completed",
SUM(AE59:AG59)&gt;15,"Error"
)</f>
        <v>Not Started</v>
      </c>
    </row>
    <row r="60" spans="1:34" ht="15.5" x14ac:dyDescent="0.25">
      <c r="A60" s="248"/>
      <c r="B60" s="100">
        <v>57</v>
      </c>
      <c r="C60" s="14" t="s">
        <v>1715</v>
      </c>
      <c r="D60" s="53" t="s">
        <v>7552</v>
      </c>
      <c r="E60" s="57" t="s">
        <v>7655</v>
      </c>
      <c r="F60" s="7" t="s">
        <v>47</v>
      </c>
      <c r="G60" s="7" t="s">
        <v>44</v>
      </c>
      <c r="H60" s="7" t="s">
        <v>6206</v>
      </c>
      <c r="I60" s="7" t="s">
        <v>6206</v>
      </c>
      <c r="J60" s="7" t="s">
        <v>7907</v>
      </c>
      <c r="K60" s="7" t="s">
        <v>7798</v>
      </c>
      <c r="L60" s="7">
        <v>10052527645</v>
      </c>
      <c r="M60" s="7"/>
      <c r="N60" s="48"/>
      <c r="O60" s="232" t="s">
        <v>9</v>
      </c>
      <c r="P60" s="232" t="s">
        <v>9</v>
      </c>
      <c r="Q60" s="232" t="s">
        <v>9</v>
      </c>
      <c r="R60" s="232" t="s">
        <v>9</v>
      </c>
      <c r="S60" s="232" t="s">
        <v>9</v>
      </c>
      <c r="T60" s="232" t="s">
        <v>9</v>
      </c>
      <c r="U60" s="232" t="s">
        <v>9</v>
      </c>
      <c r="V60" s="232" t="s">
        <v>9</v>
      </c>
      <c r="W60" s="232" t="s">
        <v>9</v>
      </c>
      <c r="X60" s="232" t="s">
        <v>9</v>
      </c>
      <c r="Y60" s="232" t="s">
        <v>9</v>
      </c>
      <c r="Z60" s="232" t="s">
        <v>9</v>
      </c>
      <c r="AA60" s="232" t="s">
        <v>9</v>
      </c>
      <c r="AB60" s="232" t="s">
        <v>9</v>
      </c>
      <c r="AC60" s="232" t="s">
        <v>9</v>
      </c>
      <c r="AD60" s="232" t="s">
        <v>9</v>
      </c>
      <c r="AE60" s="24">
        <f t="shared" si="3"/>
        <v>15</v>
      </c>
      <c r="AF60" s="24">
        <f t="shared" si="4"/>
        <v>0</v>
      </c>
      <c r="AG60" s="24">
        <f t="shared" si="5"/>
        <v>0</v>
      </c>
      <c r="AH60" s="41" t="str" cm="1">
        <f t="array" ref="AH60">_xlfn.IFS(
$AE60=15,"Not Started",
$AG60&lt;15,"In Progress",
$AG60=15,"Completed",
SUM(AE60:AG60)&gt;15,"Error"
)</f>
        <v>Not Started</v>
      </c>
    </row>
    <row r="61" spans="1:34" ht="15.5" x14ac:dyDescent="0.25">
      <c r="A61" s="248"/>
      <c r="B61" s="100">
        <v>58</v>
      </c>
      <c r="C61" s="7" t="s">
        <v>1716</v>
      </c>
      <c r="D61" s="53" t="s">
        <v>7553</v>
      </c>
      <c r="E61" s="57" t="s">
        <v>7656</v>
      </c>
      <c r="F61" s="7" t="s">
        <v>9671</v>
      </c>
      <c r="G61" s="7" t="s">
        <v>48</v>
      </c>
      <c r="H61" s="7" t="s">
        <v>6206</v>
      </c>
      <c r="I61" s="7" t="s">
        <v>6206</v>
      </c>
      <c r="J61" s="7" t="s">
        <v>7908</v>
      </c>
      <c r="K61" s="7" t="s">
        <v>7799</v>
      </c>
      <c r="L61" s="7">
        <v>10052697851</v>
      </c>
      <c r="M61" s="7"/>
      <c r="N61" s="48"/>
      <c r="O61" s="232" t="s">
        <v>9</v>
      </c>
      <c r="P61" s="232" t="s">
        <v>9</v>
      </c>
      <c r="Q61" s="232" t="s">
        <v>9</v>
      </c>
      <c r="R61" s="232" t="s">
        <v>9</v>
      </c>
      <c r="S61" s="232" t="s">
        <v>9</v>
      </c>
      <c r="T61" s="232" t="s">
        <v>9</v>
      </c>
      <c r="U61" s="232" t="s">
        <v>9</v>
      </c>
      <c r="V61" s="232" t="s">
        <v>9</v>
      </c>
      <c r="W61" s="232" t="s">
        <v>9</v>
      </c>
      <c r="X61" s="232" t="s">
        <v>9</v>
      </c>
      <c r="Y61" s="232" t="s">
        <v>9</v>
      </c>
      <c r="Z61" s="232" t="s">
        <v>9</v>
      </c>
      <c r="AA61" s="232" t="s">
        <v>9</v>
      </c>
      <c r="AB61" s="232" t="s">
        <v>9</v>
      </c>
      <c r="AC61" s="232" t="s">
        <v>9</v>
      </c>
      <c r="AD61" s="232" t="s">
        <v>9</v>
      </c>
      <c r="AE61" s="24">
        <f t="shared" si="3"/>
        <v>15</v>
      </c>
      <c r="AF61" s="24">
        <f t="shared" si="4"/>
        <v>0</v>
      </c>
      <c r="AG61" s="24">
        <f t="shared" si="5"/>
        <v>0</v>
      </c>
      <c r="AH61" s="41" t="str" cm="1">
        <f t="array" ref="AH61">_xlfn.IFS(
$AE61=15,"Not Started",
$AG61&lt;15,"In Progress",
$AG61=15,"Completed",
SUM(AE61:AG61)&gt;15,"Error"
)</f>
        <v>Not Started</v>
      </c>
    </row>
    <row r="62" spans="1:34" ht="15.5" x14ac:dyDescent="0.25">
      <c r="A62" s="248"/>
      <c r="B62" s="100">
        <v>59</v>
      </c>
      <c r="C62" s="14" t="s">
        <v>1717</v>
      </c>
      <c r="D62" s="53" t="s">
        <v>7554</v>
      </c>
      <c r="E62" s="57" t="s">
        <v>7657</v>
      </c>
      <c r="F62" s="7" t="s">
        <v>43</v>
      </c>
      <c r="G62" s="7" t="s">
        <v>48</v>
      </c>
      <c r="H62" s="7" t="s">
        <v>6206</v>
      </c>
      <c r="I62" s="7" t="s">
        <v>6206</v>
      </c>
      <c r="J62" s="7" t="s">
        <v>7909</v>
      </c>
      <c r="K62" s="7" t="s">
        <v>7800</v>
      </c>
      <c r="L62" s="7">
        <v>10052931631</v>
      </c>
      <c r="M62" s="7"/>
      <c r="N62" s="48"/>
      <c r="O62" s="232" t="s">
        <v>9</v>
      </c>
      <c r="P62" s="232" t="s">
        <v>9</v>
      </c>
      <c r="Q62" s="232" t="s">
        <v>9</v>
      </c>
      <c r="R62" s="232" t="s">
        <v>9</v>
      </c>
      <c r="S62" s="232" t="s">
        <v>9</v>
      </c>
      <c r="T62" s="232" t="s">
        <v>9</v>
      </c>
      <c r="U62" s="232" t="s">
        <v>9</v>
      </c>
      <c r="V62" s="232" t="s">
        <v>9</v>
      </c>
      <c r="W62" s="232" t="s">
        <v>9</v>
      </c>
      <c r="X62" s="232" t="s">
        <v>9</v>
      </c>
      <c r="Y62" s="232" t="s">
        <v>9</v>
      </c>
      <c r="Z62" s="232" t="s">
        <v>9</v>
      </c>
      <c r="AA62" s="232" t="s">
        <v>9</v>
      </c>
      <c r="AB62" s="232" t="s">
        <v>9</v>
      </c>
      <c r="AC62" s="232" t="s">
        <v>9</v>
      </c>
      <c r="AD62" s="232" t="s">
        <v>9</v>
      </c>
      <c r="AE62" s="24">
        <f t="shared" si="3"/>
        <v>15</v>
      </c>
      <c r="AF62" s="24">
        <f t="shared" si="4"/>
        <v>0</v>
      </c>
      <c r="AG62" s="24">
        <f t="shared" si="5"/>
        <v>0</v>
      </c>
      <c r="AH62" s="41" t="str" cm="1">
        <f t="array" ref="AH62">_xlfn.IFS(
$AE62=15,"Not Started",
$AG62&lt;15,"In Progress",
$AG62=15,"Completed",
SUM(AE62:AG62)&gt;15,"Error"
)</f>
        <v>Not Started</v>
      </c>
    </row>
    <row r="63" spans="1:34" ht="15.5" x14ac:dyDescent="0.25">
      <c r="A63" s="248"/>
      <c r="B63" s="100">
        <v>60</v>
      </c>
      <c r="C63" s="7" t="s">
        <v>1718</v>
      </c>
      <c r="D63" s="53" t="s">
        <v>7555</v>
      </c>
      <c r="E63" s="57" t="s">
        <v>7658</v>
      </c>
      <c r="F63" s="7" t="s">
        <v>9671</v>
      </c>
      <c r="G63" s="7" t="s">
        <v>48</v>
      </c>
      <c r="H63" s="7" t="s">
        <v>6206</v>
      </c>
      <c r="I63" s="7" t="s">
        <v>6206</v>
      </c>
      <c r="J63" s="7" t="s">
        <v>7910</v>
      </c>
      <c r="K63" s="7" t="s">
        <v>7801</v>
      </c>
      <c r="L63" s="7">
        <v>10052894312</v>
      </c>
      <c r="M63" s="7"/>
      <c r="N63" s="48"/>
      <c r="O63" s="232" t="s">
        <v>9</v>
      </c>
      <c r="P63" s="232" t="s">
        <v>9</v>
      </c>
      <c r="Q63" s="232" t="s">
        <v>9</v>
      </c>
      <c r="R63" s="232" t="s">
        <v>9</v>
      </c>
      <c r="S63" s="232" t="s">
        <v>9</v>
      </c>
      <c r="T63" s="232" t="s">
        <v>9</v>
      </c>
      <c r="U63" s="232" t="s">
        <v>9</v>
      </c>
      <c r="V63" s="232" t="s">
        <v>9</v>
      </c>
      <c r="W63" s="232" t="s">
        <v>9</v>
      </c>
      <c r="X63" s="232" t="s">
        <v>9</v>
      </c>
      <c r="Y63" s="232" t="s">
        <v>9</v>
      </c>
      <c r="Z63" s="232" t="s">
        <v>9</v>
      </c>
      <c r="AA63" s="232" t="s">
        <v>9</v>
      </c>
      <c r="AB63" s="232" t="s">
        <v>9</v>
      </c>
      <c r="AC63" s="232" t="s">
        <v>9</v>
      </c>
      <c r="AD63" s="232" t="s">
        <v>9</v>
      </c>
      <c r="AE63" s="24">
        <f t="shared" si="3"/>
        <v>15</v>
      </c>
      <c r="AF63" s="24">
        <f t="shared" si="4"/>
        <v>0</v>
      </c>
      <c r="AG63" s="24">
        <f t="shared" si="5"/>
        <v>0</v>
      </c>
      <c r="AH63" s="41" t="str" cm="1">
        <f t="array" ref="AH63">_xlfn.IFS(
$AE63=15,"Not Started",
$AG63&lt;15,"In Progress",
$AG63=15,"Completed",
SUM(AE63:AG63)&gt;15,"Error"
)</f>
        <v>Not Started</v>
      </c>
    </row>
    <row r="64" spans="1:34" ht="15.5" x14ac:dyDescent="0.25">
      <c r="A64" s="248"/>
      <c r="B64" s="100">
        <v>61</v>
      </c>
      <c r="C64" s="14" t="s">
        <v>1719</v>
      </c>
      <c r="D64" s="53" t="s">
        <v>7556</v>
      </c>
      <c r="E64" s="57" t="s">
        <v>7659</v>
      </c>
      <c r="F64" s="7" t="s">
        <v>43</v>
      </c>
      <c r="G64" s="7" t="s">
        <v>48</v>
      </c>
      <c r="H64" s="7" t="s">
        <v>6206</v>
      </c>
      <c r="I64" s="7" t="s">
        <v>6206</v>
      </c>
      <c r="J64" s="7" t="s">
        <v>7911</v>
      </c>
      <c r="K64" s="7" t="s">
        <v>7802</v>
      </c>
      <c r="L64" s="7">
        <v>10052487998</v>
      </c>
      <c r="M64" s="7"/>
      <c r="N64" s="48"/>
      <c r="O64" s="232" t="s">
        <v>9</v>
      </c>
      <c r="P64" s="232" t="s">
        <v>9</v>
      </c>
      <c r="Q64" s="232" t="s">
        <v>9</v>
      </c>
      <c r="R64" s="232" t="s">
        <v>9</v>
      </c>
      <c r="S64" s="232" t="s">
        <v>9</v>
      </c>
      <c r="T64" s="232" t="s">
        <v>9</v>
      </c>
      <c r="U64" s="232" t="s">
        <v>9</v>
      </c>
      <c r="V64" s="232" t="s">
        <v>9</v>
      </c>
      <c r="W64" s="232" t="s">
        <v>9</v>
      </c>
      <c r="X64" s="232" t="s">
        <v>9</v>
      </c>
      <c r="Y64" s="232" t="s">
        <v>9</v>
      </c>
      <c r="Z64" s="232" t="s">
        <v>9</v>
      </c>
      <c r="AA64" s="232" t="s">
        <v>9</v>
      </c>
      <c r="AB64" s="232" t="s">
        <v>9</v>
      </c>
      <c r="AC64" s="232" t="s">
        <v>9</v>
      </c>
      <c r="AD64" s="232" t="s">
        <v>9</v>
      </c>
      <c r="AE64" s="24">
        <f t="shared" si="3"/>
        <v>15</v>
      </c>
      <c r="AF64" s="24">
        <f t="shared" si="4"/>
        <v>0</v>
      </c>
      <c r="AG64" s="24">
        <f t="shared" si="5"/>
        <v>0</v>
      </c>
      <c r="AH64" s="41" t="str" cm="1">
        <f t="array" ref="AH64">_xlfn.IFS(
$AE64=15,"Not Started",
$AG64&lt;15,"In Progress",
$AG64=15,"Completed",
SUM(AE64:AG64)&gt;15,"Error"
)</f>
        <v>Not Started</v>
      </c>
    </row>
    <row r="65" spans="1:34" ht="15.5" x14ac:dyDescent="0.25">
      <c r="A65" s="248"/>
      <c r="B65" s="100">
        <v>62</v>
      </c>
      <c r="C65" s="7" t="s">
        <v>1720</v>
      </c>
      <c r="D65" s="53" t="s">
        <v>7557</v>
      </c>
      <c r="E65" s="57" t="s">
        <v>7660</v>
      </c>
      <c r="F65" s="7" t="s">
        <v>9671</v>
      </c>
      <c r="G65" s="7" t="s">
        <v>48</v>
      </c>
      <c r="H65" s="7" t="s">
        <v>6206</v>
      </c>
      <c r="I65" s="7" t="s">
        <v>6206</v>
      </c>
      <c r="J65" s="7" t="s">
        <v>7912</v>
      </c>
      <c r="K65" s="7" t="s">
        <v>7803</v>
      </c>
      <c r="L65" s="7">
        <v>10053048348</v>
      </c>
      <c r="M65" s="7"/>
      <c r="N65" s="48"/>
      <c r="O65" s="232" t="s">
        <v>9</v>
      </c>
      <c r="P65" s="232" t="s">
        <v>9</v>
      </c>
      <c r="Q65" s="232" t="s">
        <v>9</v>
      </c>
      <c r="R65" s="232" t="s">
        <v>9</v>
      </c>
      <c r="S65" s="232" t="s">
        <v>9</v>
      </c>
      <c r="T65" s="232" t="s">
        <v>9</v>
      </c>
      <c r="U65" s="232" t="s">
        <v>9</v>
      </c>
      <c r="V65" s="232" t="s">
        <v>9</v>
      </c>
      <c r="W65" s="232" t="s">
        <v>9</v>
      </c>
      <c r="X65" s="232" t="s">
        <v>9</v>
      </c>
      <c r="Y65" s="232" t="s">
        <v>9</v>
      </c>
      <c r="Z65" s="232" t="s">
        <v>9</v>
      </c>
      <c r="AA65" s="232" t="s">
        <v>9</v>
      </c>
      <c r="AB65" s="232" t="s">
        <v>9</v>
      </c>
      <c r="AC65" s="232" t="s">
        <v>9</v>
      </c>
      <c r="AD65" s="232" t="s">
        <v>9</v>
      </c>
      <c r="AE65" s="24">
        <f t="shared" si="3"/>
        <v>15</v>
      </c>
      <c r="AF65" s="24">
        <f t="shared" si="4"/>
        <v>0</v>
      </c>
      <c r="AG65" s="24">
        <f t="shared" si="5"/>
        <v>0</v>
      </c>
      <c r="AH65" s="41" t="str" cm="1">
        <f t="array" ref="AH65">_xlfn.IFS(
$AE65=15,"Not Started",
$AG65&lt;15,"In Progress",
$AG65=15,"Completed",
SUM(AE65:AG65)&gt;15,"Error"
)</f>
        <v>Not Started</v>
      </c>
    </row>
    <row r="66" spans="1:34" ht="15.5" x14ac:dyDescent="0.25">
      <c r="A66" s="248"/>
      <c r="B66" s="100">
        <v>63</v>
      </c>
      <c r="C66" s="14" t="s">
        <v>1721</v>
      </c>
      <c r="D66" s="53" t="s">
        <v>7558</v>
      </c>
      <c r="E66" s="57" t="s">
        <v>7661</v>
      </c>
      <c r="F66" s="7" t="s">
        <v>9672</v>
      </c>
      <c r="G66" s="7" t="s">
        <v>48</v>
      </c>
      <c r="H66" s="7" t="s">
        <v>6206</v>
      </c>
      <c r="I66" s="7" t="s">
        <v>6206</v>
      </c>
      <c r="J66" s="7" t="s">
        <v>7913</v>
      </c>
      <c r="K66" s="7" t="s">
        <v>7804</v>
      </c>
      <c r="L66" s="7">
        <v>10084661061</v>
      </c>
      <c r="M66" s="7"/>
      <c r="N66" s="48"/>
      <c r="O66" s="232" t="s">
        <v>9</v>
      </c>
      <c r="P66" s="232" t="s">
        <v>9</v>
      </c>
      <c r="Q66" s="232" t="s">
        <v>9</v>
      </c>
      <c r="R66" s="232" t="s">
        <v>9</v>
      </c>
      <c r="S66" s="232" t="s">
        <v>9</v>
      </c>
      <c r="T66" s="232" t="s">
        <v>9</v>
      </c>
      <c r="U66" s="232" t="s">
        <v>9</v>
      </c>
      <c r="V66" s="232" t="s">
        <v>9</v>
      </c>
      <c r="W66" s="232" t="s">
        <v>9</v>
      </c>
      <c r="X66" s="232" t="s">
        <v>9</v>
      </c>
      <c r="Y66" s="232" t="s">
        <v>9</v>
      </c>
      <c r="Z66" s="232" t="s">
        <v>9</v>
      </c>
      <c r="AA66" s="232" t="s">
        <v>9</v>
      </c>
      <c r="AB66" s="232" t="s">
        <v>9</v>
      </c>
      <c r="AC66" s="232" t="s">
        <v>9</v>
      </c>
      <c r="AD66" s="232" t="s">
        <v>9</v>
      </c>
      <c r="AE66" s="24">
        <f t="shared" si="3"/>
        <v>15</v>
      </c>
      <c r="AF66" s="24">
        <f t="shared" si="4"/>
        <v>0</v>
      </c>
      <c r="AG66" s="24">
        <f t="shared" si="5"/>
        <v>0</v>
      </c>
      <c r="AH66" s="41" t="str" cm="1">
        <f t="array" ref="AH66">_xlfn.IFS(
$AE66=15,"Not Started",
$AG66&lt;15,"In Progress",
$AG66=15,"Completed",
SUM(AE66:AG66)&gt;15,"Error"
)</f>
        <v>Not Started</v>
      </c>
    </row>
    <row r="67" spans="1:34" ht="15.5" x14ac:dyDescent="0.25">
      <c r="A67" s="248"/>
      <c r="B67" s="100">
        <v>64</v>
      </c>
      <c r="C67" s="7" t="s">
        <v>1722</v>
      </c>
      <c r="D67" s="53" t="s">
        <v>7559</v>
      </c>
      <c r="E67" s="57" t="s">
        <v>7662</v>
      </c>
      <c r="F67" s="7" t="s">
        <v>51</v>
      </c>
      <c r="G67" s="7" t="s">
        <v>44</v>
      </c>
      <c r="H67" s="7" t="s">
        <v>6206</v>
      </c>
      <c r="I67" s="7" t="s">
        <v>6206</v>
      </c>
      <c r="J67" s="7" t="s">
        <v>7914</v>
      </c>
      <c r="K67" s="7" t="s">
        <v>7805</v>
      </c>
      <c r="L67" s="7">
        <v>10052527897</v>
      </c>
      <c r="M67" s="7"/>
      <c r="N67" s="48"/>
      <c r="O67" s="232" t="s">
        <v>9</v>
      </c>
      <c r="P67" s="232" t="s">
        <v>9</v>
      </c>
      <c r="Q67" s="232" t="s">
        <v>9</v>
      </c>
      <c r="R67" s="232" t="s">
        <v>9</v>
      </c>
      <c r="S67" s="232" t="s">
        <v>9</v>
      </c>
      <c r="T67" s="232" t="s">
        <v>9</v>
      </c>
      <c r="U67" s="232" t="s">
        <v>9</v>
      </c>
      <c r="V67" s="232" t="s">
        <v>9</v>
      </c>
      <c r="W67" s="232" t="s">
        <v>9</v>
      </c>
      <c r="X67" s="232" t="s">
        <v>9</v>
      </c>
      <c r="Y67" s="232" t="s">
        <v>9</v>
      </c>
      <c r="Z67" s="232" t="s">
        <v>9</v>
      </c>
      <c r="AA67" s="232" t="s">
        <v>9</v>
      </c>
      <c r="AB67" s="232" t="s">
        <v>9</v>
      </c>
      <c r="AC67" s="232" t="s">
        <v>9</v>
      </c>
      <c r="AD67" s="232" t="s">
        <v>9</v>
      </c>
      <c r="AE67" s="24">
        <f t="shared" si="3"/>
        <v>15</v>
      </c>
      <c r="AF67" s="24">
        <f t="shared" si="4"/>
        <v>0</v>
      </c>
      <c r="AG67" s="24">
        <f t="shared" si="5"/>
        <v>0</v>
      </c>
      <c r="AH67" s="41" t="str" cm="1">
        <f t="array" ref="AH67">_xlfn.IFS(
$AE67=15,"Not Started",
$AG67&lt;15,"In Progress",
$AG67=15,"Completed",
SUM(AE67:AG67)&gt;15,"Error"
)</f>
        <v>Not Started</v>
      </c>
    </row>
    <row r="68" spans="1:34" ht="15.5" x14ac:dyDescent="0.25">
      <c r="A68" s="248"/>
      <c r="B68" s="100">
        <v>65</v>
      </c>
      <c r="C68" s="14" t="s">
        <v>1723</v>
      </c>
      <c r="D68" s="53" t="s">
        <v>7560</v>
      </c>
      <c r="E68" s="57" t="s">
        <v>7663</v>
      </c>
      <c r="F68" s="7" t="s">
        <v>43</v>
      </c>
      <c r="G68" s="7" t="s">
        <v>44</v>
      </c>
      <c r="H68" s="7" t="s">
        <v>6206</v>
      </c>
      <c r="I68" s="7" t="s">
        <v>6206</v>
      </c>
      <c r="J68" s="7" t="s">
        <v>7915</v>
      </c>
      <c r="K68" s="7" t="s">
        <v>7806</v>
      </c>
      <c r="L68" s="7">
        <v>10052614849</v>
      </c>
      <c r="M68" s="7"/>
      <c r="N68" s="48"/>
      <c r="O68" s="232" t="s">
        <v>9</v>
      </c>
      <c r="P68" s="232" t="s">
        <v>9</v>
      </c>
      <c r="Q68" s="232" t="s">
        <v>9</v>
      </c>
      <c r="R68" s="232" t="s">
        <v>9</v>
      </c>
      <c r="S68" s="232" t="s">
        <v>9</v>
      </c>
      <c r="T68" s="232" t="s">
        <v>9</v>
      </c>
      <c r="U68" s="232" t="s">
        <v>9</v>
      </c>
      <c r="V68" s="232" t="s">
        <v>9</v>
      </c>
      <c r="W68" s="232" t="s">
        <v>9</v>
      </c>
      <c r="X68" s="232" t="s">
        <v>9</v>
      </c>
      <c r="Y68" s="232" t="s">
        <v>9</v>
      </c>
      <c r="Z68" s="232" t="s">
        <v>9</v>
      </c>
      <c r="AA68" s="232" t="s">
        <v>9</v>
      </c>
      <c r="AB68" s="232" t="s">
        <v>9</v>
      </c>
      <c r="AC68" s="232" t="s">
        <v>9</v>
      </c>
      <c r="AD68" s="232" t="s">
        <v>9</v>
      </c>
      <c r="AE68" s="24">
        <f t="shared" ref="AE68:AE99" si="6">COUNTIF(O68:AC68,$AE$2)</f>
        <v>15</v>
      </c>
      <c r="AF68" s="24">
        <f t="shared" ref="AF68:AF99" si="7">COUNTIF(O68:AC68,$AF$2)</f>
        <v>0</v>
      </c>
      <c r="AG68" s="24">
        <f t="shared" ref="AG68:AG99" si="8">COUNTIF(O68:AC68,$AG$2)</f>
        <v>0</v>
      </c>
      <c r="AH68" s="41" t="str" cm="1">
        <f t="array" ref="AH68">_xlfn.IFS(
$AE68=15,"Not Started",
$AG68&lt;15,"In Progress",
$AG68=15,"Completed",
SUM(AE68:AG68)&gt;15,"Error"
)</f>
        <v>Not Started</v>
      </c>
    </row>
    <row r="69" spans="1:34" ht="15.5" x14ac:dyDescent="0.25">
      <c r="A69" s="248"/>
      <c r="B69" s="100">
        <v>66</v>
      </c>
      <c r="C69" s="7" t="s">
        <v>1724</v>
      </c>
      <c r="D69" s="53" t="s">
        <v>6005</v>
      </c>
      <c r="E69" s="57" t="s">
        <v>7664</v>
      </c>
      <c r="F69" s="7" t="s">
        <v>47</v>
      </c>
      <c r="G69" s="7" t="s">
        <v>44</v>
      </c>
      <c r="H69" s="7" t="s">
        <v>6206</v>
      </c>
      <c r="I69" s="7" t="s">
        <v>6206</v>
      </c>
      <c r="J69" s="7" t="s">
        <v>7916</v>
      </c>
      <c r="K69" s="7" t="s">
        <v>6119</v>
      </c>
      <c r="L69" s="7">
        <v>10052937723</v>
      </c>
      <c r="M69" s="7"/>
      <c r="N69" s="48"/>
      <c r="O69" s="232" t="s">
        <v>9</v>
      </c>
      <c r="P69" s="232" t="s">
        <v>9</v>
      </c>
      <c r="Q69" s="232" t="s">
        <v>9</v>
      </c>
      <c r="R69" s="232" t="s">
        <v>9</v>
      </c>
      <c r="S69" s="232" t="s">
        <v>9</v>
      </c>
      <c r="T69" s="232" t="s">
        <v>9</v>
      </c>
      <c r="U69" s="232" t="s">
        <v>9</v>
      </c>
      <c r="V69" s="232" t="s">
        <v>9</v>
      </c>
      <c r="W69" s="232" t="s">
        <v>9</v>
      </c>
      <c r="X69" s="232" t="s">
        <v>9</v>
      </c>
      <c r="Y69" s="232" t="s">
        <v>9</v>
      </c>
      <c r="Z69" s="232" t="s">
        <v>9</v>
      </c>
      <c r="AA69" s="232" t="s">
        <v>9</v>
      </c>
      <c r="AB69" s="232" t="s">
        <v>9</v>
      </c>
      <c r="AC69" s="232" t="s">
        <v>9</v>
      </c>
      <c r="AD69" s="232" t="s">
        <v>9</v>
      </c>
      <c r="AE69" s="24">
        <f t="shared" si="6"/>
        <v>15</v>
      </c>
      <c r="AF69" s="24">
        <f t="shared" si="7"/>
        <v>0</v>
      </c>
      <c r="AG69" s="24">
        <f t="shared" si="8"/>
        <v>0</v>
      </c>
      <c r="AH69" s="41" t="str" cm="1">
        <f t="array" ref="AH69">_xlfn.IFS(
$AE69=15,"Not Started",
$AG69&lt;15,"In Progress",
$AG69=15,"Completed",
SUM(AE69:AG69)&gt;15,"Error"
)</f>
        <v>Not Started</v>
      </c>
    </row>
    <row r="70" spans="1:34" ht="15.5" x14ac:dyDescent="0.25">
      <c r="A70" s="248"/>
      <c r="B70" s="100">
        <v>67</v>
      </c>
      <c r="C70" s="14" t="s">
        <v>1725</v>
      </c>
      <c r="D70" s="53" t="s">
        <v>6006</v>
      </c>
      <c r="E70" s="57" t="s">
        <v>7665</v>
      </c>
      <c r="F70" s="7" t="s">
        <v>43</v>
      </c>
      <c r="G70" s="7" t="s">
        <v>48</v>
      </c>
      <c r="H70" s="7" t="s">
        <v>6206</v>
      </c>
      <c r="I70" s="7" t="s">
        <v>6206</v>
      </c>
      <c r="J70" s="7" t="s">
        <v>7917</v>
      </c>
      <c r="K70" s="7" t="s">
        <v>6120</v>
      </c>
      <c r="L70" s="7">
        <v>10052858531</v>
      </c>
      <c r="M70" s="7"/>
      <c r="N70" s="48"/>
      <c r="O70" s="232" t="s">
        <v>9</v>
      </c>
      <c r="P70" s="232" t="s">
        <v>9</v>
      </c>
      <c r="Q70" s="232" t="s">
        <v>9</v>
      </c>
      <c r="R70" s="232" t="s">
        <v>9</v>
      </c>
      <c r="S70" s="232" t="s">
        <v>9</v>
      </c>
      <c r="T70" s="232" t="s">
        <v>9</v>
      </c>
      <c r="U70" s="232" t="s">
        <v>9</v>
      </c>
      <c r="V70" s="232" t="s">
        <v>9</v>
      </c>
      <c r="W70" s="232" t="s">
        <v>9</v>
      </c>
      <c r="X70" s="232" t="s">
        <v>9</v>
      </c>
      <c r="Y70" s="232" t="s">
        <v>9</v>
      </c>
      <c r="Z70" s="232" t="s">
        <v>9</v>
      </c>
      <c r="AA70" s="232" t="s">
        <v>9</v>
      </c>
      <c r="AB70" s="232" t="s">
        <v>9</v>
      </c>
      <c r="AC70" s="232" t="s">
        <v>9</v>
      </c>
      <c r="AD70" s="232" t="s">
        <v>9</v>
      </c>
      <c r="AE70" s="24">
        <f t="shared" si="6"/>
        <v>15</v>
      </c>
      <c r="AF70" s="24">
        <f t="shared" si="7"/>
        <v>0</v>
      </c>
      <c r="AG70" s="24">
        <f t="shared" si="8"/>
        <v>0</v>
      </c>
      <c r="AH70" s="41" t="str" cm="1">
        <f t="array" ref="AH70">_xlfn.IFS(
$AE70=15,"Not Started",
$AG70&lt;15,"In Progress",
$AG70=15,"Completed",
SUM(AE70:AG70)&gt;15,"Error"
)</f>
        <v>Not Started</v>
      </c>
    </row>
    <row r="71" spans="1:34" ht="15.5" x14ac:dyDescent="0.25">
      <c r="A71" s="248"/>
      <c r="B71" s="100">
        <v>68</v>
      </c>
      <c r="C71" s="7" t="s">
        <v>1726</v>
      </c>
      <c r="D71" s="53" t="s">
        <v>6007</v>
      </c>
      <c r="E71" s="57" t="s">
        <v>7666</v>
      </c>
      <c r="F71" s="7" t="s">
        <v>43</v>
      </c>
      <c r="G71" s="7" t="s">
        <v>44</v>
      </c>
      <c r="H71" s="7" t="s">
        <v>6206</v>
      </c>
      <c r="I71" s="7" t="s">
        <v>6206</v>
      </c>
      <c r="J71" s="7" t="s">
        <v>7918</v>
      </c>
      <c r="K71" s="7" t="s">
        <v>6121</v>
      </c>
      <c r="L71" s="7">
        <v>10053090735</v>
      </c>
      <c r="M71" s="7"/>
      <c r="N71" s="231">
        <v>46130</v>
      </c>
      <c r="O71" s="232" t="s">
        <v>11</v>
      </c>
      <c r="P71" s="232" t="s">
        <v>11</v>
      </c>
      <c r="Q71" s="232" t="s">
        <v>11</v>
      </c>
      <c r="R71" s="232" t="s">
        <v>11</v>
      </c>
      <c r="S71" s="232" t="s">
        <v>9</v>
      </c>
      <c r="T71" s="232" t="s">
        <v>9</v>
      </c>
      <c r="U71" s="232" t="s">
        <v>9</v>
      </c>
      <c r="V71" s="232" t="s">
        <v>9</v>
      </c>
      <c r="W71" s="232" t="s">
        <v>9</v>
      </c>
      <c r="X71" s="232" t="s">
        <v>9</v>
      </c>
      <c r="Y71" s="232" t="s">
        <v>9</v>
      </c>
      <c r="Z71" s="232" t="s">
        <v>9</v>
      </c>
      <c r="AA71" s="232" t="s">
        <v>9</v>
      </c>
      <c r="AB71" s="232" t="s">
        <v>9</v>
      </c>
      <c r="AC71" s="232" t="s">
        <v>9</v>
      </c>
      <c r="AD71" s="232" t="s">
        <v>9</v>
      </c>
      <c r="AE71" s="24">
        <f t="shared" si="6"/>
        <v>11</v>
      </c>
      <c r="AF71" s="24">
        <f t="shared" si="7"/>
        <v>0</v>
      </c>
      <c r="AG71" s="24">
        <f t="shared" si="8"/>
        <v>4</v>
      </c>
      <c r="AH71" s="41" t="str" cm="1">
        <f t="array" ref="AH71">_xlfn.IFS(
$AE71=15,"Not Started",
$AG71&lt;15,"In Progress",
$AG71=15,"Completed",
SUM(AE71:AG71)&gt;15,"Error"
)</f>
        <v>In Progress</v>
      </c>
    </row>
    <row r="72" spans="1:34" ht="15.5" x14ac:dyDescent="0.25">
      <c r="A72" s="248"/>
      <c r="B72" s="100">
        <v>69</v>
      </c>
      <c r="C72" s="14" t="s">
        <v>1727</v>
      </c>
      <c r="D72" s="53" t="s">
        <v>6008</v>
      </c>
      <c r="E72" s="57" t="s">
        <v>7667</v>
      </c>
      <c r="F72" s="7" t="s">
        <v>47</v>
      </c>
      <c r="G72" s="7" t="s">
        <v>48</v>
      </c>
      <c r="H72" s="7" t="s">
        <v>6206</v>
      </c>
      <c r="I72" s="7" t="s">
        <v>6206</v>
      </c>
      <c r="J72" s="7" t="s">
        <v>7919</v>
      </c>
      <c r="K72" s="7" t="s">
        <v>6122</v>
      </c>
      <c r="L72" s="7">
        <v>10052776829</v>
      </c>
      <c r="M72" s="7"/>
      <c r="N72" s="48"/>
      <c r="O72" s="232" t="s">
        <v>9</v>
      </c>
      <c r="P72" s="232" t="s">
        <v>9</v>
      </c>
      <c r="Q72" s="232" t="s">
        <v>9</v>
      </c>
      <c r="R72" s="232" t="s">
        <v>9</v>
      </c>
      <c r="S72" s="232" t="s">
        <v>9</v>
      </c>
      <c r="T72" s="232" t="s">
        <v>9</v>
      </c>
      <c r="U72" s="232" t="s">
        <v>9</v>
      </c>
      <c r="V72" s="232" t="s">
        <v>9</v>
      </c>
      <c r="W72" s="232" t="s">
        <v>9</v>
      </c>
      <c r="X72" s="232" t="s">
        <v>9</v>
      </c>
      <c r="Y72" s="232" t="s">
        <v>9</v>
      </c>
      <c r="Z72" s="232" t="s">
        <v>9</v>
      </c>
      <c r="AA72" s="232" t="s">
        <v>9</v>
      </c>
      <c r="AB72" s="232" t="s">
        <v>9</v>
      </c>
      <c r="AC72" s="232" t="s">
        <v>9</v>
      </c>
      <c r="AD72" s="232" t="s">
        <v>9</v>
      </c>
      <c r="AE72" s="24">
        <f t="shared" si="6"/>
        <v>15</v>
      </c>
      <c r="AF72" s="24">
        <f t="shared" si="7"/>
        <v>0</v>
      </c>
      <c r="AG72" s="24">
        <f t="shared" si="8"/>
        <v>0</v>
      </c>
      <c r="AH72" s="41" t="str" cm="1">
        <f t="array" ref="AH72">_xlfn.IFS(
$AE72=15,"Not Started",
$AG72&lt;15,"In Progress",
$AG72=15,"Completed",
SUM(AE72:AG72)&gt;15,"Error"
)</f>
        <v>Not Started</v>
      </c>
    </row>
    <row r="73" spans="1:34" ht="15.5" x14ac:dyDescent="0.25">
      <c r="A73" s="248"/>
      <c r="B73" s="100">
        <v>70</v>
      </c>
      <c r="C73" s="7" t="s">
        <v>1728</v>
      </c>
      <c r="D73" s="53" t="s">
        <v>6009</v>
      </c>
      <c r="E73" s="57" t="s">
        <v>7668</v>
      </c>
      <c r="F73" s="7" t="s">
        <v>9672</v>
      </c>
      <c r="G73" s="7" t="s">
        <v>48</v>
      </c>
      <c r="H73" s="7" t="s">
        <v>6206</v>
      </c>
      <c r="I73" s="7" t="s">
        <v>6206</v>
      </c>
      <c r="J73" s="7" t="s">
        <v>7920</v>
      </c>
      <c r="K73" s="7" t="s">
        <v>6123</v>
      </c>
      <c r="L73" s="7">
        <v>10084466998</v>
      </c>
      <c r="M73" s="7"/>
      <c r="N73" s="48"/>
      <c r="O73" s="232" t="s">
        <v>9</v>
      </c>
      <c r="P73" s="232" t="s">
        <v>9</v>
      </c>
      <c r="Q73" s="232" t="s">
        <v>9</v>
      </c>
      <c r="R73" s="232" t="s">
        <v>9</v>
      </c>
      <c r="S73" s="232" t="s">
        <v>9</v>
      </c>
      <c r="T73" s="232" t="s">
        <v>9</v>
      </c>
      <c r="U73" s="232" t="s">
        <v>9</v>
      </c>
      <c r="V73" s="232" t="s">
        <v>9</v>
      </c>
      <c r="W73" s="232" t="s">
        <v>9</v>
      </c>
      <c r="X73" s="232" t="s">
        <v>9</v>
      </c>
      <c r="Y73" s="232" t="s">
        <v>9</v>
      </c>
      <c r="Z73" s="232" t="s">
        <v>9</v>
      </c>
      <c r="AA73" s="232" t="s">
        <v>9</v>
      </c>
      <c r="AB73" s="232" t="s">
        <v>9</v>
      </c>
      <c r="AC73" s="232" t="s">
        <v>9</v>
      </c>
      <c r="AD73" s="232" t="s">
        <v>9</v>
      </c>
      <c r="AE73" s="24">
        <f t="shared" si="6"/>
        <v>15</v>
      </c>
      <c r="AF73" s="24">
        <f t="shared" si="7"/>
        <v>0</v>
      </c>
      <c r="AG73" s="24">
        <f t="shared" si="8"/>
        <v>0</v>
      </c>
      <c r="AH73" s="41" t="str" cm="1">
        <f t="array" ref="AH73">_xlfn.IFS(
$AE73=15,"Not Started",
$AG73&lt;15,"In Progress",
$AG73=15,"Completed",
SUM(AE73:AG73)&gt;15,"Error"
)</f>
        <v>Not Started</v>
      </c>
    </row>
    <row r="74" spans="1:34" ht="15.5" x14ac:dyDescent="0.25">
      <c r="A74" s="248"/>
      <c r="B74" s="100">
        <v>71</v>
      </c>
      <c r="C74" s="14" t="s">
        <v>1729</v>
      </c>
      <c r="D74" s="53" t="s">
        <v>5304</v>
      </c>
      <c r="E74" s="57" t="s">
        <v>7669</v>
      </c>
      <c r="F74" s="7" t="s">
        <v>9672</v>
      </c>
      <c r="G74" s="7" t="s">
        <v>48</v>
      </c>
      <c r="H74" s="7" t="s">
        <v>6206</v>
      </c>
      <c r="I74" s="7" t="s">
        <v>6206</v>
      </c>
      <c r="J74" s="7" t="s">
        <v>7921</v>
      </c>
      <c r="K74" s="7" t="s">
        <v>7807</v>
      </c>
      <c r="L74" s="7">
        <v>10085615921</v>
      </c>
      <c r="M74" s="7"/>
      <c r="N74" s="48"/>
      <c r="O74" s="232" t="s">
        <v>9</v>
      </c>
      <c r="P74" s="232" t="s">
        <v>9</v>
      </c>
      <c r="Q74" s="232" t="s">
        <v>9</v>
      </c>
      <c r="R74" s="232" t="s">
        <v>9</v>
      </c>
      <c r="S74" s="232" t="s">
        <v>9</v>
      </c>
      <c r="T74" s="232" t="s">
        <v>9</v>
      </c>
      <c r="U74" s="232" t="s">
        <v>9</v>
      </c>
      <c r="V74" s="232" t="s">
        <v>9</v>
      </c>
      <c r="W74" s="232" t="s">
        <v>9</v>
      </c>
      <c r="X74" s="232" t="s">
        <v>9</v>
      </c>
      <c r="Y74" s="232" t="s">
        <v>9</v>
      </c>
      <c r="Z74" s="232" t="s">
        <v>9</v>
      </c>
      <c r="AA74" s="232" t="s">
        <v>9</v>
      </c>
      <c r="AB74" s="232" t="s">
        <v>9</v>
      </c>
      <c r="AC74" s="232" t="s">
        <v>9</v>
      </c>
      <c r="AD74" s="232" t="s">
        <v>9</v>
      </c>
      <c r="AE74" s="24">
        <f t="shared" si="6"/>
        <v>15</v>
      </c>
      <c r="AF74" s="24">
        <f t="shared" si="7"/>
        <v>0</v>
      </c>
      <c r="AG74" s="24">
        <f t="shared" si="8"/>
        <v>0</v>
      </c>
      <c r="AH74" s="41" t="str" cm="1">
        <f t="array" ref="AH74">_xlfn.IFS(
$AE74=15,"Not Started",
$AG74&lt;15,"In Progress",
$AG74=15,"Completed",
SUM(AE74:AG74)&gt;15,"Error"
)</f>
        <v>Not Started</v>
      </c>
    </row>
    <row r="75" spans="1:34" ht="15.5" x14ac:dyDescent="0.25">
      <c r="A75" s="248"/>
      <c r="B75" s="100">
        <v>72</v>
      </c>
      <c r="C75" s="7" t="s">
        <v>1730</v>
      </c>
      <c r="D75" s="53" t="s">
        <v>6010</v>
      </c>
      <c r="E75" s="57" t="s">
        <v>7670</v>
      </c>
      <c r="F75" s="7" t="s">
        <v>43</v>
      </c>
      <c r="G75" s="7" t="s">
        <v>44</v>
      </c>
      <c r="H75" s="7" t="s">
        <v>6206</v>
      </c>
      <c r="I75" s="7" t="s">
        <v>6206</v>
      </c>
      <c r="J75" s="7" t="s">
        <v>7922</v>
      </c>
      <c r="K75" s="7" t="s">
        <v>6124</v>
      </c>
      <c r="L75" s="7">
        <v>10052971421</v>
      </c>
      <c r="M75" s="7"/>
      <c r="N75" s="231">
        <v>46148</v>
      </c>
      <c r="O75" s="232" t="s">
        <v>11</v>
      </c>
      <c r="P75" s="232" t="s">
        <v>11</v>
      </c>
      <c r="Q75" s="232" t="s">
        <v>11</v>
      </c>
      <c r="R75" s="232" t="s">
        <v>11</v>
      </c>
      <c r="S75" s="232" t="s">
        <v>9</v>
      </c>
      <c r="T75" s="232" t="s">
        <v>9</v>
      </c>
      <c r="U75" s="232" t="s">
        <v>9</v>
      </c>
      <c r="V75" s="232" t="s">
        <v>9</v>
      </c>
      <c r="W75" s="232" t="s">
        <v>9</v>
      </c>
      <c r="X75" s="232" t="s">
        <v>9</v>
      </c>
      <c r="Y75" s="232" t="s">
        <v>9</v>
      </c>
      <c r="Z75" s="232" t="s">
        <v>9</v>
      </c>
      <c r="AA75" s="232" t="s">
        <v>9</v>
      </c>
      <c r="AB75" s="232" t="s">
        <v>9</v>
      </c>
      <c r="AC75" s="232" t="s">
        <v>9</v>
      </c>
      <c r="AD75" s="232" t="s">
        <v>9</v>
      </c>
      <c r="AE75" s="24">
        <f t="shared" si="6"/>
        <v>11</v>
      </c>
      <c r="AF75" s="24">
        <f t="shared" si="7"/>
        <v>0</v>
      </c>
      <c r="AG75" s="24">
        <f t="shared" si="8"/>
        <v>4</v>
      </c>
      <c r="AH75" s="41" t="str" cm="1">
        <f t="array" ref="AH75">_xlfn.IFS(
$AE75=15,"Not Started",
$AG75&lt;15,"In Progress",
$AG75=15,"Completed",
SUM(AE75:AG75)&gt;15,"Error"
)</f>
        <v>In Progress</v>
      </c>
    </row>
    <row r="76" spans="1:34" ht="15.5" x14ac:dyDescent="0.25">
      <c r="A76" s="248"/>
      <c r="B76" s="100">
        <v>73</v>
      </c>
      <c r="C76" s="14" t="s">
        <v>1731</v>
      </c>
      <c r="D76" s="53" t="s">
        <v>7561</v>
      </c>
      <c r="E76" s="57" t="s">
        <v>7671</v>
      </c>
      <c r="F76" s="7" t="s">
        <v>51</v>
      </c>
      <c r="G76" s="7" t="s">
        <v>44</v>
      </c>
      <c r="H76" s="7" t="s">
        <v>6206</v>
      </c>
      <c r="I76" s="7" t="s">
        <v>6206</v>
      </c>
      <c r="J76" s="7" t="s">
        <v>7923</v>
      </c>
      <c r="K76" s="7" t="s">
        <v>7808</v>
      </c>
      <c r="L76" s="7">
        <v>30130650039</v>
      </c>
      <c r="M76" s="7"/>
      <c r="N76" s="231">
        <v>46117</v>
      </c>
      <c r="O76" s="232" t="s">
        <v>11</v>
      </c>
      <c r="P76" s="232" t="s">
        <v>11</v>
      </c>
      <c r="Q76" s="232" t="s">
        <v>11</v>
      </c>
      <c r="R76" s="232" t="s">
        <v>11</v>
      </c>
      <c r="S76" s="232" t="s">
        <v>9</v>
      </c>
      <c r="T76" s="232" t="s">
        <v>9</v>
      </c>
      <c r="U76" s="232" t="s">
        <v>9</v>
      </c>
      <c r="V76" s="232" t="s">
        <v>9</v>
      </c>
      <c r="W76" s="232" t="s">
        <v>9</v>
      </c>
      <c r="X76" s="232" t="s">
        <v>9</v>
      </c>
      <c r="Y76" s="232" t="s">
        <v>9</v>
      </c>
      <c r="Z76" s="232" t="s">
        <v>9</v>
      </c>
      <c r="AA76" s="232" t="s">
        <v>9</v>
      </c>
      <c r="AB76" s="232" t="s">
        <v>9</v>
      </c>
      <c r="AC76" s="232" t="s">
        <v>9</v>
      </c>
      <c r="AD76" s="232" t="s">
        <v>9</v>
      </c>
      <c r="AE76" s="24">
        <f t="shared" si="6"/>
        <v>11</v>
      </c>
      <c r="AF76" s="24">
        <f t="shared" si="7"/>
        <v>0</v>
      </c>
      <c r="AG76" s="24">
        <f t="shared" si="8"/>
        <v>4</v>
      </c>
      <c r="AH76" s="41" t="str" cm="1">
        <f t="array" ref="AH76">_xlfn.IFS(
$AE76=15,"Not Started",
$AG76&lt;15,"In Progress",
$AG76=15,"Completed",
SUM(AE76:AG76)&gt;15,"Error"
)</f>
        <v>In Progress</v>
      </c>
    </row>
    <row r="77" spans="1:34" ht="15.5" x14ac:dyDescent="0.25">
      <c r="A77" s="248"/>
      <c r="B77" s="100">
        <v>74</v>
      </c>
      <c r="C77" s="7" t="s">
        <v>1732</v>
      </c>
      <c r="D77" s="53" t="s">
        <v>6011</v>
      </c>
      <c r="E77" s="57" t="s">
        <v>7672</v>
      </c>
      <c r="F77" s="7" t="s">
        <v>43</v>
      </c>
      <c r="G77" s="7" t="s">
        <v>48</v>
      </c>
      <c r="H77" s="7" t="s">
        <v>6206</v>
      </c>
      <c r="I77" s="7" t="s">
        <v>6206</v>
      </c>
      <c r="J77" s="7" t="s">
        <v>7924</v>
      </c>
      <c r="K77" s="7" t="s">
        <v>6125</v>
      </c>
      <c r="L77" s="7">
        <v>10052780189</v>
      </c>
      <c r="M77" s="7"/>
      <c r="N77" s="48" t="s">
        <v>11480</v>
      </c>
      <c r="O77" s="232" t="s">
        <v>11</v>
      </c>
      <c r="P77" s="232" t="s">
        <v>11</v>
      </c>
      <c r="Q77" s="232" t="s">
        <v>11</v>
      </c>
      <c r="R77" s="232" t="s">
        <v>11</v>
      </c>
      <c r="S77" s="232" t="s">
        <v>9</v>
      </c>
      <c r="T77" s="232" t="s">
        <v>9</v>
      </c>
      <c r="U77" s="232" t="s">
        <v>9</v>
      </c>
      <c r="V77" s="232" t="s">
        <v>9</v>
      </c>
      <c r="W77" s="232" t="s">
        <v>9</v>
      </c>
      <c r="X77" s="232" t="s">
        <v>9</v>
      </c>
      <c r="Y77" s="232" t="s">
        <v>9</v>
      </c>
      <c r="Z77" s="232" t="s">
        <v>9</v>
      </c>
      <c r="AA77" s="232" t="s">
        <v>9</v>
      </c>
      <c r="AB77" s="232" t="s">
        <v>9</v>
      </c>
      <c r="AC77" s="232" t="s">
        <v>9</v>
      </c>
      <c r="AD77" s="232" t="s">
        <v>9</v>
      </c>
      <c r="AE77" s="24">
        <f t="shared" si="6"/>
        <v>11</v>
      </c>
      <c r="AF77" s="24">
        <f t="shared" si="7"/>
        <v>0</v>
      </c>
      <c r="AG77" s="24">
        <f t="shared" si="8"/>
        <v>4</v>
      </c>
      <c r="AH77" s="41" t="str" cm="1">
        <f t="array" ref="AH77">_xlfn.IFS(
$AE77=15,"Not Started",
$AG77&lt;15,"In Progress",
$AG77=15,"Completed",
SUM(AE77:AG77)&gt;15,"Error"
)</f>
        <v>In Progress</v>
      </c>
    </row>
    <row r="78" spans="1:34" ht="26" x14ac:dyDescent="0.25">
      <c r="A78" s="248"/>
      <c r="B78" s="100">
        <v>75</v>
      </c>
      <c r="C78" s="14" t="s">
        <v>1733</v>
      </c>
      <c r="D78" s="79" t="s">
        <v>10254</v>
      </c>
      <c r="E78" s="57" t="s">
        <v>7673</v>
      </c>
      <c r="F78" s="7" t="s">
        <v>9671</v>
      </c>
      <c r="G78" s="7" t="s">
        <v>48</v>
      </c>
      <c r="H78" s="7" t="s">
        <v>6206</v>
      </c>
      <c r="I78" s="7" t="s">
        <v>6206</v>
      </c>
      <c r="J78" s="7" t="s">
        <v>7925</v>
      </c>
      <c r="K78" s="7" t="s">
        <v>6126</v>
      </c>
      <c r="L78" s="7">
        <v>10052932629</v>
      </c>
      <c r="M78" s="7"/>
      <c r="N78" s="231">
        <v>46120</v>
      </c>
      <c r="O78" s="232" t="s">
        <v>11</v>
      </c>
      <c r="P78" s="232" t="s">
        <v>11</v>
      </c>
      <c r="Q78" s="232" t="s">
        <v>11</v>
      </c>
      <c r="R78" s="232" t="s">
        <v>11</v>
      </c>
      <c r="S78" s="232" t="s">
        <v>9</v>
      </c>
      <c r="T78" s="232" t="s">
        <v>9</v>
      </c>
      <c r="U78" s="232" t="s">
        <v>9</v>
      </c>
      <c r="V78" s="232" t="s">
        <v>9</v>
      </c>
      <c r="W78" s="232" t="s">
        <v>9</v>
      </c>
      <c r="X78" s="232" t="s">
        <v>9</v>
      </c>
      <c r="Y78" s="232" t="s">
        <v>9</v>
      </c>
      <c r="Z78" s="232" t="s">
        <v>9</v>
      </c>
      <c r="AA78" s="232" t="s">
        <v>9</v>
      </c>
      <c r="AB78" s="232" t="s">
        <v>9</v>
      </c>
      <c r="AC78" s="232" t="s">
        <v>9</v>
      </c>
      <c r="AD78" s="232" t="s">
        <v>9</v>
      </c>
      <c r="AE78" s="24">
        <f t="shared" si="6"/>
        <v>11</v>
      </c>
      <c r="AF78" s="24">
        <f t="shared" si="7"/>
        <v>0</v>
      </c>
      <c r="AG78" s="24">
        <f t="shared" si="8"/>
        <v>4</v>
      </c>
      <c r="AH78" s="41" t="str" cm="1">
        <f t="array" ref="AH78">_xlfn.IFS(
$AE78=15,"Not Started",
$AG78&lt;15,"In Progress",
$AG78=15,"Completed",
SUM(AE78:AG78)&gt;15,"Error"
)</f>
        <v>In Progress</v>
      </c>
    </row>
    <row r="79" spans="1:34" ht="15.5" x14ac:dyDescent="0.25">
      <c r="A79" s="248"/>
      <c r="B79" s="100">
        <v>76</v>
      </c>
      <c r="C79" s="7" t="s">
        <v>1734</v>
      </c>
      <c r="D79" s="53" t="s">
        <v>6012</v>
      </c>
      <c r="E79" s="57" t="s">
        <v>7674</v>
      </c>
      <c r="F79" s="7" t="s">
        <v>9672</v>
      </c>
      <c r="G79" s="7" t="s">
        <v>48</v>
      </c>
      <c r="H79" s="7" t="s">
        <v>6206</v>
      </c>
      <c r="I79" s="7" t="s">
        <v>6206</v>
      </c>
      <c r="J79" s="7" t="s">
        <v>7926</v>
      </c>
      <c r="K79" s="7" t="s">
        <v>6127</v>
      </c>
      <c r="L79" s="7">
        <v>10083318506</v>
      </c>
      <c r="M79" s="7"/>
      <c r="N79" s="48"/>
      <c r="O79" s="232" t="s">
        <v>9</v>
      </c>
      <c r="P79" s="232" t="s">
        <v>9</v>
      </c>
      <c r="Q79" s="232" t="s">
        <v>9</v>
      </c>
      <c r="R79" s="232" t="s">
        <v>9</v>
      </c>
      <c r="S79" s="232" t="s">
        <v>9</v>
      </c>
      <c r="T79" s="232" t="s">
        <v>9</v>
      </c>
      <c r="U79" s="232" t="s">
        <v>9</v>
      </c>
      <c r="V79" s="232" t="s">
        <v>9</v>
      </c>
      <c r="W79" s="232" t="s">
        <v>9</v>
      </c>
      <c r="X79" s="232" t="s">
        <v>9</v>
      </c>
      <c r="Y79" s="232" t="s">
        <v>9</v>
      </c>
      <c r="Z79" s="232" t="s">
        <v>9</v>
      </c>
      <c r="AA79" s="232" t="s">
        <v>9</v>
      </c>
      <c r="AB79" s="232" t="s">
        <v>9</v>
      </c>
      <c r="AC79" s="232" t="s">
        <v>9</v>
      </c>
      <c r="AD79" s="232" t="s">
        <v>9</v>
      </c>
      <c r="AE79" s="24">
        <f t="shared" si="6"/>
        <v>15</v>
      </c>
      <c r="AF79" s="24">
        <f t="shared" si="7"/>
        <v>0</v>
      </c>
      <c r="AG79" s="24">
        <f t="shared" si="8"/>
        <v>0</v>
      </c>
      <c r="AH79" s="41" t="str" cm="1">
        <f t="array" ref="AH79">_xlfn.IFS(
$AE79=15,"Not Started",
$AG79&lt;15,"In Progress",
$AG79=15,"Completed",
SUM(AE79:AG79)&gt;15,"Error"
)</f>
        <v>Not Started</v>
      </c>
    </row>
    <row r="80" spans="1:34" ht="15.5" x14ac:dyDescent="0.25">
      <c r="A80" s="248"/>
      <c r="B80" s="100">
        <v>77</v>
      </c>
      <c r="C80" s="14" t="s">
        <v>1735</v>
      </c>
      <c r="D80" s="53" t="s">
        <v>6013</v>
      </c>
      <c r="E80" s="57" t="s">
        <v>7675</v>
      </c>
      <c r="F80" s="7" t="s">
        <v>47</v>
      </c>
      <c r="G80" s="7" t="s">
        <v>48</v>
      </c>
      <c r="H80" s="7" t="s">
        <v>6206</v>
      </c>
      <c r="I80" s="7" t="s">
        <v>6206</v>
      </c>
      <c r="J80" s="7" t="s">
        <v>7927</v>
      </c>
      <c r="K80" s="7" t="s">
        <v>6128</v>
      </c>
      <c r="L80" s="7">
        <v>10052743031</v>
      </c>
      <c r="M80" s="7"/>
      <c r="N80" s="48"/>
      <c r="O80" s="232" t="s">
        <v>9</v>
      </c>
      <c r="P80" s="232" t="s">
        <v>9</v>
      </c>
      <c r="Q80" s="232" t="s">
        <v>9</v>
      </c>
      <c r="R80" s="232" t="s">
        <v>9</v>
      </c>
      <c r="S80" s="232" t="s">
        <v>9</v>
      </c>
      <c r="T80" s="232" t="s">
        <v>9</v>
      </c>
      <c r="U80" s="232" t="s">
        <v>9</v>
      </c>
      <c r="V80" s="232" t="s">
        <v>9</v>
      </c>
      <c r="W80" s="232" t="s">
        <v>9</v>
      </c>
      <c r="X80" s="232" t="s">
        <v>9</v>
      </c>
      <c r="Y80" s="232" t="s">
        <v>9</v>
      </c>
      <c r="Z80" s="232" t="s">
        <v>9</v>
      </c>
      <c r="AA80" s="232" t="s">
        <v>9</v>
      </c>
      <c r="AB80" s="232" t="s">
        <v>9</v>
      </c>
      <c r="AC80" s="232" t="s">
        <v>9</v>
      </c>
      <c r="AD80" s="232" t="s">
        <v>9</v>
      </c>
      <c r="AE80" s="24">
        <f t="shared" si="6"/>
        <v>15</v>
      </c>
      <c r="AF80" s="24">
        <f t="shared" si="7"/>
        <v>0</v>
      </c>
      <c r="AG80" s="24">
        <f t="shared" si="8"/>
        <v>0</v>
      </c>
      <c r="AH80" s="41" t="str" cm="1">
        <f t="array" ref="AH80">_xlfn.IFS(
$AE80=15,"Not Started",
$AG80&lt;15,"In Progress",
$AG80=15,"Completed",
SUM(AE80:AG80)&gt;15,"Error"
)</f>
        <v>Not Started</v>
      </c>
    </row>
    <row r="81" spans="1:34" ht="15.5" x14ac:dyDescent="0.25">
      <c r="A81" s="248"/>
      <c r="B81" s="100">
        <v>78</v>
      </c>
      <c r="C81" s="7" t="s">
        <v>1736</v>
      </c>
      <c r="D81" s="53" t="s">
        <v>6014</v>
      </c>
      <c r="E81" s="57" t="s">
        <v>7676</v>
      </c>
      <c r="F81" s="7" t="s">
        <v>43</v>
      </c>
      <c r="G81" s="7" t="s">
        <v>44</v>
      </c>
      <c r="H81" s="7" t="s">
        <v>6206</v>
      </c>
      <c r="I81" s="7" t="s">
        <v>6206</v>
      </c>
      <c r="J81" s="7" t="s">
        <v>7928</v>
      </c>
      <c r="K81" s="7" t="s">
        <v>6129</v>
      </c>
      <c r="L81" s="7">
        <v>10052854569</v>
      </c>
      <c r="M81" s="7"/>
      <c r="N81" s="231">
        <v>46078</v>
      </c>
      <c r="O81" s="232" t="s">
        <v>11</v>
      </c>
      <c r="P81" s="232" t="s">
        <v>11</v>
      </c>
      <c r="Q81" s="232" t="s">
        <v>11</v>
      </c>
      <c r="R81" s="232" t="s">
        <v>11</v>
      </c>
      <c r="S81" s="232" t="s">
        <v>11</v>
      </c>
      <c r="T81" s="232" t="s">
        <v>11</v>
      </c>
      <c r="U81" s="232" t="s">
        <v>11</v>
      </c>
      <c r="V81" s="232" t="s">
        <v>11</v>
      </c>
      <c r="W81" s="232" t="s">
        <v>11</v>
      </c>
      <c r="X81" s="232" t="s">
        <v>11</v>
      </c>
      <c r="Y81" s="232" t="s">
        <v>11</v>
      </c>
      <c r="Z81" s="232" t="s">
        <v>11</v>
      </c>
      <c r="AA81" s="232" t="s">
        <v>11</v>
      </c>
      <c r="AB81" s="232" t="s">
        <v>11</v>
      </c>
      <c r="AC81" s="232" t="s">
        <v>11</v>
      </c>
      <c r="AD81" s="232" t="s">
        <v>11</v>
      </c>
      <c r="AE81" s="24">
        <f t="shared" si="6"/>
        <v>0</v>
      </c>
      <c r="AF81" s="24">
        <f t="shared" si="7"/>
        <v>0</v>
      </c>
      <c r="AG81" s="24">
        <f t="shared" si="8"/>
        <v>15</v>
      </c>
      <c r="AH81" s="41" t="str" cm="1">
        <f t="array" ref="AH81">_xlfn.IFS(
$AE81=15,"Not Started",
$AG81&lt;15,"In Progress",
$AG81=15,"Completed",
SUM(AE81:AG81)&gt;15,"Error"
)</f>
        <v>Completed</v>
      </c>
    </row>
    <row r="82" spans="1:34" ht="15.5" x14ac:dyDescent="0.25">
      <c r="A82" s="248"/>
      <c r="B82" s="100">
        <v>79</v>
      </c>
      <c r="C82" s="14" t="s">
        <v>1737</v>
      </c>
      <c r="D82" s="53" t="s">
        <v>7562</v>
      </c>
      <c r="E82" s="57" t="s">
        <v>7677</v>
      </c>
      <c r="F82" s="7" t="s">
        <v>9672</v>
      </c>
      <c r="G82" s="7" t="s">
        <v>48</v>
      </c>
      <c r="H82" s="7" t="s">
        <v>6206</v>
      </c>
      <c r="I82" s="7" t="s">
        <v>6206</v>
      </c>
      <c r="J82" s="7" t="s">
        <v>7929</v>
      </c>
      <c r="K82" s="7" t="s">
        <v>7809</v>
      </c>
      <c r="L82" s="7">
        <v>10052571269</v>
      </c>
      <c r="M82" s="7"/>
      <c r="N82" s="48"/>
      <c r="O82" s="232" t="s">
        <v>9</v>
      </c>
      <c r="P82" s="232" t="s">
        <v>9</v>
      </c>
      <c r="Q82" s="232" t="s">
        <v>9</v>
      </c>
      <c r="R82" s="232" t="s">
        <v>9</v>
      </c>
      <c r="S82" s="232" t="s">
        <v>9</v>
      </c>
      <c r="T82" s="232" t="s">
        <v>9</v>
      </c>
      <c r="U82" s="232" t="s">
        <v>9</v>
      </c>
      <c r="V82" s="232" t="s">
        <v>9</v>
      </c>
      <c r="W82" s="232" t="s">
        <v>9</v>
      </c>
      <c r="X82" s="232" t="s">
        <v>9</v>
      </c>
      <c r="Y82" s="232" t="s">
        <v>9</v>
      </c>
      <c r="Z82" s="232" t="s">
        <v>9</v>
      </c>
      <c r="AA82" s="232" t="s">
        <v>9</v>
      </c>
      <c r="AB82" s="232" t="s">
        <v>9</v>
      </c>
      <c r="AC82" s="232" t="s">
        <v>9</v>
      </c>
      <c r="AD82" s="232" t="s">
        <v>9</v>
      </c>
      <c r="AE82" s="24">
        <f t="shared" si="6"/>
        <v>15</v>
      </c>
      <c r="AF82" s="24">
        <f t="shared" si="7"/>
        <v>0</v>
      </c>
      <c r="AG82" s="24">
        <f t="shared" si="8"/>
        <v>0</v>
      </c>
      <c r="AH82" s="41" t="str" cm="1">
        <f t="array" ref="AH82">_xlfn.IFS(
$AE82=15,"Not Started",
$AG82&lt;15,"In Progress",
$AG82=15,"Completed",
SUM(AE82:AG82)&gt;15,"Error"
)</f>
        <v>Not Started</v>
      </c>
    </row>
    <row r="83" spans="1:34" ht="15.5" x14ac:dyDescent="0.25">
      <c r="A83" s="248"/>
      <c r="B83" s="100">
        <v>80</v>
      </c>
      <c r="C83" s="7" t="s">
        <v>1738</v>
      </c>
      <c r="D83" s="53" t="s">
        <v>6015</v>
      </c>
      <c r="E83" s="57" t="s">
        <v>7678</v>
      </c>
      <c r="F83" s="7" t="s">
        <v>9672</v>
      </c>
      <c r="G83" s="7" t="s">
        <v>48</v>
      </c>
      <c r="H83" s="7" t="s">
        <v>6206</v>
      </c>
      <c r="I83" s="7" t="s">
        <v>6206</v>
      </c>
      <c r="J83" s="7" t="s">
        <v>7930</v>
      </c>
      <c r="K83" s="7" t="s">
        <v>6130</v>
      </c>
      <c r="L83" s="7">
        <v>10052606810</v>
      </c>
      <c r="M83" s="7"/>
      <c r="N83" s="48"/>
      <c r="O83" s="232" t="s">
        <v>9</v>
      </c>
      <c r="P83" s="232" t="s">
        <v>9</v>
      </c>
      <c r="Q83" s="232" t="s">
        <v>9</v>
      </c>
      <c r="R83" s="232" t="s">
        <v>9</v>
      </c>
      <c r="S83" s="232" t="s">
        <v>9</v>
      </c>
      <c r="T83" s="232" t="s">
        <v>9</v>
      </c>
      <c r="U83" s="232" t="s">
        <v>9</v>
      </c>
      <c r="V83" s="232" t="s">
        <v>9</v>
      </c>
      <c r="W83" s="232" t="s">
        <v>9</v>
      </c>
      <c r="X83" s="232" t="s">
        <v>9</v>
      </c>
      <c r="Y83" s="232" t="s">
        <v>9</v>
      </c>
      <c r="Z83" s="232" t="s">
        <v>9</v>
      </c>
      <c r="AA83" s="232" t="s">
        <v>9</v>
      </c>
      <c r="AB83" s="232" t="s">
        <v>9</v>
      </c>
      <c r="AC83" s="232" t="s">
        <v>9</v>
      </c>
      <c r="AD83" s="232" t="s">
        <v>9</v>
      </c>
      <c r="AE83" s="24">
        <f t="shared" si="6"/>
        <v>15</v>
      </c>
      <c r="AF83" s="24">
        <f t="shared" si="7"/>
        <v>0</v>
      </c>
      <c r="AG83" s="24">
        <f t="shared" si="8"/>
        <v>0</v>
      </c>
      <c r="AH83" s="41" t="str" cm="1">
        <f t="array" ref="AH83">_xlfn.IFS(
$AE83=15,"Not Started",
$AG83&lt;15,"In Progress",
$AG83=15,"Completed",
SUM(AE83:AG83)&gt;15,"Error"
)</f>
        <v>Not Started</v>
      </c>
    </row>
    <row r="84" spans="1:34" ht="15.5" x14ac:dyDescent="0.25">
      <c r="A84" s="248"/>
      <c r="B84" s="100">
        <v>81</v>
      </c>
      <c r="C84" s="14" t="s">
        <v>1739</v>
      </c>
      <c r="D84" s="53" t="s">
        <v>7563</v>
      </c>
      <c r="E84" s="57" t="s">
        <v>7679</v>
      </c>
      <c r="F84" s="7" t="s">
        <v>43</v>
      </c>
      <c r="G84" s="7" t="s">
        <v>44</v>
      </c>
      <c r="H84" s="7" t="s">
        <v>6206</v>
      </c>
      <c r="I84" s="7" t="s">
        <v>6206</v>
      </c>
      <c r="J84" s="7" t="s">
        <v>7931</v>
      </c>
      <c r="K84" s="7" t="s">
        <v>7810</v>
      </c>
      <c r="L84" s="7">
        <v>10052570440</v>
      </c>
      <c r="M84" s="7"/>
      <c r="N84" s="48"/>
      <c r="O84" s="232" t="s">
        <v>9</v>
      </c>
      <c r="P84" s="232" t="s">
        <v>9</v>
      </c>
      <c r="Q84" s="232" t="s">
        <v>9</v>
      </c>
      <c r="R84" s="232" t="s">
        <v>9</v>
      </c>
      <c r="S84" s="232" t="s">
        <v>9</v>
      </c>
      <c r="T84" s="232" t="s">
        <v>9</v>
      </c>
      <c r="U84" s="232" t="s">
        <v>9</v>
      </c>
      <c r="V84" s="232" t="s">
        <v>9</v>
      </c>
      <c r="W84" s="232" t="s">
        <v>9</v>
      </c>
      <c r="X84" s="232" t="s">
        <v>9</v>
      </c>
      <c r="Y84" s="232" t="s">
        <v>9</v>
      </c>
      <c r="Z84" s="232" t="s">
        <v>9</v>
      </c>
      <c r="AA84" s="232" t="s">
        <v>9</v>
      </c>
      <c r="AB84" s="232" t="s">
        <v>9</v>
      </c>
      <c r="AC84" s="232" t="s">
        <v>9</v>
      </c>
      <c r="AD84" s="232" t="s">
        <v>9</v>
      </c>
      <c r="AE84" s="24">
        <f t="shared" si="6"/>
        <v>15</v>
      </c>
      <c r="AF84" s="24">
        <f t="shared" si="7"/>
        <v>0</v>
      </c>
      <c r="AG84" s="24">
        <f t="shared" si="8"/>
        <v>0</v>
      </c>
      <c r="AH84" s="41" t="str" cm="1">
        <f t="array" ref="AH84">_xlfn.IFS(
$AE84=15,"Not Started",
$AG84&lt;15,"In Progress",
$AG84=15,"Completed",
SUM(AE84:AG84)&gt;15,"Error"
)</f>
        <v>Not Started</v>
      </c>
    </row>
    <row r="85" spans="1:34" ht="15.5" x14ac:dyDescent="0.25">
      <c r="A85" s="248"/>
      <c r="B85" s="100">
        <v>82</v>
      </c>
      <c r="C85" s="7" t="s">
        <v>1740</v>
      </c>
      <c r="D85" s="53" t="s">
        <v>7564</v>
      </c>
      <c r="E85" s="57" t="s">
        <v>7680</v>
      </c>
      <c r="F85" s="7" t="s">
        <v>43</v>
      </c>
      <c r="G85" s="7" t="s">
        <v>48</v>
      </c>
      <c r="H85" s="7" t="s">
        <v>6206</v>
      </c>
      <c r="I85" s="7" t="s">
        <v>6206</v>
      </c>
      <c r="J85" s="7" t="s">
        <v>7932</v>
      </c>
      <c r="K85" s="7" t="s">
        <v>7811</v>
      </c>
      <c r="L85" s="7">
        <v>10053047331</v>
      </c>
      <c r="M85" s="7"/>
      <c r="N85" s="48"/>
      <c r="O85" s="232" t="s">
        <v>9</v>
      </c>
      <c r="P85" s="232" t="s">
        <v>9</v>
      </c>
      <c r="Q85" s="232" t="s">
        <v>9</v>
      </c>
      <c r="R85" s="232" t="s">
        <v>9</v>
      </c>
      <c r="S85" s="232" t="s">
        <v>9</v>
      </c>
      <c r="T85" s="232" t="s">
        <v>9</v>
      </c>
      <c r="U85" s="232" t="s">
        <v>9</v>
      </c>
      <c r="V85" s="232" t="s">
        <v>9</v>
      </c>
      <c r="W85" s="232" t="s">
        <v>9</v>
      </c>
      <c r="X85" s="232" t="s">
        <v>9</v>
      </c>
      <c r="Y85" s="232" t="s">
        <v>9</v>
      </c>
      <c r="Z85" s="232" t="s">
        <v>9</v>
      </c>
      <c r="AA85" s="232" t="s">
        <v>9</v>
      </c>
      <c r="AB85" s="232" t="s">
        <v>9</v>
      </c>
      <c r="AC85" s="232" t="s">
        <v>9</v>
      </c>
      <c r="AD85" s="232" t="s">
        <v>9</v>
      </c>
      <c r="AE85" s="24">
        <f t="shared" si="6"/>
        <v>15</v>
      </c>
      <c r="AF85" s="24">
        <f t="shared" si="7"/>
        <v>0</v>
      </c>
      <c r="AG85" s="24">
        <f t="shared" si="8"/>
        <v>0</v>
      </c>
      <c r="AH85" s="41" t="str" cm="1">
        <f t="array" ref="AH85">_xlfn.IFS(
$AE85=15,"Not Started",
$AG85&lt;15,"In Progress",
$AG85=15,"Completed",
SUM(AE85:AG85)&gt;15,"Error"
)</f>
        <v>Not Started</v>
      </c>
    </row>
    <row r="86" spans="1:34" ht="15.5" x14ac:dyDescent="0.25">
      <c r="A86" s="248"/>
      <c r="B86" s="100">
        <v>83</v>
      </c>
      <c r="C86" s="14" t="s">
        <v>1741</v>
      </c>
      <c r="D86" s="53" t="s">
        <v>7565</v>
      </c>
      <c r="E86" s="57" t="s">
        <v>7681</v>
      </c>
      <c r="F86" s="7" t="s">
        <v>43</v>
      </c>
      <c r="G86" s="7" t="s">
        <v>44</v>
      </c>
      <c r="H86" s="7" t="s">
        <v>6206</v>
      </c>
      <c r="I86" s="7" t="s">
        <v>6206</v>
      </c>
      <c r="J86" s="7" t="s">
        <v>7933</v>
      </c>
      <c r="K86" s="7" t="s">
        <v>7812</v>
      </c>
      <c r="L86" s="7">
        <v>10052847448</v>
      </c>
      <c r="M86" s="7"/>
      <c r="N86" s="48"/>
      <c r="O86" s="232" t="s">
        <v>9</v>
      </c>
      <c r="P86" s="232" t="s">
        <v>9</v>
      </c>
      <c r="Q86" s="232" t="s">
        <v>9</v>
      </c>
      <c r="R86" s="232" t="s">
        <v>9</v>
      </c>
      <c r="S86" s="232" t="s">
        <v>9</v>
      </c>
      <c r="T86" s="232" t="s">
        <v>9</v>
      </c>
      <c r="U86" s="232" t="s">
        <v>9</v>
      </c>
      <c r="V86" s="232" t="s">
        <v>9</v>
      </c>
      <c r="W86" s="232" t="s">
        <v>9</v>
      </c>
      <c r="X86" s="232" t="s">
        <v>9</v>
      </c>
      <c r="Y86" s="232" t="s">
        <v>9</v>
      </c>
      <c r="Z86" s="232" t="s">
        <v>9</v>
      </c>
      <c r="AA86" s="232" t="s">
        <v>9</v>
      </c>
      <c r="AB86" s="232" t="s">
        <v>9</v>
      </c>
      <c r="AC86" s="232" t="s">
        <v>9</v>
      </c>
      <c r="AD86" s="232" t="s">
        <v>9</v>
      </c>
      <c r="AE86" s="24">
        <f t="shared" si="6"/>
        <v>15</v>
      </c>
      <c r="AF86" s="24">
        <f t="shared" si="7"/>
        <v>0</v>
      </c>
      <c r="AG86" s="24">
        <f t="shared" si="8"/>
        <v>0</v>
      </c>
      <c r="AH86" s="41" t="str" cm="1">
        <f t="array" ref="AH86">_xlfn.IFS(
$AE86=15,"Not Started",
$AG86&lt;15,"In Progress",
$AG86=15,"Completed",
SUM(AE86:AG86)&gt;15,"Error"
)</f>
        <v>Not Started</v>
      </c>
    </row>
    <row r="87" spans="1:34" ht="15.5" x14ac:dyDescent="0.25">
      <c r="A87" s="248"/>
      <c r="B87" s="100">
        <v>84</v>
      </c>
      <c r="C87" s="7" t="s">
        <v>1742</v>
      </c>
      <c r="D87" s="53" t="s">
        <v>7566</v>
      </c>
      <c r="E87" s="57" t="s">
        <v>7682</v>
      </c>
      <c r="F87" s="7" t="s">
        <v>43</v>
      </c>
      <c r="G87" s="7" t="s">
        <v>44</v>
      </c>
      <c r="H87" s="7" t="s">
        <v>6206</v>
      </c>
      <c r="I87" s="7" t="s">
        <v>6206</v>
      </c>
      <c r="J87" s="7" t="s">
        <v>7934</v>
      </c>
      <c r="K87" s="7" t="s">
        <v>7813</v>
      </c>
      <c r="L87" s="7">
        <v>10052526961</v>
      </c>
      <c r="M87" s="7"/>
      <c r="N87" s="48"/>
      <c r="O87" s="232" t="s">
        <v>9</v>
      </c>
      <c r="P87" s="232" t="s">
        <v>9</v>
      </c>
      <c r="Q87" s="232" t="s">
        <v>9</v>
      </c>
      <c r="R87" s="232" t="s">
        <v>9</v>
      </c>
      <c r="S87" s="232" t="s">
        <v>9</v>
      </c>
      <c r="T87" s="232" t="s">
        <v>9</v>
      </c>
      <c r="U87" s="232" t="s">
        <v>9</v>
      </c>
      <c r="V87" s="232" t="s">
        <v>9</v>
      </c>
      <c r="W87" s="232" t="s">
        <v>9</v>
      </c>
      <c r="X87" s="232" t="s">
        <v>9</v>
      </c>
      <c r="Y87" s="232" t="s">
        <v>9</v>
      </c>
      <c r="Z87" s="232" t="s">
        <v>9</v>
      </c>
      <c r="AA87" s="232" t="s">
        <v>9</v>
      </c>
      <c r="AB87" s="232" t="s">
        <v>9</v>
      </c>
      <c r="AC87" s="232" t="s">
        <v>9</v>
      </c>
      <c r="AD87" s="232" t="s">
        <v>9</v>
      </c>
      <c r="AE87" s="24">
        <f t="shared" si="6"/>
        <v>15</v>
      </c>
      <c r="AF87" s="24">
        <f t="shared" si="7"/>
        <v>0</v>
      </c>
      <c r="AG87" s="24">
        <f t="shared" si="8"/>
        <v>0</v>
      </c>
      <c r="AH87" s="41" t="str" cm="1">
        <f t="array" ref="AH87">_xlfn.IFS(
$AE87=15,"Not Started",
$AG87&lt;15,"In Progress",
$AG87=15,"Completed",
SUM(AE87:AG87)&gt;15,"Error"
)</f>
        <v>Not Started</v>
      </c>
    </row>
    <row r="88" spans="1:34" ht="15.5" x14ac:dyDescent="0.25">
      <c r="A88" s="248"/>
      <c r="B88" s="100">
        <v>85</v>
      </c>
      <c r="C88" s="14" t="s">
        <v>1743</v>
      </c>
      <c r="D88" s="53" t="s">
        <v>6016</v>
      </c>
      <c r="E88" s="57" t="s">
        <v>7683</v>
      </c>
      <c r="F88" s="7" t="s">
        <v>51</v>
      </c>
      <c r="G88" s="7" t="s">
        <v>48</v>
      </c>
      <c r="H88" s="7" t="s">
        <v>6206</v>
      </c>
      <c r="I88" s="7" t="s">
        <v>6206</v>
      </c>
      <c r="J88" s="7" t="s">
        <v>7935</v>
      </c>
      <c r="K88" s="7" t="s">
        <v>6131</v>
      </c>
      <c r="L88" s="7">
        <v>10052966396</v>
      </c>
      <c r="M88" s="7"/>
      <c r="N88" s="48"/>
      <c r="O88" s="232" t="s">
        <v>9</v>
      </c>
      <c r="P88" s="232" t="s">
        <v>9</v>
      </c>
      <c r="Q88" s="232" t="s">
        <v>9</v>
      </c>
      <c r="R88" s="232" t="s">
        <v>9</v>
      </c>
      <c r="S88" s="232" t="s">
        <v>9</v>
      </c>
      <c r="T88" s="232" t="s">
        <v>9</v>
      </c>
      <c r="U88" s="232" t="s">
        <v>9</v>
      </c>
      <c r="V88" s="232" t="s">
        <v>9</v>
      </c>
      <c r="W88" s="232" t="s">
        <v>9</v>
      </c>
      <c r="X88" s="232" t="s">
        <v>9</v>
      </c>
      <c r="Y88" s="232" t="s">
        <v>9</v>
      </c>
      <c r="Z88" s="232" t="s">
        <v>9</v>
      </c>
      <c r="AA88" s="232" t="s">
        <v>9</v>
      </c>
      <c r="AB88" s="232" t="s">
        <v>9</v>
      </c>
      <c r="AC88" s="232" t="s">
        <v>9</v>
      </c>
      <c r="AD88" s="232" t="s">
        <v>9</v>
      </c>
      <c r="AE88" s="24">
        <f t="shared" si="6"/>
        <v>15</v>
      </c>
      <c r="AF88" s="24">
        <f t="shared" si="7"/>
        <v>0</v>
      </c>
      <c r="AG88" s="24">
        <f t="shared" si="8"/>
        <v>0</v>
      </c>
      <c r="AH88" s="41" t="str" cm="1">
        <f t="array" ref="AH88">_xlfn.IFS(
$AE88=15,"Not Started",
$AG88&lt;15,"In Progress",
$AG88=15,"Completed",
SUM(AE88:AG88)&gt;15,"Error"
)</f>
        <v>Not Started</v>
      </c>
    </row>
    <row r="89" spans="1:34" ht="15.5" x14ac:dyDescent="0.25">
      <c r="A89" s="248"/>
      <c r="B89" s="100">
        <v>86</v>
      </c>
      <c r="C89" s="7" t="s">
        <v>1744</v>
      </c>
      <c r="D89" s="53" t="s">
        <v>6017</v>
      </c>
      <c r="E89" s="57" t="s">
        <v>7684</v>
      </c>
      <c r="F89" s="7" t="s">
        <v>43</v>
      </c>
      <c r="G89" s="7" t="s">
        <v>48</v>
      </c>
      <c r="H89" s="7" t="s">
        <v>6206</v>
      </c>
      <c r="I89" s="7" t="s">
        <v>6206</v>
      </c>
      <c r="J89" s="7" t="s">
        <v>7936</v>
      </c>
      <c r="K89" s="7" t="s">
        <v>6132</v>
      </c>
      <c r="L89" s="7">
        <v>10052810116</v>
      </c>
      <c r="M89" s="7"/>
      <c r="N89" s="48"/>
      <c r="O89" s="232" t="s">
        <v>9</v>
      </c>
      <c r="P89" s="232" t="s">
        <v>9</v>
      </c>
      <c r="Q89" s="232" t="s">
        <v>9</v>
      </c>
      <c r="R89" s="232" t="s">
        <v>9</v>
      </c>
      <c r="S89" s="232" t="s">
        <v>9</v>
      </c>
      <c r="T89" s="232" t="s">
        <v>9</v>
      </c>
      <c r="U89" s="232" t="s">
        <v>9</v>
      </c>
      <c r="V89" s="232" t="s">
        <v>9</v>
      </c>
      <c r="W89" s="232" t="s">
        <v>9</v>
      </c>
      <c r="X89" s="232" t="s">
        <v>9</v>
      </c>
      <c r="Y89" s="232" t="s">
        <v>9</v>
      </c>
      <c r="Z89" s="232" t="s">
        <v>9</v>
      </c>
      <c r="AA89" s="232" t="s">
        <v>9</v>
      </c>
      <c r="AB89" s="232" t="s">
        <v>9</v>
      </c>
      <c r="AC89" s="232" t="s">
        <v>9</v>
      </c>
      <c r="AD89" s="232" t="s">
        <v>9</v>
      </c>
      <c r="AE89" s="24">
        <f t="shared" si="6"/>
        <v>15</v>
      </c>
      <c r="AF89" s="24">
        <f t="shared" si="7"/>
        <v>0</v>
      </c>
      <c r="AG89" s="24">
        <f t="shared" si="8"/>
        <v>0</v>
      </c>
      <c r="AH89" s="41" t="str" cm="1">
        <f t="array" ref="AH89">_xlfn.IFS(
$AE89=15,"Not Started",
$AG89&lt;15,"In Progress",
$AG89=15,"Completed",
SUM(AE89:AG89)&gt;15,"Error"
)</f>
        <v>Not Started</v>
      </c>
    </row>
    <row r="90" spans="1:34" ht="15.5" x14ac:dyDescent="0.25">
      <c r="A90" s="248"/>
      <c r="B90" s="100">
        <v>87</v>
      </c>
      <c r="C90" s="14" t="s">
        <v>1745</v>
      </c>
      <c r="D90" s="53" t="s">
        <v>6018</v>
      </c>
      <c r="E90" s="57" t="s">
        <v>7685</v>
      </c>
      <c r="F90" s="7" t="s">
        <v>47</v>
      </c>
      <c r="G90" s="7" t="s">
        <v>48</v>
      </c>
      <c r="H90" s="7" t="s">
        <v>6206</v>
      </c>
      <c r="I90" s="7" t="s">
        <v>6206</v>
      </c>
      <c r="J90" s="7" t="s">
        <v>7937</v>
      </c>
      <c r="K90" s="7" t="s">
        <v>6133</v>
      </c>
      <c r="L90" s="7">
        <v>10052741055</v>
      </c>
      <c r="M90" s="7"/>
      <c r="N90" s="48"/>
      <c r="O90" s="232" t="s">
        <v>9</v>
      </c>
      <c r="P90" s="232" t="s">
        <v>9</v>
      </c>
      <c r="Q90" s="232" t="s">
        <v>9</v>
      </c>
      <c r="R90" s="232" t="s">
        <v>9</v>
      </c>
      <c r="S90" s="232" t="s">
        <v>9</v>
      </c>
      <c r="T90" s="232" t="s">
        <v>9</v>
      </c>
      <c r="U90" s="232" t="s">
        <v>9</v>
      </c>
      <c r="V90" s="232" t="s">
        <v>9</v>
      </c>
      <c r="W90" s="232" t="s">
        <v>9</v>
      </c>
      <c r="X90" s="232" t="s">
        <v>9</v>
      </c>
      <c r="Y90" s="232" t="s">
        <v>9</v>
      </c>
      <c r="Z90" s="232" t="s">
        <v>9</v>
      </c>
      <c r="AA90" s="232" t="s">
        <v>9</v>
      </c>
      <c r="AB90" s="232" t="s">
        <v>9</v>
      </c>
      <c r="AC90" s="232" t="s">
        <v>9</v>
      </c>
      <c r="AD90" s="232" t="s">
        <v>9</v>
      </c>
      <c r="AE90" s="24">
        <f t="shared" si="6"/>
        <v>15</v>
      </c>
      <c r="AF90" s="24">
        <f t="shared" si="7"/>
        <v>0</v>
      </c>
      <c r="AG90" s="24">
        <f t="shared" si="8"/>
        <v>0</v>
      </c>
      <c r="AH90" s="41" t="str" cm="1">
        <f t="array" ref="AH90">_xlfn.IFS(
$AE90=15,"Not Started",
$AG90&lt;15,"In Progress",
$AG90=15,"Completed",
SUM(AE90:AG90)&gt;15,"Error"
)</f>
        <v>Not Started</v>
      </c>
    </row>
    <row r="91" spans="1:34" ht="15.5" x14ac:dyDescent="0.25">
      <c r="A91" s="248"/>
      <c r="B91" s="100">
        <v>88</v>
      </c>
      <c r="C91" s="7" t="s">
        <v>1746</v>
      </c>
      <c r="D91" s="53" t="s">
        <v>6019</v>
      </c>
      <c r="E91" s="57" t="s">
        <v>7686</v>
      </c>
      <c r="F91" s="7" t="s">
        <v>47</v>
      </c>
      <c r="G91" s="7" t="s">
        <v>44</v>
      </c>
      <c r="H91" s="7" t="s">
        <v>6206</v>
      </c>
      <c r="I91" s="7" t="s">
        <v>6206</v>
      </c>
      <c r="J91" s="7" t="s">
        <v>7938</v>
      </c>
      <c r="K91" s="7" t="s">
        <v>6134</v>
      </c>
      <c r="L91" s="7">
        <v>10053094350</v>
      </c>
      <c r="M91" s="7"/>
      <c r="N91" s="231">
        <v>46144</v>
      </c>
      <c r="O91" s="232" t="s">
        <v>11</v>
      </c>
      <c r="P91" s="232" t="s">
        <v>11</v>
      </c>
      <c r="Q91" s="232" t="s">
        <v>11</v>
      </c>
      <c r="R91" s="232" t="s">
        <v>11</v>
      </c>
      <c r="S91" s="232" t="s">
        <v>9</v>
      </c>
      <c r="T91" s="232" t="s">
        <v>9</v>
      </c>
      <c r="U91" s="232" t="s">
        <v>9</v>
      </c>
      <c r="V91" s="232" t="s">
        <v>9</v>
      </c>
      <c r="W91" s="232" t="s">
        <v>9</v>
      </c>
      <c r="X91" s="232" t="s">
        <v>9</v>
      </c>
      <c r="Y91" s="232" t="s">
        <v>9</v>
      </c>
      <c r="Z91" s="232" t="s">
        <v>9</v>
      </c>
      <c r="AA91" s="232" t="s">
        <v>9</v>
      </c>
      <c r="AB91" s="232" t="s">
        <v>9</v>
      </c>
      <c r="AC91" s="232" t="s">
        <v>9</v>
      </c>
      <c r="AD91" s="232" t="s">
        <v>9</v>
      </c>
      <c r="AE91" s="24">
        <f t="shared" si="6"/>
        <v>11</v>
      </c>
      <c r="AF91" s="24">
        <f t="shared" si="7"/>
        <v>0</v>
      </c>
      <c r="AG91" s="24">
        <f t="shared" si="8"/>
        <v>4</v>
      </c>
      <c r="AH91" s="41" t="str" cm="1">
        <f t="array" ref="AH91">_xlfn.IFS(
$AE91=15,"Not Started",
$AG91&lt;15,"In Progress",
$AG91=15,"Completed",
SUM(AE91:AG91)&gt;15,"Error"
)</f>
        <v>In Progress</v>
      </c>
    </row>
    <row r="92" spans="1:34" ht="15.5" x14ac:dyDescent="0.25">
      <c r="A92" s="248"/>
      <c r="B92" s="100">
        <v>89</v>
      </c>
      <c r="C92" s="14" t="s">
        <v>1747</v>
      </c>
      <c r="D92" s="53" t="s">
        <v>6020</v>
      </c>
      <c r="E92" s="57" t="s">
        <v>7687</v>
      </c>
      <c r="F92" s="7" t="s">
        <v>43</v>
      </c>
      <c r="G92" s="7" t="s">
        <v>44</v>
      </c>
      <c r="H92" s="7" t="s">
        <v>6206</v>
      </c>
      <c r="I92" s="7" t="s">
        <v>6206</v>
      </c>
      <c r="J92" s="7" t="s">
        <v>7939</v>
      </c>
      <c r="K92" s="7" t="s">
        <v>6135</v>
      </c>
      <c r="L92" s="7">
        <v>10052805591</v>
      </c>
      <c r="M92" s="7"/>
      <c r="N92" s="48"/>
      <c r="O92" s="232" t="s">
        <v>9</v>
      </c>
      <c r="P92" s="232" t="s">
        <v>9</v>
      </c>
      <c r="Q92" s="232" t="s">
        <v>9</v>
      </c>
      <c r="R92" s="232" t="s">
        <v>9</v>
      </c>
      <c r="S92" s="232" t="s">
        <v>9</v>
      </c>
      <c r="T92" s="232" t="s">
        <v>9</v>
      </c>
      <c r="U92" s="232" t="s">
        <v>9</v>
      </c>
      <c r="V92" s="232" t="s">
        <v>9</v>
      </c>
      <c r="W92" s="232" t="s">
        <v>9</v>
      </c>
      <c r="X92" s="232" t="s">
        <v>9</v>
      </c>
      <c r="Y92" s="232" t="s">
        <v>9</v>
      </c>
      <c r="Z92" s="232" t="s">
        <v>9</v>
      </c>
      <c r="AA92" s="232" t="s">
        <v>9</v>
      </c>
      <c r="AB92" s="232" t="s">
        <v>9</v>
      </c>
      <c r="AC92" s="232" t="s">
        <v>9</v>
      </c>
      <c r="AD92" s="232" t="s">
        <v>9</v>
      </c>
      <c r="AE92" s="24">
        <f t="shared" si="6"/>
        <v>15</v>
      </c>
      <c r="AF92" s="24">
        <f t="shared" si="7"/>
        <v>0</v>
      </c>
      <c r="AG92" s="24">
        <f t="shared" si="8"/>
        <v>0</v>
      </c>
      <c r="AH92" s="41" t="str" cm="1">
        <f t="array" ref="AH92">_xlfn.IFS(
$AE92=15,"Not Started",
$AG92&lt;15,"In Progress",
$AG92=15,"Completed",
SUM(AE92:AG92)&gt;15,"Error"
)</f>
        <v>Not Started</v>
      </c>
    </row>
    <row r="93" spans="1:34" ht="15.5" x14ac:dyDescent="0.25">
      <c r="A93" s="248"/>
      <c r="B93" s="100">
        <v>90</v>
      </c>
      <c r="C93" s="7" t="s">
        <v>1748</v>
      </c>
      <c r="D93" s="53" t="s">
        <v>6021</v>
      </c>
      <c r="E93" s="57" t="s">
        <v>7688</v>
      </c>
      <c r="F93" s="7" t="s">
        <v>9671</v>
      </c>
      <c r="G93" s="7" t="s">
        <v>48</v>
      </c>
      <c r="H93" s="7" t="s">
        <v>6206</v>
      </c>
      <c r="I93" s="7" t="s">
        <v>6206</v>
      </c>
      <c r="J93" s="7" t="s">
        <v>7940</v>
      </c>
      <c r="K93" s="7" t="s">
        <v>6136</v>
      </c>
      <c r="L93" s="7">
        <v>10052487209</v>
      </c>
      <c r="M93" s="7"/>
      <c r="N93" s="48"/>
      <c r="O93" s="232" t="s">
        <v>9</v>
      </c>
      <c r="P93" s="232" t="s">
        <v>9</v>
      </c>
      <c r="Q93" s="232" t="s">
        <v>9</v>
      </c>
      <c r="R93" s="232" t="s">
        <v>9</v>
      </c>
      <c r="S93" s="232" t="s">
        <v>9</v>
      </c>
      <c r="T93" s="232" t="s">
        <v>9</v>
      </c>
      <c r="U93" s="232" t="s">
        <v>9</v>
      </c>
      <c r="V93" s="232" t="s">
        <v>9</v>
      </c>
      <c r="W93" s="232" t="s">
        <v>9</v>
      </c>
      <c r="X93" s="232" t="s">
        <v>9</v>
      </c>
      <c r="Y93" s="232" t="s">
        <v>9</v>
      </c>
      <c r="Z93" s="232" t="s">
        <v>9</v>
      </c>
      <c r="AA93" s="232" t="s">
        <v>9</v>
      </c>
      <c r="AB93" s="232" t="s">
        <v>9</v>
      </c>
      <c r="AC93" s="232" t="s">
        <v>9</v>
      </c>
      <c r="AD93" s="232" t="s">
        <v>9</v>
      </c>
      <c r="AE93" s="24">
        <f t="shared" si="6"/>
        <v>15</v>
      </c>
      <c r="AF93" s="24">
        <f t="shared" si="7"/>
        <v>0</v>
      </c>
      <c r="AG93" s="24">
        <f t="shared" si="8"/>
        <v>0</v>
      </c>
      <c r="AH93" s="41" t="str" cm="1">
        <f t="array" ref="AH93">_xlfn.IFS(
$AE93=15,"Not Started",
$AG93&lt;15,"In Progress",
$AG93=15,"Completed",
SUM(AE93:AG93)&gt;15,"Error"
)</f>
        <v>Not Started</v>
      </c>
    </row>
    <row r="94" spans="1:34" ht="15.5" x14ac:dyDescent="0.25">
      <c r="A94" s="248"/>
      <c r="B94" s="100">
        <v>91</v>
      </c>
      <c r="C94" s="14" t="s">
        <v>1749</v>
      </c>
      <c r="D94" s="53" t="s">
        <v>6022</v>
      </c>
      <c r="E94" s="57" t="s">
        <v>7689</v>
      </c>
      <c r="F94" s="7" t="s">
        <v>43</v>
      </c>
      <c r="G94" s="7" t="s">
        <v>44</v>
      </c>
      <c r="H94" s="7" t="s">
        <v>6206</v>
      </c>
      <c r="I94" s="7" t="s">
        <v>6206</v>
      </c>
      <c r="J94" s="7" t="s">
        <v>7941</v>
      </c>
      <c r="K94" s="7" t="s">
        <v>6137</v>
      </c>
      <c r="L94" s="7">
        <v>10052741986</v>
      </c>
      <c r="M94" s="7"/>
      <c r="N94" s="231">
        <v>46145</v>
      </c>
      <c r="O94" s="232" t="s">
        <v>11</v>
      </c>
      <c r="P94" s="232" t="s">
        <v>11</v>
      </c>
      <c r="Q94" s="232" t="s">
        <v>11</v>
      </c>
      <c r="R94" s="232" t="s">
        <v>11</v>
      </c>
      <c r="S94" s="232" t="s">
        <v>9</v>
      </c>
      <c r="T94" s="232" t="s">
        <v>9</v>
      </c>
      <c r="U94" s="232" t="s">
        <v>9</v>
      </c>
      <c r="V94" s="232" t="s">
        <v>9</v>
      </c>
      <c r="W94" s="232" t="s">
        <v>9</v>
      </c>
      <c r="X94" s="232" t="s">
        <v>9</v>
      </c>
      <c r="Y94" s="232" t="s">
        <v>9</v>
      </c>
      <c r="Z94" s="232" t="s">
        <v>9</v>
      </c>
      <c r="AA94" s="232" t="s">
        <v>9</v>
      </c>
      <c r="AB94" s="232" t="s">
        <v>9</v>
      </c>
      <c r="AC94" s="232" t="s">
        <v>9</v>
      </c>
      <c r="AD94" s="232" t="s">
        <v>9</v>
      </c>
      <c r="AE94" s="24">
        <f t="shared" si="6"/>
        <v>11</v>
      </c>
      <c r="AF94" s="24">
        <f t="shared" si="7"/>
        <v>0</v>
      </c>
      <c r="AG94" s="24">
        <f t="shared" si="8"/>
        <v>4</v>
      </c>
      <c r="AH94" s="41" t="str" cm="1">
        <f t="array" ref="AH94">_xlfn.IFS(
$AE94=15,"Not Started",
$AG94&lt;15,"In Progress",
$AG94=15,"Completed",
SUM(AE94:AG94)&gt;15,"Error"
)</f>
        <v>In Progress</v>
      </c>
    </row>
    <row r="95" spans="1:34" ht="15.5" x14ac:dyDescent="0.25">
      <c r="A95" s="248"/>
      <c r="B95" s="100">
        <v>92</v>
      </c>
      <c r="C95" s="7" t="s">
        <v>1750</v>
      </c>
      <c r="D95" s="53" t="s">
        <v>3492</v>
      </c>
      <c r="E95" s="57" t="s">
        <v>7690</v>
      </c>
      <c r="F95" s="7" t="s">
        <v>43</v>
      </c>
      <c r="G95" s="7" t="s">
        <v>44</v>
      </c>
      <c r="H95" s="7" t="s">
        <v>6206</v>
      </c>
      <c r="I95" s="7" t="s">
        <v>6206</v>
      </c>
      <c r="J95" s="7" t="s">
        <v>7942</v>
      </c>
      <c r="K95" s="7" t="s">
        <v>6138</v>
      </c>
      <c r="L95" s="7">
        <v>10053049121</v>
      </c>
      <c r="M95" s="7"/>
      <c r="N95" s="231">
        <v>46148</v>
      </c>
      <c r="O95" s="232" t="s">
        <v>11</v>
      </c>
      <c r="P95" s="232" t="s">
        <v>11</v>
      </c>
      <c r="Q95" s="232" t="s">
        <v>11</v>
      </c>
      <c r="R95" s="232" t="s">
        <v>11</v>
      </c>
      <c r="S95" s="232" t="s">
        <v>9</v>
      </c>
      <c r="T95" s="232" t="s">
        <v>9</v>
      </c>
      <c r="U95" s="232" t="s">
        <v>9</v>
      </c>
      <c r="V95" s="232" t="s">
        <v>9</v>
      </c>
      <c r="W95" s="232" t="s">
        <v>9</v>
      </c>
      <c r="X95" s="232" t="s">
        <v>9</v>
      </c>
      <c r="Y95" s="232" t="s">
        <v>9</v>
      </c>
      <c r="Z95" s="232" t="s">
        <v>9</v>
      </c>
      <c r="AA95" s="232" t="s">
        <v>9</v>
      </c>
      <c r="AB95" s="232" t="s">
        <v>9</v>
      </c>
      <c r="AC95" s="232" t="s">
        <v>9</v>
      </c>
      <c r="AD95" s="232" t="s">
        <v>9</v>
      </c>
      <c r="AE95" s="24">
        <f t="shared" si="6"/>
        <v>11</v>
      </c>
      <c r="AF95" s="24">
        <f t="shared" si="7"/>
        <v>0</v>
      </c>
      <c r="AG95" s="24">
        <f t="shared" si="8"/>
        <v>4</v>
      </c>
      <c r="AH95" s="41" t="str" cm="1">
        <f t="array" ref="AH95">_xlfn.IFS(
$AE95=15,"Not Started",
$AG95&lt;15,"In Progress",
$AG95=15,"Completed",
SUM(AE95:AG95)&gt;15,"Error"
)</f>
        <v>In Progress</v>
      </c>
    </row>
    <row r="96" spans="1:34" ht="15.5" x14ac:dyDescent="0.25">
      <c r="A96" s="248"/>
      <c r="B96" s="100">
        <v>93</v>
      </c>
      <c r="C96" s="14" t="s">
        <v>1751</v>
      </c>
      <c r="D96" s="53" t="s">
        <v>6023</v>
      </c>
      <c r="E96" s="57" t="s">
        <v>7691</v>
      </c>
      <c r="F96" s="7" t="s">
        <v>51</v>
      </c>
      <c r="G96" s="7" t="s">
        <v>44</v>
      </c>
      <c r="H96" s="7" t="s">
        <v>6206</v>
      </c>
      <c r="I96" s="7" t="s">
        <v>6206</v>
      </c>
      <c r="J96" s="7" t="s">
        <v>7943</v>
      </c>
      <c r="K96" s="7" t="s">
        <v>6139</v>
      </c>
      <c r="L96" s="7">
        <v>10052740227</v>
      </c>
      <c r="M96" s="7"/>
      <c r="N96" s="231">
        <v>46151</v>
      </c>
      <c r="O96" s="232" t="s">
        <v>11</v>
      </c>
      <c r="P96" s="232" t="s">
        <v>11</v>
      </c>
      <c r="Q96" s="232" t="s">
        <v>11</v>
      </c>
      <c r="R96" s="232" t="s">
        <v>11</v>
      </c>
      <c r="S96" s="232" t="s">
        <v>9</v>
      </c>
      <c r="T96" s="232" t="s">
        <v>9</v>
      </c>
      <c r="U96" s="232" t="s">
        <v>9</v>
      </c>
      <c r="V96" s="232" t="s">
        <v>9</v>
      </c>
      <c r="W96" s="232" t="s">
        <v>9</v>
      </c>
      <c r="X96" s="232" t="s">
        <v>9</v>
      </c>
      <c r="Y96" s="232" t="s">
        <v>9</v>
      </c>
      <c r="Z96" s="232" t="s">
        <v>9</v>
      </c>
      <c r="AA96" s="232" t="s">
        <v>9</v>
      </c>
      <c r="AB96" s="232" t="s">
        <v>9</v>
      </c>
      <c r="AC96" s="232" t="s">
        <v>9</v>
      </c>
      <c r="AD96" s="232" t="s">
        <v>9</v>
      </c>
      <c r="AE96" s="24">
        <f t="shared" si="6"/>
        <v>11</v>
      </c>
      <c r="AF96" s="24">
        <f t="shared" si="7"/>
        <v>0</v>
      </c>
      <c r="AG96" s="24">
        <f t="shared" si="8"/>
        <v>4</v>
      </c>
      <c r="AH96" s="41" t="str" cm="1">
        <f t="array" ref="AH96">_xlfn.IFS(
$AE96=15,"Not Started",
$AG96&lt;15,"In Progress",
$AG96=15,"Completed",
SUM(AE96:AG96)&gt;15,"Error"
)</f>
        <v>In Progress</v>
      </c>
    </row>
    <row r="97" spans="1:34" ht="15.5" x14ac:dyDescent="0.25">
      <c r="A97" s="248"/>
      <c r="B97" s="100">
        <v>94</v>
      </c>
      <c r="C97" s="7" t="s">
        <v>1752</v>
      </c>
      <c r="D97" s="53" t="s">
        <v>6024</v>
      </c>
      <c r="E97" s="57" t="s">
        <v>7692</v>
      </c>
      <c r="F97" s="7" t="s">
        <v>43</v>
      </c>
      <c r="G97" s="7" t="s">
        <v>44</v>
      </c>
      <c r="H97" s="7" t="s">
        <v>6206</v>
      </c>
      <c r="I97" s="7" t="s">
        <v>6206</v>
      </c>
      <c r="J97" s="7" t="s">
        <v>7944</v>
      </c>
      <c r="K97" s="7" t="s">
        <v>6140</v>
      </c>
      <c r="L97" s="7">
        <v>10052701096</v>
      </c>
      <c r="M97" s="7"/>
      <c r="N97" s="48"/>
      <c r="O97" s="232" t="s">
        <v>9</v>
      </c>
      <c r="P97" s="232" t="s">
        <v>9</v>
      </c>
      <c r="Q97" s="232" t="s">
        <v>9</v>
      </c>
      <c r="R97" s="232" t="s">
        <v>9</v>
      </c>
      <c r="S97" s="232" t="s">
        <v>9</v>
      </c>
      <c r="T97" s="232" t="s">
        <v>9</v>
      </c>
      <c r="U97" s="232" t="s">
        <v>9</v>
      </c>
      <c r="V97" s="232" t="s">
        <v>9</v>
      </c>
      <c r="W97" s="232" t="s">
        <v>9</v>
      </c>
      <c r="X97" s="232" t="s">
        <v>9</v>
      </c>
      <c r="Y97" s="232" t="s">
        <v>9</v>
      </c>
      <c r="Z97" s="232" t="s">
        <v>9</v>
      </c>
      <c r="AA97" s="232" t="s">
        <v>9</v>
      </c>
      <c r="AB97" s="232" t="s">
        <v>9</v>
      </c>
      <c r="AC97" s="232" t="s">
        <v>9</v>
      </c>
      <c r="AD97" s="232" t="s">
        <v>9</v>
      </c>
      <c r="AE97" s="24">
        <f t="shared" si="6"/>
        <v>15</v>
      </c>
      <c r="AF97" s="24">
        <f t="shared" si="7"/>
        <v>0</v>
      </c>
      <c r="AG97" s="24">
        <f t="shared" si="8"/>
        <v>0</v>
      </c>
      <c r="AH97" s="41" t="str" cm="1">
        <f t="array" ref="AH97">_xlfn.IFS(
$AE97=15,"Not Started",
$AG97&lt;15,"In Progress",
$AG97=15,"Completed",
SUM(AE97:AG97)&gt;15,"Error"
)</f>
        <v>Not Started</v>
      </c>
    </row>
    <row r="98" spans="1:34" ht="15.5" x14ac:dyDescent="0.25">
      <c r="A98" s="248"/>
      <c r="B98" s="100">
        <v>95</v>
      </c>
      <c r="C98" s="14" t="s">
        <v>1753</v>
      </c>
      <c r="D98" s="53" t="s">
        <v>6025</v>
      </c>
      <c r="E98" s="57" t="s">
        <v>7693</v>
      </c>
      <c r="F98" s="7" t="s">
        <v>51</v>
      </c>
      <c r="G98" s="7" t="s">
        <v>44</v>
      </c>
      <c r="H98" s="7" t="s">
        <v>6206</v>
      </c>
      <c r="I98" s="7" t="s">
        <v>6206</v>
      </c>
      <c r="J98" s="7" t="s">
        <v>7945</v>
      </c>
      <c r="K98" s="7" t="s">
        <v>6141</v>
      </c>
      <c r="L98" s="7">
        <v>10053009401</v>
      </c>
      <c r="M98" s="7"/>
      <c r="N98" s="48"/>
      <c r="O98" s="232" t="s">
        <v>9</v>
      </c>
      <c r="P98" s="232" t="s">
        <v>9</v>
      </c>
      <c r="Q98" s="232" t="s">
        <v>9</v>
      </c>
      <c r="R98" s="232" t="s">
        <v>9</v>
      </c>
      <c r="S98" s="232" t="s">
        <v>9</v>
      </c>
      <c r="T98" s="232" t="s">
        <v>9</v>
      </c>
      <c r="U98" s="232" t="s">
        <v>9</v>
      </c>
      <c r="V98" s="232" t="s">
        <v>9</v>
      </c>
      <c r="W98" s="232" t="s">
        <v>9</v>
      </c>
      <c r="X98" s="232" t="s">
        <v>9</v>
      </c>
      <c r="Y98" s="232" t="s">
        <v>9</v>
      </c>
      <c r="Z98" s="232" t="s">
        <v>9</v>
      </c>
      <c r="AA98" s="232" t="s">
        <v>9</v>
      </c>
      <c r="AB98" s="232" t="s">
        <v>9</v>
      </c>
      <c r="AC98" s="232" t="s">
        <v>9</v>
      </c>
      <c r="AD98" s="232" t="s">
        <v>9</v>
      </c>
      <c r="AE98" s="24">
        <f t="shared" si="6"/>
        <v>15</v>
      </c>
      <c r="AF98" s="24">
        <f t="shared" si="7"/>
        <v>0</v>
      </c>
      <c r="AG98" s="24">
        <f t="shared" si="8"/>
        <v>0</v>
      </c>
      <c r="AH98" s="41" t="str" cm="1">
        <f t="array" ref="AH98">_xlfn.IFS(
$AE98=15,"Not Started",
$AG98&lt;15,"In Progress",
$AG98=15,"Completed",
SUM(AE98:AG98)&gt;15,"Error"
)</f>
        <v>Not Started</v>
      </c>
    </row>
    <row r="99" spans="1:34" ht="15.5" x14ac:dyDescent="0.25">
      <c r="A99" s="248"/>
      <c r="B99" s="100">
        <v>96</v>
      </c>
      <c r="C99" s="7" t="s">
        <v>1754</v>
      </c>
      <c r="D99" s="53" t="s">
        <v>6026</v>
      </c>
      <c r="E99" s="57" t="s">
        <v>6410</v>
      </c>
      <c r="F99" s="7" t="s">
        <v>43</v>
      </c>
      <c r="G99" s="7" t="s">
        <v>44</v>
      </c>
      <c r="H99" s="7" t="s">
        <v>6206</v>
      </c>
      <c r="I99" s="7" t="s">
        <v>6206</v>
      </c>
      <c r="J99" s="7" t="s">
        <v>7946</v>
      </c>
      <c r="K99" s="7" t="s">
        <v>6142</v>
      </c>
      <c r="L99" s="7">
        <v>10052606506</v>
      </c>
      <c r="M99" s="7"/>
      <c r="N99" s="231">
        <v>46144</v>
      </c>
      <c r="O99" s="232" t="s">
        <v>11</v>
      </c>
      <c r="P99" s="232" t="s">
        <v>11</v>
      </c>
      <c r="Q99" s="232" t="s">
        <v>11</v>
      </c>
      <c r="R99" s="232" t="s">
        <v>11</v>
      </c>
      <c r="S99" s="232" t="s">
        <v>9</v>
      </c>
      <c r="T99" s="232" t="s">
        <v>9</v>
      </c>
      <c r="U99" s="232" t="s">
        <v>9</v>
      </c>
      <c r="V99" s="232" t="s">
        <v>9</v>
      </c>
      <c r="W99" s="232" t="s">
        <v>9</v>
      </c>
      <c r="X99" s="232" t="s">
        <v>9</v>
      </c>
      <c r="Y99" s="232" t="s">
        <v>9</v>
      </c>
      <c r="Z99" s="232" t="s">
        <v>9</v>
      </c>
      <c r="AA99" s="232" t="s">
        <v>9</v>
      </c>
      <c r="AB99" s="232" t="s">
        <v>9</v>
      </c>
      <c r="AC99" s="232" t="s">
        <v>9</v>
      </c>
      <c r="AD99" s="232" t="s">
        <v>9</v>
      </c>
      <c r="AE99" s="24">
        <f t="shared" si="6"/>
        <v>11</v>
      </c>
      <c r="AF99" s="24">
        <f t="shared" si="7"/>
        <v>0</v>
      </c>
      <c r="AG99" s="24">
        <f t="shared" si="8"/>
        <v>4</v>
      </c>
      <c r="AH99" s="41" t="str" cm="1">
        <f t="array" ref="AH99">_xlfn.IFS(
$AE99=15,"Not Started",
$AG99&lt;15,"In Progress",
$AG99=15,"Completed",
SUM(AE99:AG99)&gt;15,"Error"
)</f>
        <v>In Progress</v>
      </c>
    </row>
    <row r="100" spans="1:34" ht="15.5" x14ac:dyDescent="0.25">
      <c r="A100" s="248"/>
      <c r="B100" s="100">
        <v>97</v>
      </c>
      <c r="C100" s="14" t="s">
        <v>1755</v>
      </c>
      <c r="D100" s="53" t="s">
        <v>6027</v>
      </c>
      <c r="E100" s="57" t="s">
        <v>7694</v>
      </c>
      <c r="F100" s="7" t="s">
        <v>51</v>
      </c>
      <c r="G100" s="7" t="s">
        <v>48</v>
      </c>
      <c r="H100" s="7" t="s">
        <v>6206</v>
      </c>
      <c r="I100" s="7" t="s">
        <v>6206</v>
      </c>
      <c r="J100" s="7" t="s">
        <v>7947</v>
      </c>
      <c r="K100" s="7" t="s">
        <v>6143</v>
      </c>
      <c r="L100" s="7">
        <v>10052925938</v>
      </c>
      <c r="M100" s="7"/>
      <c r="N100" s="48"/>
      <c r="O100" s="232" t="s">
        <v>9</v>
      </c>
      <c r="P100" s="232" t="s">
        <v>9</v>
      </c>
      <c r="Q100" s="232" t="s">
        <v>9</v>
      </c>
      <c r="R100" s="232" t="s">
        <v>9</v>
      </c>
      <c r="S100" s="232" t="s">
        <v>9</v>
      </c>
      <c r="T100" s="232" t="s">
        <v>9</v>
      </c>
      <c r="U100" s="232" t="s">
        <v>9</v>
      </c>
      <c r="V100" s="232" t="s">
        <v>9</v>
      </c>
      <c r="W100" s="232" t="s">
        <v>9</v>
      </c>
      <c r="X100" s="232" t="s">
        <v>9</v>
      </c>
      <c r="Y100" s="232" t="s">
        <v>9</v>
      </c>
      <c r="Z100" s="232" t="s">
        <v>9</v>
      </c>
      <c r="AA100" s="232" t="s">
        <v>9</v>
      </c>
      <c r="AB100" s="232" t="s">
        <v>9</v>
      </c>
      <c r="AC100" s="232" t="s">
        <v>9</v>
      </c>
      <c r="AD100" s="232" t="s">
        <v>9</v>
      </c>
      <c r="AE100" s="24">
        <f t="shared" ref="AE100:AE131" si="9">COUNTIF(O100:AC100,$AE$2)</f>
        <v>15</v>
      </c>
      <c r="AF100" s="24">
        <f t="shared" ref="AF100:AF131" si="10">COUNTIF(O100:AC100,$AF$2)</f>
        <v>0</v>
      </c>
      <c r="AG100" s="24">
        <f t="shared" ref="AG100:AG131" si="11">COUNTIF(O100:AC100,$AG$2)</f>
        <v>0</v>
      </c>
      <c r="AH100" s="41" t="str" cm="1">
        <f t="array" ref="AH100">_xlfn.IFS(
$AE100=15,"Not Started",
$AG100&lt;15,"In Progress",
$AG100=15,"Completed",
SUM(AE100:AG100)&gt;15,"Error"
)</f>
        <v>Not Started</v>
      </c>
    </row>
    <row r="101" spans="1:34" ht="15.5" x14ac:dyDescent="0.25">
      <c r="A101" s="248"/>
      <c r="B101" s="100">
        <v>98</v>
      </c>
      <c r="C101" s="7" t="s">
        <v>1756</v>
      </c>
      <c r="D101" s="53" t="s">
        <v>6028</v>
      </c>
      <c r="E101" s="57" t="s">
        <v>7695</v>
      </c>
      <c r="F101" s="7" t="s">
        <v>9671</v>
      </c>
      <c r="G101" s="7" t="s">
        <v>48</v>
      </c>
      <c r="H101" s="7" t="s">
        <v>6206</v>
      </c>
      <c r="I101" s="7" t="s">
        <v>6206</v>
      </c>
      <c r="J101" s="7" t="s">
        <v>7948</v>
      </c>
      <c r="K101" s="7" t="s">
        <v>6144</v>
      </c>
      <c r="L101" s="7">
        <v>10052574636</v>
      </c>
      <c r="M101" s="7"/>
      <c r="N101" s="48"/>
      <c r="O101" s="232" t="s">
        <v>9</v>
      </c>
      <c r="P101" s="232" t="s">
        <v>9</v>
      </c>
      <c r="Q101" s="232" t="s">
        <v>9</v>
      </c>
      <c r="R101" s="232" t="s">
        <v>9</v>
      </c>
      <c r="S101" s="232" t="s">
        <v>9</v>
      </c>
      <c r="T101" s="232" t="s">
        <v>9</v>
      </c>
      <c r="U101" s="232" t="s">
        <v>9</v>
      </c>
      <c r="V101" s="232" t="s">
        <v>9</v>
      </c>
      <c r="W101" s="232" t="s">
        <v>9</v>
      </c>
      <c r="X101" s="232" t="s">
        <v>9</v>
      </c>
      <c r="Y101" s="232" t="s">
        <v>9</v>
      </c>
      <c r="Z101" s="232" t="s">
        <v>9</v>
      </c>
      <c r="AA101" s="232" t="s">
        <v>9</v>
      </c>
      <c r="AB101" s="232" t="s">
        <v>9</v>
      </c>
      <c r="AC101" s="232" t="s">
        <v>9</v>
      </c>
      <c r="AD101" s="232" t="s">
        <v>9</v>
      </c>
      <c r="AE101" s="24">
        <f t="shared" si="9"/>
        <v>15</v>
      </c>
      <c r="AF101" s="24">
        <f t="shared" si="10"/>
        <v>0</v>
      </c>
      <c r="AG101" s="24">
        <f t="shared" si="11"/>
        <v>0</v>
      </c>
      <c r="AH101" s="41" t="str" cm="1">
        <f t="array" ref="AH101">_xlfn.IFS(
$AE101=15,"Not Started",
$AG101&lt;15,"In Progress",
$AG101=15,"Completed",
SUM(AE101:AG101)&gt;15,"Error"
)</f>
        <v>Not Started</v>
      </c>
    </row>
    <row r="102" spans="1:34" ht="15.5" x14ac:dyDescent="0.25">
      <c r="A102" s="248"/>
      <c r="B102" s="100">
        <v>99</v>
      </c>
      <c r="C102" s="14" t="s">
        <v>1757</v>
      </c>
      <c r="D102" s="53" t="s">
        <v>6029</v>
      </c>
      <c r="E102" s="57" t="s">
        <v>7696</v>
      </c>
      <c r="F102" s="7" t="s">
        <v>9672</v>
      </c>
      <c r="G102" s="7" t="s">
        <v>48</v>
      </c>
      <c r="H102" s="7" t="s">
        <v>6206</v>
      </c>
      <c r="I102" s="7" t="s">
        <v>6206</v>
      </c>
      <c r="J102" s="7" t="s">
        <v>7949</v>
      </c>
      <c r="K102" s="7" t="s">
        <v>6145</v>
      </c>
      <c r="L102" s="7">
        <v>10052929070</v>
      </c>
      <c r="M102" s="7"/>
      <c r="N102" s="48"/>
      <c r="O102" s="232" t="s">
        <v>9</v>
      </c>
      <c r="P102" s="232" t="s">
        <v>9</v>
      </c>
      <c r="Q102" s="232" t="s">
        <v>9</v>
      </c>
      <c r="R102" s="232" t="s">
        <v>9</v>
      </c>
      <c r="S102" s="232" t="s">
        <v>9</v>
      </c>
      <c r="T102" s="232" t="s">
        <v>9</v>
      </c>
      <c r="U102" s="232" t="s">
        <v>9</v>
      </c>
      <c r="V102" s="232" t="s">
        <v>9</v>
      </c>
      <c r="W102" s="232" t="s">
        <v>9</v>
      </c>
      <c r="X102" s="232" t="s">
        <v>9</v>
      </c>
      <c r="Y102" s="232" t="s">
        <v>9</v>
      </c>
      <c r="Z102" s="232" t="s">
        <v>9</v>
      </c>
      <c r="AA102" s="232" t="s">
        <v>9</v>
      </c>
      <c r="AB102" s="232" t="s">
        <v>9</v>
      </c>
      <c r="AC102" s="232" t="s">
        <v>9</v>
      </c>
      <c r="AD102" s="232" t="s">
        <v>9</v>
      </c>
      <c r="AE102" s="24">
        <f t="shared" si="9"/>
        <v>15</v>
      </c>
      <c r="AF102" s="24">
        <f t="shared" si="10"/>
        <v>0</v>
      </c>
      <c r="AG102" s="24">
        <f t="shared" si="11"/>
        <v>0</v>
      </c>
      <c r="AH102" s="41" t="str" cm="1">
        <f t="array" ref="AH102">_xlfn.IFS(
$AE102=15,"Not Started",
$AG102&lt;15,"In Progress",
$AG102=15,"Completed",
SUM(AE102:AG102)&gt;15,"Error"
)</f>
        <v>Not Started</v>
      </c>
    </row>
    <row r="103" spans="1:34" ht="15.5" x14ac:dyDescent="0.25">
      <c r="A103" s="248"/>
      <c r="B103" s="100">
        <v>100</v>
      </c>
      <c r="C103" s="7" t="s">
        <v>1758</v>
      </c>
      <c r="D103" s="53" t="s">
        <v>6030</v>
      </c>
      <c r="E103" s="57" t="s">
        <v>7697</v>
      </c>
      <c r="F103" s="7" t="s">
        <v>43</v>
      </c>
      <c r="G103" s="7" t="s">
        <v>48</v>
      </c>
      <c r="H103" s="7" t="s">
        <v>6206</v>
      </c>
      <c r="I103" s="7" t="s">
        <v>6206</v>
      </c>
      <c r="J103" s="7" t="s">
        <v>7950</v>
      </c>
      <c r="K103" s="7" t="s">
        <v>6146</v>
      </c>
      <c r="L103" s="7">
        <v>10052574313</v>
      </c>
      <c r="M103" s="7"/>
      <c r="N103" s="48"/>
      <c r="O103" s="232" t="s">
        <v>9</v>
      </c>
      <c r="P103" s="232" t="s">
        <v>9</v>
      </c>
      <c r="Q103" s="232" t="s">
        <v>9</v>
      </c>
      <c r="R103" s="232" t="s">
        <v>9</v>
      </c>
      <c r="S103" s="232" t="s">
        <v>9</v>
      </c>
      <c r="T103" s="232" t="s">
        <v>9</v>
      </c>
      <c r="U103" s="232" t="s">
        <v>9</v>
      </c>
      <c r="V103" s="232" t="s">
        <v>9</v>
      </c>
      <c r="W103" s="232" t="s">
        <v>9</v>
      </c>
      <c r="X103" s="232" t="s">
        <v>9</v>
      </c>
      <c r="Y103" s="232" t="s">
        <v>9</v>
      </c>
      <c r="Z103" s="232" t="s">
        <v>9</v>
      </c>
      <c r="AA103" s="232" t="s">
        <v>9</v>
      </c>
      <c r="AB103" s="232" t="s">
        <v>9</v>
      </c>
      <c r="AC103" s="232" t="s">
        <v>9</v>
      </c>
      <c r="AD103" s="232" t="s">
        <v>9</v>
      </c>
      <c r="AE103" s="24">
        <f t="shared" si="9"/>
        <v>15</v>
      </c>
      <c r="AF103" s="24">
        <f t="shared" si="10"/>
        <v>0</v>
      </c>
      <c r="AG103" s="24">
        <f t="shared" si="11"/>
        <v>0</v>
      </c>
      <c r="AH103" s="41" t="str" cm="1">
        <f t="array" ref="AH103">_xlfn.IFS(
$AE103=15,"Not Started",
$AG103&lt;15,"In Progress",
$AG103=15,"Completed",
SUM(AE103:AG103)&gt;15,"Error"
)</f>
        <v>Not Started</v>
      </c>
    </row>
    <row r="104" spans="1:34" ht="15.5" x14ac:dyDescent="0.25">
      <c r="A104" s="248"/>
      <c r="B104" s="100">
        <v>101</v>
      </c>
      <c r="C104" s="14" t="s">
        <v>1759</v>
      </c>
      <c r="D104" s="53" t="s">
        <v>6031</v>
      </c>
      <c r="E104" s="57" t="s">
        <v>7698</v>
      </c>
      <c r="F104" s="7" t="s">
        <v>47</v>
      </c>
      <c r="G104" s="7" t="s">
        <v>48</v>
      </c>
      <c r="H104" s="7" t="s">
        <v>6206</v>
      </c>
      <c r="I104" s="7" t="s">
        <v>6206</v>
      </c>
      <c r="J104" s="7" t="s">
        <v>7951</v>
      </c>
      <c r="K104" s="7" t="s">
        <v>6147</v>
      </c>
      <c r="L104" s="7">
        <v>10052929356</v>
      </c>
      <c r="M104" s="7"/>
      <c r="N104" s="48"/>
      <c r="O104" s="232" t="s">
        <v>9</v>
      </c>
      <c r="P104" s="232" t="s">
        <v>9</v>
      </c>
      <c r="Q104" s="232" t="s">
        <v>9</v>
      </c>
      <c r="R104" s="232" t="s">
        <v>9</v>
      </c>
      <c r="S104" s="232" t="s">
        <v>9</v>
      </c>
      <c r="T104" s="232" t="s">
        <v>9</v>
      </c>
      <c r="U104" s="232" t="s">
        <v>9</v>
      </c>
      <c r="V104" s="232" t="s">
        <v>9</v>
      </c>
      <c r="W104" s="232" t="s">
        <v>9</v>
      </c>
      <c r="X104" s="232" t="s">
        <v>9</v>
      </c>
      <c r="Y104" s="232" t="s">
        <v>9</v>
      </c>
      <c r="Z104" s="232" t="s">
        <v>9</v>
      </c>
      <c r="AA104" s="232" t="s">
        <v>9</v>
      </c>
      <c r="AB104" s="232" t="s">
        <v>9</v>
      </c>
      <c r="AC104" s="232" t="s">
        <v>9</v>
      </c>
      <c r="AD104" s="232" t="s">
        <v>9</v>
      </c>
      <c r="AE104" s="24">
        <f t="shared" si="9"/>
        <v>15</v>
      </c>
      <c r="AF104" s="24">
        <f t="shared" si="10"/>
        <v>0</v>
      </c>
      <c r="AG104" s="24">
        <f t="shared" si="11"/>
        <v>0</v>
      </c>
      <c r="AH104" s="41" t="str" cm="1">
        <f t="array" ref="AH104">_xlfn.IFS(
$AE104=15,"Not Started",
$AG104&lt;15,"In Progress",
$AG104=15,"Completed",
SUM(AE104:AG104)&gt;15,"Error"
)</f>
        <v>Not Started</v>
      </c>
    </row>
    <row r="105" spans="1:34" ht="15.5" x14ac:dyDescent="0.25">
      <c r="A105" s="248"/>
      <c r="B105" s="100">
        <v>102</v>
      </c>
      <c r="C105" s="7" t="s">
        <v>1760</v>
      </c>
      <c r="D105" s="53" t="s">
        <v>6032</v>
      </c>
      <c r="E105" s="57" t="s">
        <v>7699</v>
      </c>
      <c r="F105" s="7" t="s">
        <v>43</v>
      </c>
      <c r="G105" s="7" t="s">
        <v>48</v>
      </c>
      <c r="H105" s="7" t="s">
        <v>6206</v>
      </c>
      <c r="I105" s="7" t="s">
        <v>6206</v>
      </c>
      <c r="J105" s="7" t="s">
        <v>7952</v>
      </c>
      <c r="K105" s="7" t="s">
        <v>6148</v>
      </c>
      <c r="L105" s="7">
        <v>10052452099</v>
      </c>
      <c r="M105" s="7"/>
      <c r="N105" s="48"/>
      <c r="O105" s="232" t="s">
        <v>9</v>
      </c>
      <c r="P105" s="232" t="s">
        <v>9</v>
      </c>
      <c r="Q105" s="232" t="s">
        <v>9</v>
      </c>
      <c r="R105" s="232" t="s">
        <v>9</v>
      </c>
      <c r="S105" s="232" t="s">
        <v>9</v>
      </c>
      <c r="T105" s="232" t="s">
        <v>9</v>
      </c>
      <c r="U105" s="232" t="s">
        <v>9</v>
      </c>
      <c r="V105" s="232" t="s">
        <v>9</v>
      </c>
      <c r="W105" s="232" t="s">
        <v>9</v>
      </c>
      <c r="X105" s="232" t="s">
        <v>9</v>
      </c>
      <c r="Y105" s="232" t="s">
        <v>9</v>
      </c>
      <c r="Z105" s="232" t="s">
        <v>9</v>
      </c>
      <c r="AA105" s="232" t="s">
        <v>9</v>
      </c>
      <c r="AB105" s="232" t="s">
        <v>9</v>
      </c>
      <c r="AC105" s="232" t="s">
        <v>9</v>
      </c>
      <c r="AD105" s="232" t="s">
        <v>9</v>
      </c>
      <c r="AE105" s="24">
        <f t="shared" si="9"/>
        <v>15</v>
      </c>
      <c r="AF105" s="24">
        <f t="shared" si="10"/>
        <v>0</v>
      </c>
      <c r="AG105" s="24">
        <f t="shared" si="11"/>
        <v>0</v>
      </c>
      <c r="AH105" s="41" t="str" cm="1">
        <f t="array" ref="AH105">_xlfn.IFS(
$AE105=15,"Not Started",
$AG105&lt;15,"In Progress",
$AG105=15,"Completed",
SUM(AE105:AG105)&gt;15,"Error"
)</f>
        <v>Not Started</v>
      </c>
    </row>
    <row r="106" spans="1:34" ht="15.5" x14ac:dyDescent="0.25">
      <c r="A106" s="248"/>
      <c r="B106" s="100">
        <v>103</v>
      </c>
      <c r="C106" s="14" t="s">
        <v>1761</v>
      </c>
      <c r="D106" s="53" t="s">
        <v>6033</v>
      </c>
      <c r="E106" s="57" t="s">
        <v>7700</v>
      </c>
      <c r="F106" s="7" t="s">
        <v>51</v>
      </c>
      <c r="G106" s="7" t="s">
        <v>48</v>
      </c>
      <c r="H106" s="7" t="s">
        <v>6206</v>
      </c>
      <c r="I106" s="7" t="s">
        <v>6206</v>
      </c>
      <c r="J106" s="7" t="s">
        <v>7953</v>
      </c>
      <c r="K106" s="7" t="s">
        <v>6149</v>
      </c>
      <c r="L106" s="7">
        <v>10052929202</v>
      </c>
      <c r="M106" s="7"/>
      <c r="N106" s="48"/>
      <c r="O106" s="232" t="s">
        <v>9</v>
      </c>
      <c r="P106" s="232" t="s">
        <v>9</v>
      </c>
      <c r="Q106" s="232" t="s">
        <v>9</v>
      </c>
      <c r="R106" s="232" t="s">
        <v>9</v>
      </c>
      <c r="S106" s="232" t="s">
        <v>9</v>
      </c>
      <c r="T106" s="232" t="s">
        <v>9</v>
      </c>
      <c r="U106" s="232" t="s">
        <v>9</v>
      </c>
      <c r="V106" s="232" t="s">
        <v>9</v>
      </c>
      <c r="W106" s="232" t="s">
        <v>9</v>
      </c>
      <c r="X106" s="232" t="s">
        <v>9</v>
      </c>
      <c r="Y106" s="232" t="s">
        <v>9</v>
      </c>
      <c r="Z106" s="232" t="s">
        <v>9</v>
      </c>
      <c r="AA106" s="232" t="s">
        <v>9</v>
      </c>
      <c r="AB106" s="232" t="s">
        <v>9</v>
      </c>
      <c r="AC106" s="232" t="s">
        <v>9</v>
      </c>
      <c r="AD106" s="232" t="s">
        <v>9</v>
      </c>
      <c r="AE106" s="24">
        <f t="shared" si="9"/>
        <v>15</v>
      </c>
      <c r="AF106" s="24">
        <f t="shared" si="10"/>
        <v>0</v>
      </c>
      <c r="AG106" s="24">
        <f t="shared" si="11"/>
        <v>0</v>
      </c>
      <c r="AH106" s="41" t="str" cm="1">
        <f t="array" ref="AH106">_xlfn.IFS(
$AE106=15,"Not Started",
$AG106&lt;15,"In Progress",
$AG106=15,"Completed",
SUM(AE106:AG106)&gt;15,"Error"
)</f>
        <v>Not Started</v>
      </c>
    </row>
    <row r="107" spans="1:34" ht="26" x14ac:dyDescent="0.25">
      <c r="A107" s="248"/>
      <c r="B107" s="100">
        <v>104</v>
      </c>
      <c r="C107" s="7" t="s">
        <v>1762</v>
      </c>
      <c r="D107" s="79" t="s">
        <v>10253</v>
      </c>
      <c r="E107" s="80" t="s">
        <v>10238</v>
      </c>
      <c r="F107" s="7" t="s">
        <v>43</v>
      </c>
      <c r="G107" s="7" t="s">
        <v>44</v>
      </c>
      <c r="H107" s="7" t="s">
        <v>6206</v>
      </c>
      <c r="I107" s="7" t="s">
        <v>6206</v>
      </c>
      <c r="J107" s="7" t="s">
        <v>7954</v>
      </c>
      <c r="K107" s="7" t="s">
        <v>7814</v>
      </c>
      <c r="L107" s="7">
        <v>10052851665</v>
      </c>
      <c r="M107" s="7"/>
      <c r="N107" s="231">
        <v>46123</v>
      </c>
      <c r="O107" s="232" t="s">
        <v>11</v>
      </c>
      <c r="P107" s="232" t="s">
        <v>11</v>
      </c>
      <c r="Q107" s="232" t="s">
        <v>11</v>
      </c>
      <c r="R107" s="232" t="s">
        <v>11</v>
      </c>
      <c r="S107" s="232" t="s">
        <v>9</v>
      </c>
      <c r="T107" s="232" t="s">
        <v>9</v>
      </c>
      <c r="U107" s="232" t="s">
        <v>9</v>
      </c>
      <c r="V107" s="232" t="s">
        <v>9</v>
      </c>
      <c r="W107" s="232" t="s">
        <v>9</v>
      </c>
      <c r="X107" s="232" t="s">
        <v>9</v>
      </c>
      <c r="Y107" s="232" t="s">
        <v>9</v>
      </c>
      <c r="Z107" s="232" t="s">
        <v>9</v>
      </c>
      <c r="AA107" s="232" t="s">
        <v>9</v>
      </c>
      <c r="AB107" s="232" t="s">
        <v>9</v>
      </c>
      <c r="AC107" s="232" t="s">
        <v>9</v>
      </c>
      <c r="AD107" s="232" t="s">
        <v>9</v>
      </c>
      <c r="AE107" s="24">
        <f t="shared" si="9"/>
        <v>11</v>
      </c>
      <c r="AF107" s="24">
        <f t="shared" si="10"/>
        <v>0</v>
      </c>
      <c r="AG107" s="24">
        <f t="shared" si="11"/>
        <v>4</v>
      </c>
      <c r="AH107" s="41" t="str" cm="1">
        <f t="array" ref="AH107">_xlfn.IFS(
$AE107=15,"Not Started",
$AG107&lt;15,"In Progress",
$AG107=15,"Completed",
SUM(AE107:AG107)&gt;15,"Error"
)</f>
        <v>In Progress</v>
      </c>
    </row>
    <row r="108" spans="1:34" ht="15.5" x14ac:dyDescent="0.25">
      <c r="A108" s="248"/>
      <c r="B108" s="100">
        <v>105</v>
      </c>
      <c r="C108" s="14" t="s">
        <v>1763</v>
      </c>
      <c r="D108" s="53" t="s">
        <v>7567</v>
      </c>
      <c r="E108" s="57" t="s">
        <v>7701</v>
      </c>
      <c r="F108" s="7" t="s">
        <v>51</v>
      </c>
      <c r="G108" s="7" t="s">
        <v>48</v>
      </c>
      <c r="H108" s="7" t="s">
        <v>6206</v>
      </c>
      <c r="I108" s="7" t="s">
        <v>6206</v>
      </c>
      <c r="J108" s="7" t="s">
        <v>7953</v>
      </c>
      <c r="K108" s="7" t="s">
        <v>7815</v>
      </c>
      <c r="L108" s="7">
        <v>10053045300</v>
      </c>
      <c r="M108" s="7"/>
      <c r="N108" s="48"/>
      <c r="O108" s="232" t="s">
        <v>9</v>
      </c>
      <c r="P108" s="232" t="s">
        <v>9</v>
      </c>
      <c r="Q108" s="232" t="s">
        <v>9</v>
      </c>
      <c r="R108" s="232" t="s">
        <v>9</v>
      </c>
      <c r="S108" s="232" t="s">
        <v>9</v>
      </c>
      <c r="T108" s="232" t="s">
        <v>9</v>
      </c>
      <c r="U108" s="232" t="s">
        <v>9</v>
      </c>
      <c r="V108" s="232" t="s">
        <v>9</v>
      </c>
      <c r="W108" s="232" t="s">
        <v>9</v>
      </c>
      <c r="X108" s="232" t="s">
        <v>9</v>
      </c>
      <c r="Y108" s="232" t="s">
        <v>9</v>
      </c>
      <c r="Z108" s="232" t="s">
        <v>9</v>
      </c>
      <c r="AA108" s="232" t="s">
        <v>9</v>
      </c>
      <c r="AB108" s="232" t="s">
        <v>9</v>
      </c>
      <c r="AC108" s="232" t="s">
        <v>9</v>
      </c>
      <c r="AD108" s="232" t="s">
        <v>9</v>
      </c>
      <c r="AE108" s="24">
        <f t="shared" si="9"/>
        <v>15</v>
      </c>
      <c r="AF108" s="24">
        <f t="shared" si="10"/>
        <v>0</v>
      </c>
      <c r="AG108" s="24">
        <f t="shared" si="11"/>
        <v>0</v>
      </c>
      <c r="AH108" s="41" t="str" cm="1">
        <f t="array" ref="AH108">_xlfn.IFS(
$AE108=15,"Not Started",
$AG108&lt;15,"In Progress",
$AG108=15,"Completed",
SUM(AE108:AG108)&gt;15,"Error"
)</f>
        <v>Not Started</v>
      </c>
    </row>
    <row r="109" spans="1:34" ht="15.5" x14ac:dyDescent="0.25">
      <c r="A109" s="248"/>
      <c r="B109" s="100">
        <v>106</v>
      </c>
      <c r="C109" s="7" t="s">
        <v>1764</v>
      </c>
      <c r="D109" s="53" t="s">
        <v>7568</v>
      </c>
      <c r="E109" s="57" t="s">
        <v>7702</v>
      </c>
      <c r="F109" s="7" t="s">
        <v>43</v>
      </c>
      <c r="G109" s="7" t="s">
        <v>44</v>
      </c>
      <c r="H109" s="7" t="s">
        <v>6206</v>
      </c>
      <c r="I109" s="7" t="s">
        <v>6206</v>
      </c>
      <c r="J109" s="7" t="s">
        <v>7955</v>
      </c>
      <c r="K109" s="7" t="s">
        <v>7816</v>
      </c>
      <c r="L109" s="7">
        <v>10052893281</v>
      </c>
      <c r="M109" s="7"/>
      <c r="N109" s="48"/>
      <c r="O109" s="232" t="s">
        <v>9</v>
      </c>
      <c r="P109" s="232" t="s">
        <v>9</v>
      </c>
      <c r="Q109" s="232" t="s">
        <v>9</v>
      </c>
      <c r="R109" s="232" t="s">
        <v>9</v>
      </c>
      <c r="S109" s="232" t="s">
        <v>9</v>
      </c>
      <c r="T109" s="232" t="s">
        <v>9</v>
      </c>
      <c r="U109" s="232" t="s">
        <v>9</v>
      </c>
      <c r="V109" s="232" t="s">
        <v>9</v>
      </c>
      <c r="W109" s="232" t="s">
        <v>9</v>
      </c>
      <c r="X109" s="232" t="s">
        <v>9</v>
      </c>
      <c r="Y109" s="232" t="s">
        <v>9</v>
      </c>
      <c r="Z109" s="232" t="s">
        <v>9</v>
      </c>
      <c r="AA109" s="232" t="s">
        <v>9</v>
      </c>
      <c r="AB109" s="232" t="s">
        <v>9</v>
      </c>
      <c r="AC109" s="232" t="s">
        <v>9</v>
      </c>
      <c r="AD109" s="232" t="s">
        <v>9</v>
      </c>
      <c r="AE109" s="24">
        <f t="shared" si="9"/>
        <v>15</v>
      </c>
      <c r="AF109" s="24">
        <f t="shared" si="10"/>
        <v>0</v>
      </c>
      <c r="AG109" s="24">
        <f t="shared" si="11"/>
        <v>0</v>
      </c>
      <c r="AH109" s="41" t="str" cm="1">
        <f t="array" ref="AH109">_xlfn.IFS(
$AE109=15,"Not Started",
$AG109&lt;15,"In Progress",
$AG109=15,"Completed",
SUM(AE109:AG109)&gt;15,"Error"
)</f>
        <v>Not Started</v>
      </c>
    </row>
    <row r="110" spans="1:34" ht="26" x14ac:dyDescent="0.25">
      <c r="A110" s="248"/>
      <c r="B110" s="100">
        <v>107</v>
      </c>
      <c r="C110" s="14" t="s">
        <v>1765</v>
      </c>
      <c r="D110" s="79" t="s">
        <v>10252</v>
      </c>
      <c r="E110" s="80" t="s">
        <v>10239</v>
      </c>
      <c r="F110" s="7" t="s">
        <v>9672</v>
      </c>
      <c r="G110" s="7" t="s">
        <v>48</v>
      </c>
      <c r="H110" s="7" t="s">
        <v>6206</v>
      </c>
      <c r="I110" s="7" t="s">
        <v>6206</v>
      </c>
      <c r="J110" s="7" t="s">
        <v>7956</v>
      </c>
      <c r="K110" s="7" t="s">
        <v>7817</v>
      </c>
      <c r="L110" s="7">
        <v>10053007327</v>
      </c>
      <c r="M110" s="7"/>
      <c r="N110" s="48"/>
      <c r="O110" s="232" t="s">
        <v>9</v>
      </c>
      <c r="P110" s="232" t="s">
        <v>9</v>
      </c>
      <c r="Q110" s="232" t="s">
        <v>9</v>
      </c>
      <c r="R110" s="232" t="s">
        <v>9</v>
      </c>
      <c r="S110" s="232" t="s">
        <v>9</v>
      </c>
      <c r="T110" s="232" t="s">
        <v>9</v>
      </c>
      <c r="U110" s="232" t="s">
        <v>9</v>
      </c>
      <c r="V110" s="232" t="s">
        <v>9</v>
      </c>
      <c r="W110" s="232" t="s">
        <v>9</v>
      </c>
      <c r="X110" s="232" t="s">
        <v>9</v>
      </c>
      <c r="Y110" s="232" t="s">
        <v>9</v>
      </c>
      <c r="Z110" s="232" t="s">
        <v>9</v>
      </c>
      <c r="AA110" s="232" t="s">
        <v>9</v>
      </c>
      <c r="AB110" s="232" t="s">
        <v>9</v>
      </c>
      <c r="AC110" s="232" t="s">
        <v>9</v>
      </c>
      <c r="AD110" s="232" t="s">
        <v>9</v>
      </c>
      <c r="AE110" s="24">
        <f t="shared" si="9"/>
        <v>15</v>
      </c>
      <c r="AF110" s="24">
        <f t="shared" si="10"/>
        <v>0</v>
      </c>
      <c r="AG110" s="24">
        <f t="shared" si="11"/>
        <v>0</v>
      </c>
      <c r="AH110" s="41" t="str" cm="1">
        <f t="array" ref="AH110">_xlfn.IFS(
$AE110=15,"Not Started",
$AG110&lt;15,"In Progress",
$AG110=15,"Completed",
SUM(AE110:AG110)&gt;15,"Error"
)</f>
        <v>Not Started</v>
      </c>
    </row>
    <row r="111" spans="1:34" ht="15.5" x14ac:dyDescent="0.25">
      <c r="A111" s="248"/>
      <c r="B111" s="100">
        <v>108</v>
      </c>
      <c r="C111" s="7" t="s">
        <v>1766</v>
      </c>
      <c r="D111" s="53" t="s">
        <v>7569</v>
      </c>
      <c r="E111" s="57" t="s">
        <v>7703</v>
      </c>
      <c r="F111" s="7" t="s">
        <v>43</v>
      </c>
      <c r="G111" s="7" t="s">
        <v>44</v>
      </c>
      <c r="H111" s="7" t="s">
        <v>6206</v>
      </c>
      <c r="I111" s="7" t="s">
        <v>6206</v>
      </c>
      <c r="J111" s="7" t="s">
        <v>7957</v>
      </c>
      <c r="K111" s="7" t="s">
        <v>7818</v>
      </c>
      <c r="L111" s="7">
        <v>10053050195</v>
      </c>
      <c r="M111" s="7"/>
      <c r="N111" s="231">
        <v>46118</v>
      </c>
      <c r="O111" s="232" t="s">
        <v>11</v>
      </c>
      <c r="P111" s="232" t="s">
        <v>11</v>
      </c>
      <c r="Q111" s="232" t="s">
        <v>11</v>
      </c>
      <c r="R111" s="232" t="s">
        <v>11</v>
      </c>
      <c r="S111" s="232" t="s">
        <v>9</v>
      </c>
      <c r="T111" s="232" t="s">
        <v>9</v>
      </c>
      <c r="U111" s="232" t="s">
        <v>9</v>
      </c>
      <c r="V111" s="232" t="s">
        <v>9</v>
      </c>
      <c r="W111" s="232" t="s">
        <v>9</v>
      </c>
      <c r="X111" s="232" t="s">
        <v>9</v>
      </c>
      <c r="Y111" s="232" t="s">
        <v>9</v>
      </c>
      <c r="Z111" s="232" t="s">
        <v>9</v>
      </c>
      <c r="AA111" s="232" t="s">
        <v>9</v>
      </c>
      <c r="AB111" s="232" t="s">
        <v>9</v>
      </c>
      <c r="AC111" s="232" t="s">
        <v>9</v>
      </c>
      <c r="AD111" s="232" t="s">
        <v>9</v>
      </c>
      <c r="AE111" s="24">
        <f t="shared" si="9"/>
        <v>11</v>
      </c>
      <c r="AF111" s="24">
        <f t="shared" si="10"/>
        <v>0</v>
      </c>
      <c r="AG111" s="24">
        <f t="shared" si="11"/>
        <v>4</v>
      </c>
      <c r="AH111" s="41" t="str" cm="1">
        <f t="array" ref="AH111">_xlfn.IFS(
$AE111=15,"Not Started",
$AG111&lt;15,"In Progress",
$AG111=15,"Completed",
SUM(AE111:AG111)&gt;15,"Error"
)</f>
        <v>In Progress</v>
      </c>
    </row>
    <row r="112" spans="1:34" ht="15.5" x14ac:dyDescent="0.25">
      <c r="A112" s="248"/>
      <c r="B112" s="100">
        <v>109</v>
      </c>
      <c r="C112" s="14" t="s">
        <v>1767</v>
      </c>
      <c r="D112" s="53" t="s">
        <v>6034</v>
      </c>
      <c r="E112" s="57" t="s">
        <v>7704</v>
      </c>
      <c r="F112" s="7" t="s">
        <v>43</v>
      </c>
      <c r="G112" s="7" t="s">
        <v>48</v>
      </c>
      <c r="H112" s="7" t="s">
        <v>6206</v>
      </c>
      <c r="I112" s="7" t="s">
        <v>6206</v>
      </c>
      <c r="J112" s="7" t="s">
        <v>7958</v>
      </c>
      <c r="K112" s="7" t="s">
        <v>6150</v>
      </c>
      <c r="L112" s="7">
        <v>10053092284</v>
      </c>
      <c r="M112" s="7"/>
      <c r="N112" s="48"/>
      <c r="O112" s="232" t="s">
        <v>9</v>
      </c>
      <c r="P112" s="232" t="s">
        <v>9</v>
      </c>
      <c r="Q112" s="232" t="s">
        <v>9</v>
      </c>
      <c r="R112" s="232" t="s">
        <v>9</v>
      </c>
      <c r="S112" s="232" t="s">
        <v>9</v>
      </c>
      <c r="T112" s="232" t="s">
        <v>9</v>
      </c>
      <c r="U112" s="232" t="s">
        <v>9</v>
      </c>
      <c r="V112" s="232" t="s">
        <v>9</v>
      </c>
      <c r="W112" s="232" t="s">
        <v>9</v>
      </c>
      <c r="X112" s="232" t="s">
        <v>9</v>
      </c>
      <c r="Y112" s="232" t="s">
        <v>9</v>
      </c>
      <c r="Z112" s="232" t="s">
        <v>9</v>
      </c>
      <c r="AA112" s="232" t="s">
        <v>9</v>
      </c>
      <c r="AB112" s="232" t="s">
        <v>9</v>
      </c>
      <c r="AC112" s="232" t="s">
        <v>9</v>
      </c>
      <c r="AD112" s="232" t="s">
        <v>9</v>
      </c>
      <c r="AE112" s="24">
        <f t="shared" si="9"/>
        <v>15</v>
      </c>
      <c r="AF112" s="24">
        <f t="shared" si="10"/>
        <v>0</v>
      </c>
      <c r="AG112" s="24">
        <f t="shared" si="11"/>
        <v>0</v>
      </c>
      <c r="AH112" s="41" t="str" cm="1">
        <f t="array" ref="AH112">_xlfn.IFS(
$AE112=15,"Not Started",
$AG112&lt;15,"In Progress",
$AG112=15,"Completed",
SUM(AE112:AG112)&gt;15,"Error"
)</f>
        <v>Not Started</v>
      </c>
    </row>
    <row r="113" spans="1:34" ht="15.5" x14ac:dyDescent="0.25">
      <c r="A113" s="248"/>
      <c r="B113" s="100">
        <v>110</v>
      </c>
      <c r="C113" s="7" t="s">
        <v>1768</v>
      </c>
      <c r="D113" s="53" t="s">
        <v>6035</v>
      </c>
      <c r="E113" s="57" t="s">
        <v>7705</v>
      </c>
      <c r="F113" s="7" t="s">
        <v>47</v>
      </c>
      <c r="G113" s="7" t="s">
        <v>44</v>
      </c>
      <c r="H113" s="7" t="s">
        <v>6206</v>
      </c>
      <c r="I113" s="7" t="s">
        <v>6206</v>
      </c>
      <c r="J113" s="7" t="s">
        <v>7959</v>
      </c>
      <c r="K113" s="7" t="s">
        <v>6151</v>
      </c>
      <c r="L113" s="7">
        <v>10052448837</v>
      </c>
      <c r="M113" s="7"/>
      <c r="N113" s="48"/>
      <c r="O113" s="232" t="s">
        <v>9</v>
      </c>
      <c r="P113" s="232" t="s">
        <v>9</v>
      </c>
      <c r="Q113" s="232" t="s">
        <v>9</v>
      </c>
      <c r="R113" s="232" t="s">
        <v>9</v>
      </c>
      <c r="S113" s="232" t="s">
        <v>9</v>
      </c>
      <c r="T113" s="232" t="s">
        <v>9</v>
      </c>
      <c r="U113" s="232" t="s">
        <v>9</v>
      </c>
      <c r="V113" s="232" t="s">
        <v>9</v>
      </c>
      <c r="W113" s="232" t="s">
        <v>9</v>
      </c>
      <c r="X113" s="232" t="s">
        <v>9</v>
      </c>
      <c r="Y113" s="232" t="s">
        <v>9</v>
      </c>
      <c r="Z113" s="232" t="s">
        <v>9</v>
      </c>
      <c r="AA113" s="232" t="s">
        <v>9</v>
      </c>
      <c r="AB113" s="232" t="s">
        <v>9</v>
      </c>
      <c r="AC113" s="232" t="s">
        <v>9</v>
      </c>
      <c r="AD113" s="232" t="s">
        <v>9</v>
      </c>
      <c r="AE113" s="24">
        <f t="shared" si="9"/>
        <v>15</v>
      </c>
      <c r="AF113" s="24">
        <f t="shared" si="10"/>
        <v>0</v>
      </c>
      <c r="AG113" s="24">
        <f t="shared" si="11"/>
        <v>0</v>
      </c>
      <c r="AH113" s="41" t="str" cm="1">
        <f t="array" ref="AH113">_xlfn.IFS(
$AE113=15,"Not Started",
$AG113&lt;15,"In Progress",
$AG113=15,"Completed",
SUM(AE113:AG113)&gt;15,"Error"
)</f>
        <v>Not Started</v>
      </c>
    </row>
    <row r="114" spans="1:34" ht="15.5" x14ac:dyDescent="0.25">
      <c r="A114" s="248"/>
      <c r="B114" s="100">
        <v>111</v>
      </c>
      <c r="C114" s="14" t="s">
        <v>1769</v>
      </c>
      <c r="D114" s="53" t="s">
        <v>6036</v>
      </c>
      <c r="E114" s="57" t="s">
        <v>7706</v>
      </c>
      <c r="F114" s="7" t="s">
        <v>51</v>
      </c>
      <c r="G114" s="7" t="s">
        <v>48</v>
      </c>
      <c r="H114" s="7" t="s">
        <v>6206</v>
      </c>
      <c r="I114" s="7" t="s">
        <v>6206</v>
      </c>
      <c r="J114" s="7" t="s">
        <v>7960</v>
      </c>
      <c r="K114" s="7" t="s">
        <v>6152</v>
      </c>
      <c r="L114" s="7">
        <v>10052485026</v>
      </c>
      <c r="M114" s="7"/>
      <c r="N114" s="231">
        <v>46151</v>
      </c>
      <c r="O114" s="232" t="s">
        <v>11</v>
      </c>
      <c r="P114" s="232" t="s">
        <v>11</v>
      </c>
      <c r="Q114" s="232" t="s">
        <v>11</v>
      </c>
      <c r="R114" s="232" t="s">
        <v>11</v>
      </c>
      <c r="S114" s="232" t="s">
        <v>9</v>
      </c>
      <c r="T114" s="232" t="s">
        <v>9</v>
      </c>
      <c r="U114" s="232" t="s">
        <v>9</v>
      </c>
      <c r="V114" s="232" t="s">
        <v>9</v>
      </c>
      <c r="W114" s="232" t="s">
        <v>9</v>
      </c>
      <c r="X114" s="232" t="s">
        <v>9</v>
      </c>
      <c r="Y114" s="232" t="s">
        <v>9</v>
      </c>
      <c r="Z114" s="232" t="s">
        <v>9</v>
      </c>
      <c r="AA114" s="232" t="s">
        <v>9</v>
      </c>
      <c r="AB114" s="232" t="s">
        <v>9</v>
      </c>
      <c r="AC114" s="232" t="s">
        <v>9</v>
      </c>
      <c r="AD114" s="232" t="s">
        <v>9</v>
      </c>
      <c r="AE114" s="24">
        <f t="shared" si="9"/>
        <v>11</v>
      </c>
      <c r="AF114" s="24">
        <f t="shared" si="10"/>
        <v>0</v>
      </c>
      <c r="AG114" s="24">
        <f t="shared" si="11"/>
        <v>4</v>
      </c>
      <c r="AH114" s="41" t="str" cm="1">
        <f t="array" ref="AH114">_xlfn.IFS(
$AE114=15,"Not Started",
$AG114&lt;15,"In Progress",
$AG114=15,"Completed",
SUM(AE114:AG114)&gt;15,"Error"
)</f>
        <v>In Progress</v>
      </c>
    </row>
    <row r="115" spans="1:34" ht="15.5" x14ac:dyDescent="0.25">
      <c r="A115" s="248"/>
      <c r="B115" s="100">
        <v>112</v>
      </c>
      <c r="C115" s="7" t="s">
        <v>1770</v>
      </c>
      <c r="D115" s="53" t="s">
        <v>6037</v>
      </c>
      <c r="E115" s="57" t="s">
        <v>7707</v>
      </c>
      <c r="F115" s="7" t="s">
        <v>9672</v>
      </c>
      <c r="G115" s="7" t="s">
        <v>48</v>
      </c>
      <c r="H115" s="7" t="s">
        <v>6206</v>
      </c>
      <c r="I115" s="7" t="s">
        <v>6206</v>
      </c>
      <c r="J115" s="7" t="s">
        <v>7961</v>
      </c>
      <c r="K115" s="7" t="s">
        <v>6153</v>
      </c>
      <c r="L115" s="7">
        <v>10082475817</v>
      </c>
      <c r="M115" s="7"/>
      <c r="N115" s="48"/>
      <c r="O115" s="232" t="s">
        <v>9</v>
      </c>
      <c r="P115" s="232" t="s">
        <v>9</v>
      </c>
      <c r="Q115" s="232" t="s">
        <v>9</v>
      </c>
      <c r="R115" s="232" t="s">
        <v>9</v>
      </c>
      <c r="S115" s="232" t="s">
        <v>9</v>
      </c>
      <c r="T115" s="232" t="s">
        <v>9</v>
      </c>
      <c r="U115" s="232" t="s">
        <v>9</v>
      </c>
      <c r="V115" s="232" t="s">
        <v>9</v>
      </c>
      <c r="W115" s="232" t="s">
        <v>9</v>
      </c>
      <c r="X115" s="232" t="s">
        <v>9</v>
      </c>
      <c r="Y115" s="232" t="s">
        <v>9</v>
      </c>
      <c r="Z115" s="232" t="s">
        <v>9</v>
      </c>
      <c r="AA115" s="232" t="s">
        <v>9</v>
      </c>
      <c r="AB115" s="232" t="s">
        <v>9</v>
      </c>
      <c r="AC115" s="232" t="s">
        <v>9</v>
      </c>
      <c r="AD115" s="232" t="s">
        <v>9</v>
      </c>
      <c r="AE115" s="24">
        <f t="shared" si="9"/>
        <v>15</v>
      </c>
      <c r="AF115" s="24">
        <f t="shared" si="10"/>
        <v>0</v>
      </c>
      <c r="AG115" s="24">
        <f t="shared" si="11"/>
        <v>0</v>
      </c>
      <c r="AH115" s="41" t="str" cm="1">
        <f t="array" ref="AH115">_xlfn.IFS(
$AE115=15,"Not Started",
$AG115&lt;15,"In Progress",
$AG115=15,"Completed",
SUM(AE115:AG115)&gt;15,"Error"
)</f>
        <v>Not Started</v>
      </c>
    </row>
    <row r="116" spans="1:34" ht="15.5" x14ac:dyDescent="0.25">
      <c r="A116" s="248"/>
      <c r="B116" s="100">
        <v>113</v>
      </c>
      <c r="C116" s="14" t="s">
        <v>1771</v>
      </c>
      <c r="D116" s="53" t="s">
        <v>6038</v>
      </c>
      <c r="E116" s="57" t="s">
        <v>7708</v>
      </c>
      <c r="F116" s="7" t="s">
        <v>9671</v>
      </c>
      <c r="G116" s="7" t="s">
        <v>48</v>
      </c>
      <c r="H116" s="7" t="s">
        <v>6206</v>
      </c>
      <c r="I116" s="7" t="s">
        <v>6206</v>
      </c>
      <c r="J116" s="7" t="s">
        <v>7962</v>
      </c>
      <c r="K116" s="7" t="s">
        <v>6154</v>
      </c>
      <c r="L116" s="7">
        <v>10053093675</v>
      </c>
      <c r="M116" s="7"/>
      <c r="N116" s="48"/>
      <c r="O116" s="232" t="s">
        <v>9</v>
      </c>
      <c r="P116" s="232" t="s">
        <v>9</v>
      </c>
      <c r="Q116" s="232" t="s">
        <v>9</v>
      </c>
      <c r="R116" s="232" t="s">
        <v>9</v>
      </c>
      <c r="S116" s="232" t="s">
        <v>9</v>
      </c>
      <c r="T116" s="232" t="s">
        <v>9</v>
      </c>
      <c r="U116" s="232" t="s">
        <v>9</v>
      </c>
      <c r="V116" s="232" t="s">
        <v>9</v>
      </c>
      <c r="W116" s="232" t="s">
        <v>9</v>
      </c>
      <c r="X116" s="232" t="s">
        <v>9</v>
      </c>
      <c r="Y116" s="232" t="s">
        <v>9</v>
      </c>
      <c r="Z116" s="232" t="s">
        <v>9</v>
      </c>
      <c r="AA116" s="232" t="s">
        <v>9</v>
      </c>
      <c r="AB116" s="232" t="s">
        <v>9</v>
      </c>
      <c r="AC116" s="232" t="s">
        <v>9</v>
      </c>
      <c r="AD116" s="232" t="s">
        <v>9</v>
      </c>
      <c r="AE116" s="24">
        <f t="shared" si="9"/>
        <v>15</v>
      </c>
      <c r="AF116" s="24">
        <f t="shared" si="10"/>
        <v>0</v>
      </c>
      <c r="AG116" s="24">
        <f t="shared" si="11"/>
        <v>0</v>
      </c>
      <c r="AH116" s="41" t="str" cm="1">
        <f t="array" ref="AH116">_xlfn.IFS(
$AE116=15,"Not Started",
$AG116&lt;15,"In Progress",
$AG116=15,"Completed",
SUM(AE116:AG116)&gt;15,"Error"
)</f>
        <v>Not Started</v>
      </c>
    </row>
    <row r="117" spans="1:34" ht="15.5" x14ac:dyDescent="0.25">
      <c r="A117" s="248"/>
      <c r="B117" s="100">
        <v>114</v>
      </c>
      <c r="C117" s="7" t="s">
        <v>1772</v>
      </c>
      <c r="D117" s="53" t="s">
        <v>7570</v>
      </c>
      <c r="E117" s="57" t="s">
        <v>7709</v>
      </c>
      <c r="F117" s="7" t="s">
        <v>51</v>
      </c>
      <c r="G117" s="7" t="s">
        <v>44</v>
      </c>
      <c r="H117" s="7" t="s">
        <v>6206</v>
      </c>
      <c r="I117" s="7" t="s">
        <v>6206</v>
      </c>
      <c r="J117" s="7" t="s">
        <v>7963</v>
      </c>
      <c r="K117" s="7" t="s">
        <v>7819</v>
      </c>
      <c r="L117" s="7">
        <v>10052892695</v>
      </c>
      <c r="M117" s="7"/>
      <c r="N117" s="48"/>
      <c r="O117" s="232" t="s">
        <v>9</v>
      </c>
      <c r="P117" s="232" t="s">
        <v>9</v>
      </c>
      <c r="Q117" s="232" t="s">
        <v>9</v>
      </c>
      <c r="R117" s="232" t="s">
        <v>9</v>
      </c>
      <c r="S117" s="232" t="s">
        <v>9</v>
      </c>
      <c r="T117" s="232" t="s">
        <v>9</v>
      </c>
      <c r="U117" s="232" t="s">
        <v>9</v>
      </c>
      <c r="V117" s="232" t="s">
        <v>9</v>
      </c>
      <c r="W117" s="232" t="s">
        <v>9</v>
      </c>
      <c r="X117" s="232" t="s">
        <v>9</v>
      </c>
      <c r="Y117" s="232" t="s">
        <v>9</v>
      </c>
      <c r="Z117" s="232" t="s">
        <v>9</v>
      </c>
      <c r="AA117" s="232" t="s">
        <v>9</v>
      </c>
      <c r="AB117" s="232" t="s">
        <v>9</v>
      </c>
      <c r="AC117" s="232" t="s">
        <v>9</v>
      </c>
      <c r="AD117" s="232" t="s">
        <v>9</v>
      </c>
      <c r="AE117" s="24">
        <f t="shared" si="9"/>
        <v>15</v>
      </c>
      <c r="AF117" s="24">
        <f t="shared" si="10"/>
        <v>0</v>
      </c>
      <c r="AG117" s="24">
        <f t="shared" si="11"/>
        <v>0</v>
      </c>
      <c r="AH117" s="41" t="str" cm="1">
        <f t="array" ref="AH117">_xlfn.IFS(
$AE117=15,"Not Started",
$AG117&lt;15,"In Progress",
$AG117=15,"Completed",
SUM(AE117:AG117)&gt;15,"Error"
)</f>
        <v>Not Started</v>
      </c>
    </row>
    <row r="118" spans="1:34" ht="26" x14ac:dyDescent="0.25">
      <c r="A118" s="248"/>
      <c r="B118" s="100">
        <v>115</v>
      </c>
      <c r="C118" s="14" t="s">
        <v>1773</v>
      </c>
      <c r="D118" s="79" t="s">
        <v>10251</v>
      </c>
      <c r="E118" s="80" t="s">
        <v>10240</v>
      </c>
      <c r="F118" s="7" t="s">
        <v>43</v>
      </c>
      <c r="G118" s="7" t="s">
        <v>44</v>
      </c>
      <c r="H118" s="7" t="s">
        <v>6206</v>
      </c>
      <c r="I118" s="7" t="s">
        <v>6206</v>
      </c>
      <c r="J118" s="7" t="s">
        <v>7964</v>
      </c>
      <c r="K118" s="7" t="s">
        <v>6155</v>
      </c>
      <c r="L118" s="7">
        <v>10052606195</v>
      </c>
      <c r="M118" s="7"/>
      <c r="N118" s="48"/>
      <c r="O118" s="232" t="s">
        <v>9</v>
      </c>
      <c r="P118" s="232" t="s">
        <v>9</v>
      </c>
      <c r="Q118" s="232" t="s">
        <v>9</v>
      </c>
      <c r="R118" s="232" t="s">
        <v>9</v>
      </c>
      <c r="S118" s="232" t="s">
        <v>9</v>
      </c>
      <c r="T118" s="232" t="s">
        <v>9</v>
      </c>
      <c r="U118" s="232" t="s">
        <v>9</v>
      </c>
      <c r="V118" s="232" t="s">
        <v>9</v>
      </c>
      <c r="W118" s="232" t="s">
        <v>9</v>
      </c>
      <c r="X118" s="232" t="s">
        <v>9</v>
      </c>
      <c r="Y118" s="232" t="s">
        <v>9</v>
      </c>
      <c r="Z118" s="232" t="s">
        <v>9</v>
      </c>
      <c r="AA118" s="232" t="s">
        <v>9</v>
      </c>
      <c r="AB118" s="232" t="s">
        <v>9</v>
      </c>
      <c r="AC118" s="232" t="s">
        <v>9</v>
      </c>
      <c r="AD118" s="232" t="s">
        <v>9</v>
      </c>
      <c r="AE118" s="24">
        <f t="shared" si="9"/>
        <v>15</v>
      </c>
      <c r="AF118" s="24">
        <f t="shared" si="10"/>
        <v>0</v>
      </c>
      <c r="AG118" s="24">
        <f t="shared" si="11"/>
        <v>0</v>
      </c>
      <c r="AH118" s="41" t="str" cm="1">
        <f t="array" ref="AH118">_xlfn.IFS(
$AE118=15,"Not Started",
$AG118&lt;15,"In Progress",
$AG118=15,"Completed",
SUM(AE118:AG118)&gt;15,"Error"
)</f>
        <v>Not Started</v>
      </c>
    </row>
    <row r="119" spans="1:34" ht="15.5" x14ac:dyDescent="0.25">
      <c r="A119" s="248"/>
      <c r="B119" s="100">
        <v>116</v>
      </c>
      <c r="C119" s="7" t="s">
        <v>1774</v>
      </c>
      <c r="D119" s="53" t="s">
        <v>7571</v>
      </c>
      <c r="E119" s="57" t="s">
        <v>7710</v>
      </c>
      <c r="F119" s="7" t="s">
        <v>47</v>
      </c>
      <c r="G119" s="7" t="s">
        <v>44</v>
      </c>
      <c r="H119" s="7" t="s">
        <v>6206</v>
      </c>
      <c r="I119" s="7" t="s">
        <v>6206</v>
      </c>
      <c r="J119" s="7" t="s">
        <v>7965</v>
      </c>
      <c r="K119" s="7" t="s">
        <v>7820</v>
      </c>
      <c r="L119" s="7">
        <v>10052528114</v>
      </c>
      <c r="M119" s="7"/>
      <c r="N119" s="48"/>
      <c r="O119" s="232" t="s">
        <v>9</v>
      </c>
      <c r="P119" s="232" t="s">
        <v>9</v>
      </c>
      <c r="Q119" s="232" t="s">
        <v>9</v>
      </c>
      <c r="R119" s="232" t="s">
        <v>9</v>
      </c>
      <c r="S119" s="232" t="s">
        <v>9</v>
      </c>
      <c r="T119" s="232" t="s">
        <v>9</v>
      </c>
      <c r="U119" s="232" t="s">
        <v>9</v>
      </c>
      <c r="V119" s="232" t="s">
        <v>9</v>
      </c>
      <c r="W119" s="232" t="s">
        <v>9</v>
      </c>
      <c r="X119" s="232" t="s">
        <v>9</v>
      </c>
      <c r="Y119" s="232" t="s">
        <v>9</v>
      </c>
      <c r="Z119" s="232" t="s">
        <v>9</v>
      </c>
      <c r="AA119" s="232" t="s">
        <v>9</v>
      </c>
      <c r="AB119" s="232" t="s">
        <v>9</v>
      </c>
      <c r="AC119" s="232" t="s">
        <v>9</v>
      </c>
      <c r="AD119" s="232" t="s">
        <v>9</v>
      </c>
      <c r="AE119" s="24">
        <f t="shared" si="9"/>
        <v>15</v>
      </c>
      <c r="AF119" s="24">
        <f t="shared" si="10"/>
        <v>0</v>
      </c>
      <c r="AG119" s="24">
        <f t="shared" si="11"/>
        <v>0</v>
      </c>
      <c r="AH119" s="41" t="str" cm="1">
        <f t="array" ref="AH119">_xlfn.IFS(
$AE119=15,"Not Started",
$AG119&lt;15,"In Progress",
$AG119=15,"Completed",
SUM(AE119:AG119)&gt;15,"Error"
)</f>
        <v>Not Started</v>
      </c>
    </row>
    <row r="120" spans="1:34" ht="15.5" x14ac:dyDescent="0.25">
      <c r="A120" s="248"/>
      <c r="B120" s="100">
        <v>117</v>
      </c>
      <c r="C120" s="14" t="s">
        <v>1775</v>
      </c>
      <c r="D120" s="53" t="s">
        <v>6039</v>
      </c>
      <c r="E120" s="57" t="s">
        <v>7711</v>
      </c>
      <c r="F120" s="7" t="s">
        <v>51</v>
      </c>
      <c r="G120" s="7" t="s">
        <v>44</v>
      </c>
      <c r="H120" s="7" t="s">
        <v>6206</v>
      </c>
      <c r="I120" s="7" t="s">
        <v>6206</v>
      </c>
      <c r="J120" s="7" t="s">
        <v>7966</v>
      </c>
      <c r="K120" s="7" t="s">
        <v>6156</v>
      </c>
      <c r="L120" s="7">
        <v>10052892111</v>
      </c>
      <c r="M120" s="7"/>
      <c r="N120" s="48"/>
      <c r="O120" s="232" t="s">
        <v>9</v>
      </c>
      <c r="P120" s="232" t="s">
        <v>9</v>
      </c>
      <c r="Q120" s="232" t="s">
        <v>9</v>
      </c>
      <c r="R120" s="232" t="s">
        <v>9</v>
      </c>
      <c r="S120" s="232" t="s">
        <v>9</v>
      </c>
      <c r="T120" s="232" t="s">
        <v>9</v>
      </c>
      <c r="U120" s="232" t="s">
        <v>9</v>
      </c>
      <c r="V120" s="232" t="s">
        <v>9</v>
      </c>
      <c r="W120" s="232" t="s">
        <v>9</v>
      </c>
      <c r="X120" s="232" t="s">
        <v>9</v>
      </c>
      <c r="Y120" s="232" t="s">
        <v>9</v>
      </c>
      <c r="Z120" s="232" t="s">
        <v>9</v>
      </c>
      <c r="AA120" s="232" t="s">
        <v>9</v>
      </c>
      <c r="AB120" s="232" t="s">
        <v>9</v>
      </c>
      <c r="AC120" s="232" t="s">
        <v>9</v>
      </c>
      <c r="AD120" s="232" t="s">
        <v>9</v>
      </c>
      <c r="AE120" s="24">
        <f t="shared" si="9"/>
        <v>15</v>
      </c>
      <c r="AF120" s="24">
        <f t="shared" si="10"/>
        <v>0</v>
      </c>
      <c r="AG120" s="24">
        <f t="shared" si="11"/>
        <v>0</v>
      </c>
      <c r="AH120" s="41" t="str" cm="1">
        <f t="array" ref="AH120">_xlfn.IFS(
$AE120=15,"Not Started",
$AG120&lt;15,"In Progress",
$AG120=15,"Completed",
SUM(AE120:AG120)&gt;15,"Error"
)</f>
        <v>Not Started</v>
      </c>
    </row>
    <row r="121" spans="1:34" ht="15.5" x14ac:dyDescent="0.25">
      <c r="A121" s="248"/>
      <c r="B121" s="100">
        <v>118</v>
      </c>
      <c r="C121" s="7" t="s">
        <v>1776</v>
      </c>
      <c r="D121" s="53" t="s">
        <v>6040</v>
      </c>
      <c r="E121" s="57" t="s">
        <v>7712</v>
      </c>
      <c r="F121" s="7" t="s">
        <v>43</v>
      </c>
      <c r="G121" s="7" t="s">
        <v>44</v>
      </c>
      <c r="H121" s="7" t="s">
        <v>6206</v>
      </c>
      <c r="I121" s="7" t="s">
        <v>6206</v>
      </c>
      <c r="J121" s="7" t="s">
        <v>7967</v>
      </c>
      <c r="K121" s="7" t="s">
        <v>6157</v>
      </c>
      <c r="L121" s="7">
        <v>10052737830</v>
      </c>
      <c r="M121" s="7"/>
      <c r="N121" s="48"/>
      <c r="O121" s="232" t="s">
        <v>9</v>
      </c>
      <c r="P121" s="232" t="s">
        <v>9</v>
      </c>
      <c r="Q121" s="232" t="s">
        <v>9</v>
      </c>
      <c r="R121" s="232" t="s">
        <v>9</v>
      </c>
      <c r="S121" s="232" t="s">
        <v>9</v>
      </c>
      <c r="T121" s="232" t="s">
        <v>9</v>
      </c>
      <c r="U121" s="232" t="s">
        <v>9</v>
      </c>
      <c r="V121" s="232" t="s">
        <v>9</v>
      </c>
      <c r="W121" s="232" t="s">
        <v>9</v>
      </c>
      <c r="X121" s="232" t="s">
        <v>9</v>
      </c>
      <c r="Y121" s="232" t="s">
        <v>9</v>
      </c>
      <c r="Z121" s="232" t="s">
        <v>9</v>
      </c>
      <c r="AA121" s="232" t="s">
        <v>9</v>
      </c>
      <c r="AB121" s="232" t="s">
        <v>9</v>
      </c>
      <c r="AC121" s="232" t="s">
        <v>9</v>
      </c>
      <c r="AD121" s="232" t="s">
        <v>9</v>
      </c>
      <c r="AE121" s="24">
        <f t="shared" si="9"/>
        <v>15</v>
      </c>
      <c r="AF121" s="24">
        <f t="shared" si="10"/>
        <v>0</v>
      </c>
      <c r="AG121" s="24">
        <f t="shared" si="11"/>
        <v>0</v>
      </c>
      <c r="AH121" s="41" t="str" cm="1">
        <f t="array" ref="AH121">_xlfn.IFS(
$AE121=15,"Not Started",
$AG121&lt;15,"In Progress",
$AG121=15,"Completed",
SUM(AE121:AG121)&gt;15,"Error"
)</f>
        <v>Not Started</v>
      </c>
    </row>
    <row r="122" spans="1:34" ht="26" x14ac:dyDescent="0.25">
      <c r="A122" s="248"/>
      <c r="B122" s="100">
        <v>119</v>
      </c>
      <c r="C122" s="14" t="s">
        <v>1777</v>
      </c>
      <c r="D122" s="79" t="s">
        <v>10250</v>
      </c>
      <c r="E122" s="80" t="s">
        <v>10241</v>
      </c>
      <c r="F122" s="7" t="s">
        <v>43</v>
      </c>
      <c r="G122" s="7" t="s">
        <v>44</v>
      </c>
      <c r="H122" s="7" t="s">
        <v>6206</v>
      </c>
      <c r="I122" s="7" t="s">
        <v>6206</v>
      </c>
      <c r="J122" s="7" t="s">
        <v>7968</v>
      </c>
      <c r="K122" s="7" t="s">
        <v>6158</v>
      </c>
      <c r="L122" s="7">
        <v>10052741832</v>
      </c>
      <c r="M122" s="7"/>
      <c r="N122" s="48"/>
      <c r="O122" s="232" t="s">
        <v>9</v>
      </c>
      <c r="P122" s="232" t="s">
        <v>9</v>
      </c>
      <c r="Q122" s="232" t="s">
        <v>9</v>
      </c>
      <c r="R122" s="232" t="s">
        <v>9</v>
      </c>
      <c r="S122" s="232" t="s">
        <v>9</v>
      </c>
      <c r="T122" s="232" t="s">
        <v>9</v>
      </c>
      <c r="U122" s="232" t="s">
        <v>9</v>
      </c>
      <c r="V122" s="232" t="s">
        <v>9</v>
      </c>
      <c r="W122" s="232" t="s">
        <v>9</v>
      </c>
      <c r="X122" s="232" t="s">
        <v>9</v>
      </c>
      <c r="Y122" s="232" t="s">
        <v>9</v>
      </c>
      <c r="Z122" s="232" t="s">
        <v>9</v>
      </c>
      <c r="AA122" s="232" t="s">
        <v>9</v>
      </c>
      <c r="AB122" s="232" t="s">
        <v>9</v>
      </c>
      <c r="AC122" s="232" t="s">
        <v>9</v>
      </c>
      <c r="AD122" s="232" t="s">
        <v>9</v>
      </c>
      <c r="AE122" s="24">
        <f t="shared" si="9"/>
        <v>15</v>
      </c>
      <c r="AF122" s="24">
        <f t="shared" si="10"/>
        <v>0</v>
      </c>
      <c r="AG122" s="24">
        <f t="shared" si="11"/>
        <v>0</v>
      </c>
      <c r="AH122" s="41" t="str" cm="1">
        <f t="array" ref="AH122">_xlfn.IFS(
$AE122=15,"Not Started",
$AG122&lt;15,"In Progress",
$AG122=15,"Completed",
SUM(AE122:AG122)&gt;15,"Error"
)</f>
        <v>Not Started</v>
      </c>
    </row>
    <row r="123" spans="1:34" ht="15.5" x14ac:dyDescent="0.25">
      <c r="A123" s="248"/>
      <c r="B123" s="100">
        <v>120</v>
      </c>
      <c r="C123" s="7" t="s">
        <v>1778</v>
      </c>
      <c r="D123" s="53" t="s">
        <v>6041</v>
      </c>
      <c r="E123" s="57" t="s">
        <v>7713</v>
      </c>
      <c r="F123" s="7" t="s">
        <v>9671</v>
      </c>
      <c r="G123" s="7" t="s">
        <v>48</v>
      </c>
      <c r="H123" s="7" t="s">
        <v>6206</v>
      </c>
      <c r="I123" s="7" t="s">
        <v>6206</v>
      </c>
      <c r="J123" s="7" t="s">
        <v>7969</v>
      </c>
      <c r="K123" s="7" t="s">
        <v>6159</v>
      </c>
      <c r="L123" s="7">
        <v>10052849630</v>
      </c>
      <c r="M123" s="7"/>
      <c r="N123" s="231">
        <v>46146</v>
      </c>
      <c r="O123" s="232" t="s">
        <v>11</v>
      </c>
      <c r="P123" s="232" t="s">
        <v>11</v>
      </c>
      <c r="Q123" s="232" t="s">
        <v>11</v>
      </c>
      <c r="R123" s="232" t="s">
        <v>11</v>
      </c>
      <c r="S123" s="232" t="s">
        <v>9</v>
      </c>
      <c r="T123" s="232" t="s">
        <v>9</v>
      </c>
      <c r="U123" s="232" t="s">
        <v>9</v>
      </c>
      <c r="V123" s="232" t="s">
        <v>9</v>
      </c>
      <c r="W123" s="232" t="s">
        <v>9</v>
      </c>
      <c r="X123" s="232" t="s">
        <v>9</v>
      </c>
      <c r="Y123" s="232" t="s">
        <v>9</v>
      </c>
      <c r="Z123" s="232" t="s">
        <v>9</v>
      </c>
      <c r="AA123" s="232" t="s">
        <v>9</v>
      </c>
      <c r="AB123" s="232" t="s">
        <v>9</v>
      </c>
      <c r="AC123" s="232" t="s">
        <v>9</v>
      </c>
      <c r="AD123" s="232" t="s">
        <v>9</v>
      </c>
      <c r="AE123" s="24">
        <f t="shared" si="9"/>
        <v>11</v>
      </c>
      <c r="AF123" s="24">
        <f t="shared" si="10"/>
        <v>0</v>
      </c>
      <c r="AG123" s="24">
        <f t="shared" si="11"/>
        <v>4</v>
      </c>
      <c r="AH123" s="41" t="str" cm="1">
        <f t="array" ref="AH123">_xlfn.IFS(
$AE123=15,"Not Started",
$AG123&lt;15,"In Progress",
$AG123=15,"Completed",
SUM(AE123:AG123)&gt;15,"Error"
)</f>
        <v>In Progress</v>
      </c>
    </row>
    <row r="124" spans="1:34" ht="26" x14ac:dyDescent="0.25">
      <c r="A124" s="248"/>
      <c r="B124" s="100">
        <v>121</v>
      </c>
      <c r="C124" s="14" t="s">
        <v>1779</v>
      </c>
      <c r="D124" s="53" t="s">
        <v>7572</v>
      </c>
      <c r="E124" s="80" t="s">
        <v>10242</v>
      </c>
      <c r="F124" s="7" t="s">
        <v>47</v>
      </c>
      <c r="G124" s="7" t="s">
        <v>44</v>
      </c>
      <c r="H124" s="7" t="s">
        <v>6206</v>
      </c>
      <c r="I124" s="7" t="s">
        <v>6206</v>
      </c>
      <c r="J124" s="7" t="s">
        <v>7970</v>
      </c>
      <c r="K124" s="7" t="s">
        <v>7821</v>
      </c>
      <c r="L124" s="7">
        <v>10052493331</v>
      </c>
      <c r="M124" s="7"/>
      <c r="N124" s="231">
        <v>46137</v>
      </c>
      <c r="O124" s="232" t="s">
        <v>11</v>
      </c>
      <c r="P124" s="232" t="s">
        <v>11</v>
      </c>
      <c r="Q124" s="232" t="s">
        <v>11</v>
      </c>
      <c r="R124" s="232" t="s">
        <v>11</v>
      </c>
      <c r="S124" s="232" t="s">
        <v>9</v>
      </c>
      <c r="T124" s="232" t="s">
        <v>9</v>
      </c>
      <c r="U124" s="232" t="s">
        <v>9</v>
      </c>
      <c r="V124" s="232" t="s">
        <v>9</v>
      </c>
      <c r="W124" s="232" t="s">
        <v>9</v>
      </c>
      <c r="X124" s="232" t="s">
        <v>9</v>
      </c>
      <c r="Y124" s="232" t="s">
        <v>9</v>
      </c>
      <c r="Z124" s="232" t="s">
        <v>9</v>
      </c>
      <c r="AA124" s="232" t="s">
        <v>9</v>
      </c>
      <c r="AB124" s="232" t="s">
        <v>9</v>
      </c>
      <c r="AC124" s="232" t="s">
        <v>9</v>
      </c>
      <c r="AD124" s="232" t="s">
        <v>9</v>
      </c>
      <c r="AE124" s="24">
        <f t="shared" si="9"/>
        <v>11</v>
      </c>
      <c r="AF124" s="24">
        <f t="shared" si="10"/>
        <v>0</v>
      </c>
      <c r="AG124" s="24">
        <f t="shared" si="11"/>
        <v>4</v>
      </c>
      <c r="AH124" s="41" t="str" cm="1">
        <f t="array" ref="AH124">_xlfn.IFS(
$AE124=15,"Not Started",
$AG124&lt;15,"In Progress",
$AG124=15,"Completed",
SUM(AE124:AG124)&gt;15,"Error"
)</f>
        <v>In Progress</v>
      </c>
    </row>
    <row r="125" spans="1:34" ht="15.5" x14ac:dyDescent="0.25">
      <c r="A125" s="248"/>
      <c r="B125" s="100">
        <v>122</v>
      </c>
      <c r="C125" s="7" t="s">
        <v>1780</v>
      </c>
      <c r="D125" s="53" t="s">
        <v>6042</v>
      </c>
      <c r="E125" s="57" t="s">
        <v>7714</v>
      </c>
      <c r="F125" s="7" t="s">
        <v>9672</v>
      </c>
      <c r="G125" s="7" t="s">
        <v>48</v>
      </c>
      <c r="H125" s="7" t="s">
        <v>6206</v>
      </c>
      <c r="I125" s="7" t="s">
        <v>6206</v>
      </c>
      <c r="J125" s="7" t="s">
        <v>7971</v>
      </c>
      <c r="K125" s="7" t="s">
        <v>6160</v>
      </c>
      <c r="L125" s="7">
        <v>10052574799</v>
      </c>
      <c r="M125" s="7"/>
      <c r="N125" s="48"/>
      <c r="O125" s="232" t="s">
        <v>9</v>
      </c>
      <c r="P125" s="232" t="s">
        <v>9</v>
      </c>
      <c r="Q125" s="232" t="s">
        <v>9</v>
      </c>
      <c r="R125" s="232" t="s">
        <v>9</v>
      </c>
      <c r="S125" s="232" t="s">
        <v>9</v>
      </c>
      <c r="T125" s="232" t="s">
        <v>9</v>
      </c>
      <c r="U125" s="232" t="s">
        <v>9</v>
      </c>
      <c r="V125" s="232" t="s">
        <v>9</v>
      </c>
      <c r="W125" s="232" t="s">
        <v>9</v>
      </c>
      <c r="X125" s="232" t="s">
        <v>9</v>
      </c>
      <c r="Y125" s="232" t="s">
        <v>9</v>
      </c>
      <c r="Z125" s="232" t="s">
        <v>9</v>
      </c>
      <c r="AA125" s="232" t="s">
        <v>9</v>
      </c>
      <c r="AB125" s="232" t="s">
        <v>9</v>
      </c>
      <c r="AC125" s="232" t="s">
        <v>9</v>
      </c>
      <c r="AD125" s="232" t="s">
        <v>9</v>
      </c>
      <c r="AE125" s="24">
        <f t="shared" si="9"/>
        <v>15</v>
      </c>
      <c r="AF125" s="24">
        <f t="shared" si="10"/>
        <v>0</v>
      </c>
      <c r="AG125" s="24">
        <f t="shared" si="11"/>
        <v>0</v>
      </c>
      <c r="AH125" s="41" t="str" cm="1">
        <f t="array" ref="AH125">_xlfn.IFS(
$AE125=15,"Not Started",
$AG125&lt;15,"In Progress",
$AG125=15,"Completed",
SUM(AE125:AG125)&gt;15,"Error"
)</f>
        <v>Not Started</v>
      </c>
    </row>
    <row r="126" spans="1:34" ht="15.5" x14ac:dyDescent="0.25">
      <c r="A126" s="248"/>
      <c r="B126" s="100">
        <v>123</v>
      </c>
      <c r="C126" s="14" t="s">
        <v>1781</v>
      </c>
      <c r="D126" s="53" t="s">
        <v>6043</v>
      </c>
      <c r="E126" s="57" t="s">
        <v>7715</v>
      </c>
      <c r="F126" s="7" t="s">
        <v>47</v>
      </c>
      <c r="G126" s="7" t="s">
        <v>44</v>
      </c>
      <c r="H126" s="7" t="s">
        <v>6206</v>
      </c>
      <c r="I126" s="7" t="s">
        <v>6206</v>
      </c>
      <c r="J126" s="7" t="s">
        <v>7972</v>
      </c>
      <c r="K126" s="7" t="s">
        <v>6161</v>
      </c>
      <c r="L126" s="7">
        <v>10052886240</v>
      </c>
      <c r="M126" s="7"/>
      <c r="N126" s="231">
        <v>46149</v>
      </c>
      <c r="O126" s="232" t="s">
        <v>11</v>
      </c>
      <c r="P126" s="232" t="s">
        <v>11</v>
      </c>
      <c r="Q126" s="232" t="s">
        <v>11</v>
      </c>
      <c r="R126" s="232" t="s">
        <v>11</v>
      </c>
      <c r="S126" s="232" t="s">
        <v>9</v>
      </c>
      <c r="T126" s="232" t="s">
        <v>9</v>
      </c>
      <c r="U126" s="232" t="s">
        <v>9</v>
      </c>
      <c r="V126" s="232" t="s">
        <v>9</v>
      </c>
      <c r="W126" s="232" t="s">
        <v>9</v>
      </c>
      <c r="X126" s="232" t="s">
        <v>9</v>
      </c>
      <c r="Y126" s="232" t="s">
        <v>9</v>
      </c>
      <c r="Z126" s="232" t="s">
        <v>9</v>
      </c>
      <c r="AA126" s="232" t="s">
        <v>9</v>
      </c>
      <c r="AB126" s="232" t="s">
        <v>9</v>
      </c>
      <c r="AC126" s="232" t="s">
        <v>9</v>
      </c>
      <c r="AD126" s="232" t="s">
        <v>9</v>
      </c>
      <c r="AE126" s="24">
        <f t="shared" si="9"/>
        <v>11</v>
      </c>
      <c r="AF126" s="24">
        <f t="shared" si="10"/>
        <v>0</v>
      </c>
      <c r="AG126" s="24">
        <f t="shared" si="11"/>
        <v>4</v>
      </c>
      <c r="AH126" s="41" t="str" cm="1">
        <f t="array" ref="AH126">_xlfn.IFS(
$AE126=15,"Not Started",
$AG126&lt;15,"In Progress",
$AG126=15,"Completed",
SUM(AE126:AG126)&gt;15,"Error"
)</f>
        <v>In Progress</v>
      </c>
    </row>
    <row r="127" spans="1:34" ht="15.5" x14ac:dyDescent="0.25">
      <c r="A127" s="248"/>
      <c r="B127" s="100">
        <v>124</v>
      </c>
      <c r="C127" s="7" t="s">
        <v>1782</v>
      </c>
      <c r="D127" s="53" t="s">
        <v>6044</v>
      </c>
      <c r="E127" s="57" t="s">
        <v>7716</v>
      </c>
      <c r="F127" s="7" t="s">
        <v>9671</v>
      </c>
      <c r="G127" s="7" t="s">
        <v>48</v>
      </c>
      <c r="H127" s="7" t="s">
        <v>6206</v>
      </c>
      <c r="I127" s="7" t="s">
        <v>6206</v>
      </c>
      <c r="J127" s="7" t="s">
        <v>7973</v>
      </c>
      <c r="K127" s="7" t="s">
        <v>6162</v>
      </c>
      <c r="L127" s="7">
        <v>10052854424</v>
      </c>
      <c r="M127" s="7"/>
      <c r="N127" s="231">
        <v>46119</v>
      </c>
      <c r="O127" s="232" t="s">
        <v>11</v>
      </c>
      <c r="P127" s="232" t="s">
        <v>11</v>
      </c>
      <c r="Q127" s="232" t="s">
        <v>11</v>
      </c>
      <c r="R127" s="232" t="s">
        <v>11</v>
      </c>
      <c r="S127" s="232" t="s">
        <v>9</v>
      </c>
      <c r="T127" s="232" t="s">
        <v>9</v>
      </c>
      <c r="U127" s="232" t="s">
        <v>9</v>
      </c>
      <c r="V127" s="232" t="s">
        <v>9</v>
      </c>
      <c r="W127" s="232" t="s">
        <v>9</v>
      </c>
      <c r="X127" s="232" t="s">
        <v>9</v>
      </c>
      <c r="Y127" s="232" t="s">
        <v>9</v>
      </c>
      <c r="Z127" s="232" t="s">
        <v>9</v>
      </c>
      <c r="AA127" s="232" t="s">
        <v>9</v>
      </c>
      <c r="AB127" s="232" t="s">
        <v>9</v>
      </c>
      <c r="AC127" s="232" t="s">
        <v>9</v>
      </c>
      <c r="AD127" s="232" t="s">
        <v>9</v>
      </c>
      <c r="AE127" s="24">
        <f t="shared" si="9"/>
        <v>11</v>
      </c>
      <c r="AF127" s="24">
        <f t="shared" si="10"/>
        <v>0</v>
      </c>
      <c r="AG127" s="24">
        <f t="shared" si="11"/>
        <v>4</v>
      </c>
      <c r="AH127" s="41" t="str" cm="1">
        <f t="array" ref="AH127">_xlfn.IFS(
$AE127=15,"Not Started",
$AG127&lt;15,"In Progress",
$AG127=15,"Completed",
SUM(AE127:AG127)&gt;15,"Error"
)</f>
        <v>In Progress</v>
      </c>
    </row>
    <row r="128" spans="1:34" ht="26" x14ac:dyDescent="0.25">
      <c r="A128" s="248"/>
      <c r="B128" s="100">
        <v>125</v>
      </c>
      <c r="C128" s="14" t="s">
        <v>1783</v>
      </c>
      <c r="D128" s="53" t="s">
        <v>6045</v>
      </c>
      <c r="E128" s="80" t="s">
        <v>10243</v>
      </c>
      <c r="F128" s="7" t="s">
        <v>43</v>
      </c>
      <c r="G128" s="7" t="s">
        <v>44</v>
      </c>
      <c r="H128" s="7" t="s">
        <v>6206</v>
      </c>
      <c r="I128" s="7" t="s">
        <v>6206</v>
      </c>
      <c r="J128" s="7" t="s">
        <v>7974</v>
      </c>
      <c r="K128" s="7" t="s">
        <v>6163</v>
      </c>
      <c r="L128" s="7">
        <v>10052606041</v>
      </c>
      <c r="M128" s="7"/>
      <c r="N128" s="48"/>
      <c r="O128" s="232" t="s">
        <v>9</v>
      </c>
      <c r="P128" s="232" t="s">
        <v>9</v>
      </c>
      <c r="Q128" s="232" t="s">
        <v>9</v>
      </c>
      <c r="R128" s="232" t="s">
        <v>9</v>
      </c>
      <c r="S128" s="232" t="s">
        <v>9</v>
      </c>
      <c r="T128" s="232" t="s">
        <v>9</v>
      </c>
      <c r="U128" s="232" t="s">
        <v>9</v>
      </c>
      <c r="V128" s="232" t="s">
        <v>9</v>
      </c>
      <c r="W128" s="232" t="s">
        <v>9</v>
      </c>
      <c r="X128" s="232" t="s">
        <v>9</v>
      </c>
      <c r="Y128" s="232" t="s">
        <v>9</v>
      </c>
      <c r="Z128" s="232" t="s">
        <v>9</v>
      </c>
      <c r="AA128" s="232" t="s">
        <v>9</v>
      </c>
      <c r="AB128" s="232" t="s">
        <v>9</v>
      </c>
      <c r="AC128" s="232" t="s">
        <v>9</v>
      </c>
      <c r="AD128" s="232" t="s">
        <v>9</v>
      </c>
      <c r="AE128" s="24">
        <f t="shared" si="9"/>
        <v>15</v>
      </c>
      <c r="AF128" s="24">
        <f t="shared" si="10"/>
        <v>0</v>
      </c>
      <c r="AG128" s="24">
        <f t="shared" si="11"/>
        <v>0</v>
      </c>
      <c r="AH128" s="41" t="str" cm="1">
        <f t="array" ref="AH128">_xlfn.IFS(
$AE128=15,"Not Started",
$AG128&lt;15,"In Progress",
$AG128=15,"Completed",
SUM(AE128:AG128)&gt;15,"Error"
)</f>
        <v>Not Started</v>
      </c>
    </row>
    <row r="129" spans="1:34" ht="15.5" x14ac:dyDescent="0.25">
      <c r="A129" s="248"/>
      <c r="B129" s="100">
        <v>126</v>
      </c>
      <c r="C129" s="7" t="s">
        <v>1784</v>
      </c>
      <c r="D129" s="53" t="s">
        <v>6046</v>
      </c>
      <c r="E129" s="57" t="s">
        <v>7717</v>
      </c>
      <c r="F129" s="7" t="s">
        <v>43</v>
      </c>
      <c r="G129" s="7" t="s">
        <v>44</v>
      </c>
      <c r="H129" s="7" t="s">
        <v>6206</v>
      </c>
      <c r="I129" s="7" t="s">
        <v>6206</v>
      </c>
      <c r="J129" s="7" t="s">
        <v>7975</v>
      </c>
      <c r="K129" s="7" t="s">
        <v>6164</v>
      </c>
      <c r="L129" s="7">
        <v>10052374143</v>
      </c>
      <c r="M129" s="7"/>
      <c r="N129" s="48"/>
      <c r="O129" s="232" t="s">
        <v>9</v>
      </c>
      <c r="P129" s="232" t="s">
        <v>9</v>
      </c>
      <c r="Q129" s="232" t="s">
        <v>9</v>
      </c>
      <c r="R129" s="232" t="s">
        <v>9</v>
      </c>
      <c r="S129" s="232" t="s">
        <v>9</v>
      </c>
      <c r="T129" s="232" t="s">
        <v>9</v>
      </c>
      <c r="U129" s="232" t="s">
        <v>9</v>
      </c>
      <c r="V129" s="232" t="s">
        <v>9</v>
      </c>
      <c r="W129" s="232" t="s">
        <v>9</v>
      </c>
      <c r="X129" s="232" t="s">
        <v>9</v>
      </c>
      <c r="Y129" s="232" t="s">
        <v>9</v>
      </c>
      <c r="Z129" s="232" t="s">
        <v>9</v>
      </c>
      <c r="AA129" s="232" t="s">
        <v>9</v>
      </c>
      <c r="AB129" s="232" t="s">
        <v>9</v>
      </c>
      <c r="AC129" s="232" t="s">
        <v>9</v>
      </c>
      <c r="AD129" s="232" t="s">
        <v>9</v>
      </c>
      <c r="AE129" s="24">
        <f t="shared" si="9"/>
        <v>15</v>
      </c>
      <c r="AF129" s="24">
        <f t="shared" si="10"/>
        <v>0</v>
      </c>
      <c r="AG129" s="24">
        <f t="shared" si="11"/>
        <v>0</v>
      </c>
      <c r="AH129" s="41" t="str" cm="1">
        <f t="array" ref="AH129">_xlfn.IFS(
$AE129=15,"Not Started",
$AG129&lt;15,"In Progress",
$AG129=15,"Completed",
SUM(AE129:AG129)&gt;15,"Error"
)</f>
        <v>Not Started</v>
      </c>
    </row>
    <row r="130" spans="1:34" ht="26" x14ac:dyDescent="0.25">
      <c r="A130" s="248"/>
      <c r="B130" s="100">
        <v>127</v>
      </c>
      <c r="C130" s="14" t="s">
        <v>1785</v>
      </c>
      <c r="D130" s="53" t="s">
        <v>7573</v>
      </c>
      <c r="E130" s="80" t="s">
        <v>10244</v>
      </c>
      <c r="F130" s="7" t="s">
        <v>43</v>
      </c>
      <c r="G130" s="7" t="s">
        <v>44</v>
      </c>
      <c r="H130" s="7" t="s">
        <v>6206</v>
      </c>
      <c r="I130" s="7" t="s">
        <v>6206</v>
      </c>
      <c r="J130" s="7" t="s">
        <v>7976</v>
      </c>
      <c r="K130" s="7" t="s">
        <v>7822</v>
      </c>
      <c r="L130" s="7">
        <v>10052697832</v>
      </c>
      <c r="M130" s="7"/>
      <c r="N130" s="48"/>
      <c r="O130" s="232" t="s">
        <v>9</v>
      </c>
      <c r="P130" s="232" t="s">
        <v>9</v>
      </c>
      <c r="Q130" s="232" t="s">
        <v>9</v>
      </c>
      <c r="R130" s="232" t="s">
        <v>9</v>
      </c>
      <c r="S130" s="232" t="s">
        <v>9</v>
      </c>
      <c r="T130" s="232" t="s">
        <v>9</v>
      </c>
      <c r="U130" s="232" t="s">
        <v>9</v>
      </c>
      <c r="V130" s="232" t="s">
        <v>9</v>
      </c>
      <c r="W130" s="232" t="s">
        <v>9</v>
      </c>
      <c r="X130" s="232" t="s">
        <v>9</v>
      </c>
      <c r="Y130" s="232" t="s">
        <v>9</v>
      </c>
      <c r="Z130" s="232" t="s">
        <v>9</v>
      </c>
      <c r="AA130" s="232" t="s">
        <v>9</v>
      </c>
      <c r="AB130" s="232" t="s">
        <v>9</v>
      </c>
      <c r="AC130" s="232" t="s">
        <v>9</v>
      </c>
      <c r="AD130" s="232" t="s">
        <v>9</v>
      </c>
      <c r="AE130" s="24">
        <f t="shared" si="9"/>
        <v>15</v>
      </c>
      <c r="AF130" s="24">
        <f t="shared" si="10"/>
        <v>0</v>
      </c>
      <c r="AG130" s="24">
        <f t="shared" si="11"/>
        <v>0</v>
      </c>
      <c r="AH130" s="41" t="str" cm="1">
        <f t="array" ref="AH130">_xlfn.IFS(
$AE130=15,"Not Started",
$AG130&lt;15,"In Progress",
$AG130=15,"Completed",
SUM(AE130:AG130)&gt;15,"Error"
)</f>
        <v>Not Started</v>
      </c>
    </row>
    <row r="131" spans="1:34" ht="15.5" x14ac:dyDescent="0.25">
      <c r="A131" s="248"/>
      <c r="B131" s="100">
        <v>128</v>
      </c>
      <c r="C131" s="7" t="s">
        <v>1786</v>
      </c>
      <c r="D131" s="53" t="s">
        <v>7574</v>
      </c>
      <c r="E131" s="57" t="s">
        <v>7718</v>
      </c>
      <c r="F131" s="7" t="s">
        <v>43</v>
      </c>
      <c r="G131" s="7" t="s">
        <v>44</v>
      </c>
      <c r="H131" s="7" t="s">
        <v>6206</v>
      </c>
      <c r="I131" s="7" t="s">
        <v>6206</v>
      </c>
      <c r="J131" s="7" t="s">
        <v>7977</v>
      </c>
      <c r="K131" s="7" t="s">
        <v>7823</v>
      </c>
      <c r="L131" s="7">
        <v>10052743336</v>
      </c>
      <c r="M131" s="7"/>
      <c r="N131" s="48"/>
      <c r="O131" s="232" t="s">
        <v>9</v>
      </c>
      <c r="P131" s="232" t="s">
        <v>9</v>
      </c>
      <c r="Q131" s="232" t="s">
        <v>9</v>
      </c>
      <c r="R131" s="232" t="s">
        <v>9</v>
      </c>
      <c r="S131" s="232" t="s">
        <v>9</v>
      </c>
      <c r="T131" s="232" t="s">
        <v>9</v>
      </c>
      <c r="U131" s="232" t="s">
        <v>9</v>
      </c>
      <c r="V131" s="232" t="s">
        <v>9</v>
      </c>
      <c r="W131" s="232" t="s">
        <v>9</v>
      </c>
      <c r="X131" s="232" t="s">
        <v>9</v>
      </c>
      <c r="Y131" s="232" t="s">
        <v>9</v>
      </c>
      <c r="Z131" s="232" t="s">
        <v>9</v>
      </c>
      <c r="AA131" s="232" t="s">
        <v>9</v>
      </c>
      <c r="AB131" s="232" t="s">
        <v>9</v>
      </c>
      <c r="AC131" s="232" t="s">
        <v>9</v>
      </c>
      <c r="AD131" s="232" t="s">
        <v>9</v>
      </c>
      <c r="AE131" s="24">
        <f t="shared" si="9"/>
        <v>15</v>
      </c>
      <c r="AF131" s="24">
        <f t="shared" si="10"/>
        <v>0</v>
      </c>
      <c r="AG131" s="24">
        <f t="shared" si="11"/>
        <v>0</v>
      </c>
      <c r="AH131" s="41" t="str" cm="1">
        <f t="array" ref="AH131">_xlfn.IFS(
$AE131=15,"Not Started",
$AG131&lt;15,"In Progress",
$AG131=15,"Completed",
SUM(AE131:AG131)&gt;15,"Error"
)</f>
        <v>Not Started</v>
      </c>
    </row>
    <row r="132" spans="1:34" ht="15.5" x14ac:dyDescent="0.25">
      <c r="A132" s="248"/>
      <c r="B132" s="100">
        <v>129</v>
      </c>
      <c r="C132" s="14" t="s">
        <v>1787</v>
      </c>
      <c r="D132" s="53" t="s">
        <v>7575</v>
      </c>
      <c r="E132" s="57" t="s">
        <v>7719</v>
      </c>
      <c r="F132" s="7" t="s">
        <v>47</v>
      </c>
      <c r="G132" s="7" t="s">
        <v>44</v>
      </c>
      <c r="H132" s="7" t="s">
        <v>6206</v>
      </c>
      <c r="I132" s="7" t="s">
        <v>6206</v>
      </c>
      <c r="J132" s="7" t="s">
        <v>7978</v>
      </c>
      <c r="K132" s="7" t="s">
        <v>7824</v>
      </c>
      <c r="L132" s="7">
        <v>10053012505</v>
      </c>
      <c r="M132" s="7"/>
      <c r="N132" s="231"/>
      <c r="O132" s="232" t="s">
        <v>9</v>
      </c>
      <c r="P132" s="232" t="s">
        <v>9</v>
      </c>
      <c r="Q132" s="232" t="s">
        <v>9</v>
      </c>
      <c r="R132" s="232" t="s">
        <v>9</v>
      </c>
      <c r="S132" s="232" t="s">
        <v>9</v>
      </c>
      <c r="T132" s="232" t="s">
        <v>9</v>
      </c>
      <c r="U132" s="232" t="s">
        <v>9</v>
      </c>
      <c r="V132" s="232" t="s">
        <v>9</v>
      </c>
      <c r="W132" s="232" t="s">
        <v>9</v>
      </c>
      <c r="X132" s="232" t="s">
        <v>9</v>
      </c>
      <c r="Y132" s="232" t="s">
        <v>9</v>
      </c>
      <c r="Z132" s="232" t="s">
        <v>9</v>
      </c>
      <c r="AA132" s="232" t="s">
        <v>9</v>
      </c>
      <c r="AB132" s="232" t="s">
        <v>9</v>
      </c>
      <c r="AC132" s="232" t="s">
        <v>9</v>
      </c>
      <c r="AD132" s="232" t="s">
        <v>9</v>
      </c>
      <c r="AE132" s="24">
        <f t="shared" ref="AE132:AE163" si="12">COUNTIF(O132:AC132,$AE$2)</f>
        <v>15</v>
      </c>
      <c r="AF132" s="24">
        <f t="shared" ref="AF132:AF163" si="13">COUNTIF(O132:AC132,$AF$2)</f>
        <v>0</v>
      </c>
      <c r="AG132" s="24">
        <f t="shared" ref="AG132:AG163" si="14">COUNTIF(O132:AC132,$AG$2)</f>
        <v>0</v>
      </c>
      <c r="AH132" s="41" t="str" cm="1">
        <f t="array" ref="AH132">_xlfn.IFS(
$AE132=15,"Not Started",
$AG132&lt;15,"In Progress",
$AG132=15,"Completed",
SUM(AE132:AG132)&gt;15,"Error"
)</f>
        <v>Not Started</v>
      </c>
    </row>
    <row r="133" spans="1:34" ht="15.5" x14ac:dyDescent="0.25">
      <c r="A133" s="248"/>
      <c r="B133" s="100">
        <v>130</v>
      </c>
      <c r="C133" s="7" t="s">
        <v>1788</v>
      </c>
      <c r="D133" s="53" t="s">
        <v>6047</v>
      </c>
      <c r="E133" s="57" t="s">
        <v>7720</v>
      </c>
      <c r="F133" s="7" t="s">
        <v>43</v>
      </c>
      <c r="G133" s="7" t="s">
        <v>48</v>
      </c>
      <c r="H133" s="7" t="s">
        <v>6206</v>
      </c>
      <c r="I133" s="7" t="s">
        <v>6206</v>
      </c>
      <c r="J133" s="7" t="s">
        <v>7979</v>
      </c>
      <c r="K133" s="7" t="s">
        <v>6165</v>
      </c>
      <c r="L133" s="7">
        <v>10053046531</v>
      </c>
      <c r="M133" s="7"/>
      <c r="N133" s="231">
        <v>46113</v>
      </c>
      <c r="O133" s="232" t="s">
        <v>11</v>
      </c>
      <c r="P133" s="232" t="s">
        <v>11</v>
      </c>
      <c r="Q133" s="232" t="s">
        <v>11</v>
      </c>
      <c r="R133" s="232" t="s">
        <v>11</v>
      </c>
      <c r="S133" s="232" t="s">
        <v>9</v>
      </c>
      <c r="T133" s="232" t="s">
        <v>9</v>
      </c>
      <c r="U133" s="232" t="s">
        <v>9</v>
      </c>
      <c r="V133" s="232" t="s">
        <v>9</v>
      </c>
      <c r="W133" s="232" t="s">
        <v>9</v>
      </c>
      <c r="X133" s="232" t="s">
        <v>9</v>
      </c>
      <c r="Y133" s="232" t="s">
        <v>9</v>
      </c>
      <c r="Z133" s="232" t="s">
        <v>9</v>
      </c>
      <c r="AA133" s="232" t="s">
        <v>9</v>
      </c>
      <c r="AB133" s="232" t="s">
        <v>9</v>
      </c>
      <c r="AC133" s="232" t="s">
        <v>9</v>
      </c>
      <c r="AD133" s="232" t="s">
        <v>9</v>
      </c>
      <c r="AE133" s="24">
        <f t="shared" si="12"/>
        <v>11</v>
      </c>
      <c r="AF133" s="24">
        <f t="shared" si="13"/>
        <v>0</v>
      </c>
      <c r="AG133" s="24">
        <f t="shared" si="14"/>
        <v>4</v>
      </c>
      <c r="AH133" s="41" t="str" cm="1">
        <f t="array" ref="AH133">_xlfn.IFS(
$AE133=15,"Not Started",
$AG133&lt;15,"In Progress",
$AG133=15,"Completed",
SUM(AE133:AG133)&gt;15,"Error"
)</f>
        <v>In Progress</v>
      </c>
    </row>
    <row r="134" spans="1:34" ht="15.5" x14ac:dyDescent="0.25">
      <c r="A134" s="248"/>
      <c r="B134" s="100">
        <v>131</v>
      </c>
      <c r="C134" s="14" t="s">
        <v>1789</v>
      </c>
      <c r="D134" s="53" t="s">
        <v>6048</v>
      </c>
      <c r="E134" s="57" t="s">
        <v>7721</v>
      </c>
      <c r="F134" s="7" t="s">
        <v>47</v>
      </c>
      <c r="G134" s="7" t="s">
        <v>44</v>
      </c>
      <c r="H134" s="7" t="s">
        <v>6206</v>
      </c>
      <c r="I134" s="7" t="s">
        <v>6206</v>
      </c>
      <c r="J134" s="7" t="s">
        <v>7980</v>
      </c>
      <c r="K134" s="7" t="s">
        <v>6166</v>
      </c>
      <c r="L134" s="7">
        <v>10052528750</v>
      </c>
      <c r="M134" s="7"/>
      <c r="N134" s="231">
        <v>46145</v>
      </c>
      <c r="O134" s="232" t="s">
        <v>11</v>
      </c>
      <c r="P134" s="232" t="s">
        <v>11</v>
      </c>
      <c r="Q134" s="232" t="s">
        <v>11</v>
      </c>
      <c r="R134" s="232" t="s">
        <v>11</v>
      </c>
      <c r="S134" s="232" t="s">
        <v>9</v>
      </c>
      <c r="T134" s="232" t="s">
        <v>9</v>
      </c>
      <c r="U134" s="232" t="s">
        <v>9</v>
      </c>
      <c r="V134" s="232" t="s">
        <v>9</v>
      </c>
      <c r="W134" s="232" t="s">
        <v>9</v>
      </c>
      <c r="X134" s="232" t="s">
        <v>9</v>
      </c>
      <c r="Y134" s="232" t="s">
        <v>9</v>
      </c>
      <c r="Z134" s="232" t="s">
        <v>9</v>
      </c>
      <c r="AA134" s="232" t="s">
        <v>9</v>
      </c>
      <c r="AB134" s="232" t="s">
        <v>9</v>
      </c>
      <c r="AC134" s="232" t="s">
        <v>9</v>
      </c>
      <c r="AD134" s="232" t="s">
        <v>9</v>
      </c>
      <c r="AE134" s="24">
        <f t="shared" si="12"/>
        <v>11</v>
      </c>
      <c r="AF134" s="24">
        <f t="shared" si="13"/>
        <v>0</v>
      </c>
      <c r="AG134" s="24">
        <f t="shared" si="14"/>
        <v>4</v>
      </c>
      <c r="AH134" s="41" t="str" cm="1">
        <f t="array" ref="AH134">_xlfn.IFS(
$AE134=15,"Not Started",
$AG134&lt;15,"In Progress",
$AG134=15,"Completed",
SUM(AE134:AG134)&gt;15,"Error"
)</f>
        <v>In Progress</v>
      </c>
    </row>
    <row r="135" spans="1:34" ht="15.5" x14ac:dyDescent="0.25">
      <c r="A135" s="248"/>
      <c r="B135" s="100">
        <v>132</v>
      </c>
      <c r="C135" s="7" t="s">
        <v>1790</v>
      </c>
      <c r="D135" s="53" t="s">
        <v>6049</v>
      </c>
      <c r="E135" s="57" t="s">
        <v>7722</v>
      </c>
      <c r="F135" s="7" t="s">
        <v>47</v>
      </c>
      <c r="G135" s="7" t="s">
        <v>48</v>
      </c>
      <c r="H135" s="7" t="s">
        <v>6206</v>
      </c>
      <c r="I135" s="7" t="s">
        <v>6206</v>
      </c>
      <c r="J135" s="7" t="s">
        <v>7981</v>
      </c>
      <c r="K135" s="7" t="s">
        <v>6167</v>
      </c>
      <c r="L135" s="7">
        <v>10052735700</v>
      </c>
      <c r="M135" s="7"/>
      <c r="N135" s="48"/>
      <c r="O135" s="232" t="s">
        <v>9</v>
      </c>
      <c r="P135" s="232" t="s">
        <v>9</v>
      </c>
      <c r="Q135" s="232" t="s">
        <v>9</v>
      </c>
      <c r="R135" s="232" t="s">
        <v>9</v>
      </c>
      <c r="S135" s="232" t="s">
        <v>9</v>
      </c>
      <c r="T135" s="232" t="s">
        <v>9</v>
      </c>
      <c r="U135" s="232" t="s">
        <v>9</v>
      </c>
      <c r="V135" s="232" t="s">
        <v>9</v>
      </c>
      <c r="W135" s="232" t="s">
        <v>9</v>
      </c>
      <c r="X135" s="232" t="s">
        <v>9</v>
      </c>
      <c r="Y135" s="232" t="s">
        <v>9</v>
      </c>
      <c r="Z135" s="232" t="s">
        <v>9</v>
      </c>
      <c r="AA135" s="232" t="s">
        <v>9</v>
      </c>
      <c r="AB135" s="232" t="s">
        <v>9</v>
      </c>
      <c r="AC135" s="232" t="s">
        <v>9</v>
      </c>
      <c r="AD135" s="232" t="s">
        <v>9</v>
      </c>
      <c r="AE135" s="24">
        <f t="shared" si="12"/>
        <v>15</v>
      </c>
      <c r="AF135" s="24">
        <f t="shared" si="13"/>
        <v>0</v>
      </c>
      <c r="AG135" s="24">
        <f t="shared" si="14"/>
        <v>0</v>
      </c>
      <c r="AH135" s="41" t="str" cm="1">
        <f t="array" ref="AH135">_xlfn.IFS(
$AE135=15,"Not Started",
$AG135&lt;15,"In Progress",
$AG135=15,"Completed",
SUM(AE135:AG135)&gt;15,"Error"
)</f>
        <v>Not Started</v>
      </c>
    </row>
    <row r="136" spans="1:34" ht="15.5" x14ac:dyDescent="0.25">
      <c r="A136" s="248"/>
      <c r="B136" s="100">
        <v>133</v>
      </c>
      <c r="C136" s="14" t="s">
        <v>1791</v>
      </c>
      <c r="D136" s="53" t="s">
        <v>6050</v>
      </c>
      <c r="E136" s="57" t="s">
        <v>7723</v>
      </c>
      <c r="F136" s="7" t="s">
        <v>47</v>
      </c>
      <c r="G136" s="7" t="s">
        <v>44</v>
      </c>
      <c r="H136" s="7" t="s">
        <v>6206</v>
      </c>
      <c r="I136" s="7" t="s">
        <v>6206</v>
      </c>
      <c r="J136" s="7" t="s">
        <v>7982</v>
      </c>
      <c r="K136" s="7" t="s">
        <v>6168</v>
      </c>
      <c r="L136" s="7">
        <v>10052493181</v>
      </c>
      <c r="M136" s="7"/>
      <c r="N136" s="231">
        <v>46139</v>
      </c>
      <c r="O136" s="232" t="s">
        <v>11</v>
      </c>
      <c r="P136" s="232" t="s">
        <v>11</v>
      </c>
      <c r="Q136" s="232" t="s">
        <v>11</v>
      </c>
      <c r="R136" s="232" t="s">
        <v>11</v>
      </c>
      <c r="S136" s="232" t="s">
        <v>9</v>
      </c>
      <c r="T136" s="232" t="s">
        <v>9</v>
      </c>
      <c r="U136" s="232" t="s">
        <v>9</v>
      </c>
      <c r="V136" s="232" t="s">
        <v>9</v>
      </c>
      <c r="W136" s="232" t="s">
        <v>9</v>
      </c>
      <c r="X136" s="232" t="s">
        <v>9</v>
      </c>
      <c r="Y136" s="232" t="s">
        <v>9</v>
      </c>
      <c r="Z136" s="232" t="s">
        <v>9</v>
      </c>
      <c r="AA136" s="232" t="s">
        <v>9</v>
      </c>
      <c r="AB136" s="232" t="s">
        <v>9</v>
      </c>
      <c r="AC136" s="232" t="s">
        <v>9</v>
      </c>
      <c r="AD136" s="232" t="s">
        <v>9</v>
      </c>
      <c r="AE136" s="24">
        <f t="shared" si="12"/>
        <v>11</v>
      </c>
      <c r="AF136" s="24">
        <f t="shared" si="13"/>
        <v>0</v>
      </c>
      <c r="AG136" s="24">
        <f t="shared" si="14"/>
        <v>4</v>
      </c>
      <c r="AH136" s="41" t="str" cm="1">
        <f t="array" ref="AH136">_xlfn.IFS(
$AE136=15,"Not Started",
$AG136&lt;15,"In Progress",
$AG136=15,"Completed",
SUM(AE136:AG136)&gt;15,"Error"
)</f>
        <v>In Progress</v>
      </c>
    </row>
    <row r="137" spans="1:34" ht="15.5" x14ac:dyDescent="0.25">
      <c r="A137" s="248"/>
      <c r="B137" s="100">
        <v>134</v>
      </c>
      <c r="C137" s="7" t="s">
        <v>1792</v>
      </c>
      <c r="D137" s="53" t="s">
        <v>6051</v>
      </c>
      <c r="E137" s="57" t="s">
        <v>7724</v>
      </c>
      <c r="F137" s="7" t="s">
        <v>43</v>
      </c>
      <c r="G137" s="7" t="s">
        <v>48</v>
      </c>
      <c r="H137" s="7" t="s">
        <v>6206</v>
      </c>
      <c r="I137" s="7" t="s">
        <v>6206</v>
      </c>
      <c r="J137" s="7" t="s">
        <v>7983</v>
      </c>
      <c r="K137" s="7" t="s">
        <v>6169</v>
      </c>
      <c r="L137" s="7">
        <v>10052448102</v>
      </c>
      <c r="M137" s="7"/>
      <c r="N137" s="231">
        <v>46116</v>
      </c>
      <c r="O137" s="232" t="s">
        <v>11</v>
      </c>
      <c r="P137" s="232" t="s">
        <v>11</v>
      </c>
      <c r="Q137" s="232" t="s">
        <v>11</v>
      </c>
      <c r="R137" s="232" t="s">
        <v>11</v>
      </c>
      <c r="S137" s="232" t="s">
        <v>9</v>
      </c>
      <c r="T137" s="232" t="s">
        <v>9</v>
      </c>
      <c r="U137" s="232" t="s">
        <v>9</v>
      </c>
      <c r="V137" s="232" t="s">
        <v>9</v>
      </c>
      <c r="W137" s="232" t="s">
        <v>9</v>
      </c>
      <c r="X137" s="232" t="s">
        <v>9</v>
      </c>
      <c r="Y137" s="232" t="s">
        <v>9</v>
      </c>
      <c r="Z137" s="232" t="s">
        <v>9</v>
      </c>
      <c r="AA137" s="232" t="s">
        <v>9</v>
      </c>
      <c r="AB137" s="232" t="s">
        <v>9</v>
      </c>
      <c r="AC137" s="232" t="s">
        <v>9</v>
      </c>
      <c r="AD137" s="232" t="s">
        <v>9</v>
      </c>
      <c r="AE137" s="24">
        <f t="shared" si="12"/>
        <v>11</v>
      </c>
      <c r="AF137" s="24">
        <f t="shared" si="13"/>
        <v>0</v>
      </c>
      <c r="AG137" s="24">
        <f t="shared" si="14"/>
        <v>4</v>
      </c>
      <c r="AH137" s="41" t="str" cm="1">
        <f t="array" ref="AH137">_xlfn.IFS(
$AE137=15,"Not Started",
$AG137&lt;15,"In Progress",
$AG137=15,"Completed",
SUM(AE137:AG137)&gt;15,"Error"
)</f>
        <v>In Progress</v>
      </c>
    </row>
    <row r="138" spans="1:34" ht="15.5" x14ac:dyDescent="0.25">
      <c r="A138" s="248"/>
      <c r="B138" s="100">
        <v>135</v>
      </c>
      <c r="C138" s="14" t="s">
        <v>1793</v>
      </c>
      <c r="D138" s="53" t="s">
        <v>6052</v>
      </c>
      <c r="E138" s="57" t="s">
        <v>7725</v>
      </c>
      <c r="F138" s="7" t="s">
        <v>43</v>
      </c>
      <c r="G138" s="7" t="s">
        <v>48</v>
      </c>
      <c r="H138" s="7" t="s">
        <v>6206</v>
      </c>
      <c r="I138" s="7" t="s">
        <v>6206</v>
      </c>
      <c r="J138" s="7" t="s">
        <v>7984</v>
      </c>
      <c r="K138" s="7" t="s">
        <v>6170</v>
      </c>
      <c r="L138" s="7">
        <v>10052741959</v>
      </c>
      <c r="M138" s="7"/>
      <c r="N138" s="231">
        <v>46139</v>
      </c>
      <c r="O138" s="232" t="s">
        <v>11</v>
      </c>
      <c r="P138" s="232" t="s">
        <v>11</v>
      </c>
      <c r="Q138" s="232" t="s">
        <v>11</v>
      </c>
      <c r="R138" s="232" t="s">
        <v>11</v>
      </c>
      <c r="S138" s="232" t="s">
        <v>9</v>
      </c>
      <c r="T138" s="232" t="s">
        <v>9</v>
      </c>
      <c r="U138" s="232" t="s">
        <v>9</v>
      </c>
      <c r="V138" s="232" t="s">
        <v>9</v>
      </c>
      <c r="W138" s="232" t="s">
        <v>9</v>
      </c>
      <c r="X138" s="232" t="s">
        <v>9</v>
      </c>
      <c r="Y138" s="232" t="s">
        <v>9</v>
      </c>
      <c r="Z138" s="232" t="s">
        <v>9</v>
      </c>
      <c r="AA138" s="232" t="s">
        <v>9</v>
      </c>
      <c r="AB138" s="232" t="s">
        <v>9</v>
      </c>
      <c r="AC138" s="232" t="s">
        <v>9</v>
      </c>
      <c r="AD138" s="232" t="s">
        <v>9</v>
      </c>
      <c r="AE138" s="24">
        <f t="shared" si="12"/>
        <v>11</v>
      </c>
      <c r="AF138" s="24">
        <f t="shared" si="13"/>
        <v>0</v>
      </c>
      <c r="AG138" s="24">
        <f t="shared" si="14"/>
        <v>4</v>
      </c>
      <c r="AH138" s="41" t="str" cm="1">
        <f t="array" ref="AH138">_xlfn.IFS(
$AE138=15,"Not Started",
$AG138&lt;15,"In Progress",
$AG138=15,"Completed",
SUM(AE138:AG138)&gt;15,"Error"
)</f>
        <v>In Progress</v>
      </c>
    </row>
    <row r="139" spans="1:34" ht="15.5" x14ac:dyDescent="0.25">
      <c r="A139" s="248"/>
      <c r="B139" s="100">
        <v>136</v>
      </c>
      <c r="C139" s="7" t="s">
        <v>1794</v>
      </c>
      <c r="D139" s="53" t="s">
        <v>6053</v>
      </c>
      <c r="E139" s="57" t="s">
        <v>7726</v>
      </c>
      <c r="F139" s="7" t="s">
        <v>47</v>
      </c>
      <c r="G139" s="7" t="s">
        <v>44</v>
      </c>
      <c r="H139" s="7" t="s">
        <v>6206</v>
      </c>
      <c r="I139" s="7" t="s">
        <v>6206</v>
      </c>
      <c r="J139" s="7" t="s">
        <v>7985</v>
      </c>
      <c r="K139" s="7" t="s">
        <v>6171</v>
      </c>
      <c r="L139" s="7">
        <v>10052735666</v>
      </c>
      <c r="M139" s="7"/>
      <c r="N139" s="48"/>
      <c r="O139" s="232" t="s">
        <v>9</v>
      </c>
      <c r="P139" s="232" t="s">
        <v>9</v>
      </c>
      <c r="Q139" s="232" t="s">
        <v>9</v>
      </c>
      <c r="R139" s="232" t="s">
        <v>9</v>
      </c>
      <c r="S139" s="232" t="s">
        <v>9</v>
      </c>
      <c r="T139" s="232" t="s">
        <v>9</v>
      </c>
      <c r="U139" s="232" t="s">
        <v>9</v>
      </c>
      <c r="V139" s="232" t="s">
        <v>9</v>
      </c>
      <c r="W139" s="232" t="s">
        <v>9</v>
      </c>
      <c r="X139" s="232" t="s">
        <v>9</v>
      </c>
      <c r="Y139" s="232" t="s">
        <v>9</v>
      </c>
      <c r="Z139" s="232" t="s">
        <v>9</v>
      </c>
      <c r="AA139" s="232" t="s">
        <v>9</v>
      </c>
      <c r="AB139" s="232" t="s">
        <v>9</v>
      </c>
      <c r="AC139" s="232" t="s">
        <v>9</v>
      </c>
      <c r="AD139" s="232" t="s">
        <v>9</v>
      </c>
      <c r="AE139" s="24">
        <f t="shared" si="12"/>
        <v>15</v>
      </c>
      <c r="AF139" s="24">
        <f t="shared" si="13"/>
        <v>0</v>
      </c>
      <c r="AG139" s="24">
        <f t="shared" si="14"/>
        <v>0</v>
      </c>
      <c r="AH139" s="41" t="str" cm="1">
        <f t="array" ref="AH139">_xlfn.IFS(
$AE139=15,"Not Started",
$AG139&lt;15,"In Progress",
$AG139=15,"Completed",
SUM(AE139:AG139)&gt;15,"Error"
)</f>
        <v>Not Started</v>
      </c>
    </row>
    <row r="140" spans="1:34" ht="15.5" x14ac:dyDescent="0.25">
      <c r="A140" s="248"/>
      <c r="B140" s="100">
        <v>137</v>
      </c>
      <c r="C140" s="14" t="s">
        <v>1795</v>
      </c>
      <c r="D140" s="53" t="s">
        <v>6054</v>
      </c>
      <c r="E140" s="57" t="s">
        <v>7727</v>
      </c>
      <c r="F140" s="7" t="s">
        <v>9671</v>
      </c>
      <c r="G140" s="7" t="s">
        <v>48</v>
      </c>
      <c r="H140" s="7" t="s">
        <v>6206</v>
      </c>
      <c r="I140" s="7" t="s">
        <v>6206</v>
      </c>
      <c r="J140" s="7" t="s">
        <v>7986</v>
      </c>
      <c r="K140" s="7" t="s">
        <v>6172</v>
      </c>
      <c r="L140" s="7">
        <v>10052891974</v>
      </c>
      <c r="M140" s="7"/>
      <c r="N140" s="48"/>
      <c r="O140" s="232" t="s">
        <v>9</v>
      </c>
      <c r="P140" s="232" t="s">
        <v>9</v>
      </c>
      <c r="Q140" s="232" t="s">
        <v>9</v>
      </c>
      <c r="R140" s="232" t="s">
        <v>9</v>
      </c>
      <c r="S140" s="232" t="s">
        <v>9</v>
      </c>
      <c r="T140" s="232" t="s">
        <v>9</v>
      </c>
      <c r="U140" s="232" t="s">
        <v>9</v>
      </c>
      <c r="V140" s="232" t="s">
        <v>9</v>
      </c>
      <c r="W140" s="232" t="s">
        <v>9</v>
      </c>
      <c r="X140" s="232" t="s">
        <v>9</v>
      </c>
      <c r="Y140" s="232" t="s">
        <v>9</v>
      </c>
      <c r="Z140" s="232" t="s">
        <v>9</v>
      </c>
      <c r="AA140" s="232" t="s">
        <v>9</v>
      </c>
      <c r="AB140" s="232" t="s">
        <v>9</v>
      </c>
      <c r="AC140" s="232" t="s">
        <v>9</v>
      </c>
      <c r="AD140" s="232" t="s">
        <v>9</v>
      </c>
      <c r="AE140" s="24">
        <f t="shared" si="12"/>
        <v>15</v>
      </c>
      <c r="AF140" s="24">
        <f t="shared" si="13"/>
        <v>0</v>
      </c>
      <c r="AG140" s="24">
        <f t="shared" si="14"/>
        <v>0</v>
      </c>
      <c r="AH140" s="41" t="str" cm="1">
        <f t="array" ref="AH140">_xlfn.IFS(
$AE140=15,"Not Started",
$AG140&lt;15,"In Progress",
$AG140=15,"Completed",
SUM(AE140:AG140)&gt;15,"Error"
)</f>
        <v>Not Started</v>
      </c>
    </row>
    <row r="141" spans="1:34" ht="15.5" x14ac:dyDescent="0.25">
      <c r="A141" s="248"/>
      <c r="B141" s="100">
        <v>138</v>
      </c>
      <c r="C141" s="7" t="s">
        <v>1796</v>
      </c>
      <c r="D141" s="53" t="s">
        <v>7576</v>
      </c>
      <c r="E141" s="57" t="s">
        <v>7728</v>
      </c>
      <c r="F141" s="7" t="s">
        <v>51</v>
      </c>
      <c r="G141" s="7" t="s">
        <v>48</v>
      </c>
      <c r="H141" s="7" t="s">
        <v>6206</v>
      </c>
      <c r="I141" s="7" t="s">
        <v>6206</v>
      </c>
      <c r="J141" s="7" t="s">
        <v>7987</v>
      </c>
      <c r="K141" s="7" t="s">
        <v>7825</v>
      </c>
      <c r="L141" s="7">
        <v>10084971467</v>
      </c>
      <c r="M141" s="7"/>
      <c r="N141" s="48"/>
      <c r="O141" s="232" t="s">
        <v>9</v>
      </c>
      <c r="P141" s="232" t="s">
        <v>9</v>
      </c>
      <c r="Q141" s="232" t="s">
        <v>9</v>
      </c>
      <c r="R141" s="232" t="s">
        <v>9</v>
      </c>
      <c r="S141" s="232" t="s">
        <v>9</v>
      </c>
      <c r="T141" s="232" t="s">
        <v>9</v>
      </c>
      <c r="U141" s="232" t="s">
        <v>9</v>
      </c>
      <c r="V141" s="232" t="s">
        <v>9</v>
      </c>
      <c r="W141" s="232" t="s">
        <v>9</v>
      </c>
      <c r="X141" s="232" t="s">
        <v>9</v>
      </c>
      <c r="Y141" s="232" t="s">
        <v>9</v>
      </c>
      <c r="Z141" s="232" t="s">
        <v>9</v>
      </c>
      <c r="AA141" s="232" t="s">
        <v>9</v>
      </c>
      <c r="AB141" s="232" t="s">
        <v>9</v>
      </c>
      <c r="AC141" s="232" t="s">
        <v>9</v>
      </c>
      <c r="AD141" s="232" t="s">
        <v>9</v>
      </c>
      <c r="AE141" s="24">
        <f t="shared" si="12"/>
        <v>15</v>
      </c>
      <c r="AF141" s="24">
        <f t="shared" si="13"/>
        <v>0</v>
      </c>
      <c r="AG141" s="24">
        <f t="shared" si="14"/>
        <v>0</v>
      </c>
      <c r="AH141" s="41" t="str" cm="1">
        <f t="array" ref="AH141">_xlfn.IFS(
$AE141=15,"Not Started",
$AG141&lt;15,"In Progress",
$AG141=15,"Completed",
SUM(AE141:AG141)&gt;15,"Error"
)</f>
        <v>Not Started</v>
      </c>
    </row>
    <row r="142" spans="1:34" ht="15.5" x14ac:dyDescent="0.25">
      <c r="A142" s="248"/>
      <c r="B142" s="100">
        <v>139</v>
      </c>
      <c r="C142" s="14" t="s">
        <v>1797</v>
      </c>
      <c r="D142" s="53" t="s">
        <v>6055</v>
      </c>
      <c r="E142" s="57" t="s">
        <v>7729</v>
      </c>
      <c r="F142" s="7" t="s">
        <v>9672</v>
      </c>
      <c r="G142" s="7" t="s">
        <v>48</v>
      </c>
      <c r="H142" s="7" t="s">
        <v>6206</v>
      </c>
      <c r="I142" s="7" t="s">
        <v>6206</v>
      </c>
      <c r="J142" s="7" t="s">
        <v>7988</v>
      </c>
      <c r="K142" s="7" t="s">
        <v>6173</v>
      </c>
      <c r="L142" s="7">
        <v>10053054381</v>
      </c>
      <c r="M142" s="7"/>
      <c r="N142" s="48"/>
      <c r="O142" s="232" t="s">
        <v>9</v>
      </c>
      <c r="P142" s="232" t="s">
        <v>9</v>
      </c>
      <c r="Q142" s="232" t="s">
        <v>9</v>
      </c>
      <c r="R142" s="232" t="s">
        <v>9</v>
      </c>
      <c r="S142" s="232" t="s">
        <v>9</v>
      </c>
      <c r="T142" s="232" t="s">
        <v>9</v>
      </c>
      <c r="U142" s="232" t="s">
        <v>9</v>
      </c>
      <c r="V142" s="232" t="s">
        <v>9</v>
      </c>
      <c r="W142" s="232" t="s">
        <v>9</v>
      </c>
      <c r="X142" s="232" t="s">
        <v>9</v>
      </c>
      <c r="Y142" s="232" t="s">
        <v>9</v>
      </c>
      <c r="Z142" s="232" t="s">
        <v>9</v>
      </c>
      <c r="AA142" s="232" t="s">
        <v>9</v>
      </c>
      <c r="AB142" s="232" t="s">
        <v>9</v>
      </c>
      <c r="AC142" s="232" t="s">
        <v>9</v>
      </c>
      <c r="AD142" s="232" t="s">
        <v>9</v>
      </c>
      <c r="AE142" s="24">
        <f t="shared" si="12"/>
        <v>15</v>
      </c>
      <c r="AF142" s="24">
        <f t="shared" si="13"/>
        <v>0</v>
      </c>
      <c r="AG142" s="24">
        <f t="shared" si="14"/>
        <v>0</v>
      </c>
      <c r="AH142" s="41" t="str" cm="1">
        <f t="array" ref="AH142">_xlfn.IFS(
$AE142=15,"Not Started",
$AG142&lt;15,"In Progress",
$AG142=15,"Completed",
SUM(AE142:AG142)&gt;15,"Error"
)</f>
        <v>Not Started</v>
      </c>
    </row>
    <row r="143" spans="1:34" ht="15.5" x14ac:dyDescent="0.25">
      <c r="A143" s="248"/>
      <c r="B143" s="100">
        <v>140</v>
      </c>
      <c r="C143" s="7" t="s">
        <v>1798</v>
      </c>
      <c r="D143" s="53" t="s">
        <v>7577</v>
      </c>
      <c r="E143" s="57" t="s">
        <v>7730</v>
      </c>
      <c r="F143" s="7" t="s">
        <v>9671</v>
      </c>
      <c r="G143" s="7" t="s">
        <v>48</v>
      </c>
      <c r="H143" s="7" t="s">
        <v>6206</v>
      </c>
      <c r="I143" s="7" t="s">
        <v>6206</v>
      </c>
      <c r="J143" s="7" t="s">
        <v>7989</v>
      </c>
      <c r="K143" s="7" t="s">
        <v>7826</v>
      </c>
      <c r="L143" s="7">
        <v>10052740076</v>
      </c>
      <c r="M143" s="7"/>
      <c r="N143" s="231">
        <v>46138</v>
      </c>
      <c r="O143" s="232" t="s">
        <v>11</v>
      </c>
      <c r="P143" s="232" t="s">
        <v>11</v>
      </c>
      <c r="Q143" s="232" t="s">
        <v>11</v>
      </c>
      <c r="R143" s="232" t="s">
        <v>11</v>
      </c>
      <c r="S143" s="232" t="s">
        <v>9</v>
      </c>
      <c r="T143" s="232" t="s">
        <v>9</v>
      </c>
      <c r="U143" s="232" t="s">
        <v>9</v>
      </c>
      <c r="V143" s="232" t="s">
        <v>9</v>
      </c>
      <c r="W143" s="232" t="s">
        <v>9</v>
      </c>
      <c r="X143" s="232" t="s">
        <v>9</v>
      </c>
      <c r="Y143" s="232" t="s">
        <v>9</v>
      </c>
      <c r="Z143" s="232" t="s">
        <v>9</v>
      </c>
      <c r="AA143" s="232" t="s">
        <v>9</v>
      </c>
      <c r="AB143" s="232" t="s">
        <v>9</v>
      </c>
      <c r="AC143" s="232" t="s">
        <v>9</v>
      </c>
      <c r="AD143" s="232" t="s">
        <v>9</v>
      </c>
      <c r="AE143" s="24">
        <f t="shared" si="12"/>
        <v>11</v>
      </c>
      <c r="AF143" s="24">
        <f t="shared" si="13"/>
        <v>0</v>
      </c>
      <c r="AG143" s="24">
        <f t="shared" si="14"/>
        <v>4</v>
      </c>
      <c r="AH143" s="41" t="str" cm="1">
        <f t="array" ref="AH143">_xlfn.IFS(
$AE143=15,"Not Started",
$AG143&lt;15,"In Progress",
$AG143=15,"Completed",
SUM(AE143:AG143)&gt;15,"Error"
)</f>
        <v>In Progress</v>
      </c>
    </row>
    <row r="144" spans="1:34" ht="15.5" x14ac:dyDescent="0.25">
      <c r="A144" s="248"/>
      <c r="B144" s="100">
        <v>141</v>
      </c>
      <c r="C144" s="14" t="s">
        <v>1799</v>
      </c>
      <c r="D144" s="53" t="s">
        <v>6056</v>
      </c>
      <c r="E144" s="57" t="s">
        <v>7731</v>
      </c>
      <c r="F144" s="7" t="s">
        <v>43</v>
      </c>
      <c r="G144" s="7" t="s">
        <v>48</v>
      </c>
      <c r="H144" s="7" t="s">
        <v>6206</v>
      </c>
      <c r="I144" s="7" t="s">
        <v>6206</v>
      </c>
      <c r="J144" s="7" t="s">
        <v>7990</v>
      </c>
      <c r="K144" s="7" t="s">
        <v>6174</v>
      </c>
      <c r="L144" s="7">
        <v>10052572551</v>
      </c>
      <c r="M144" s="7"/>
      <c r="N144" s="231"/>
      <c r="O144" s="232" t="s">
        <v>9</v>
      </c>
      <c r="P144" s="232" t="s">
        <v>9</v>
      </c>
      <c r="Q144" s="232" t="s">
        <v>9</v>
      </c>
      <c r="R144" s="232" t="s">
        <v>9</v>
      </c>
      <c r="S144" s="232" t="s">
        <v>9</v>
      </c>
      <c r="T144" s="232" t="s">
        <v>9</v>
      </c>
      <c r="U144" s="232" t="s">
        <v>9</v>
      </c>
      <c r="V144" s="232" t="s">
        <v>9</v>
      </c>
      <c r="W144" s="232" t="s">
        <v>9</v>
      </c>
      <c r="X144" s="232" t="s">
        <v>9</v>
      </c>
      <c r="Y144" s="232" t="s">
        <v>9</v>
      </c>
      <c r="Z144" s="232" t="s">
        <v>9</v>
      </c>
      <c r="AA144" s="232" t="s">
        <v>9</v>
      </c>
      <c r="AB144" s="232" t="s">
        <v>9</v>
      </c>
      <c r="AC144" s="232" t="s">
        <v>9</v>
      </c>
      <c r="AD144" s="232" t="s">
        <v>9</v>
      </c>
      <c r="AE144" s="24">
        <f t="shared" si="12"/>
        <v>15</v>
      </c>
      <c r="AF144" s="24">
        <f t="shared" si="13"/>
        <v>0</v>
      </c>
      <c r="AG144" s="24">
        <f t="shared" si="14"/>
        <v>0</v>
      </c>
      <c r="AH144" s="41" t="str" cm="1">
        <f t="array" ref="AH144">_xlfn.IFS(
$AE144=15,"Not Started",
$AG144&lt;15,"In Progress",
$AG144=15,"Completed",
SUM(AE144:AG144)&gt;15,"Error"
)</f>
        <v>Not Started</v>
      </c>
    </row>
    <row r="145" spans="1:34" ht="26" x14ac:dyDescent="0.25">
      <c r="A145" s="248"/>
      <c r="B145" s="100">
        <v>142</v>
      </c>
      <c r="C145" s="7" t="s">
        <v>1800</v>
      </c>
      <c r="D145" s="53" t="s">
        <v>6057</v>
      </c>
      <c r="E145" s="80" t="s">
        <v>10245</v>
      </c>
      <c r="F145" s="7" t="s">
        <v>47</v>
      </c>
      <c r="G145" s="7" t="s">
        <v>44</v>
      </c>
      <c r="H145" s="7" t="s">
        <v>6206</v>
      </c>
      <c r="I145" s="7" t="s">
        <v>6206</v>
      </c>
      <c r="J145" s="7" t="s">
        <v>7991</v>
      </c>
      <c r="K145" s="7" t="s">
        <v>6175</v>
      </c>
      <c r="L145" s="7">
        <v>10052779901</v>
      </c>
      <c r="M145" s="7"/>
      <c r="N145" s="231">
        <v>46117</v>
      </c>
      <c r="O145" s="232" t="s">
        <v>11</v>
      </c>
      <c r="P145" s="232" t="s">
        <v>11</v>
      </c>
      <c r="Q145" s="232" t="s">
        <v>11</v>
      </c>
      <c r="R145" s="232" t="s">
        <v>11</v>
      </c>
      <c r="S145" s="232" t="s">
        <v>9</v>
      </c>
      <c r="T145" s="232" t="s">
        <v>9</v>
      </c>
      <c r="U145" s="232" t="s">
        <v>9</v>
      </c>
      <c r="V145" s="232" t="s">
        <v>9</v>
      </c>
      <c r="W145" s="232" t="s">
        <v>9</v>
      </c>
      <c r="X145" s="232" t="s">
        <v>9</v>
      </c>
      <c r="Y145" s="232" t="s">
        <v>9</v>
      </c>
      <c r="Z145" s="232" t="s">
        <v>9</v>
      </c>
      <c r="AA145" s="232" t="s">
        <v>9</v>
      </c>
      <c r="AB145" s="232" t="s">
        <v>9</v>
      </c>
      <c r="AC145" s="232" t="s">
        <v>9</v>
      </c>
      <c r="AD145" s="232" t="s">
        <v>9</v>
      </c>
      <c r="AE145" s="24">
        <f t="shared" si="12"/>
        <v>11</v>
      </c>
      <c r="AF145" s="24">
        <f t="shared" si="13"/>
        <v>0</v>
      </c>
      <c r="AG145" s="24">
        <f t="shared" si="14"/>
        <v>4</v>
      </c>
      <c r="AH145" s="41" t="str" cm="1">
        <f t="array" ref="AH145">_xlfn.IFS(
$AE145=15,"Not Started",
$AG145&lt;15,"In Progress",
$AG145=15,"Completed",
SUM(AE145:AG145)&gt;15,"Error"
)</f>
        <v>In Progress</v>
      </c>
    </row>
    <row r="146" spans="1:34" ht="15.5" x14ac:dyDescent="0.25">
      <c r="A146" s="248"/>
      <c r="B146" s="100">
        <v>143</v>
      </c>
      <c r="C146" s="215" t="s">
        <v>1801</v>
      </c>
      <c r="D146" s="53" t="s">
        <v>6058</v>
      </c>
      <c r="E146" s="57" t="s">
        <v>7732</v>
      </c>
      <c r="F146" s="7" t="s">
        <v>9671</v>
      </c>
      <c r="G146" s="7" t="s">
        <v>48</v>
      </c>
      <c r="H146" s="7" t="s">
        <v>6206</v>
      </c>
      <c r="I146" s="7" t="s">
        <v>6206</v>
      </c>
      <c r="J146" s="7" t="s">
        <v>7992</v>
      </c>
      <c r="K146" s="7" t="s">
        <v>6176</v>
      </c>
      <c r="L146" s="7">
        <v>10052742393</v>
      </c>
      <c r="M146" s="7"/>
      <c r="N146" s="231">
        <v>46140</v>
      </c>
      <c r="O146" s="232" t="s">
        <v>11</v>
      </c>
      <c r="P146" s="232" t="s">
        <v>11</v>
      </c>
      <c r="Q146" s="232" t="s">
        <v>11</v>
      </c>
      <c r="R146" s="232" t="s">
        <v>11</v>
      </c>
      <c r="S146" s="232" t="s">
        <v>9</v>
      </c>
      <c r="T146" s="232" t="s">
        <v>9</v>
      </c>
      <c r="U146" s="232" t="s">
        <v>9</v>
      </c>
      <c r="V146" s="232" t="s">
        <v>9</v>
      </c>
      <c r="W146" s="232" t="s">
        <v>9</v>
      </c>
      <c r="X146" s="232" t="s">
        <v>9</v>
      </c>
      <c r="Y146" s="232" t="s">
        <v>9</v>
      </c>
      <c r="Z146" s="232" t="s">
        <v>9</v>
      </c>
      <c r="AA146" s="232" t="s">
        <v>9</v>
      </c>
      <c r="AB146" s="232" t="s">
        <v>9</v>
      </c>
      <c r="AC146" s="232" t="s">
        <v>9</v>
      </c>
      <c r="AD146" s="232" t="s">
        <v>9</v>
      </c>
      <c r="AE146" s="24">
        <f t="shared" si="12"/>
        <v>11</v>
      </c>
      <c r="AF146" s="24">
        <f t="shared" si="13"/>
        <v>0</v>
      </c>
      <c r="AG146" s="24">
        <f t="shared" si="14"/>
        <v>4</v>
      </c>
      <c r="AH146" s="41" t="str" cm="1">
        <f t="array" ref="AH146">_xlfn.IFS(
$AE146=15,"Not Started",
$AG146&lt;15,"In Progress",
$AG146=15,"Completed",
SUM(AE146:AG146)&gt;15,"Error"
)</f>
        <v>In Progress</v>
      </c>
    </row>
    <row r="147" spans="1:34" ht="15.5" x14ac:dyDescent="0.25">
      <c r="A147" s="248"/>
      <c r="B147" s="100">
        <v>144</v>
      </c>
      <c r="C147" s="7" t="s">
        <v>1802</v>
      </c>
      <c r="D147" s="53" t="s">
        <v>7578</v>
      </c>
      <c r="E147" s="57" t="s">
        <v>7733</v>
      </c>
      <c r="F147" s="7" t="s">
        <v>51</v>
      </c>
      <c r="G147" s="7" t="s">
        <v>44</v>
      </c>
      <c r="H147" s="7" t="s">
        <v>6206</v>
      </c>
      <c r="I147" s="7" t="s">
        <v>6206</v>
      </c>
      <c r="J147" s="7" t="s">
        <v>7993</v>
      </c>
      <c r="K147" s="7" t="s">
        <v>7827</v>
      </c>
      <c r="L147" s="7">
        <v>10052695364</v>
      </c>
      <c r="M147" s="7"/>
      <c r="N147" s="48"/>
      <c r="O147" s="232" t="s">
        <v>9</v>
      </c>
      <c r="P147" s="232" t="s">
        <v>9</v>
      </c>
      <c r="Q147" s="232" t="s">
        <v>9</v>
      </c>
      <c r="R147" s="232" t="s">
        <v>9</v>
      </c>
      <c r="S147" s="232" t="s">
        <v>9</v>
      </c>
      <c r="T147" s="232" t="s">
        <v>9</v>
      </c>
      <c r="U147" s="232" t="s">
        <v>9</v>
      </c>
      <c r="V147" s="232" t="s">
        <v>9</v>
      </c>
      <c r="W147" s="232" t="s">
        <v>9</v>
      </c>
      <c r="X147" s="232" t="s">
        <v>9</v>
      </c>
      <c r="Y147" s="232" t="s">
        <v>9</v>
      </c>
      <c r="Z147" s="232" t="s">
        <v>9</v>
      </c>
      <c r="AA147" s="232" t="s">
        <v>9</v>
      </c>
      <c r="AB147" s="232" t="s">
        <v>9</v>
      </c>
      <c r="AC147" s="232" t="s">
        <v>9</v>
      </c>
      <c r="AD147" s="232" t="s">
        <v>9</v>
      </c>
      <c r="AE147" s="24">
        <f t="shared" si="12"/>
        <v>15</v>
      </c>
      <c r="AF147" s="24">
        <f t="shared" si="13"/>
        <v>0</v>
      </c>
      <c r="AG147" s="24">
        <f t="shared" si="14"/>
        <v>0</v>
      </c>
      <c r="AH147" s="41" t="str" cm="1">
        <f t="array" ref="AH147">_xlfn.IFS(
$AE147=15,"Not Started",
$AG147&lt;15,"In Progress",
$AG147=15,"Completed",
SUM(AE147:AG147)&gt;15,"Error"
)</f>
        <v>Not Started</v>
      </c>
    </row>
    <row r="148" spans="1:34" ht="15.5" x14ac:dyDescent="0.25">
      <c r="A148" s="248"/>
      <c r="B148" s="100">
        <v>145</v>
      </c>
      <c r="C148" s="14" t="s">
        <v>1803</v>
      </c>
      <c r="D148" s="53" t="s">
        <v>6059</v>
      </c>
      <c r="E148" s="57" t="s">
        <v>7734</v>
      </c>
      <c r="F148" s="7" t="s">
        <v>47</v>
      </c>
      <c r="G148" s="7" t="s">
        <v>48</v>
      </c>
      <c r="H148" s="7" t="s">
        <v>6206</v>
      </c>
      <c r="I148" s="7" t="s">
        <v>6206</v>
      </c>
      <c r="J148" s="7" t="s">
        <v>7994</v>
      </c>
      <c r="K148" s="7" t="s">
        <v>6177</v>
      </c>
      <c r="L148" s="7">
        <v>10052776856</v>
      </c>
      <c r="M148" s="7"/>
      <c r="N148" s="231">
        <v>46148</v>
      </c>
      <c r="O148" s="232" t="s">
        <v>11</v>
      </c>
      <c r="P148" s="232" t="s">
        <v>11</v>
      </c>
      <c r="Q148" s="232" t="s">
        <v>11</v>
      </c>
      <c r="R148" s="232" t="s">
        <v>11</v>
      </c>
      <c r="S148" s="232" t="s">
        <v>9</v>
      </c>
      <c r="T148" s="232" t="s">
        <v>9</v>
      </c>
      <c r="U148" s="232" t="s">
        <v>9</v>
      </c>
      <c r="V148" s="232" t="s">
        <v>9</v>
      </c>
      <c r="W148" s="232" t="s">
        <v>9</v>
      </c>
      <c r="X148" s="232" t="s">
        <v>9</v>
      </c>
      <c r="Y148" s="232" t="s">
        <v>9</v>
      </c>
      <c r="Z148" s="232" t="s">
        <v>9</v>
      </c>
      <c r="AA148" s="232" t="s">
        <v>9</v>
      </c>
      <c r="AB148" s="232" t="s">
        <v>9</v>
      </c>
      <c r="AC148" s="232" t="s">
        <v>9</v>
      </c>
      <c r="AD148" s="232" t="s">
        <v>9</v>
      </c>
      <c r="AE148" s="24">
        <f t="shared" si="12"/>
        <v>11</v>
      </c>
      <c r="AF148" s="24">
        <f t="shared" si="13"/>
        <v>0</v>
      </c>
      <c r="AG148" s="24">
        <f t="shared" si="14"/>
        <v>4</v>
      </c>
      <c r="AH148" s="41" t="str" cm="1">
        <f t="array" ref="AH148">_xlfn.IFS(
$AE148=15,"Not Started",
$AG148&lt;15,"In Progress",
$AG148=15,"Completed",
SUM(AE148:AG148)&gt;15,"Error"
)</f>
        <v>In Progress</v>
      </c>
    </row>
    <row r="149" spans="1:34" ht="15.5" x14ac:dyDescent="0.25">
      <c r="A149" s="248"/>
      <c r="B149" s="100">
        <v>146</v>
      </c>
      <c r="C149" s="7" t="s">
        <v>1804</v>
      </c>
      <c r="D149" s="53" t="s">
        <v>5475</v>
      </c>
      <c r="E149" s="57" t="s">
        <v>7735</v>
      </c>
      <c r="F149" s="7" t="s">
        <v>51</v>
      </c>
      <c r="G149" s="7" t="s">
        <v>48</v>
      </c>
      <c r="H149" s="7" t="s">
        <v>6206</v>
      </c>
      <c r="I149" s="7" t="s">
        <v>6206</v>
      </c>
      <c r="J149" s="7" t="s">
        <v>7995</v>
      </c>
      <c r="K149" s="7" t="s">
        <v>6178</v>
      </c>
      <c r="L149" s="7">
        <v>10095226229</v>
      </c>
      <c r="M149" s="7"/>
      <c r="N149" s="231">
        <v>46114</v>
      </c>
      <c r="O149" s="232" t="s">
        <v>11</v>
      </c>
      <c r="P149" s="232" t="s">
        <v>11</v>
      </c>
      <c r="Q149" s="232" t="s">
        <v>11</v>
      </c>
      <c r="R149" s="232" t="s">
        <v>11</v>
      </c>
      <c r="S149" s="232" t="s">
        <v>9</v>
      </c>
      <c r="T149" s="232" t="s">
        <v>9</v>
      </c>
      <c r="U149" s="232" t="s">
        <v>9</v>
      </c>
      <c r="V149" s="232" t="s">
        <v>9</v>
      </c>
      <c r="W149" s="232" t="s">
        <v>9</v>
      </c>
      <c r="X149" s="232" t="s">
        <v>9</v>
      </c>
      <c r="Y149" s="232" t="s">
        <v>9</v>
      </c>
      <c r="Z149" s="232" t="s">
        <v>9</v>
      </c>
      <c r="AA149" s="232" t="s">
        <v>9</v>
      </c>
      <c r="AB149" s="232" t="s">
        <v>9</v>
      </c>
      <c r="AC149" s="232" t="s">
        <v>9</v>
      </c>
      <c r="AD149" s="232" t="s">
        <v>9</v>
      </c>
      <c r="AE149" s="24">
        <f t="shared" si="12"/>
        <v>11</v>
      </c>
      <c r="AF149" s="24">
        <f t="shared" si="13"/>
        <v>0</v>
      </c>
      <c r="AG149" s="24">
        <f t="shared" si="14"/>
        <v>4</v>
      </c>
      <c r="AH149" s="41" t="str" cm="1">
        <f t="array" ref="AH149">_xlfn.IFS(
$AE149=15,"Not Started",
$AG149&lt;15,"In Progress",
$AG149=15,"Completed",
SUM(AE149:AG149)&gt;15,"Error"
)</f>
        <v>In Progress</v>
      </c>
    </row>
    <row r="150" spans="1:34" ht="15.5" x14ac:dyDescent="0.25">
      <c r="A150" s="248"/>
      <c r="B150" s="100">
        <v>147</v>
      </c>
      <c r="C150" s="14" t="s">
        <v>1805</v>
      </c>
      <c r="D150" s="53" t="s">
        <v>6060</v>
      </c>
      <c r="E150" s="57" t="s">
        <v>7016</v>
      </c>
      <c r="F150" s="7" t="s">
        <v>43</v>
      </c>
      <c r="G150" s="7" t="s">
        <v>44</v>
      </c>
      <c r="H150" s="7" t="s">
        <v>6206</v>
      </c>
      <c r="I150" s="7" t="s">
        <v>6206</v>
      </c>
      <c r="J150" s="7" t="s">
        <v>7996</v>
      </c>
      <c r="K150" s="7" t="s">
        <v>6179</v>
      </c>
      <c r="L150" s="7">
        <v>10052611829</v>
      </c>
      <c r="M150" s="7"/>
      <c r="N150" s="231">
        <v>46114</v>
      </c>
      <c r="O150" s="232" t="s">
        <v>11</v>
      </c>
      <c r="P150" s="232" t="s">
        <v>11</v>
      </c>
      <c r="Q150" s="232" t="s">
        <v>11</v>
      </c>
      <c r="R150" s="232" t="s">
        <v>11</v>
      </c>
      <c r="S150" s="232" t="s">
        <v>9</v>
      </c>
      <c r="T150" s="232" t="s">
        <v>9</v>
      </c>
      <c r="U150" s="232" t="s">
        <v>9</v>
      </c>
      <c r="V150" s="232" t="s">
        <v>9</v>
      </c>
      <c r="W150" s="232" t="s">
        <v>9</v>
      </c>
      <c r="X150" s="232" t="s">
        <v>9</v>
      </c>
      <c r="Y150" s="232" t="s">
        <v>9</v>
      </c>
      <c r="Z150" s="232" t="s">
        <v>9</v>
      </c>
      <c r="AA150" s="232" t="s">
        <v>9</v>
      </c>
      <c r="AB150" s="232" t="s">
        <v>9</v>
      </c>
      <c r="AC150" s="232" t="s">
        <v>9</v>
      </c>
      <c r="AD150" s="232" t="s">
        <v>9</v>
      </c>
      <c r="AE150" s="24">
        <f t="shared" si="12"/>
        <v>11</v>
      </c>
      <c r="AF150" s="24">
        <f t="shared" si="13"/>
        <v>0</v>
      </c>
      <c r="AG150" s="24">
        <f t="shared" si="14"/>
        <v>4</v>
      </c>
      <c r="AH150" s="41" t="str" cm="1">
        <f t="array" ref="AH150">_xlfn.IFS(
$AE150=15,"Not Started",
$AG150&lt;15,"In Progress",
$AG150=15,"Completed",
SUM(AE150:AG150)&gt;15,"Error"
)</f>
        <v>In Progress</v>
      </c>
    </row>
    <row r="151" spans="1:34" ht="15.5" x14ac:dyDescent="0.25">
      <c r="A151" s="248"/>
      <c r="B151" s="100">
        <v>148</v>
      </c>
      <c r="C151" s="7" t="s">
        <v>1806</v>
      </c>
      <c r="D151" s="53" t="s">
        <v>7579</v>
      </c>
      <c r="E151" s="57" t="s">
        <v>7736</v>
      </c>
      <c r="F151" s="7" t="s">
        <v>43</v>
      </c>
      <c r="G151" s="7" t="s">
        <v>44</v>
      </c>
      <c r="H151" s="7" t="s">
        <v>6206</v>
      </c>
      <c r="I151" s="7" t="s">
        <v>6206</v>
      </c>
      <c r="J151" s="7" t="s">
        <v>7997</v>
      </c>
      <c r="K151" s="7" t="s">
        <v>7828</v>
      </c>
      <c r="L151" s="7">
        <v>10052736707</v>
      </c>
      <c r="M151" s="7"/>
      <c r="N151" s="231">
        <v>46149</v>
      </c>
      <c r="O151" s="232" t="s">
        <v>11</v>
      </c>
      <c r="P151" s="232" t="s">
        <v>11</v>
      </c>
      <c r="Q151" s="232" t="s">
        <v>11</v>
      </c>
      <c r="R151" s="232" t="s">
        <v>11</v>
      </c>
      <c r="S151" s="232" t="s">
        <v>9</v>
      </c>
      <c r="T151" s="232" t="s">
        <v>9</v>
      </c>
      <c r="U151" s="232" t="s">
        <v>9</v>
      </c>
      <c r="V151" s="232" t="s">
        <v>9</v>
      </c>
      <c r="W151" s="232" t="s">
        <v>9</v>
      </c>
      <c r="X151" s="232" t="s">
        <v>9</v>
      </c>
      <c r="Y151" s="232" t="s">
        <v>9</v>
      </c>
      <c r="Z151" s="232" t="s">
        <v>9</v>
      </c>
      <c r="AA151" s="232" t="s">
        <v>9</v>
      </c>
      <c r="AB151" s="232" t="s">
        <v>9</v>
      </c>
      <c r="AC151" s="232" t="s">
        <v>9</v>
      </c>
      <c r="AD151" s="232" t="s">
        <v>9</v>
      </c>
      <c r="AE151" s="24">
        <f t="shared" si="12"/>
        <v>11</v>
      </c>
      <c r="AF151" s="24">
        <f t="shared" si="13"/>
        <v>0</v>
      </c>
      <c r="AG151" s="24">
        <f t="shared" si="14"/>
        <v>4</v>
      </c>
      <c r="AH151" s="41" t="str" cm="1">
        <f t="array" ref="AH151">_xlfn.IFS(
$AE151=15,"Not Started",
$AG151&lt;15,"In Progress",
$AG151=15,"Completed",
SUM(AE151:AG151)&gt;15,"Error"
)</f>
        <v>In Progress</v>
      </c>
    </row>
    <row r="152" spans="1:34" ht="15.5" x14ac:dyDescent="0.25">
      <c r="A152" s="248"/>
      <c r="B152" s="100">
        <v>149</v>
      </c>
      <c r="C152" s="14" t="s">
        <v>1807</v>
      </c>
      <c r="D152" s="53" t="s">
        <v>6061</v>
      </c>
      <c r="E152" s="57" t="s">
        <v>7737</v>
      </c>
      <c r="F152" s="7" t="s">
        <v>47</v>
      </c>
      <c r="G152" s="7" t="s">
        <v>48</v>
      </c>
      <c r="H152" s="7" t="s">
        <v>6206</v>
      </c>
      <c r="I152" s="7" t="s">
        <v>6206</v>
      </c>
      <c r="J152" s="7" t="s">
        <v>7998</v>
      </c>
      <c r="K152" s="7" t="s">
        <v>6180</v>
      </c>
      <c r="L152" s="7">
        <v>10052928582</v>
      </c>
      <c r="M152" s="7"/>
      <c r="N152" s="48"/>
      <c r="O152" s="232" t="s">
        <v>11</v>
      </c>
      <c r="P152" s="232" t="s">
        <v>11</v>
      </c>
      <c r="Q152" s="232" t="s">
        <v>11</v>
      </c>
      <c r="R152" s="232" t="s">
        <v>11</v>
      </c>
      <c r="S152" s="232" t="s">
        <v>9</v>
      </c>
      <c r="T152" s="232" t="s">
        <v>9</v>
      </c>
      <c r="U152" s="232" t="s">
        <v>9</v>
      </c>
      <c r="V152" s="232" t="s">
        <v>9</v>
      </c>
      <c r="W152" s="232" t="s">
        <v>9</v>
      </c>
      <c r="X152" s="232" t="s">
        <v>9</v>
      </c>
      <c r="Y152" s="232" t="s">
        <v>9</v>
      </c>
      <c r="Z152" s="232" t="s">
        <v>9</v>
      </c>
      <c r="AA152" s="232" t="s">
        <v>9</v>
      </c>
      <c r="AB152" s="232" t="s">
        <v>9</v>
      </c>
      <c r="AC152" s="232" t="s">
        <v>9</v>
      </c>
      <c r="AD152" s="232" t="s">
        <v>9</v>
      </c>
      <c r="AE152" s="24">
        <f t="shared" si="12"/>
        <v>11</v>
      </c>
      <c r="AF152" s="24">
        <f t="shared" si="13"/>
        <v>0</v>
      </c>
      <c r="AG152" s="24">
        <f t="shared" si="14"/>
        <v>4</v>
      </c>
      <c r="AH152" s="41" t="str" cm="1">
        <f t="array" ref="AH152">_xlfn.IFS(
$AE152=15,"Not Started",
$AG152&lt;15,"In Progress",
$AG152=15,"Completed",
SUM(AE152:AG152)&gt;15,"Error"
)</f>
        <v>In Progress</v>
      </c>
    </row>
    <row r="153" spans="1:34" ht="15.5" x14ac:dyDescent="0.25">
      <c r="A153" s="248"/>
      <c r="B153" s="100">
        <v>150</v>
      </c>
      <c r="C153" s="7" t="s">
        <v>1808</v>
      </c>
      <c r="D153" s="53" t="s">
        <v>7580</v>
      </c>
      <c r="E153" s="57" t="s">
        <v>7738</v>
      </c>
      <c r="F153" s="7" t="s">
        <v>47</v>
      </c>
      <c r="G153" s="7" t="s">
        <v>44</v>
      </c>
      <c r="H153" s="7" t="s">
        <v>6206</v>
      </c>
      <c r="I153" s="7" t="s">
        <v>6206</v>
      </c>
      <c r="J153" s="7" t="s">
        <v>7999</v>
      </c>
      <c r="K153" s="7" t="s">
        <v>7829</v>
      </c>
      <c r="L153" s="7">
        <v>10052784802</v>
      </c>
      <c r="M153" s="7"/>
      <c r="N153" s="231">
        <v>46137</v>
      </c>
      <c r="O153" s="232" t="s">
        <v>11</v>
      </c>
      <c r="P153" s="232" t="s">
        <v>11</v>
      </c>
      <c r="Q153" s="232" t="s">
        <v>11</v>
      </c>
      <c r="R153" s="232" t="s">
        <v>11</v>
      </c>
      <c r="S153" s="232" t="s">
        <v>9</v>
      </c>
      <c r="T153" s="232" t="s">
        <v>9</v>
      </c>
      <c r="U153" s="232" t="s">
        <v>9</v>
      </c>
      <c r="V153" s="232" t="s">
        <v>9</v>
      </c>
      <c r="W153" s="232" t="s">
        <v>9</v>
      </c>
      <c r="X153" s="232" t="s">
        <v>9</v>
      </c>
      <c r="Y153" s="232" t="s">
        <v>9</v>
      </c>
      <c r="Z153" s="232" t="s">
        <v>9</v>
      </c>
      <c r="AA153" s="232" t="s">
        <v>9</v>
      </c>
      <c r="AB153" s="232" t="s">
        <v>9</v>
      </c>
      <c r="AC153" s="232" t="s">
        <v>9</v>
      </c>
      <c r="AD153" s="232" t="s">
        <v>9</v>
      </c>
      <c r="AE153" s="24">
        <f t="shared" si="12"/>
        <v>11</v>
      </c>
      <c r="AF153" s="24">
        <f t="shared" si="13"/>
        <v>0</v>
      </c>
      <c r="AG153" s="24">
        <f t="shared" si="14"/>
        <v>4</v>
      </c>
      <c r="AH153" s="41" t="str" cm="1">
        <f t="array" ref="AH153">_xlfn.IFS(
$AE153=15,"Not Started",
$AG153&lt;15,"In Progress",
$AG153=15,"Completed",
SUM(AE153:AG153)&gt;15,"Error"
)</f>
        <v>In Progress</v>
      </c>
    </row>
    <row r="154" spans="1:34" ht="15.5" x14ac:dyDescent="0.25">
      <c r="A154" s="248"/>
      <c r="B154" s="100">
        <v>151</v>
      </c>
      <c r="C154" s="14" t="s">
        <v>1809</v>
      </c>
      <c r="D154" s="53" t="s">
        <v>6062</v>
      </c>
      <c r="E154" s="57" t="s">
        <v>7739</v>
      </c>
      <c r="F154" s="7" t="s">
        <v>43</v>
      </c>
      <c r="G154" s="7" t="s">
        <v>48</v>
      </c>
      <c r="H154" s="7" t="s">
        <v>6206</v>
      </c>
      <c r="I154" s="7" t="s">
        <v>6206</v>
      </c>
      <c r="J154" s="7" t="s">
        <v>8000</v>
      </c>
      <c r="K154" s="7" t="s">
        <v>6181</v>
      </c>
      <c r="L154" s="7">
        <v>10052702558</v>
      </c>
      <c r="M154" s="7"/>
      <c r="N154" s="231">
        <v>46149</v>
      </c>
      <c r="O154" s="232" t="s">
        <v>11</v>
      </c>
      <c r="P154" s="232" t="s">
        <v>11</v>
      </c>
      <c r="Q154" s="232" t="s">
        <v>11</v>
      </c>
      <c r="R154" s="232" t="s">
        <v>11</v>
      </c>
      <c r="S154" s="232" t="s">
        <v>9</v>
      </c>
      <c r="T154" s="232" t="s">
        <v>9</v>
      </c>
      <c r="U154" s="232" t="s">
        <v>9</v>
      </c>
      <c r="V154" s="232" t="s">
        <v>9</v>
      </c>
      <c r="W154" s="232" t="s">
        <v>9</v>
      </c>
      <c r="X154" s="232" t="s">
        <v>9</v>
      </c>
      <c r="Y154" s="232" t="s">
        <v>9</v>
      </c>
      <c r="Z154" s="232" t="s">
        <v>9</v>
      </c>
      <c r="AA154" s="232" t="s">
        <v>9</v>
      </c>
      <c r="AB154" s="232" t="s">
        <v>9</v>
      </c>
      <c r="AC154" s="232" t="s">
        <v>9</v>
      </c>
      <c r="AD154" s="232" t="s">
        <v>9</v>
      </c>
      <c r="AE154" s="24">
        <f t="shared" si="12"/>
        <v>11</v>
      </c>
      <c r="AF154" s="24">
        <f t="shared" si="13"/>
        <v>0</v>
      </c>
      <c r="AG154" s="24">
        <f t="shared" si="14"/>
        <v>4</v>
      </c>
      <c r="AH154" s="41" t="str" cm="1">
        <f t="array" ref="AH154">_xlfn.IFS(
$AE154=15,"Not Started",
$AG154&lt;15,"In Progress",
$AG154=15,"Completed",
SUM(AE154:AG154)&gt;15,"Error"
)</f>
        <v>In Progress</v>
      </c>
    </row>
    <row r="155" spans="1:34" ht="15.5" x14ac:dyDescent="0.25">
      <c r="A155" s="248"/>
      <c r="B155" s="100">
        <v>152</v>
      </c>
      <c r="C155" s="7" t="s">
        <v>1810</v>
      </c>
      <c r="D155" s="53" t="s">
        <v>7581</v>
      </c>
      <c r="E155" s="57" t="s">
        <v>7740</v>
      </c>
      <c r="F155" s="7" t="s">
        <v>43</v>
      </c>
      <c r="G155" s="7" t="s">
        <v>48</v>
      </c>
      <c r="H155" s="7" t="s">
        <v>6206</v>
      </c>
      <c r="I155" s="7" t="s">
        <v>6206</v>
      </c>
      <c r="J155" s="7" t="s">
        <v>8001</v>
      </c>
      <c r="K155" s="7" t="s">
        <v>7830</v>
      </c>
      <c r="L155" s="7">
        <v>10052783654</v>
      </c>
      <c r="M155" s="7"/>
      <c r="N155" s="48"/>
      <c r="O155" s="232" t="s">
        <v>9</v>
      </c>
      <c r="P155" s="232" t="s">
        <v>9</v>
      </c>
      <c r="Q155" s="232" t="s">
        <v>9</v>
      </c>
      <c r="R155" s="232" t="s">
        <v>9</v>
      </c>
      <c r="S155" s="232" t="s">
        <v>9</v>
      </c>
      <c r="T155" s="232" t="s">
        <v>9</v>
      </c>
      <c r="U155" s="232" t="s">
        <v>9</v>
      </c>
      <c r="V155" s="232" t="s">
        <v>9</v>
      </c>
      <c r="W155" s="232" t="s">
        <v>9</v>
      </c>
      <c r="X155" s="232" t="s">
        <v>9</v>
      </c>
      <c r="Y155" s="232" t="s">
        <v>9</v>
      </c>
      <c r="Z155" s="232" t="s">
        <v>9</v>
      </c>
      <c r="AA155" s="232" t="s">
        <v>9</v>
      </c>
      <c r="AB155" s="232" t="s">
        <v>9</v>
      </c>
      <c r="AC155" s="232" t="s">
        <v>9</v>
      </c>
      <c r="AD155" s="232" t="s">
        <v>9</v>
      </c>
      <c r="AE155" s="24">
        <f t="shared" si="12"/>
        <v>15</v>
      </c>
      <c r="AF155" s="24">
        <f t="shared" si="13"/>
        <v>0</v>
      </c>
      <c r="AG155" s="24">
        <f t="shared" si="14"/>
        <v>0</v>
      </c>
      <c r="AH155" s="41" t="str" cm="1">
        <f t="array" ref="AH155">_xlfn.IFS(
$AE155=15,"Not Started",
$AG155&lt;15,"In Progress",
$AG155=15,"Completed",
SUM(AE155:AG155)&gt;15,"Error"
)</f>
        <v>Not Started</v>
      </c>
    </row>
    <row r="156" spans="1:34" ht="26" x14ac:dyDescent="0.25">
      <c r="A156" s="248"/>
      <c r="B156" s="100">
        <v>153</v>
      </c>
      <c r="C156" s="14" t="s">
        <v>1811</v>
      </c>
      <c r="D156" s="79" t="s">
        <v>10249</v>
      </c>
      <c r="E156" s="80" t="s">
        <v>10246</v>
      </c>
      <c r="F156" s="7" t="s">
        <v>47</v>
      </c>
      <c r="G156" s="7" t="s">
        <v>44</v>
      </c>
      <c r="H156" s="7" t="s">
        <v>6206</v>
      </c>
      <c r="I156" s="7" t="s">
        <v>6206</v>
      </c>
      <c r="J156" s="7" t="s">
        <v>8002</v>
      </c>
      <c r="K156" s="7" t="s">
        <v>7831</v>
      </c>
      <c r="L156" s="7">
        <v>10052526586</v>
      </c>
      <c r="M156" s="7"/>
      <c r="N156" s="48"/>
      <c r="O156" s="232" t="s">
        <v>9</v>
      </c>
      <c r="P156" s="232" t="s">
        <v>9</v>
      </c>
      <c r="Q156" s="232" t="s">
        <v>9</v>
      </c>
      <c r="R156" s="232" t="s">
        <v>9</v>
      </c>
      <c r="S156" s="232" t="s">
        <v>9</v>
      </c>
      <c r="T156" s="232" t="s">
        <v>9</v>
      </c>
      <c r="U156" s="232" t="s">
        <v>9</v>
      </c>
      <c r="V156" s="232" t="s">
        <v>9</v>
      </c>
      <c r="W156" s="232" t="s">
        <v>9</v>
      </c>
      <c r="X156" s="232" t="s">
        <v>9</v>
      </c>
      <c r="Y156" s="232" t="s">
        <v>9</v>
      </c>
      <c r="Z156" s="232" t="s">
        <v>9</v>
      </c>
      <c r="AA156" s="232" t="s">
        <v>9</v>
      </c>
      <c r="AB156" s="232" t="s">
        <v>9</v>
      </c>
      <c r="AC156" s="232" t="s">
        <v>9</v>
      </c>
      <c r="AD156" s="232" t="s">
        <v>9</v>
      </c>
      <c r="AE156" s="24">
        <f t="shared" si="12"/>
        <v>15</v>
      </c>
      <c r="AF156" s="24">
        <f t="shared" si="13"/>
        <v>0</v>
      </c>
      <c r="AG156" s="24">
        <f t="shared" si="14"/>
        <v>0</v>
      </c>
      <c r="AH156" s="41" t="str" cm="1">
        <f t="array" ref="AH156">_xlfn.IFS(
$AE156=15,"Not Started",
$AG156&lt;15,"In Progress",
$AG156=15,"Completed",
SUM(AE156:AG156)&gt;15,"Error"
)</f>
        <v>Not Started</v>
      </c>
    </row>
    <row r="157" spans="1:34" ht="15.5" x14ac:dyDescent="0.25">
      <c r="A157" s="248"/>
      <c r="B157" s="100">
        <v>154</v>
      </c>
      <c r="C157" s="7" t="s">
        <v>1812</v>
      </c>
      <c r="D157" s="53" t="s">
        <v>7582</v>
      </c>
      <c r="E157" s="57" t="s">
        <v>7741</v>
      </c>
      <c r="F157" s="7" t="s">
        <v>43</v>
      </c>
      <c r="G157" s="7" t="s">
        <v>44</v>
      </c>
      <c r="H157" s="7" t="s">
        <v>6206</v>
      </c>
      <c r="I157" s="7" t="s">
        <v>6206</v>
      </c>
      <c r="J157" s="7" t="s">
        <v>8003</v>
      </c>
      <c r="K157" s="7" t="s">
        <v>7832</v>
      </c>
      <c r="L157" s="7">
        <v>10052534659</v>
      </c>
      <c r="M157" s="7"/>
      <c r="N157" s="231">
        <v>46121</v>
      </c>
      <c r="O157" s="232" t="s">
        <v>11</v>
      </c>
      <c r="P157" s="232" t="s">
        <v>11</v>
      </c>
      <c r="Q157" s="232" t="s">
        <v>11</v>
      </c>
      <c r="R157" s="232" t="s">
        <v>11</v>
      </c>
      <c r="S157" s="232" t="s">
        <v>9</v>
      </c>
      <c r="T157" s="232" t="s">
        <v>9</v>
      </c>
      <c r="U157" s="232" t="s">
        <v>9</v>
      </c>
      <c r="V157" s="232" t="s">
        <v>9</v>
      </c>
      <c r="W157" s="232" t="s">
        <v>9</v>
      </c>
      <c r="X157" s="232" t="s">
        <v>9</v>
      </c>
      <c r="Y157" s="232" t="s">
        <v>9</v>
      </c>
      <c r="Z157" s="232" t="s">
        <v>9</v>
      </c>
      <c r="AA157" s="232" t="s">
        <v>9</v>
      </c>
      <c r="AB157" s="232" t="s">
        <v>9</v>
      </c>
      <c r="AC157" s="232" t="s">
        <v>9</v>
      </c>
      <c r="AD157" s="232" t="s">
        <v>9</v>
      </c>
      <c r="AE157" s="24">
        <f t="shared" si="12"/>
        <v>11</v>
      </c>
      <c r="AF157" s="24">
        <f t="shared" si="13"/>
        <v>0</v>
      </c>
      <c r="AG157" s="24">
        <f t="shared" si="14"/>
        <v>4</v>
      </c>
      <c r="AH157" s="41" t="str" cm="1">
        <f t="array" ref="AH157">_xlfn.IFS(
$AE157=15,"Not Started",
$AG157&lt;15,"In Progress",
$AG157=15,"Completed",
SUM(AE157:AG157)&gt;15,"Error"
)</f>
        <v>In Progress</v>
      </c>
    </row>
    <row r="158" spans="1:34" ht="15.5" x14ac:dyDescent="0.25">
      <c r="A158" s="248"/>
      <c r="B158" s="100">
        <v>155</v>
      </c>
      <c r="C158" s="14" t="s">
        <v>1813</v>
      </c>
      <c r="D158" s="53" t="s">
        <v>7583</v>
      </c>
      <c r="E158" s="57" t="s">
        <v>7742</v>
      </c>
      <c r="F158" s="7" t="s">
        <v>47</v>
      </c>
      <c r="G158" s="7" t="s">
        <v>44</v>
      </c>
      <c r="H158" s="7" t="s">
        <v>6206</v>
      </c>
      <c r="I158" s="7" t="s">
        <v>6206</v>
      </c>
      <c r="J158" s="7" t="s">
        <v>8004</v>
      </c>
      <c r="K158" s="7" t="s">
        <v>7833</v>
      </c>
      <c r="L158" s="7">
        <v>10052568460</v>
      </c>
      <c r="M158" s="7"/>
      <c r="N158" s="231">
        <v>46121</v>
      </c>
      <c r="O158" s="232" t="s">
        <v>11</v>
      </c>
      <c r="P158" s="232" t="s">
        <v>11</v>
      </c>
      <c r="Q158" s="232" t="s">
        <v>11</v>
      </c>
      <c r="R158" s="232" t="s">
        <v>11</v>
      </c>
      <c r="S158" s="232" t="s">
        <v>9</v>
      </c>
      <c r="T158" s="232" t="s">
        <v>9</v>
      </c>
      <c r="U158" s="232" t="s">
        <v>9</v>
      </c>
      <c r="V158" s="232" t="s">
        <v>9</v>
      </c>
      <c r="W158" s="232" t="s">
        <v>9</v>
      </c>
      <c r="X158" s="232" t="s">
        <v>9</v>
      </c>
      <c r="Y158" s="232" t="s">
        <v>9</v>
      </c>
      <c r="Z158" s="232" t="s">
        <v>9</v>
      </c>
      <c r="AA158" s="232" t="s">
        <v>9</v>
      </c>
      <c r="AB158" s="232" t="s">
        <v>9</v>
      </c>
      <c r="AC158" s="232" t="s">
        <v>9</v>
      </c>
      <c r="AD158" s="232" t="s">
        <v>9</v>
      </c>
      <c r="AE158" s="24">
        <f t="shared" si="12"/>
        <v>11</v>
      </c>
      <c r="AF158" s="24">
        <f t="shared" si="13"/>
        <v>0</v>
      </c>
      <c r="AG158" s="24">
        <f t="shared" si="14"/>
        <v>4</v>
      </c>
      <c r="AH158" s="41" t="str" cm="1">
        <f t="array" ref="AH158">_xlfn.IFS(
$AE158=15,"Not Started",
$AG158&lt;15,"In Progress",
$AG158=15,"Completed",
SUM(AE158:AG158)&gt;15,"Error"
)</f>
        <v>In Progress</v>
      </c>
    </row>
    <row r="159" spans="1:34" ht="15.5" x14ac:dyDescent="0.25">
      <c r="A159" s="248"/>
      <c r="B159" s="100">
        <v>156</v>
      </c>
      <c r="C159" s="7" t="s">
        <v>1814</v>
      </c>
      <c r="D159" s="53" t="s">
        <v>6063</v>
      </c>
      <c r="E159" s="57" t="s">
        <v>7743</v>
      </c>
      <c r="F159" s="7" t="s">
        <v>47</v>
      </c>
      <c r="G159" s="7" t="s">
        <v>48</v>
      </c>
      <c r="H159" s="7" t="s">
        <v>6206</v>
      </c>
      <c r="I159" s="7" t="s">
        <v>6206</v>
      </c>
      <c r="J159" s="7" t="s">
        <v>8005</v>
      </c>
      <c r="K159" s="7" t="s">
        <v>6182</v>
      </c>
      <c r="L159" s="7">
        <v>10052738452</v>
      </c>
      <c r="M159" s="7"/>
      <c r="N159" s="48"/>
      <c r="O159" s="232" t="s">
        <v>9</v>
      </c>
      <c r="P159" s="232" t="s">
        <v>9</v>
      </c>
      <c r="Q159" s="232" t="s">
        <v>9</v>
      </c>
      <c r="R159" s="232" t="s">
        <v>9</v>
      </c>
      <c r="S159" s="232" t="s">
        <v>9</v>
      </c>
      <c r="T159" s="232" t="s">
        <v>9</v>
      </c>
      <c r="U159" s="232" t="s">
        <v>9</v>
      </c>
      <c r="V159" s="232" t="s">
        <v>9</v>
      </c>
      <c r="W159" s="232" t="s">
        <v>9</v>
      </c>
      <c r="X159" s="232" t="s">
        <v>9</v>
      </c>
      <c r="Y159" s="232" t="s">
        <v>9</v>
      </c>
      <c r="Z159" s="232" t="s">
        <v>9</v>
      </c>
      <c r="AA159" s="232" t="s">
        <v>9</v>
      </c>
      <c r="AB159" s="232" t="s">
        <v>9</v>
      </c>
      <c r="AC159" s="232" t="s">
        <v>9</v>
      </c>
      <c r="AD159" s="232" t="s">
        <v>9</v>
      </c>
      <c r="AE159" s="24">
        <f t="shared" si="12"/>
        <v>15</v>
      </c>
      <c r="AF159" s="24">
        <f t="shared" si="13"/>
        <v>0</v>
      </c>
      <c r="AG159" s="24">
        <f t="shared" si="14"/>
        <v>0</v>
      </c>
      <c r="AH159" s="41" t="str" cm="1">
        <f t="array" ref="AH159">_xlfn.IFS(
$AE159=15,"Not Started",
$AG159&lt;15,"In Progress",
$AG159=15,"Completed",
SUM(AE159:AG159)&gt;15,"Error"
)</f>
        <v>Not Started</v>
      </c>
    </row>
    <row r="160" spans="1:34" ht="15.5" x14ac:dyDescent="0.25">
      <c r="A160" s="248"/>
      <c r="B160" s="100">
        <v>157</v>
      </c>
      <c r="C160" s="14" t="s">
        <v>1815</v>
      </c>
      <c r="D160" s="53" t="s">
        <v>7584</v>
      </c>
      <c r="E160" s="57" t="s">
        <v>7744</v>
      </c>
      <c r="F160" s="7" t="s">
        <v>47</v>
      </c>
      <c r="G160" s="7" t="s">
        <v>48</v>
      </c>
      <c r="H160" s="7" t="s">
        <v>6206</v>
      </c>
      <c r="I160" s="7" t="s">
        <v>6206</v>
      </c>
      <c r="J160" s="7" t="s">
        <v>8006</v>
      </c>
      <c r="K160" s="7" t="s">
        <v>7834</v>
      </c>
      <c r="L160" s="7">
        <v>10052741609</v>
      </c>
      <c r="M160" s="7"/>
      <c r="N160" s="48"/>
      <c r="O160" s="232" t="s">
        <v>9</v>
      </c>
      <c r="P160" s="232" t="s">
        <v>9</v>
      </c>
      <c r="Q160" s="232" t="s">
        <v>9</v>
      </c>
      <c r="R160" s="232" t="s">
        <v>9</v>
      </c>
      <c r="S160" s="232" t="s">
        <v>9</v>
      </c>
      <c r="T160" s="232" t="s">
        <v>9</v>
      </c>
      <c r="U160" s="232" t="s">
        <v>9</v>
      </c>
      <c r="V160" s="232" t="s">
        <v>9</v>
      </c>
      <c r="W160" s="232" t="s">
        <v>9</v>
      </c>
      <c r="X160" s="232" t="s">
        <v>9</v>
      </c>
      <c r="Y160" s="232" t="s">
        <v>9</v>
      </c>
      <c r="Z160" s="232" t="s">
        <v>9</v>
      </c>
      <c r="AA160" s="232" t="s">
        <v>9</v>
      </c>
      <c r="AB160" s="232" t="s">
        <v>9</v>
      </c>
      <c r="AC160" s="232" t="s">
        <v>9</v>
      </c>
      <c r="AD160" s="232" t="s">
        <v>9</v>
      </c>
      <c r="AE160" s="24">
        <f t="shared" si="12"/>
        <v>15</v>
      </c>
      <c r="AF160" s="24">
        <f t="shared" si="13"/>
        <v>0</v>
      </c>
      <c r="AG160" s="24">
        <f t="shared" si="14"/>
        <v>0</v>
      </c>
      <c r="AH160" s="41" t="str" cm="1">
        <f t="array" ref="AH160">_xlfn.IFS(
$AE160=15,"Not Started",
$AG160&lt;15,"In Progress",
$AG160=15,"Completed",
SUM(AE160:AG160)&gt;15,"Error"
)</f>
        <v>Not Started</v>
      </c>
    </row>
    <row r="161" spans="1:34" ht="15.5" x14ac:dyDescent="0.25">
      <c r="A161" s="248"/>
      <c r="B161" s="100">
        <v>158</v>
      </c>
      <c r="C161" s="7" t="s">
        <v>1816</v>
      </c>
      <c r="D161" s="53" t="s">
        <v>7585</v>
      </c>
      <c r="E161" s="57" t="s">
        <v>7745</v>
      </c>
      <c r="F161" s="7" t="s">
        <v>51</v>
      </c>
      <c r="G161" s="7" t="s">
        <v>48</v>
      </c>
      <c r="H161" s="7" t="s">
        <v>6206</v>
      </c>
      <c r="I161" s="7" t="s">
        <v>6206</v>
      </c>
      <c r="J161" s="7" t="s">
        <v>8007</v>
      </c>
      <c r="K161" s="7" t="s">
        <v>7835</v>
      </c>
      <c r="L161" s="7">
        <v>10052741734</v>
      </c>
      <c r="M161" s="7"/>
      <c r="N161" s="231">
        <v>46151</v>
      </c>
      <c r="O161" s="232" t="s">
        <v>11</v>
      </c>
      <c r="P161" s="232" t="s">
        <v>11</v>
      </c>
      <c r="Q161" s="232" t="s">
        <v>11</v>
      </c>
      <c r="R161" s="232" t="s">
        <v>11</v>
      </c>
      <c r="S161" s="232" t="s">
        <v>9</v>
      </c>
      <c r="T161" s="232" t="s">
        <v>9</v>
      </c>
      <c r="U161" s="232" t="s">
        <v>9</v>
      </c>
      <c r="V161" s="232" t="s">
        <v>9</v>
      </c>
      <c r="W161" s="232" t="s">
        <v>9</v>
      </c>
      <c r="X161" s="232" t="s">
        <v>9</v>
      </c>
      <c r="Y161" s="232" t="s">
        <v>9</v>
      </c>
      <c r="Z161" s="232" t="s">
        <v>9</v>
      </c>
      <c r="AA161" s="232" t="s">
        <v>9</v>
      </c>
      <c r="AB161" s="232" t="s">
        <v>9</v>
      </c>
      <c r="AC161" s="232" t="s">
        <v>9</v>
      </c>
      <c r="AD161" s="232" t="s">
        <v>9</v>
      </c>
      <c r="AE161" s="24">
        <f t="shared" si="12"/>
        <v>11</v>
      </c>
      <c r="AF161" s="24">
        <f t="shared" si="13"/>
        <v>0</v>
      </c>
      <c r="AG161" s="24">
        <f t="shared" si="14"/>
        <v>4</v>
      </c>
      <c r="AH161" s="41" t="str" cm="1">
        <f t="array" ref="AH161">_xlfn.IFS(
$AE161=15,"Not Started",
$AG161&lt;15,"In Progress",
$AG161=15,"Completed",
SUM(AE161:AG161)&gt;15,"Error"
)</f>
        <v>In Progress</v>
      </c>
    </row>
    <row r="162" spans="1:34" ht="15.5" x14ac:dyDescent="0.25">
      <c r="A162" s="248"/>
      <c r="B162" s="100">
        <v>159</v>
      </c>
      <c r="C162" s="14" t="s">
        <v>1817</v>
      </c>
      <c r="D162" s="53" t="s">
        <v>7586</v>
      </c>
      <c r="E162" s="57" t="s">
        <v>7746</v>
      </c>
      <c r="F162" s="7" t="s">
        <v>43</v>
      </c>
      <c r="G162" s="7" t="s">
        <v>44</v>
      </c>
      <c r="H162" s="7" t="s">
        <v>6206</v>
      </c>
      <c r="I162" s="7" t="s">
        <v>6206</v>
      </c>
      <c r="J162" s="7" t="s">
        <v>8008</v>
      </c>
      <c r="K162" s="7" t="s">
        <v>7836</v>
      </c>
      <c r="L162" s="7">
        <v>10053088291</v>
      </c>
      <c r="M162" s="7"/>
      <c r="N162" s="48"/>
      <c r="O162" s="232" t="s">
        <v>9</v>
      </c>
      <c r="P162" s="232" t="s">
        <v>9</v>
      </c>
      <c r="Q162" s="232" t="s">
        <v>9</v>
      </c>
      <c r="R162" s="232" t="s">
        <v>9</v>
      </c>
      <c r="S162" s="232" t="s">
        <v>9</v>
      </c>
      <c r="T162" s="232" t="s">
        <v>9</v>
      </c>
      <c r="U162" s="232" t="s">
        <v>9</v>
      </c>
      <c r="V162" s="232" t="s">
        <v>9</v>
      </c>
      <c r="W162" s="232" t="s">
        <v>9</v>
      </c>
      <c r="X162" s="232" t="s">
        <v>9</v>
      </c>
      <c r="Y162" s="232" t="s">
        <v>9</v>
      </c>
      <c r="Z162" s="232" t="s">
        <v>9</v>
      </c>
      <c r="AA162" s="232" t="s">
        <v>9</v>
      </c>
      <c r="AB162" s="232" t="s">
        <v>9</v>
      </c>
      <c r="AC162" s="232" t="s">
        <v>9</v>
      </c>
      <c r="AD162" s="232" t="s">
        <v>9</v>
      </c>
      <c r="AE162" s="24">
        <f t="shared" si="12"/>
        <v>15</v>
      </c>
      <c r="AF162" s="24">
        <f t="shared" si="13"/>
        <v>0</v>
      </c>
      <c r="AG162" s="24">
        <f t="shared" si="14"/>
        <v>0</v>
      </c>
      <c r="AH162" s="41" t="str" cm="1">
        <f t="array" ref="AH162">_xlfn.IFS(
$AE162=15,"Not Started",
$AG162&lt;15,"In Progress",
$AG162=15,"Completed",
SUM(AE162:AG162)&gt;15,"Error"
)</f>
        <v>Not Started</v>
      </c>
    </row>
    <row r="163" spans="1:34" ht="15.5" x14ac:dyDescent="0.25">
      <c r="A163" s="248"/>
      <c r="B163" s="100">
        <v>160</v>
      </c>
      <c r="C163" s="7" t="s">
        <v>1818</v>
      </c>
      <c r="D163" s="53" t="s">
        <v>6064</v>
      </c>
      <c r="E163" s="57" t="s">
        <v>7747</v>
      </c>
      <c r="F163" s="7" t="s">
        <v>51</v>
      </c>
      <c r="G163" s="7" t="s">
        <v>44</v>
      </c>
      <c r="H163" s="7" t="s">
        <v>6206</v>
      </c>
      <c r="I163" s="7" t="s">
        <v>6206</v>
      </c>
      <c r="J163" s="7" t="s">
        <v>8009</v>
      </c>
      <c r="K163" s="7" t="s">
        <v>6183</v>
      </c>
      <c r="L163" s="7">
        <v>10052605044</v>
      </c>
      <c r="M163" s="7"/>
      <c r="N163" s="231">
        <v>46145</v>
      </c>
      <c r="O163" s="232" t="s">
        <v>11</v>
      </c>
      <c r="P163" s="232" t="s">
        <v>11</v>
      </c>
      <c r="Q163" s="232" t="s">
        <v>11</v>
      </c>
      <c r="R163" s="232" t="s">
        <v>11</v>
      </c>
      <c r="S163" s="232" t="s">
        <v>9</v>
      </c>
      <c r="T163" s="232" t="s">
        <v>9</v>
      </c>
      <c r="U163" s="232" t="s">
        <v>9</v>
      </c>
      <c r="V163" s="232" t="s">
        <v>9</v>
      </c>
      <c r="W163" s="232" t="s">
        <v>9</v>
      </c>
      <c r="X163" s="232" t="s">
        <v>9</v>
      </c>
      <c r="Y163" s="232" t="s">
        <v>9</v>
      </c>
      <c r="Z163" s="232" t="s">
        <v>9</v>
      </c>
      <c r="AA163" s="232" t="s">
        <v>9</v>
      </c>
      <c r="AB163" s="232" t="s">
        <v>9</v>
      </c>
      <c r="AC163" s="232" t="s">
        <v>9</v>
      </c>
      <c r="AD163" s="232" t="s">
        <v>9</v>
      </c>
      <c r="AE163" s="24">
        <f t="shared" si="12"/>
        <v>11</v>
      </c>
      <c r="AF163" s="24">
        <f t="shared" si="13"/>
        <v>0</v>
      </c>
      <c r="AG163" s="24">
        <f t="shared" si="14"/>
        <v>4</v>
      </c>
      <c r="AH163" s="41" t="str" cm="1">
        <f t="array" ref="AH163">_xlfn.IFS(
$AE163=15,"Not Started",
$AG163&lt;15,"In Progress",
$AG163=15,"Completed",
SUM(AE163:AG163)&gt;15,"Error"
)</f>
        <v>In Progress</v>
      </c>
    </row>
    <row r="164" spans="1:34" ht="15.5" x14ac:dyDescent="0.25">
      <c r="A164" s="248"/>
      <c r="B164" s="100">
        <v>161</v>
      </c>
      <c r="C164" s="14" t="s">
        <v>1819</v>
      </c>
      <c r="D164" s="53" t="s">
        <v>6065</v>
      </c>
      <c r="E164" s="57" t="s">
        <v>7748</v>
      </c>
      <c r="F164" s="7" t="s">
        <v>9671</v>
      </c>
      <c r="G164" s="7" t="s">
        <v>48</v>
      </c>
      <c r="H164" s="7" t="s">
        <v>6206</v>
      </c>
      <c r="I164" s="7" t="s">
        <v>6206</v>
      </c>
      <c r="J164" s="7" t="s">
        <v>8010</v>
      </c>
      <c r="K164" s="7" t="s">
        <v>6184</v>
      </c>
      <c r="L164" s="7">
        <v>10090637698</v>
      </c>
      <c r="M164" s="7"/>
      <c r="N164" s="48"/>
      <c r="O164" s="232" t="s">
        <v>9</v>
      </c>
      <c r="P164" s="232" t="s">
        <v>9</v>
      </c>
      <c r="Q164" s="232" t="s">
        <v>9</v>
      </c>
      <c r="R164" s="232" t="s">
        <v>9</v>
      </c>
      <c r="S164" s="232" t="s">
        <v>9</v>
      </c>
      <c r="T164" s="232" t="s">
        <v>9</v>
      </c>
      <c r="U164" s="232" t="s">
        <v>9</v>
      </c>
      <c r="V164" s="232" t="s">
        <v>9</v>
      </c>
      <c r="W164" s="232" t="s">
        <v>9</v>
      </c>
      <c r="X164" s="232" t="s">
        <v>9</v>
      </c>
      <c r="Y164" s="232" t="s">
        <v>9</v>
      </c>
      <c r="Z164" s="232" t="s">
        <v>9</v>
      </c>
      <c r="AA164" s="232" t="s">
        <v>9</v>
      </c>
      <c r="AB164" s="232" t="s">
        <v>9</v>
      </c>
      <c r="AC164" s="232" t="s">
        <v>9</v>
      </c>
      <c r="AD164" s="232" t="s">
        <v>9</v>
      </c>
      <c r="AE164" s="24">
        <f t="shared" ref="AE164:AE195" si="15">COUNTIF(O164:AC164,$AE$2)</f>
        <v>15</v>
      </c>
      <c r="AF164" s="24">
        <f t="shared" ref="AF164:AF195" si="16">COUNTIF(O164:AC164,$AF$2)</f>
        <v>0</v>
      </c>
      <c r="AG164" s="24">
        <f t="shared" ref="AG164:AG195" si="17">COUNTIF(O164:AC164,$AG$2)</f>
        <v>0</v>
      </c>
      <c r="AH164" s="41" t="str" cm="1">
        <f t="array" ref="AH164">_xlfn.IFS(
$AE164=15,"Not Started",
$AG164&lt;15,"In Progress",
$AG164=15,"Completed",
SUM(AE164:AG164)&gt;15,"Error"
)</f>
        <v>Not Started</v>
      </c>
    </row>
    <row r="165" spans="1:34" ht="15.5" x14ac:dyDescent="0.25">
      <c r="A165" s="248"/>
      <c r="B165" s="100">
        <v>162</v>
      </c>
      <c r="C165" s="7" t="s">
        <v>1820</v>
      </c>
      <c r="D165" s="53" t="s">
        <v>7587</v>
      </c>
      <c r="E165" s="57" t="s">
        <v>7749</v>
      </c>
      <c r="F165" s="7" t="s">
        <v>43</v>
      </c>
      <c r="G165" s="7" t="s">
        <v>48</v>
      </c>
      <c r="H165" s="7" t="s">
        <v>6206</v>
      </c>
      <c r="I165" s="7" t="s">
        <v>6206</v>
      </c>
      <c r="J165" s="7" t="s">
        <v>8011</v>
      </c>
      <c r="K165" s="7" t="s">
        <v>7837</v>
      </c>
      <c r="L165" s="7">
        <v>10052784938</v>
      </c>
      <c r="M165" s="7"/>
      <c r="N165" s="48"/>
      <c r="O165" s="232" t="s">
        <v>9</v>
      </c>
      <c r="P165" s="232" t="s">
        <v>9</v>
      </c>
      <c r="Q165" s="232" t="s">
        <v>9</v>
      </c>
      <c r="R165" s="232" t="s">
        <v>9</v>
      </c>
      <c r="S165" s="232" t="s">
        <v>9</v>
      </c>
      <c r="T165" s="232" t="s">
        <v>9</v>
      </c>
      <c r="U165" s="232" t="s">
        <v>9</v>
      </c>
      <c r="V165" s="232" t="s">
        <v>9</v>
      </c>
      <c r="W165" s="232" t="s">
        <v>9</v>
      </c>
      <c r="X165" s="232" t="s">
        <v>9</v>
      </c>
      <c r="Y165" s="232" t="s">
        <v>9</v>
      </c>
      <c r="Z165" s="232" t="s">
        <v>9</v>
      </c>
      <c r="AA165" s="232" t="s">
        <v>9</v>
      </c>
      <c r="AB165" s="232" t="s">
        <v>9</v>
      </c>
      <c r="AC165" s="232" t="s">
        <v>9</v>
      </c>
      <c r="AD165" s="232" t="s">
        <v>9</v>
      </c>
      <c r="AE165" s="24">
        <f t="shared" si="15"/>
        <v>15</v>
      </c>
      <c r="AF165" s="24">
        <f t="shared" si="16"/>
        <v>0</v>
      </c>
      <c r="AG165" s="24">
        <f t="shared" si="17"/>
        <v>0</v>
      </c>
      <c r="AH165" s="41" t="str" cm="1">
        <f t="array" ref="AH165">_xlfn.IFS(
$AE165=15,"Not Started",
$AG165&lt;15,"In Progress",
$AG165=15,"Completed",
SUM(AE165:AG165)&gt;15,"Error"
)</f>
        <v>Not Started</v>
      </c>
    </row>
    <row r="166" spans="1:34" ht="15.5" x14ac:dyDescent="0.25">
      <c r="A166" s="248"/>
      <c r="B166" s="100">
        <v>163</v>
      </c>
      <c r="C166" s="14" t="s">
        <v>1821</v>
      </c>
      <c r="D166" s="53" t="s">
        <v>6066</v>
      </c>
      <c r="E166" s="57" t="s">
        <v>7750</v>
      </c>
      <c r="F166" s="7" t="s">
        <v>51</v>
      </c>
      <c r="G166" s="7" t="s">
        <v>44</v>
      </c>
      <c r="H166" s="7" t="s">
        <v>6206</v>
      </c>
      <c r="I166" s="7" t="s">
        <v>6206</v>
      </c>
      <c r="J166" s="7" t="s">
        <v>8012</v>
      </c>
      <c r="K166" s="7" t="s">
        <v>6185</v>
      </c>
      <c r="L166" s="7">
        <v>10052808941</v>
      </c>
      <c r="M166" s="7"/>
      <c r="N166" s="231">
        <v>46144</v>
      </c>
      <c r="O166" s="232" t="s">
        <v>11</v>
      </c>
      <c r="P166" s="232" t="s">
        <v>11</v>
      </c>
      <c r="Q166" s="232" t="s">
        <v>11</v>
      </c>
      <c r="R166" s="232" t="s">
        <v>11</v>
      </c>
      <c r="S166" s="232" t="s">
        <v>9</v>
      </c>
      <c r="T166" s="232" t="s">
        <v>9</v>
      </c>
      <c r="U166" s="232" t="s">
        <v>9</v>
      </c>
      <c r="V166" s="232" t="s">
        <v>9</v>
      </c>
      <c r="W166" s="232" t="s">
        <v>9</v>
      </c>
      <c r="X166" s="232" t="s">
        <v>9</v>
      </c>
      <c r="Y166" s="232" t="s">
        <v>9</v>
      </c>
      <c r="Z166" s="232" t="s">
        <v>9</v>
      </c>
      <c r="AA166" s="232" t="s">
        <v>9</v>
      </c>
      <c r="AB166" s="232" t="s">
        <v>9</v>
      </c>
      <c r="AC166" s="232" t="s">
        <v>9</v>
      </c>
      <c r="AD166" s="232" t="s">
        <v>9</v>
      </c>
      <c r="AE166" s="24">
        <f t="shared" si="15"/>
        <v>11</v>
      </c>
      <c r="AF166" s="24">
        <f t="shared" si="16"/>
        <v>0</v>
      </c>
      <c r="AG166" s="24">
        <f t="shared" si="17"/>
        <v>4</v>
      </c>
      <c r="AH166" s="41" t="str" cm="1">
        <f t="array" ref="AH166">_xlfn.IFS(
$AE166=15,"Not Started",
$AG166&lt;15,"In Progress",
$AG166=15,"Completed",
SUM(AE166:AG166)&gt;15,"Error"
)</f>
        <v>In Progress</v>
      </c>
    </row>
    <row r="167" spans="1:34" ht="15.5" x14ac:dyDescent="0.25">
      <c r="A167" s="248"/>
      <c r="B167" s="100">
        <v>164</v>
      </c>
      <c r="C167" s="7" t="s">
        <v>1822</v>
      </c>
      <c r="D167" s="53" t="s">
        <v>6067</v>
      </c>
      <c r="E167" s="57" t="s">
        <v>7751</v>
      </c>
      <c r="F167" s="7" t="s">
        <v>43</v>
      </c>
      <c r="G167" s="7" t="s">
        <v>48</v>
      </c>
      <c r="H167" s="7" t="s">
        <v>6206</v>
      </c>
      <c r="I167" s="7" t="s">
        <v>6206</v>
      </c>
      <c r="J167" s="7" t="s">
        <v>8013</v>
      </c>
      <c r="K167" s="7" t="s">
        <v>6186</v>
      </c>
      <c r="L167" s="7">
        <v>10053010654</v>
      </c>
      <c r="M167" s="7"/>
      <c r="N167" s="231">
        <v>46151</v>
      </c>
      <c r="O167" s="232" t="s">
        <v>11</v>
      </c>
      <c r="P167" s="232" t="s">
        <v>11</v>
      </c>
      <c r="Q167" s="232" t="s">
        <v>11</v>
      </c>
      <c r="R167" s="232" t="s">
        <v>11</v>
      </c>
      <c r="S167" s="232" t="s">
        <v>9</v>
      </c>
      <c r="T167" s="232" t="s">
        <v>9</v>
      </c>
      <c r="U167" s="232" t="s">
        <v>9</v>
      </c>
      <c r="V167" s="232" t="s">
        <v>9</v>
      </c>
      <c r="W167" s="232" t="s">
        <v>9</v>
      </c>
      <c r="X167" s="232" t="s">
        <v>9</v>
      </c>
      <c r="Y167" s="232" t="s">
        <v>9</v>
      </c>
      <c r="Z167" s="232" t="s">
        <v>9</v>
      </c>
      <c r="AA167" s="232" t="s">
        <v>9</v>
      </c>
      <c r="AB167" s="232" t="s">
        <v>9</v>
      </c>
      <c r="AC167" s="232" t="s">
        <v>9</v>
      </c>
      <c r="AD167" s="232" t="s">
        <v>9</v>
      </c>
      <c r="AE167" s="24">
        <f t="shared" si="15"/>
        <v>11</v>
      </c>
      <c r="AF167" s="24">
        <f t="shared" si="16"/>
        <v>0</v>
      </c>
      <c r="AG167" s="24">
        <f t="shared" si="17"/>
        <v>4</v>
      </c>
      <c r="AH167" s="41" t="str" cm="1">
        <f t="array" ref="AH167">_xlfn.IFS(
$AE167=15,"Not Started",
$AG167&lt;15,"In Progress",
$AG167=15,"Completed",
SUM(AE167:AG167)&gt;15,"Error"
)</f>
        <v>In Progress</v>
      </c>
    </row>
    <row r="168" spans="1:34" ht="15.5" x14ac:dyDescent="0.25">
      <c r="A168" s="248"/>
      <c r="B168" s="100">
        <v>165</v>
      </c>
      <c r="C168" s="14" t="s">
        <v>1823</v>
      </c>
      <c r="D168" s="53" t="s">
        <v>6068</v>
      </c>
      <c r="E168" s="57" t="s">
        <v>7752</v>
      </c>
      <c r="F168" s="7" t="s">
        <v>47</v>
      </c>
      <c r="G168" s="7" t="s">
        <v>44</v>
      </c>
      <c r="H168" s="7" t="s">
        <v>6206</v>
      </c>
      <c r="I168" s="7" t="s">
        <v>6206</v>
      </c>
      <c r="J168" s="7" t="s">
        <v>8014</v>
      </c>
      <c r="K168" s="7" t="s">
        <v>6187</v>
      </c>
      <c r="L168" s="7">
        <v>10052741681</v>
      </c>
      <c r="M168" s="7"/>
      <c r="N168" s="48"/>
      <c r="O168" s="232" t="s">
        <v>9</v>
      </c>
      <c r="P168" s="232" t="s">
        <v>9</v>
      </c>
      <c r="Q168" s="232" t="s">
        <v>9</v>
      </c>
      <c r="R168" s="232" t="s">
        <v>9</v>
      </c>
      <c r="S168" s="232" t="s">
        <v>9</v>
      </c>
      <c r="T168" s="232" t="s">
        <v>9</v>
      </c>
      <c r="U168" s="232" t="s">
        <v>9</v>
      </c>
      <c r="V168" s="232" t="s">
        <v>9</v>
      </c>
      <c r="W168" s="232" t="s">
        <v>9</v>
      </c>
      <c r="X168" s="232" t="s">
        <v>9</v>
      </c>
      <c r="Y168" s="232" t="s">
        <v>9</v>
      </c>
      <c r="Z168" s="232" t="s">
        <v>9</v>
      </c>
      <c r="AA168" s="232" t="s">
        <v>9</v>
      </c>
      <c r="AB168" s="232" t="s">
        <v>9</v>
      </c>
      <c r="AC168" s="232" t="s">
        <v>9</v>
      </c>
      <c r="AD168" s="232" t="s">
        <v>9</v>
      </c>
      <c r="AE168" s="24">
        <f t="shared" si="15"/>
        <v>15</v>
      </c>
      <c r="AF168" s="24">
        <f t="shared" si="16"/>
        <v>0</v>
      </c>
      <c r="AG168" s="24">
        <f t="shared" si="17"/>
        <v>0</v>
      </c>
      <c r="AH168" s="41" t="str" cm="1">
        <f t="array" ref="AH168">_xlfn.IFS(
$AE168=15,"Not Started",
$AG168&lt;15,"In Progress",
$AG168=15,"Completed",
SUM(AE168:AG168)&gt;15,"Error"
)</f>
        <v>Not Started</v>
      </c>
    </row>
    <row r="169" spans="1:34" ht="15.5" x14ac:dyDescent="0.25">
      <c r="A169" s="248"/>
      <c r="B169" s="100">
        <v>166</v>
      </c>
      <c r="C169" s="7" t="s">
        <v>1824</v>
      </c>
      <c r="D169" s="53" t="s">
        <v>6069</v>
      </c>
      <c r="E169" s="57" t="s">
        <v>7753</v>
      </c>
      <c r="F169" s="7" t="s">
        <v>9672</v>
      </c>
      <c r="G169" s="7" t="s">
        <v>48</v>
      </c>
      <c r="H169" s="7" t="s">
        <v>6206</v>
      </c>
      <c r="I169" s="7" t="s">
        <v>6206</v>
      </c>
      <c r="J169" s="7" t="s">
        <v>8015</v>
      </c>
      <c r="K169" s="7" t="s">
        <v>6188</v>
      </c>
      <c r="L169" s="7">
        <v>10052741430</v>
      </c>
      <c r="M169" s="7"/>
      <c r="N169" s="48"/>
      <c r="O169" s="232" t="s">
        <v>9</v>
      </c>
      <c r="P169" s="232" t="s">
        <v>9</v>
      </c>
      <c r="Q169" s="232" t="s">
        <v>9</v>
      </c>
      <c r="R169" s="232" t="s">
        <v>9</v>
      </c>
      <c r="S169" s="232" t="s">
        <v>9</v>
      </c>
      <c r="T169" s="232" t="s">
        <v>9</v>
      </c>
      <c r="U169" s="232" t="s">
        <v>9</v>
      </c>
      <c r="V169" s="232" t="s">
        <v>9</v>
      </c>
      <c r="W169" s="232" t="s">
        <v>9</v>
      </c>
      <c r="X169" s="232" t="s">
        <v>9</v>
      </c>
      <c r="Y169" s="232" t="s">
        <v>9</v>
      </c>
      <c r="Z169" s="232" t="s">
        <v>9</v>
      </c>
      <c r="AA169" s="232" t="s">
        <v>9</v>
      </c>
      <c r="AB169" s="232" t="s">
        <v>9</v>
      </c>
      <c r="AC169" s="232" t="s">
        <v>9</v>
      </c>
      <c r="AD169" s="232" t="s">
        <v>9</v>
      </c>
      <c r="AE169" s="24">
        <f t="shared" si="15"/>
        <v>15</v>
      </c>
      <c r="AF169" s="24">
        <f t="shared" si="16"/>
        <v>0</v>
      </c>
      <c r="AG169" s="24">
        <f t="shared" si="17"/>
        <v>0</v>
      </c>
      <c r="AH169" s="41" t="str" cm="1">
        <f t="array" ref="AH169">_xlfn.IFS(
$AE169=15,"Not Started",
$AG169&lt;15,"In Progress",
$AG169=15,"Completed",
SUM(AE169:AG169)&gt;15,"Error"
)</f>
        <v>Not Started</v>
      </c>
    </row>
    <row r="170" spans="1:34" ht="15.5" x14ac:dyDescent="0.25">
      <c r="A170" s="248"/>
      <c r="B170" s="100">
        <v>167</v>
      </c>
      <c r="C170" s="14" t="s">
        <v>1825</v>
      </c>
      <c r="D170" s="53" t="s">
        <v>6070</v>
      </c>
      <c r="E170" s="57" t="s">
        <v>7754</v>
      </c>
      <c r="F170" s="7" t="s">
        <v>9672</v>
      </c>
      <c r="G170" s="7" t="s">
        <v>48</v>
      </c>
      <c r="H170" s="7" t="s">
        <v>6206</v>
      </c>
      <c r="I170" s="7" t="s">
        <v>6206</v>
      </c>
      <c r="J170" s="7" t="s">
        <v>8016</v>
      </c>
      <c r="K170" s="7" t="s">
        <v>6189</v>
      </c>
      <c r="L170" s="7">
        <v>10052611088</v>
      </c>
      <c r="M170" s="7"/>
      <c r="N170" s="48"/>
      <c r="O170" s="232" t="s">
        <v>9</v>
      </c>
      <c r="P170" s="232" t="s">
        <v>9</v>
      </c>
      <c r="Q170" s="232" t="s">
        <v>9</v>
      </c>
      <c r="R170" s="232" t="s">
        <v>9</v>
      </c>
      <c r="S170" s="232" t="s">
        <v>9</v>
      </c>
      <c r="T170" s="232" t="s">
        <v>9</v>
      </c>
      <c r="U170" s="232" t="s">
        <v>9</v>
      </c>
      <c r="V170" s="232" t="s">
        <v>9</v>
      </c>
      <c r="W170" s="232" t="s">
        <v>9</v>
      </c>
      <c r="X170" s="232" t="s">
        <v>9</v>
      </c>
      <c r="Y170" s="232" t="s">
        <v>9</v>
      </c>
      <c r="Z170" s="232" t="s">
        <v>9</v>
      </c>
      <c r="AA170" s="232" t="s">
        <v>9</v>
      </c>
      <c r="AB170" s="232" t="s">
        <v>9</v>
      </c>
      <c r="AC170" s="232" t="s">
        <v>9</v>
      </c>
      <c r="AD170" s="232" t="s">
        <v>9</v>
      </c>
      <c r="AE170" s="24">
        <f t="shared" si="15"/>
        <v>15</v>
      </c>
      <c r="AF170" s="24">
        <f t="shared" si="16"/>
        <v>0</v>
      </c>
      <c r="AG170" s="24">
        <f t="shared" si="17"/>
        <v>0</v>
      </c>
      <c r="AH170" s="41" t="str" cm="1">
        <f t="array" ref="AH170">_xlfn.IFS(
$AE170=15,"Not Started",
$AG170&lt;15,"In Progress",
$AG170=15,"Completed",
SUM(AE170:AG170)&gt;15,"Error"
)</f>
        <v>Not Started</v>
      </c>
    </row>
    <row r="171" spans="1:34" ht="15.5" x14ac:dyDescent="0.25">
      <c r="A171" s="248"/>
      <c r="B171" s="100">
        <v>168</v>
      </c>
      <c r="C171" s="7" t="s">
        <v>1826</v>
      </c>
      <c r="D171" s="53" t="s">
        <v>6071</v>
      </c>
      <c r="E171" s="57" t="s">
        <v>7755</v>
      </c>
      <c r="F171" s="7" t="s">
        <v>47</v>
      </c>
      <c r="G171" s="7" t="s">
        <v>48</v>
      </c>
      <c r="H171" s="7" t="s">
        <v>6206</v>
      </c>
      <c r="I171" s="7" t="s">
        <v>6206</v>
      </c>
      <c r="J171" s="7" t="s">
        <v>8017</v>
      </c>
      <c r="K171" s="7" t="s">
        <v>6190</v>
      </c>
      <c r="L171" s="7">
        <v>10053087838</v>
      </c>
      <c r="M171" s="7"/>
      <c r="N171" s="48"/>
      <c r="O171" s="232" t="s">
        <v>9</v>
      </c>
      <c r="P171" s="232" t="s">
        <v>9</v>
      </c>
      <c r="Q171" s="232" t="s">
        <v>9</v>
      </c>
      <c r="R171" s="232" t="s">
        <v>9</v>
      </c>
      <c r="S171" s="232" t="s">
        <v>9</v>
      </c>
      <c r="T171" s="232" t="s">
        <v>9</v>
      </c>
      <c r="U171" s="232" t="s">
        <v>9</v>
      </c>
      <c r="V171" s="232" t="s">
        <v>9</v>
      </c>
      <c r="W171" s="232" t="s">
        <v>9</v>
      </c>
      <c r="X171" s="232" t="s">
        <v>9</v>
      </c>
      <c r="Y171" s="232" t="s">
        <v>9</v>
      </c>
      <c r="Z171" s="232" t="s">
        <v>9</v>
      </c>
      <c r="AA171" s="232" t="s">
        <v>9</v>
      </c>
      <c r="AB171" s="232" t="s">
        <v>9</v>
      </c>
      <c r="AC171" s="232" t="s">
        <v>9</v>
      </c>
      <c r="AD171" s="232" t="s">
        <v>9</v>
      </c>
      <c r="AE171" s="24">
        <f t="shared" si="15"/>
        <v>15</v>
      </c>
      <c r="AF171" s="24">
        <f t="shared" si="16"/>
        <v>0</v>
      </c>
      <c r="AG171" s="24">
        <f t="shared" si="17"/>
        <v>0</v>
      </c>
      <c r="AH171" s="41" t="str" cm="1">
        <f t="array" ref="AH171">_xlfn.IFS(
$AE171=15,"Not Started",
$AG171&lt;15,"In Progress",
$AG171=15,"Completed",
SUM(AE171:AG171)&gt;15,"Error"
)</f>
        <v>Not Started</v>
      </c>
    </row>
    <row r="172" spans="1:34" ht="15.5" x14ac:dyDescent="0.25">
      <c r="A172" s="248"/>
      <c r="B172" s="100">
        <v>169</v>
      </c>
      <c r="C172" s="14" t="s">
        <v>1827</v>
      </c>
      <c r="D172" s="53" t="s">
        <v>6072</v>
      </c>
      <c r="E172" s="57" t="s">
        <v>7756</v>
      </c>
      <c r="F172" s="7" t="s">
        <v>9672</v>
      </c>
      <c r="G172" s="7" t="s">
        <v>48</v>
      </c>
      <c r="H172" s="7" t="s">
        <v>6206</v>
      </c>
      <c r="I172" s="7" t="s">
        <v>6206</v>
      </c>
      <c r="J172" s="7" t="s">
        <v>7931</v>
      </c>
      <c r="K172" s="7" t="s">
        <v>6191</v>
      </c>
      <c r="L172" s="7">
        <v>10052780797</v>
      </c>
      <c r="M172" s="7"/>
      <c r="N172" s="48"/>
      <c r="O172" s="232" t="s">
        <v>9</v>
      </c>
      <c r="P172" s="232" t="s">
        <v>9</v>
      </c>
      <c r="Q172" s="232" t="s">
        <v>9</v>
      </c>
      <c r="R172" s="232" t="s">
        <v>9</v>
      </c>
      <c r="S172" s="232" t="s">
        <v>9</v>
      </c>
      <c r="T172" s="232" t="s">
        <v>9</v>
      </c>
      <c r="U172" s="232" t="s">
        <v>9</v>
      </c>
      <c r="V172" s="232" t="s">
        <v>9</v>
      </c>
      <c r="W172" s="232" t="s">
        <v>9</v>
      </c>
      <c r="X172" s="232" t="s">
        <v>9</v>
      </c>
      <c r="Y172" s="232" t="s">
        <v>9</v>
      </c>
      <c r="Z172" s="232" t="s">
        <v>9</v>
      </c>
      <c r="AA172" s="232" t="s">
        <v>9</v>
      </c>
      <c r="AB172" s="232" t="s">
        <v>9</v>
      </c>
      <c r="AC172" s="232" t="s">
        <v>9</v>
      </c>
      <c r="AD172" s="232" t="s">
        <v>9</v>
      </c>
      <c r="AE172" s="24">
        <f t="shared" si="15"/>
        <v>15</v>
      </c>
      <c r="AF172" s="24">
        <f t="shared" si="16"/>
        <v>0</v>
      </c>
      <c r="AG172" s="24">
        <f t="shared" si="17"/>
        <v>0</v>
      </c>
      <c r="AH172" s="41" t="str" cm="1">
        <f t="array" ref="AH172">_xlfn.IFS(
$AE172=15,"Not Started",
$AG172&lt;15,"In Progress",
$AG172=15,"Completed",
SUM(AE172:AG172)&gt;15,"Error"
)</f>
        <v>Not Started</v>
      </c>
    </row>
    <row r="173" spans="1:34" ht="15.5" x14ac:dyDescent="0.25">
      <c r="A173" s="248"/>
      <c r="B173" s="100">
        <v>170</v>
      </c>
      <c r="C173" s="7" t="s">
        <v>1828</v>
      </c>
      <c r="D173" s="53" t="s">
        <v>6073</v>
      </c>
      <c r="E173" s="57" t="s">
        <v>7757</v>
      </c>
      <c r="F173" s="7" t="s">
        <v>51</v>
      </c>
      <c r="G173" s="7" t="s">
        <v>48</v>
      </c>
      <c r="H173" s="7" t="s">
        <v>6206</v>
      </c>
      <c r="I173" s="7" t="s">
        <v>6206</v>
      </c>
      <c r="J173" s="7" t="s">
        <v>8018</v>
      </c>
      <c r="K173" s="7" t="s">
        <v>6192</v>
      </c>
      <c r="L173" s="7">
        <v>10053046639</v>
      </c>
      <c r="M173" s="7"/>
      <c r="N173" s="48"/>
      <c r="O173" s="232" t="s">
        <v>9</v>
      </c>
      <c r="P173" s="232" t="s">
        <v>9</v>
      </c>
      <c r="Q173" s="232" t="s">
        <v>9</v>
      </c>
      <c r="R173" s="232" t="s">
        <v>9</v>
      </c>
      <c r="S173" s="232" t="s">
        <v>9</v>
      </c>
      <c r="T173" s="232" t="s">
        <v>9</v>
      </c>
      <c r="U173" s="232" t="s">
        <v>9</v>
      </c>
      <c r="V173" s="232" t="s">
        <v>9</v>
      </c>
      <c r="W173" s="232" t="s">
        <v>9</v>
      </c>
      <c r="X173" s="232" t="s">
        <v>9</v>
      </c>
      <c r="Y173" s="232" t="s">
        <v>9</v>
      </c>
      <c r="Z173" s="232" t="s">
        <v>9</v>
      </c>
      <c r="AA173" s="232" t="s">
        <v>9</v>
      </c>
      <c r="AB173" s="232" t="s">
        <v>9</v>
      </c>
      <c r="AC173" s="232" t="s">
        <v>9</v>
      </c>
      <c r="AD173" s="232" t="s">
        <v>9</v>
      </c>
      <c r="AE173" s="24">
        <f t="shared" si="15"/>
        <v>15</v>
      </c>
      <c r="AF173" s="24">
        <f t="shared" si="16"/>
        <v>0</v>
      </c>
      <c r="AG173" s="24">
        <f t="shared" si="17"/>
        <v>0</v>
      </c>
      <c r="AH173" s="41" t="str" cm="1">
        <f t="array" ref="AH173">_xlfn.IFS(
$AE173=15,"Not Started",
$AG173&lt;15,"In Progress",
$AG173=15,"Completed",
SUM(AE173:AG173)&gt;15,"Error"
)</f>
        <v>Not Started</v>
      </c>
    </row>
    <row r="174" spans="1:34" ht="15.5" x14ac:dyDescent="0.25">
      <c r="A174" s="248"/>
      <c r="B174" s="100">
        <v>171</v>
      </c>
      <c r="C174" s="14" t="s">
        <v>1829</v>
      </c>
      <c r="D174" s="53" t="s">
        <v>7588</v>
      </c>
      <c r="E174" s="57" t="s">
        <v>7758</v>
      </c>
      <c r="F174" s="7" t="s">
        <v>51</v>
      </c>
      <c r="G174" s="7" t="s">
        <v>48</v>
      </c>
      <c r="H174" s="7" t="s">
        <v>6206</v>
      </c>
      <c r="I174" s="7" t="s">
        <v>6206</v>
      </c>
      <c r="J174" s="7" t="s">
        <v>8019</v>
      </c>
      <c r="K174" s="7" t="s">
        <v>7838</v>
      </c>
      <c r="L174" s="7">
        <v>10053054514</v>
      </c>
      <c r="M174" s="7"/>
      <c r="N174" s="48"/>
      <c r="O174" s="232" t="s">
        <v>9</v>
      </c>
      <c r="P174" s="232" t="s">
        <v>9</v>
      </c>
      <c r="Q174" s="232" t="s">
        <v>9</v>
      </c>
      <c r="R174" s="232" t="s">
        <v>9</v>
      </c>
      <c r="S174" s="232" t="s">
        <v>9</v>
      </c>
      <c r="T174" s="232" t="s">
        <v>9</v>
      </c>
      <c r="U174" s="232" t="s">
        <v>9</v>
      </c>
      <c r="V174" s="232" t="s">
        <v>9</v>
      </c>
      <c r="W174" s="232" t="s">
        <v>9</v>
      </c>
      <c r="X174" s="232" t="s">
        <v>9</v>
      </c>
      <c r="Y174" s="232" t="s">
        <v>9</v>
      </c>
      <c r="Z174" s="232" t="s">
        <v>9</v>
      </c>
      <c r="AA174" s="232" t="s">
        <v>9</v>
      </c>
      <c r="AB174" s="232" t="s">
        <v>9</v>
      </c>
      <c r="AC174" s="232" t="s">
        <v>9</v>
      </c>
      <c r="AD174" s="232" t="s">
        <v>9</v>
      </c>
      <c r="AE174" s="24">
        <f t="shared" si="15"/>
        <v>15</v>
      </c>
      <c r="AF174" s="24">
        <f t="shared" si="16"/>
        <v>0</v>
      </c>
      <c r="AG174" s="24">
        <f t="shared" si="17"/>
        <v>0</v>
      </c>
      <c r="AH174" s="41" t="str" cm="1">
        <f t="array" ref="AH174">_xlfn.IFS(
$AE174=15,"Not Started",
$AG174&lt;15,"In Progress",
$AG174=15,"Completed",
SUM(AE174:AG174)&gt;15,"Error"
)</f>
        <v>Not Started</v>
      </c>
    </row>
    <row r="175" spans="1:34" ht="15.5" x14ac:dyDescent="0.25">
      <c r="A175" s="248"/>
      <c r="B175" s="100">
        <v>172</v>
      </c>
      <c r="C175" s="7" t="s">
        <v>1830</v>
      </c>
      <c r="D175" s="53" t="s">
        <v>6074</v>
      </c>
      <c r="E175" s="57" t="s">
        <v>7759</v>
      </c>
      <c r="F175" s="7" t="s">
        <v>47</v>
      </c>
      <c r="G175" s="7" t="s">
        <v>48</v>
      </c>
      <c r="H175" s="7" t="s">
        <v>6206</v>
      </c>
      <c r="I175" s="7" t="s">
        <v>6206</v>
      </c>
      <c r="J175" s="7" t="s">
        <v>7982</v>
      </c>
      <c r="K175" s="7" t="s">
        <v>6193</v>
      </c>
      <c r="L175" s="7">
        <v>10090193528</v>
      </c>
      <c r="M175" s="7"/>
      <c r="N175" s="48"/>
      <c r="O175" s="232" t="s">
        <v>9</v>
      </c>
      <c r="P175" s="232" t="s">
        <v>9</v>
      </c>
      <c r="Q175" s="232" t="s">
        <v>9</v>
      </c>
      <c r="R175" s="232" t="s">
        <v>9</v>
      </c>
      <c r="S175" s="232" t="s">
        <v>9</v>
      </c>
      <c r="T175" s="232" t="s">
        <v>9</v>
      </c>
      <c r="U175" s="232" t="s">
        <v>9</v>
      </c>
      <c r="V175" s="232" t="s">
        <v>9</v>
      </c>
      <c r="W175" s="232" t="s">
        <v>9</v>
      </c>
      <c r="X175" s="232" t="s">
        <v>9</v>
      </c>
      <c r="Y175" s="232" t="s">
        <v>9</v>
      </c>
      <c r="Z175" s="232" t="s">
        <v>9</v>
      </c>
      <c r="AA175" s="232" t="s">
        <v>9</v>
      </c>
      <c r="AB175" s="232" t="s">
        <v>9</v>
      </c>
      <c r="AC175" s="232" t="s">
        <v>9</v>
      </c>
      <c r="AD175" s="232" t="s">
        <v>9</v>
      </c>
      <c r="AE175" s="24">
        <f t="shared" si="15"/>
        <v>15</v>
      </c>
      <c r="AF175" s="24">
        <f t="shared" si="16"/>
        <v>0</v>
      </c>
      <c r="AG175" s="24">
        <f t="shared" si="17"/>
        <v>0</v>
      </c>
      <c r="AH175" s="41" t="str" cm="1">
        <f t="array" ref="AH175">_xlfn.IFS(
$AE175=15,"Not Started",
$AG175&lt;15,"In Progress",
$AG175=15,"Completed",
SUM(AE175:AG175)&gt;15,"Error"
)</f>
        <v>Not Started</v>
      </c>
    </row>
    <row r="176" spans="1:34" ht="15.5" x14ac:dyDescent="0.25">
      <c r="A176" s="248"/>
      <c r="B176" s="100">
        <v>173</v>
      </c>
      <c r="C176" s="14" t="s">
        <v>1831</v>
      </c>
      <c r="D176" s="53" t="s">
        <v>7589</v>
      </c>
      <c r="E176" s="57" t="s">
        <v>7760</v>
      </c>
      <c r="F176" s="7" t="s">
        <v>9671</v>
      </c>
      <c r="G176" s="7" t="s">
        <v>48</v>
      </c>
      <c r="H176" s="7" t="s">
        <v>6206</v>
      </c>
      <c r="I176" s="7" t="s">
        <v>6206</v>
      </c>
      <c r="J176" s="7" t="s">
        <v>7991</v>
      </c>
      <c r="K176" s="7" t="s">
        <v>7839</v>
      </c>
      <c r="L176" s="7">
        <v>10052489590</v>
      </c>
      <c r="M176" s="7"/>
      <c r="N176" s="231">
        <v>46149</v>
      </c>
      <c r="O176" s="232" t="s">
        <v>11</v>
      </c>
      <c r="P176" s="232" t="s">
        <v>11</v>
      </c>
      <c r="Q176" s="232" t="s">
        <v>11</v>
      </c>
      <c r="R176" s="232" t="s">
        <v>11</v>
      </c>
      <c r="S176" s="232" t="s">
        <v>9</v>
      </c>
      <c r="T176" s="232" t="s">
        <v>9</v>
      </c>
      <c r="U176" s="232" t="s">
        <v>9</v>
      </c>
      <c r="V176" s="232" t="s">
        <v>9</v>
      </c>
      <c r="W176" s="232" t="s">
        <v>9</v>
      </c>
      <c r="X176" s="232" t="s">
        <v>9</v>
      </c>
      <c r="Y176" s="232" t="s">
        <v>9</v>
      </c>
      <c r="Z176" s="232" t="s">
        <v>9</v>
      </c>
      <c r="AA176" s="232" t="s">
        <v>9</v>
      </c>
      <c r="AB176" s="232" t="s">
        <v>9</v>
      </c>
      <c r="AC176" s="232" t="s">
        <v>9</v>
      </c>
      <c r="AD176" s="232" t="s">
        <v>9</v>
      </c>
      <c r="AE176" s="24">
        <f t="shared" si="15"/>
        <v>11</v>
      </c>
      <c r="AF176" s="24">
        <f t="shared" si="16"/>
        <v>0</v>
      </c>
      <c r="AG176" s="24">
        <f t="shared" si="17"/>
        <v>4</v>
      </c>
      <c r="AH176" s="41" t="str" cm="1">
        <f t="array" ref="AH176">_xlfn.IFS(
$AE176=15,"Not Started",
$AG176&lt;15,"In Progress",
$AG176=15,"Completed",
SUM(AE176:AG176)&gt;15,"Error"
)</f>
        <v>In Progress</v>
      </c>
    </row>
    <row r="177" spans="1:34" ht="15.5" x14ac:dyDescent="0.25">
      <c r="A177" s="248"/>
      <c r="B177" s="100">
        <v>174</v>
      </c>
      <c r="C177" s="7" t="s">
        <v>1832</v>
      </c>
      <c r="D177" s="53" t="s">
        <v>6075</v>
      </c>
      <c r="E177" s="57" t="s">
        <v>7761</v>
      </c>
      <c r="F177" s="7" t="s">
        <v>51</v>
      </c>
      <c r="G177" s="7" t="s">
        <v>48</v>
      </c>
      <c r="H177" s="7" t="s">
        <v>6206</v>
      </c>
      <c r="I177" s="7" t="s">
        <v>6206</v>
      </c>
      <c r="J177" s="7" t="s">
        <v>8020</v>
      </c>
      <c r="K177" s="7" t="s">
        <v>6194</v>
      </c>
      <c r="L177" s="7">
        <v>10052446888</v>
      </c>
      <c r="M177" s="7"/>
      <c r="N177" s="48"/>
      <c r="O177" s="232" t="s">
        <v>9</v>
      </c>
      <c r="P177" s="232" t="s">
        <v>9</v>
      </c>
      <c r="Q177" s="232" t="s">
        <v>9</v>
      </c>
      <c r="R177" s="232" t="s">
        <v>9</v>
      </c>
      <c r="S177" s="232" t="s">
        <v>9</v>
      </c>
      <c r="T177" s="232" t="s">
        <v>9</v>
      </c>
      <c r="U177" s="232" t="s">
        <v>9</v>
      </c>
      <c r="V177" s="232" t="s">
        <v>9</v>
      </c>
      <c r="W177" s="232" t="s">
        <v>9</v>
      </c>
      <c r="X177" s="232" t="s">
        <v>9</v>
      </c>
      <c r="Y177" s="232" t="s">
        <v>9</v>
      </c>
      <c r="Z177" s="232" t="s">
        <v>9</v>
      </c>
      <c r="AA177" s="232" t="s">
        <v>9</v>
      </c>
      <c r="AB177" s="232" t="s">
        <v>9</v>
      </c>
      <c r="AC177" s="232" t="s">
        <v>9</v>
      </c>
      <c r="AD177" s="232" t="s">
        <v>9</v>
      </c>
      <c r="AE177" s="24">
        <f t="shared" si="15"/>
        <v>15</v>
      </c>
      <c r="AF177" s="24">
        <f t="shared" si="16"/>
        <v>0</v>
      </c>
      <c r="AG177" s="24">
        <f t="shared" si="17"/>
        <v>0</v>
      </c>
      <c r="AH177" s="41" t="str" cm="1">
        <f t="array" ref="AH177">_xlfn.IFS(
$AE177=15,"Not Started",
$AG177&lt;15,"In Progress",
$AG177=15,"Completed",
SUM(AE177:AG177)&gt;15,"Error"
)</f>
        <v>Not Started</v>
      </c>
    </row>
    <row r="178" spans="1:34" ht="15.5" x14ac:dyDescent="0.25">
      <c r="A178" s="248"/>
      <c r="B178" s="100">
        <v>175</v>
      </c>
      <c r="C178" s="14" t="s">
        <v>1833</v>
      </c>
      <c r="D178" s="53" t="s">
        <v>6076</v>
      </c>
      <c r="E178" s="57" t="s">
        <v>7762</v>
      </c>
      <c r="F178" s="7" t="s">
        <v>51</v>
      </c>
      <c r="G178" s="7" t="s">
        <v>48</v>
      </c>
      <c r="H178" s="7" t="s">
        <v>6206</v>
      </c>
      <c r="I178" s="7" t="s">
        <v>6206</v>
      </c>
      <c r="J178" s="7" t="s">
        <v>8021</v>
      </c>
      <c r="K178" s="7" t="s">
        <v>6195</v>
      </c>
      <c r="L178" s="7">
        <v>10052965693</v>
      </c>
      <c r="M178" s="7"/>
      <c r="N178" s="231">
        <v>46147</v>
      </c>
      <c r="O178" s="232" t="s">
        <v>11</v>
      </c>
      <c r="P178" s="232" t="s">
        <v>11</v>
      </c>
      <c r="Q178" s="232" t="s">
        <v>11</v>
      </c>
      <c r="R178" s="232" t="s">
        <v>11</v>
      </c>
      <c r="S178" s="232" t="s">
        <v>9</v>
      </c>
      <c r="T178" s="232" t="s">
        <v>9</v>
      </c>
      <c r="U178" s="232" t="s">
        <v>9</v>
      </c>
      <c r="V178" s="232" t="s">
        <v>9</v>
      </c>
      <c r="W178" s="232" t="s">
        <v>9</v>
      </c>
      <c r="X178" s="232" t="s">
        <v>9</v>
      </c>
      <c r="Y178" s="232" t="s">
        <v>9</v>
      </c>
      <c r="Z178" s="232" t="s">
        <v>9</v>
      </c>
      <c r="AA178" s="232" t="s">
        <v>9</v>
      </c>
      <c r="AB178" s="232" t="s">
        <v>9</v>
      </c>
      <c r="AC178" s="232" t="s">
        <v>9</v>
      </c>
      <c r="AD178" s="232" t="s">
        <v>9</v>
      </c>
      <c r="AE178" s="24">
        <f t="shared" si="15"/>
        <v>11</v>
      </c>
      <c r="AF178" s="24">
        <f t="shared" si="16"/>
        <v>0</v>
      </c>
      <c r="AG178" s="24">
        <f t="shared" si="17"/>
        <v>4</v>
      </c>
      <c r="AH178" s="41" t="str" cm="1">
        <f t="array" ref="AH178">_xlfn.IFS(
$AE178=15,"Not Started",
$AG178&lt;15,"In Progress",
$AG178=15,"Completed",
SUM(AE178:AG178)&gt;15,"Error"
)</f>
        <v>In Progress</v>
      </c>
    </row>
    <row r="179" spans="1:34" ht="15.5" x14ac:dyDescent="0.25">
      <c r="A179" s="248"/>
      <c r="B179" s="100">
        <v>176</v>
      </c>
      <c r="C179" s="7" t="s">
        <v>1834</v>
      </c>
      <c r="D179" s="53" t="s">
        <v>6077</v>
      </c>
      <c r="E179" s="57" t="s">
        <v>7763</v>
      </c>
      <c r="F179" s="7" t="s">
        <v>51</v>
      </c>
      <c r="G179" s="7" t="s">
        <v>48</v>
      </c>
      <c r="H179" s="7" t="s">
        <v>6206</v>
      </c>
      <c r="I179" s="7" t="s">
        <v>6206</v>
      </c>
      <c r="J179" s="7" t="s">
        <v>8022</v>
      </c>
      <c r="K179" s="7" t="s">
        <v>6196</v>
      </c>
      <c r="L179" s="7">
        <v>10052485661</v>
      </c>
      <c r="M179" s="7"/>
      <c r="N179" s="231">
        <v>46116</v>
      </c>
      <c r="O179" s="232" t="s">
        <v>11</v>
      </c>
      <c r="P179" s="232" t="s">
        <v>11</v>
      </c>
      <c r="Q179" s="232" t="s">
        <v>11</v>
      </c>
      <c r="R179" s="232" t="s">
        <v>11</v>
      </c>
      <c r="S179" s="232" t="s">
        <v>9</v>
      </c>
      <c r="T179" s="232" t="s">
        <v>9</v>
      </c>
      <c r="U179" s="232" t="s">
        <v>9</v>
      </c>
      <c r="V179" s="232" t="s">
        <v>9</v>
      </c>
      <c r="W179" s="232" t="s">
        <v>9</v>
      </c>
      <c r="X179" s="232" t="s">
        <v>9</v>
      </c>
      <c r="Y179" s="232" t="s">
        <v>9</v>
      </c>
      <c r="Z179" s="232" t="s">
        <v>9</v>
      </c>
      <c r="AA179" s="232" t="s">
        <v>9</v>
      </c>
      <c r="AB179" s="232" t="s">
        <v>9</v>
      </c>
      <c r="AC179" s="232" t="s">
        <v>9</v>
      </c>
      <c r="AD179" s="232" t="s">
        <v>9</v>
      </c>
      <c r="AE179" s="24">
        <f t="shared" si="15"/>
        <v>11</v>
      </c>
      <c r="AF179" s="24">
        <f t="shared" si="16"/>
        <v>0</v>
      </c>
      <c r="AG179" s="24">
        <f t="shared" si="17"/>
        <v>4</v>
      </c>
      <c r="AH179" s="41" t="str" cm="1">
        <f t="array" ref="AH179">_xlfn.IFS(
$AE179=15,"Not Started",
$AG179&lt;15,"In Progress",
$AG179=15,"Completed",
SUM(AE179:AG179)&gt;15,"Error"
)</f>
        <v>In Progress</v>
      </c>
    </row>
    <row r="180" spans="1:34" ht="15.5" x14ac:dyDescent="0.25">
      <c r="A180" s="248"/>
      <c r="B180" s="100">
        <v>177</v>
      </c>
      <c r="C180" s="14" t="s">
        <v>1835</v>
      </c>
      <c r="D180" s="53" t="s">
        <v>7590</v>
      </c>
      <c r="E180" s="57" t="s">
        <v>7764</v>
      </c>
      <c r="F180" s="7" t="s">
        <v>47</v>
      </c>
      <c r="G180" s="7" t="s">
        <v>48</v>
      </c>
      <c r="H180" s="7" t="s">
        <v>6206</v>
      </c>
      <c r="I180" s="7" t="s">
        <v>6206</v>
      </c>
      <c r="J180" s="7" t="s">
        <v>8023</v>
      </c>
      <c r="K180" s="7" t="s">
        <v>7840</v>
      </c>
      <c r="L180" s="7">
        <v>10052853211</v>
      </c>
      <c r="M180" s="7"/>
      <c r="N180" s="48"/>
      <c r="O180" s="232" t="s">
        <v>9</v>
      </c>
      <c r="P180" s="232" t="s">
        <v>9</v>
      </c>
      <c r="Q180" s="232" t="s">
        <v>9</v>
      </c>
      <c r="R180" s="232" t="s">
        <v>9</v>
      </c>
      <c r="S180" s="232" t="s">
        <v>9</v>
      </c>
      <c r="T180" s="232" t="s">
        <v>9</v>
      </c>
      <c r="U180" s="232" t="s">
        <v>9</v>
      </c>
      <c r="V180" s="232" t="s">
        <v>9</v>
      </c>
      <c r="W180" s="232" t="s">
        <v>9</v>
      </c>
      <c r="X180" s="232" t="s">
        <v>9</v>
      </c>
      <c r="Y180" s="232" t="s">
        <v>9</v>
      </c>
      <c r="Z180" s="232" t="s">
        <v>9</v>
      </c>
      <c r="AA180" s="232" t="s">
        <v>9</v>
      </c>
      <c r="AB180" s="232" t="s">
        <v>9</v>
      </c>
      <c r="AC180" s="232" t="s">
        <v>9</v>
      </c>
      <c r="AD180" s="232" t="s">
        <v>9</v>
      </c>
      <c r="AE180" s="24">
        <f t="shared" si="15"/>
        <v>15</v>
      </c>
      <c r="AF180" s="24">
        <f t="shared" si="16"/>
        <v>0</v>
      </c>
      <c r="AG180" s="24">
        <f t="shared" si="17"/>
        <v>0</v>
      </c>
      <c r="AH180" s="41" t="str" cm="1">
        <f t="array" ref="AH180">_xlfn.IFS(
$AE180=15,"Not Started",
$AG180&lt;15,"In Progress",
$AG180=15,"Completed",
SUM(AE180:AG180)&gt;15,"Error"
)</f>
        <v>Not Started</v>
      </c>
    </row>
    <row r="181" spans="1:34" ht="15.5" x14ac:dyDescent="0.25">
      <c r="A181" s="248"/>
      <c r="B181" s="100">
        <v>178</v>
      </c>
      <c r="C181" s="7" t="s">
        <v>1836</v>
      </c>
      <c r="D181" s="53" t="s">
        <v>6078</v>
      </c>
      <c r="E181" s="57" t="s">
        <v>7765</v>
      </c>
      <c r="F181" s="7" t="s">
        <v>51</v>
      </c>
      <c r="G181" s="7" t="s">
        <v>48</v>
      </c>
      <c r="H181" s="7" t="s">
        <v>6206</v>
      </c>
      <c r="I181" s="7" t="s">
        <v>6206</v>
      </c>
      <c r="J181" s="7" t="s">
        <v>8024</v>
      </c>
      <c r="K181" s="7" t="s">
        <v>6197</v>
      </c>
      <c r="L181" s="7">
        <v>10052485170</v>
      </c>
      <c r="M181" s="7"/>
      <c r="N181" s="48"/>
      <c r="O181" s="232" t="s">
        <v>9</v>
      </c>
      <c r="P181" s="232" t="s">
        <v>9</v>
      </c>
      <c r="Q181" s="232" t="s">
        <v>9</v>
      </c>
      <c r="R181" s="232" t="s">
        <v>9</v>
      </c>
      <c r="S181" s="232" t="s">
        <v>9</v>
      </c>
      <c r="T181" s="232" t="s">
        <v>9</v>
      </c>
      <c r="U181" s="232" t="s">
        <v>9</v>
      </c>
      <c r="V181" s="232" t="s">
        <v>9</v>
      </c>
      <c r="W181" s="232" t="s">
        <v>9</v>
      </c>
      <c r="X181" s="232" t="s">
        <v>9</v>
      </c>
      <c r="Y181" s="232" t="s">
        <v>9</v>
      </c>
      <c r="Z181" s="232" t="s">
        <v>9</v>
      </c>
      <c r="AA181" s="232" t="s">
        <v>9</v>
      </c>
      <c r="AB181" s="232" t="s">
        <v>9</v>
      </c>
      <c r="AC181" s="232" t="s">
        <v>9</v>
      </c>
      <c r="AD181" s="232" t="s">
        <v>9</v>
      </c>
      <c r="AE181" s="24">
        <f t="shared" si="15"/>
        <v>15</v>
      </c>
      <c r="AF181" s="24">
        <f t="shared" si="16"/>
        <v>0</v>
      </c>
      <c r="AG181" s="24">
        <f t="shared" si="17"/>
        <v>0</v>
      </c>
      <c r="AH181" s="41" t="str" cm="1">
        <f t="array" ref="AH181">_xlfn.IFS(
$AE181=15,"Not Started",
$AG181&lt;15,"In Progress",
$AG181=15,"Completed",
SUM(AE181:AG181)&gt;15,"Error"
)</f>
        <v>Not Started</v>
      </c>
    </row>
    <row r="182" spans="1:34" ht="26" x14ac:dyDescent="0.25">
      <c r="A182" s="248"/>
      <c r="B182" s="100">
        <v>179</v>
      </c>
      <c r="C182" s="14" t="s">
        <v>1837</v>
      </c>
      <c r="D182" s="53" t="s">
        <v>7591</v>
      </c>
      <c r="E182" s="80" t="s">
        <v>10247</v>
      </c>
      <c r="F182" s="7" t="s">
        <v>47</v>
      </c>
      <c r="G182" s="7" t="s">
        <v>48</v>
      </c>
      <c r="H182" s="7" t="s">
        <v>6206</v>
      </c>
      <c r="I182" s="7" t="s">
        <v>6206</v>
      </c>
      <c r="J182" s="7" t="s">
        <v>8025</v>
      </c>
      <c r="K182" s="7" t="s">
        <v>7841</v>
      </c>
      <c r="L182" s="7">
        <v>10052610090</v>
      </c>
      <c r="M182" s="7"/>
      <c r="N182" s="231">
        <v>46127</v>
      </c>
      <c r="O182" s="232" t="s">
        <v>11</v>
      </c>
      <c r="P182" s="232" t="s">
        <v>11</v>
      </c>
      <c r="Q182" s="232" t="s">
        <v>11</v>
      </c>
      <c r="R182" s="232" t="s">
        <v>11</v>
      </c>
      <c r="S182" s="232" t="s">
        <v>9</v>
      </c>
      <c r="T182" s="232" t="s">
        <v>9</v>
      </c>
      <c r="U182" s="232" t="s">
        <v>9</v>
      </c>
      <c r="V182" s="232" t="s">
        <v>9</v>
      </c>
      <c r="W182" s="232" t="s">
        <v>9</v>
      </c>
      <c r="X182" s="232" t="s">
        <v>9</v>
      </c>
      <c r="Y182" s="232" t="s">
        <v>9</v>
      </c>
      <c r="Z182" s="232" t="s">
        <v>9</v>
      </c>
      <c r="AA182" s="232" t="s">
        <v>9</v>
      </c>
      <c r="AB182" s="232" t="s">
        <v>9</v>
      </c>
      <c r="AC182" s="232" t="s">
        <v>9</v>
      </c>
      <c r="AD182" s="232" t="s">
        <v>9</v>
      </c>
      <c r="AE182" s="24">
        <f t="shared" si="15"/>
        <v>11</v>
      </c>
      <c r="AF182" s="24">
        <f t="shared" si="16"/>
        <v>0</v>
      </c>
      <c r="AG182" s="24">
        <f t="shared" si="17"/>
        <v>4</v>
      </c>
      <c r="AH182" s="41" t="str" cm="1">
        <f t="array" ref="AH182">_xlfn.IFS(
$AE182=15,"Not Started",
$AG182&lt;15,"In Progress",
$AG182=15,"Completed",
SUM(AE182:AG182)&gt;15,"Error"
)</f>
        <v>In Progress</v>
      </c>
    </row>
    <row r="183" spans="1:34" ht="15.5" x14ac:dyDescent="0.25">
      <c r="A183" s="248"/>
      <c r="B183" s="100">
        <v>180</v>
      </c>
      <c r="C183" s="7" t="s">
        <v>1838</v>
      </c>
      <c r="D183" s="53" t="s">
        <v>6079</v>
      </c>
      <c r="E183" s="57" t="s">
        <v>7766</v>
      </c>
      <c r="F183" s="7" t="s">
        <v>47</v>
      </c>
      <c r="G183" s="7" t="s">
        <v>44</v>
      </c>
      <c r="H183" s="7" t="s">
        <v>6206</v>
      </c>
      <c r="I183" s="7" t="s">
        <v>6206</v>
      </c>
      <c r="J183" s="7" t="s">
        <v>8026</v>
      </c>
      <c r="K183" s="7" t="s">
        <v>6198</v>
      </c>
      <c r="L183" s="7">
        <v>10053047734</v>
      </c>
      <c r="M183" s="7"/>
      <c r="N183" s="231">
        <v>46142</v>
      </c>
      <c r="O183" s="232" t="s">
        <v>11</v>
      </c>
      <c r="P183" s="232" t="s">
        <v>11</v>
      </c>
      <c r="Q183" s="232" t="s">
        <v>11</v>
      </c>
      <c r="R183" s="232" t="s">
        <v>11</v>
      </c>
      <c r="S183" s="232" t="s">
        <v>9</v>
      </c>
      <c r="T183" s="232" t="s">
        <v>9</v>
      </c>
      <c r="U183" s="232" t="s">
        <v>9</v>
      </c>
      <c r="V183" s="232" t="s">
        <v>9</v>
      </c>
      <c r="W183" s="232" t="s">
        <v>9</v>
      </c>
      <c r="X183" s="232" t="s">
        <v>9</v>
      </c>
      <c r="Y183" s="232" t="s">
        <v>9</v>
      </c>
      <c r="Z183" s="232" t="s">
        <v>9</v>
      </c>
      <c r="AA183" s="232" t="s">
        <v>9</v>
      </c>
      <c r="AB183" s="232" t="s">
        <v>9</v>
      </c>
      <c r="AC183" s="232" t="s">
        <v>9</v>
      </c>
      <c r="AD183" s="232" t="s">
        <v>9</v>
      </c>
      <c r="AE183" s="24">
        <f t="shared" si="15"/>
        <v>11</v>
      </c>
      <c r="AF183" s="24">
        <f t="shared" si="16"/>
        <v>0</v>
      </c>
      <c r="AG183" s="24">
        <f t="shared" si="17"/>
        <v>4</v>
      </c>
      <c r="AH183" s="41" t="str" cm="1">
        <f t="array" ref="AH183">_xlfn.IFS(
$AE183=15,"Not Started",
$AG183&lt;15,"In Progress",
$AG183=15,"Completed",
SUM(AE183:AG183)&gt;15,"Error"
)</f>
        <v>In Progress</v>
      </c>
    </row>
    <row r="184" spans="1:34" ht="15.5" x14ac:dyDescent="0.25">
      <c r="A184" s="248"/>
      <c r="B184" s="100">
        <v>181</v>
      </c>
      <c r="C184" s="14" t="s">
        <v>1839</v>
      </c>
      <c r="D184" s="53" t="s">
        <v>6080</v>
      </c>
      <c r="E184" s="57" t="s">
        <v>7767</v>
      </c>
      <c r="F184" s="7" t="s">
        <v>47</v>
      </c>
      <c r="G184" s="7" t="s">
        <v>48</v>
      </c>
      <c r="H184" s="7" t="s">
        <v>6206</v>
      </c>
      <c r="I184" s="7" t="s">
        <v>6206</v>
      </c>
      <c r="J184" s="7" t="s">
        <v>8027</v>
      </c>
      <c r="K184" s="7" t="s">
        <v>6199</v>
      </c>
      <c r="L184" s="7">
        <v>10052928742</v>
      </c>
      <c r="M184" s="7"/>
      <c r="N184" s="231">
        <v>46146</v>
      </c>
      <c r="O184" s="232" t="s">
        <v>11</v>
      </c>
      <c r="P184" s="232" t="s">
        <v>11</v>
      </c>
      <c r="Q184" s="232" t="s">
        <v>11</v>
      </c>
      <c r="R184" s="232" t="s">
        <v>11</v>
      </c>
      <c r="S184" s="232" t="s">
        <v>9</v>
      </c>
      <c r="T184" s="232" t="s">
        <v>9</v>
      </c>
      <c r="U184" s="232" t="s">
        <v>9</v>
      </c>
      <c r="V184" s="232" t="s">
        <v>9</v>
      </c>
      <c r="W184" s="232" t="s">
        <v>9</v>
      </c>
      <c r="X184" s="232" t="s">
        <v>9</v>
      </c>
      <c r="Y184" s="232" t="s">
        <v>9</v>
      </c>
      <c r="Z184" s="232" t="s">
        <v>9</v>
      </c>
      <c r="AA184" s="232" t="s">
        <v>9</v>
      </c>
      <c r="AB184" s="232" t="s">
        <v>9</v>
      </c>
      <c r="AC184" s="232" t="s">
        <v>9</v>
      </c>
      <c r="AD184" s="232" t="s">
        <v>9</v>
      </c>
      <c r="AE184" s="24">
        <f t="shared" si="15"/>
        <v>11</v>
      </c>
      <c r="AF184" s="24">
        <f t="shared" si="16"/>
        <v>0</v>
      </c>
      <c r="AG184" s="24">
        <f t="shared" si="17"/>
        <v>4</v>
      </c>
      <c r="AH184" s="41" t="str" cm="1">
        <f t="array" ref="AH184">_xlfn.IFS(
$AE184=15,"Not Started",
$AG184&lt;15,"In Progress",
$AG184=15,"Completed",
SUM(AE184:AG184)&gt;15,"Error"
)</f>
        <v>In Progress</v>
      </c>
    </row>
    <row r="185" spans="1:34" ht="15.5" x14ac:dyDescent="0.25">
      <c r="A185" s="248"/>
      <c r="B185" s="100">
        <v>182</v>
      </c>
      <c r="C185" s="7" t="s">
        <v>1840</v>
      </c>
      <c r="D185" s="53" t="s">
        <v>6081</v>
      </c>
      <c r="E185" s="57" t="s">
        <v>2966</v>
      </c>
      <c r="F185" s="7" t="s">
        <v>9672</v>
      </c>
      <c r="G185" s="7" t="s">
        <v>48</v>
      </c>
      <c r="H185" s="7" t="s">
        <v>6206</v>
      </c>
      <c r="I185" s="7" t="s">
        <v>6206</v>
      </c>
      <c r="J185" s="7" t="s">
        <v>8028</v>
      </c>
      <c r="K185" s="7" t="s">
        <v>6200</v>
      </c>
      <c r="L185" s="7">
        <v>10053088058</v>
      </c>
      <c r="M185" s="7"/>
      <c r="N185" s="48"/>
      <c r="O185" s="232" t="s">
        <v>9</v>
      </c>
      <c r="P185" s="232" t="s">
        <v>9</v>
      </c>
      <c r="Q185" s="232" t="s">
        <v>9</v>
      </c>
      <c r="R185" s="232" t="s">
        <v>9</v>
      </c>
      <c r="S185" s="232" t="s">
        <v>9</v>
      </c>
      <c r="T185" s="232" t="s">
        <v>9</v>
      </c>
      <c r="U185" s="232" t="s">
        <v>9</v>
      </c>
      <c r="V185" s="232" t="s">
        <v>9</v>
      </c>
      <c r="W185" s="232" t="s">
        <v>9</v>
      </c>
      <c r="X185" s="232" t="s">
        <v>9</v>
      </c>
      <c r="Y185" s="232" t="s">
        <v>9</v>
      </c>
      <c r="Z185" s="232" t="s">
        <v>9</v>
      </c>
      <c r="AA185" s="232" t="s">
        <v>9</v>
      </c>
      <c r="AB185" s="232" t="s">
        <v>9</v>
      </c>
      <c r="AC185" s="232" t="s">
        <v>9</v>
      </c>
      <c r="AD185" s="232" t="s">
        <v>9</v>
      </c>
      <c r="AE185" s="24">
        <f t="shared" si="15"/>
        <v>15</v>
      </c>
      <c r="AF185" s="24">
        <f t="shared" si="16"/>
        <v>0</v>
      </c>
      <c r="AG185" s="24">
        <f t="shared" si="17"/>
        <v>0</v>
      </c>
      <c r="AH185" s="41" t="str" cm="1">
        <f t="array" ref="AH185">_xlfn.IFS(
$AE185=15,"Not Started",
$AG185&lt;15,"In Progress",
$AG185=15,"Completed",
SUM(AE185:AG185)&gt;15,"Error"
)</f>
        <v>Not Started</v>
      </c>
    </row>
    <row r="186" spans="1:34" ht="15.5" x14ac:dyDescent="0.25">
      <c r="A186" s="248"/>
      <c r="B186" s="100">
        <v>183</v>
      </c>
      <c r="C186" s="14" t="s">
        <v>1841</v>
      </c>
      <c r="D186" s="53" t="s">
        <v>7592</v>
      </c>
      <c r="E186" s="57" t="s">
        <v>7768</v>
      </c>
      <c r="F186" s="7" t="s">
        <v>51</v>
      </c>
      <c r="G186" s="7" t="s">
        <v>44</v>
      </c>
      <c r="H186" s="7" t="s">
        <v>6206</v>
      </c>
      <c r="I186" s="7" t="s">
        <v>6206</v>
      </c>
      <c r="J186" s="7" t="s">
        <v>8029</v>
      </c>
      <c r="K186" s="7" t="s">
        <v>7842</v>
      </c>
      <c r="L186" s="7">
        <v>10052851816</v>
      </c>
      <c r="M186" s="7"/>
      <c r="N186" s="231">
        <v>46123</v>
      </c>
      <c r="O186" s="232" t="s">
        <v>11</v>
      </c>
      <c r="P186" s="232" t="s">
        <v>11</v>
      </c>
      <c r="Q186" s="232" t="s">
        <v>11</v>
      </c>
      <c r="R186" s="232" t="s">
        <v>11</v>
      </c>
      <c r="S186" s="232" t="s">
        <v>9</v>
      </c>
      <c r="T186" s="232" t="s">
        <v>9</v>
      </c>
      <c r="U186" s="232" t="s">
        <v>9</v>
      </c>
      <c r="V186" s="232" t="s">
        <v>9</v>
      </c>
      <c r="W186" s="232" t="s">
        <v>9</v>
      </c>
      <c r="X186" s="232" t="s">
        <v>9</v>
      </c>
      <c r="Y186" s="232" t="s">
        <v>9</v>
      </c>
      <c r="Z186" s="232" t="s">
        <v>9</v>
      </c>
      <c r="AA186" s="232" t="s">
        <v>9</v>
      </c>
      <c r="AB186" s="232" t="s">
        <v>9</v>
      </c>
      <c r="AC186" s="232" t="s">
        <v>9</v>
      </c>
      <c r="AD186" s="232" t="s">
        <v>9</v>
      </c>
      <c r="AE186" s="24">
        <f t="shared" si="15"/>
        <v>11</v>
      </c>
      <c r="AF186" s="24">
        <f t="shared" si="16"/>
        <v>0</v>
      </c>
      <c r="AG186" s="24">
        <f t="shared" si="17"/>
        <v>4</v>
      </c>
      <c r="AH186" s="41" t="str" cm="1">
        <f t="array" ref="AH186">_xlfn.IFS(
$AE186=15,"Not Started",
$AG186&lt;15,"In Progress",
$AG186=15,"Completed",
SUM(AE186:AG186)&gt;15,"Error"
)</f>
        <v>In Progress</v>
      </c>
    </row>
    <row r="187" spans="1:34" ht="26" x14ac:dyDescent="0.25">
      <c r="A187" s="248"/>
      <c r="B187" s="100">
        <v>184</v>
      </c>
      <c r="C187" s="7" t="s">
        <v>1842</v>
      </c>
      <c r="D187" s="53" t="s">
        <v>6082</v>
      </c>
      <c r="E187" s="80" t="s">
        <v>10248</v>
      </c>
      <c r="F187" s="7" t="s">
        <v>47</v>
      </c>
      <c r="G187" s="7" t="s">
        <v>48</v>
      </c>
      <c r="H187" s="7" t="s">
        <v>6206</v>
      </c>
      <c r="I187" s="7" t="s">
        <v>6206</v>
      </c>
      <c r="J187" s="7" t="s">
        <v>7997</v>
      </c>
      <c r="K187" s="7" t="s">
        <v>6201</v>
      </c>
      <c r="L187" s="7">
        <v>10052814133</v>
      </c>
      <c r="M187" s="7"/>
      <c r="N187" s="48"/>
      <c r="O187" s="232" t="s">
        <v>9</v>
      </c>
      <c r="P187" s="232" t="s">
        <v>9</v>
      </c>
      <c r="Q187" s="232" t="s">
        <v>9</v>
      </c>
      <c r="R187" s="232" t="s">
        <v>9</v>
      </c>
      <c r="S187" s="232" t="s">
        <v>9</v>
      </c>
      <c r="T187" s="232" t="s">
        <v>9</v>
      </c>
      <c r="U187" s="232" t="s">
        <v>9</v>
      </c>
      <c r="V187" s="232" t="s">
        <v>9</v>
      </c>
      <c r="W187" s="232" t="s">
        <v>9</v>
      </c>
      <c r="X187" s="232" t="s">
        <v>9</v>
      </c>
      <c r="Y187" s="232" t="s">
        <v>9</v>
      </c>
      <c r="Z187" s="232" t="s">
        <v>9</v>
      </c>
      <c r="AA187" s="232" t="s">
        <v>9</v>
      </c>
      <c r="AB187" s="232" t="s">
        <v>9</v>
      </c>
      <c r="AC187" s="232" t="s">
        <v>9</v>
      </c>
      <c r="AD187" s="232" t="s">
        <v>9</v>
      </c>
      <c r="AE187" s="24">
        <f t="shared" si="15"/>
        <v>15</v>
      </c>
      <c r="AF187" s="24">
        <f t="shared" si="16"/>
        <v>0</v>
      </c>
      <c r="AG187" s="24">
        <f t="shared" si="17"/>
        <v>0</v>
      </c>
      <c r="AH187" s="41" t="str" cm="1">
        <f t="array" ref="AH187">_xlfn.IFS(
$AE187=15,"Not Started",
$AG187&lt;15,"In Progress",
$AG187=15,"Completed",
SUM(AE187:AG187)&gt;15,"Error"
)</f>
        <v>Not Started</v>
      </c>
    </row>
    <row r="188" spans="1:34" ht="15.5" x14ac:dyDescent="0.25">
      <c r="A188" s="248"/>
      <c r="B188" s="100">
        <v>185</v>
      </c>
      <c r="C188" s="14" t="s">
        <v>1843</v>
      </c>
      <c r="D188" s="53" t="s">
        <v>6083</v>
      </c>
      <c r="E188" s="57" t="s">
        <v>7769</v>
      </c>
      <c r="F188" s="7" t="s">
        <v>47</v>
      </c>
      <c r="G188" s="7" t="s">
        <v>44</v>
      </c>
      <c r="H188" s="7" t="s">
        <v>6206</v>
      </c>
      <c r="I188" s="7" t="s">
        <v>6206</v>
      </c>
      <c r="J188" s="7" t="s">
        <v>8030</v>
      </c>
      <c r="K188" s="7" t="s">
        <v>6202</v>
      </c>
      <c r="L188" s="7">
        <v>10052374241</v>
      </c>
      <c r="M188" s="7"/>
      <c r="N188" s="48"/>
      <c r="O188" s="232" t="s">
        <v>9</v>
      </c>
      <c r="P188" s="232" t="s">
        <v>9</v>
      </c>
      <c r="Q188" s="232" t="s">
        <v>9</v>
      </c>
      <c r="R188" s="232" t="s">
        <v>9</v>
      </c>
      <c r="S188" s="232" t="s">
        <v>9</v>
      </c>
      <c r="T188" s="232" t="s">
        <v>9</v>
      </c>
      <c r="U188" s="232" t="s">
        <v>9</v>
      </c>
      <c r="V188" s="232" t="s">
        <v>9</v>
      </c>
      <c r="W188" s="232" t="s">
        <v>9</v>
      </c>
      <c r="X188" s="232" t="s">
        <v>9</v>
      </c>
      <c r="Y188" s="232" t="s">
        <v>9</v>
      </c>
      <c r="Z188" s="232" t="s">
        <v>9</v>
      </c>
      <c r="AA188" s="232" t="s">
        <v>9</v>
      </c>
      <c r="AB188" s="232" t="s">
        <v>9</v>
      </c>
      <c r="AC188" s="232" t="s">
        <v>9</v>
      </c>
      <c r="AD188" s="232" t="s">
        <v>9</v>
      </c>
      <c r="AE188" s="24">
        <f t="shared" si="15"/>
        <v>15</v>
      </c>
      <c r="AF188" s="24">
        <f t="shared" si="16"/>
        <v>0</v>
      </c>
      <c r="AG188" s="24">
        <f t="shared" si="17"/>
        <v>0</v>
      </c>
      <c r="AH188" s="41" t="str" cm="1">
        <f t="array" ref="AH188">_xlfn.IFS(
$AE188=15,"Not Started",
$AG188&lt;15,"In Progress",
$AG188=15,"Completed",
SUM(AE188:AG188)&gt;15,"Error"
)</f>
        <v>Not Started</v>
      </c>
    </row>
    <row r="189" spans="1:34" ht="15.5" x14ac:dyDescent="0.25">
      <c r="A189" s="248"/>
      <c r="B189" s="100">
        <v>186</v>
      </c>
      <c r="C189" s="7" t="s">
        <v>1844</v>
      </c>
      <c r="D189" s="53" t="s">
        <v>6084</v>
      </c>
      <c r="E189" s="57" t="s">
        <v>4767</v>
      </c>
      <c r="F189" s="7" t="s">
        <v>43</v>
      </c>
      <c r="G189" s="7" t="s">
        <v>44</v>
      </c>
      <c r="H189" s="7" t="s">
        <v>6206</v>
      </c>
      <c r="I189" s="7" t="s">
        <v>6206</v>
      </c>
      <c r="J189" s="7" t="s">
        <v>8031</v>
      </c>
      <c r="K189" s="7" t="s">
        <v>6203</v>
      </c>
      <c r="L189" s="7">
        <v>10052453864</v>
      </c>
      <c r="M189" s="7"/>
      <c r="N189" s="231">
        <v>46144</v>
      </c>
      <c r="O189" s="232" t="s">
        <v>11</v>
      </c>
      <c r="P189" s="232" t="s">
        <v>11</v>
      </c>
      <c r="Q189" s="232" t="s">
        <v>11</v>
      </c>
      <c r="R189" s="232" t="s">
        <v>11</v>
      </c>
      <c r="S189" s="232" t="s">
        <v>9</v>
      </c>
      <c r="T189" s="232" t="s">
        <v>9</v>
      </c>
      <c r="U189" s="232" t="s">
        <v>9</v>
      </c>
      <c r="V189" s="232" t="s">
        <v>9</v>
      </c>
      <c r="W189" s="232" t="s">
        <v>9</v>
      </c>
      <c r="X189" s="232" t="s">
        <v>9</v>
      </c>
      <c r="Y189" s="232" t="s">
        <v>9</v>
      </c>
      <c r="Z189" s="232" t="s">
        <v>9</v>
      </c>
      <c r="AA189" s="232" t="s">
        <v>9</v>
      </c>
      <c r="AB189" s="232" t="s">
        <v>9</v>
      </c>
      <c r="AC189" s="232" t="s">
        <v>9</v>
      </c>
      <c r="AD189" s="232" t="s">
        <v>9</v>
      </c>
      <c r="AE189" s="24">
        <f t="shared" si="15"/>
        <v>11</v>
      </c>
      <c r="AF189" s="24">
        <f t="shared" si="16"/>
        <v>0</v>
      </c>
      <c r="AG189" s="24">
        <f t="shared" si="17"/>
        <v>4</v>
      </c>
      <c r="AH189" s="41" t="str" cm="1">
        <f t="array" ref="AH189">_xlfn.IFS(
$AE189=15,"Not Started",
$AG189&lt;15,"In Progress",
$AG189=15,"Completed",
SUM(AE189:AG189)&gt;15,"Error"
)</f>
        <v>In Progress</v>
      </c>
    </row>
    <row r="190" spans="1:34" ht="15.5" x14ac:dyDescent="0.25">
      <c r="A190" s="248"/>
      <c r="B190" s="100">
        <v>187</v>
      </c>
      <c r="C190" s="14" t="s">
        <v>1845</v>
      </c>
      <c r="D190" s="53" t="s">
        <v>6085</v>
      </c>
      <c r="E190" s="57" t="s">
        <v>7770</v>
      </c>
      <c r="F190" s="7" t="s">
        <v>47</v>
      </c>
      <c r="G190" s="7" t="s">
        <v>44</v>
      </c>
      <c r="H190" s="7" t="s">
        <v>6206</v>
      </c>
      <c r="I190" s="7" t="s">
        <v>6206</v>
      </c>
      <c r="J190" s="7" t="s">
        <v>8032</v>
      </c>
      <c r="K190" s="7" t="s">
        <v>6204</v>
      </c>
      <c r="L190" s="7">
        <v>10052494339</v>
      </c>
      <c r="M190" s="7"/>
      <c r="N190" s="48"/>
      <c r="O190" s="232" t="s">
        <v>9</v>
      </c>
      <c r="P190" s="232" t="s">
        <v>9</v>
      </c>
      <c r="Q190" s="232" t="s">
        <v>9</v>
      </c>
      <c r="R190" s="232" t="s">
        <v>9</v>
      </c>
      <c r="S190" s="232" t="s">
        <v>9</v>
      </c>
      <c r="T190" s="232" t="s">
        <v>9</v>
      </c>
      <c r="U190" s="232" t="s">
        <v>9</v>
      </c>
      <c r="V190" s="232" t="s">
        <v>9</v>
      </c>
      <c r="W190" s="232" t="s">
        <v>9</v>
      </c>
      <c r="X190" s="232" t="s">
        <v>9</v>
      </c>
      <c r="Y190" s="232" t="s">
        <v>9</v>
      </c>
      <c r="Z190" s="232" t="s">
        <v>9</v>
      </c>
      <c r="AA190" s="232" t="s">
        <v>9</v>
      </c>
      <c r="AB190" s="232" t="s">
        <v>9</v>
      </c>
      <c r="AC190" s="232" t="s">
        <v>9</v>
      </c>
      <c r="AD190" s="232" t="s">
        <v>9</v>
      </c>
      <c r="AE190" s="24">
        <f t="shared" si="15"/>
        <v>15</v>
      </c>
      <c r="AF190" s="24">
        <f t="shared" si="16"/>
        <v>0</v>
      </c>
      <c r="AG190" s="24">
        <f t="shared" si="17"/>
        <v>0</v>
      </c>
      <c r="AH190" s="41" t="str" cm="1">
        <f t="array" ref="AH190">_xlfn.IFS(
$AE190=15,"Not Started",
$AG190&lt;15,"In Progress",
$AG190=15,"Completed",
SUM(AE190:AG190)&gt;15,"Error"
)</f>
        <v>Not Started</v>
      </c>
    </row>
    <row r="191" spans="1:34" ht="15.5" x14ac:dyDescent="0.25">
      <c r="A191" s="248"/>
      <c r="B191" s="100">
        <v>188</v>
      </c>
      <c r="C191" s="7" t="s">
        <v>1846</v>
      </c>
      <c r="D191" s="53" t="s">
        <v>7593</v>
      </c>
      <c r="E191" s="57" t="s">
        <v>7771</v>
      </c>
      <c r="F191" s="7" t="s">
        <v>43</v>
      </c>
      <c r="G191" s="7" t="s">
        <v>44</v>
      </c>
      <c r="H191" s="7" t="s">
        <v>6206</v>
      </c>
      <c r="I191" s="7" t="s">
        <v>6206</v>
      </c>
      <c r="J191" s="7" t="s">
        <v>8033</v>
      </c>
      <c r="K191" s="7" t="s">
        <v>7843</v>
      </c>
      <c r="L191" s="7">
        <v>10052526853</v>
      </c>
      <c r="M191" s="7"/>
      <c r="N191" s="48"/>
      <c r="O191" s="232" t="s">
        <v>9</v>
      </c>
      <c r="P191" s="232" t="s">
        <v>9</v>
      </c>
      <c r="Q191" s="232" t="s">
        <v>9</v>
      </c>
      <c r="R191" s="232" t="s">
        <v>9</v>
      </c>
      <c r="S191" s="232" t="s">
        <v>9</v>
      </c>
      <c r="T191" s="232" t="s">
        <v>9</v>
      </c>
      <c r="U191" s="232" t="s">
        <v>9</v>
      </c>
      <c r="V191" s="232" t="s">
        <v>9</v>
      </c>
      <c r="W191" s="232" t="s">
        <v>9</v>
      </c>
      <c r="X191" s="232" t="s">
        <v>9</v>
      </c>
      <c r="Y191" s="232" t="s">
        <v>9</v>
      </c>
      <c r="Z191" s="232" t="s">
        <v>9</v>
      </c>
      <c r="AA191" s="232" t="s">
        <v>9</v>
      </c>
      <c r="AB191" s="232" t="s">
        <v>9</v>
      </c>
      <c r="AC191" s="232" t="s">
        <v>9</v>
      </c>
      <c r="AD191" s="232" t="s">
        <v>9</v>
      </c>
      <c r="AE191" s="24">
        <f t="shared" si="15"/>
        <v>15</v>
      </c>
      <c r="AF191" s="24">
        <f t="shared" si="16"/>
        <v>0</v>
      </c>
      <c r="AG191" s="24">
        <f t="shared" si="17"/>
        <v>0</v>
      </c>
      <c r="AH191" s="41" t="str" cm="1">
        <f t="array" ref="AH191">_xlfn.IFS(
$AE191=15,"Not Started",
$AG191&lt;15,"In Progress",
$AG191=15,"Completed",
SUM(AE191:AG191)&gt;15,"Error"
)</f>
        <v>Not Started</v>
      </c>
    </row>
    <row r="192" spans="1:34" ht="15.5" x14ac:dyDescent="0.25">
      <c r="A192" s="248"/>
      <c r="B192" s="100">
        <v>189</v>
      </c>
      <c r="C192" s="14" t="s">
        <v>1847</v>
      </c>
      <c r="D192" s="53" t="s">
        <v>7594</v>
      </c>
      <c r="E192" s="57" t="s">
        <v>7772</v>
      </c>
      <c r="F192" s="7" t="s">
        <v>47</v>
      </c>
      <c r="G192" s="7" t="s">
        <v>48</v>
      </c>
      <c r="H192" s="7" t="s">
        <v>6206</v>
      </c>
      <c r="I192" s="7" t="s">
        <v>6206</v>
      </c>
      <c r="J192" s="7" t="s">
        <v>7978</v>
      </c>
      <c r="K192" s="7" t="s">
        <v>7844</v>
      </c>
      <c r="L192" s="7">
        <v>10052491524</v>
      </c>
      <c r="M192" s="7"/>
      <c r="N192" s="48"/>
      <c r="O192" s="232" t="s">
        <v>9</v>
      </c>
      <c r="P192" s="232" t="s">
        <v>9</v>
      </c>
      <c r="Q192" s="232" t="s">
        <v>9</v>
      </c>
      <c r="R192" s="232" t="s">
        <v>9</v>
      </c>
      <c r="S192" s="232" t="s">
        <v>9</v>
      </c>
      <c r="T192" s="232" t="s">
        <v>9</v>
      </c>
      <c r="U192" s="232" t="s">
        <v>9</v>
      </c>
      <c r="V192" s="232" t="s">
        <v>9</v>
      </c>
      <c r="W192" s="232" t="s">
        <v>9</v>
      </c>
      <c r="X192" s="232" t="s">
        <v>9</v>
      </c>
      <c r="Y192" s="232" t="s">
        <v>9</v>
      </c>
      <c r="Z192" s="232" t="s">
        <v>9</v>
      </c>
      <c r="AA192" s="232" t="s">
        <v>9</v>
      </c>
      <c r="AB192" s="232" t="s">
        <v>9</v>
      </c>
      <c r="AC192" s="232" t="s">
        <v>9</v>
      </c>
      <c r="AD192" s="232" t="s">
        <v>9</v>
      </c>
      <c r="AE192" s="24">
        <f t="shared" si="15"/>
        <v>15</v>
      </c>
      <c r="AF192" s="24">
        <f t="shared" si="16"/>
        <v>0</v>
      </c>
      <c r="AG192" s="24">
        <f t="shared" si="17"/>
        <v>0</v>
      </c>
      <c r="AH192" s="41" t="str" cm="1">
        <f t="array" ref="AH192">_xlfn.IFS(
$AE192=15,"Not Started",
$AG192&lt;15,"In Progress",
$AG192=15,"Completed",
SUM(AE192:AG192)&gt;15,"Error"
)</f>
        <v>Not Started</v>
      </c>
    </row>
    <row r="193" spans="1:34" ht="15.5" x14ac:dyDescent="0.25">
      <c r="A193" s="248"/>
      <c r="B193" s="100">
        <v>190</v>
      </c>
      <c r="C193" s="7" t="s">
        <v>1848</v>
      </c>
      <c r="D193" s="53" t="s">
        <v>6086</v>
      </c>
      <c r="E193" s="57" t="s">
        <v>7773</v>
      </c>
      <c r="F193" s="7" t="s">
        <v>51</v>
      </c>
      <c r="G193" s="7" t="s">
        <v>48</v>
      </c>
      <c r="H193" s="7" t="s">
        <v>6206</v>
      </c>
      <c r="I193" s="7" t="s">
        <v>6206</v>
      </c>
      <c r="J193" s="7" t="s">
        <v>8034</v>
      </c>
      <c r="K193" s="7" t="s">
        <v>6205</v>
      </c>
      <c r="L193" s="7">
        <v>10052739164</v>
      </c>
      <c r="M193" s="7"/>
      <c r="N193" s="48"/>
      <c r="O193" s="232" t="s">
        <v>9</v>
      </c>
      <c r="P193" s="232" t="s">
        <v>9</v>
      </c>
      <c r="Q193" s="232" t="s">
        <v>9</v>
      </c>
      <c r="R193" s="232" t="s">
        <v>9</v>
      </c>
      <c r="S193" s="232" t="s">
        <v>9</v>
      </c>
      <c r="T193" s="232" t="s">
        <v>9</v>
      </c>
      <c r="U193" s="232" t="s">
        <v>9</v>
      </c>
      <c r="V193" s="232" t="s">
        <v>9</v>
      </c>
      <c r="W193" s="232" t="s">
        <v>9</v>
      </c>
      <c r="X193" s="232" t="s">
        <v>9</v>
      </c>
      <c r="Y193" s="232" t="s">
        <v>9</v>
      </c>
      <c r="Z193" s="232" t="s">
        <v>9</v>
      </c>
      <c r="AA193" s="232" t="s">
        <v>9</v>
      </c>
      <c r="AB193" s="232" t="s">
        <v>9</v>
      </c>
      <c r="AC193" s="232" t="s">
        <v>9</v>
      </c>
      <c r="AD193" s="232" t="s">
        <v>9</v>
      </c>
      <c r="AE193" s="24">
        <f t="shared" si="15"/>
        <v>15</v>
      </c>
      <c r="AF193" s="24">
        <f t="shared" si="16"/>
        <v>0</v>
      </c>
      <c r="AG193" s="24">
        <f t="shared" si="17"/>
        <v>0</v>
      </c>
      <c r="AH193" s="41" t="str" cm="1">
        <f t="array" ref="AH193">_xlfn.IFS(
$AE193=15,"Not Started",
$AG193&lt;15,"In Progress",
$AG193=15,"Completed",
SUM(AE193:AG193)&gt;15,"Error"
)</f>
        <v>Not Started</v>
      </c>
    </row>
    <row r="194" spans="1:34" ht="15.5" x14ac:dyDescent="0.25">
      <c r="A194" s="248"/>
      <c r="B194" s="100">
        <v>191</v>
      </c>
      <c r="C194" s="14" t="s">
        <v>1849</v>
      </c>
      <c r="D194" s="53" t="s">
        <v>7595</v>
      </c>
      <c r="E194" s="57" t="s">
        <v>7024</v>
      </c>
      <c r="F194" s="7" t="s">
        <v>43</v>
      </c>
      <c r="G194" s="7" t="s">
        <v>44</v>
      </c>
      <c r="H194" s="7" t="s">
        <v>6206</v>
      </c>
      <c r="I194" s="7" t="s">
        <v>6206</v>
      </c>
      <c r="J194" s="7" t="s">
        <v>8035</v>
      </c>
      <c r="K194" s="7" t="s">
        <v>7845</v>
      </c>
      <c r="L194" s="7">
        <v>10052854756</v>
      </c>
      <c r="M194" s="7"/>
      <c r="N194" s="48"/>
      <c r="O194" s="232" t="s">
        <v>9</v>
      </c>
      <c r="P194" s="232" t="s">
        <v>9</v>
      </c>
      <c r="Q194" s="232" t="s">
        <v>9</v>
      </c>
      <c r="R194" s="232" t="s">
        <v>9</v>
      </c>
      <c r="S194" s="232" t="s">
        <v>9</v>
      </c>
      <c r="T194" s="232" t="s">
        <v>9</v>
      </c>
      <c r="U194" s="232" t="s">
        <v>9</v>
      </c>
      <c r="V194" s="232" t="s">
        <v>9</v>
      </c>
      <c r="W194" s="232" t="s">
        <v>9</v>
      </c>
      <c r="X194" s="232" t="s">
        <v>9</v>
      </c>
      <c r="Y194" s="232" t="s">
        <v>9</v>
      </c>
      <c r="Z194" s="232" t="s">
        <v>9</v>
      </c>
      <c r="AA194" s="232" t="s">
        <v>9</v>
      </c>
      <c r="AB194" s="232" t="s">
        <v>9</v>
      </c>
      <c r="AC194" s="232" t="s">
        <v>9</v>
      </c>
      <c r="AD194" s="232" t="s">
        <v>9</v>
      </c>
      <c r="AE194" s="24">
        <f t="shared" si="15"/>
        <v>15</v>
      </c>
      <c r="AF194" s="24">
        <f t="shared" si="16"/>
        <v>0</v>
      </c>
      <c r="AG194" s="24">
        <f t="shared" si="17"/>
        <v>0</v>
      </c>
      <c r="AH194" s="41" t="str" cm="1">
        <f t="array" ref="AH194">_xlfn.IFS(
$AE194=15,"Not Started",
$AG194&lt;15,"In Progress",
$AG194=15,"Completed",
SUM(AE194:AG194)&gt;15,"Error"
)</f>
        <v>Not Started</v>
      </c>
    </row>
    <row r="195" spans="1:34" ht="15.5" x14ac:dyDescent="0.25">
      <c r="A195" s="248"/>
      <c r="B195" s="100">
        <v>192</v>
      </c>
      <c r="C195" s="7" t="s">
        <v>1850</v>
      </c>
      <c r="D195" s="53" t="s">
        <v>7596</v>
      </c>
      <c r="E195" s="57" t="s">
        <v>9478</v>
      </c>
      <c r="F195" s="7" t="s">
        <v>47</v>
      </c>
      <c r="G195" s="7" t="s">
        <v>44</v>
      </c>
      <c r="H195" s="7" t="s">
        <v>6206</v>
      </c>
      <c r="I195" s="7" t="s">
        <v>6206</v>
      </c>
      <c r="J195" s="7" t="s">
        <v>8036</v>
      </c>
      <c r="K195" s="7" t="s">
        <v>7846</v>
      </c>
      <c r="L195" s="7">
        <v>10052528491</v>
      </c>
      <c r="M195" s="7"/>
      <c r="N195" s="48"/>
      <c r="O195" s="232" t="s">
        <v>9</v>
      </c>
      <c r="P195" s="232" t="s">
        <v>9</v>
      </c>
      <c r="Q195" s="232" t="s">
        <v>9</v>
      </c>
      <c r="R195" s="232" t="s">
        <v>9</v>
      </c>
      <c r="S195" s="232" t="s">
        <v>9</v>
      </c>
      <c r="T195" s="232" t="s">
        <v>9</v>
      </c>
      <c r="U195" s="232" t="s">
        <v>9</v>
      </c>
      <c r="V195" s="232" t="s">
        <v>9</v>
      </c>
      <c r="W195" s="232" t="s">
        <v>9</v>
      </c>
      <c r="X195" s="232" t="s">
        <v>9</v>
      </c>
      <c r="Y195" s="232" t="s">
        <v>9</v>
      </c>
      <c r="Z195" s="232" t="s">
        <v>9</v>
      </c>
      <c r="AA195" s="232" t="s">
        <v>9</v>
      </c>
      <c r="AB195" s="232" t="s">
        <v>9</v>
      </c>
      <c r="AC195" s="232" t="s">
        <v>9</v>
      </c>
      <c r="AD195" s="232" t="s">
        <v>9</v>
      </c>
      <c r="AE195" s="24">
        <f t="shared" si="15"/>
        <v>15</v>
      </c>
      <c r="AF195" s="24">
        <f t="shared" si="16"/>
        <v>0</v>
      </c>
      <c r="AG195" s="24">
        <f t="shared" si="17"/>
        <v>0</v>
      </c>
      <c r="AH195" s="41" t="str" cm="1">
        <f t="array" ref="AH195">_xlfn.IFS(
$AE195=15,"Not Started",
$AG195&lt;15,"In Progress",
$AG195=15,"Completed",
SUM(AE195:AG195)&gt;15,"Error"
)</f>
        <v>Not Started</v>
      </c>
    </row>
    <row r="196" spans="1:34" ht="15.5" x14ac:dyDescent="0.25">
      <c r="A196" s="248"/>
      <c r="B196" s="100">
        <v>193</v>
      </c>
      <c r="C196" s="14" t="s">
        <v>1851</v>
      </c>
      <c r="D196" s="53" t="s">
        <v>7597</v>
      </c>
      <c r="E196" s="57" t="s">
        <v>9479</v>
      </c>
      <c r="F196" s="7" t="s">
        <v>43</v>
      </c>
      <c r="G196" s="7" t="s">
        <v>44</v>
      </c>
      <c r="H196" s="7" t="s">
        <v>6206</v>
      </c>
      <c r="I196" s="7" t="s">
        <v>6206</v>
      </c>
      <c r="J196" s="7" t="s">
        <v>7907</v>
      </c>
      <c r="K196" s="7" t="s">
        <v>7847</v>
      </c>
      <c r="L196" s="7">
        <v>10052775939</v>
      </c>
      <c r="M196" s="7"/>
      <c r="N196" s="48"/>
      <c r="O196" s="232" t="s">
        <v>9</v>
      </c>
      <c r="P196" s="232" t="s">
        <v>9</v>
      </c>
      <c r="Q196" s="232" t="s">
        <v>9</v>
      </c>
      <c r="R196" s="232" t="s">
        <v>9</v>
      </c>
      <c r="S196" s="232" t="s">
        <v>9</v>
      </c>
      <c r="T196" s="232" t="s">
        <v>9</v>
      </c>
      <c r="U196" s="232" t="s">
        <v>9</v>
      </c>
      <c r="V196" s="232" t="s">
        <v>9</v>
      </c>
      <c r="W196" s="232" t="s">
        <v>9</v>
      </c>
      <c r="X196" s="232" t="s">
        <v>9</v>
      </c>
      <c r="Y196" s="232" t="s">
        <v>9</v>
      </c>
      <c r="Z196" s="232" t="s">
        <v>9</v>
      </c>
      <c r="AA196" s="232" t="s">
        <v>9</v>
      </c>
      <c r="AB196" s="232" t="s">
        <v>9</v>
      </c>
      <c r="AC196" s="232" t="s">
        <v>9</v>
      </c>
      <c r="AD196" s="232" t="s">
        <v>9</v>
      </c>
      <c r="AE196" s="24">
        <f t="shared" ref="AE196:AE203" si="18">COUNTIF(O196:AC196,$AE$2)</f>
        <v>15</v>
      </c>
      <c r="AF196" s="24">
        <f t="shared" ref="AF196:AF203" si="19">COUNTIF(O196:AC196,$AF$2)</f>
        <v>0</v>
      </c>
      <c r="AG196" s="24">
        <f t="shared" ref="AG196:AG203" si="20">COUNTIF(O196:AC196,$AG$2)</f>
        <v>0</v>
      </c>
      <c r="AH196" s="41" t="str" cm="1">
        <f t="array" ref="AH196">_xlfn.IFS(
$AE196=15,"Not Started",
$AG196&lt;15,"In Progress",
$AG196=15,"Completed",
SUM(AE196:AG196)&gt;15,"Error"
)</f>
        <v>Not Started</v>
      </c>
    </row>
    <row r="197" spans="1:34" ht="15.5" x14ac:dyDescent="0.25">
      <c r="A197" s="248"/>
      <c r="B197" s="100">
        <v>194</v>
      </c>
      <c r="C197" s="7" t="s">
        <v>1852</v>
      </c>
      <c r="D197" s="53" t="s">
        <v>7598</v>
      </c>
      <c r="E197" s="57" t="s">
        <v>9480</v>
      </c>
      <c r="F197" s="7" t="s">
        <v>43</v>
      </c>
      <c r="G197" s="7" t="s">
        <v>44</v>
      </c>
      <c r="H197" s="7" t="s">
        <v>6206</v>
      </c>
      <c r="I197" s="7" t="s">
        <v>6206</v>
      </c>
      <c r="J197" s="7" t="s">
        <v>8037</v>
      </c>
      <c r="K197" s="7" t="s">
        <v>7848</v>
      </c>
      <c r="L197" s="7">
        <v>10052605911</v>
      </c>
      <c r="M197" s="7"/>
      <c r="N197" s="48"/>
      <c r="O197" s="232" t="s">
        <v>9</v>
      </c>
      <c r="P197" s="232" t="s">
        <v>9</v>
      </c>
      <c r="Q197" s="232" t="s">
        <v>9</v>
      </c>
      <c r="R197" s="232" t="s">
        <v>9</v>
      </c>
      <c r="S197" s="232" t="s">
        <v>9</v>
      </c>
      <c r="T197" s="232" t="s">
        <v>9</v>
      </c>
      <c r="U197" s="232" t="s">
        <v>9</v>
      </c>
      <c r="V197" s="232" t="s">
        <v>9</v>
      </c>
      <c r="W197" s="232" t="s">
        <v>9</v>
      </c>
      <c r="X197" s="232" t="s">
        <v>9</v>
      </c>
      <c r="Y197" s="232" t="s">
        <v>9</v>
      </c>
      <c r="Z197" s="232" t="s">
        <v>9</v>
      </c>
      <c r="AA197" s="232" t="s">
        <v>9</v>
      </c>
      <c r="AB197" s="232" t="s">
        <v>9</v>
      </c>
      <c r="AC197" s="232" t="s">
        <v>9</v>
      </c>
      <c r="AD197" s="232" t="s">
        <v>9</v>
      </c>
      <c r="AE197" s="24">
        <f t="shared" si="18"/>
        <v>15</v>
      </c>
      <c r="AF197" s="24">
        <f t="shared" si="19"/>
        <v>0</v>
      </c>
      <c r="AG197" s="24">
        <f t="shared" si="20"/>
        <v>0</v>
      </c>
      <c r="AH197" s="41" t="str" cm="1">
        <f t="array" ref="AH197">_xlfn.IFS(
$AE197=15,"Not Started",
$AG197&lt;15,"In Progress",
$AG197=15,"Completed",
SUM(AE197:AG197)&gt;15,"Error"
)</f>
        <v>Not Started</v>
      </c>
    </row>
    <row r="198" spans="1:34" ht="15.5" x14ac:dyDescent="0.25">
      <c r="A198" s="248"/>
      <c r="B198" s="100">
        <v>195</v>
      </c>
      <c r="C198" s="14" t="s">
        <v>1853</v>
      </c>
      <c r="D198" s="53" t="s">
        <v>7599</v>
      </c>
      <c r="E198" s="57" t="s">
        <v>9481</v>
      </c>
      <c r="F198" s="7" t="s">
        <v>43</v>
      </c>
      <c r="G198" s="7" t="s">
        <v>44</v>
      </c>
      <c r="H198" s="7" t="s">
        <v>6206</v>
      </c>
      <c r="I198" s="7" t="s">
        <v>6206</v>
      </c>
      <c r="J198" s="7" t="s">
        <v>10258</v>
      </c>
      <c r="K198" s="7" t="s">
        <v>7849</v>
      </c>
      <c r="L198" s="7">
        <v>10053049238</v>
      </c>
      <c r="M198" s="7"/>
      <c r="N198" s="48"/>
      <c r="O198" s="232" t="s">
        <v>9</v>
      </c>
      <c r="P198" s="232" t="s">
        <v>9</v>
      </c>
      <c r="Q198" s="232" t="s">
        <v>9</v>
      </c>
      <c r="R198" s="232" t="s">
        <v>9</v>
      </c>
      <c r="S198" s="232" t="s">
        <v>9</v>
      </c>
      <c r="T198" s="232" t="s">
        <v>9</v>
      </c>
      <c r="U198" s="232" t="s">
        <v>9</v>
      </c>
      <c r="V198" s="232" t="s">
        <v>9</v>
      </c>
      <c r="W198" s="232" t="s">
        <v>9</v>
      </c>
      <c r="X198" s="232" t="s">
        <v>9</v>
      </c>
      <c r="Y198" s="232" t="s">
        <v>9</v>
      </c>
      <c r="Z198" s="232" t="s">
        <v>9</v>
      </c>
      <c r="AA198" s="232" t="s">
        <v>9</v>
      </c>
      <c r="AB198" s="232" t="s">
        <v>9</v>
      </c>
      <c r="AC198" s="232" t="s">
        <v>9</v>
      </c>
      <c r="AD198" s="232" t="s">
        <v>9</v>
      </c>
      <c r="AE198" s="24">
        <f t="shared" si="18"/>
        <v>15</v>
      </c>
      <c r="AF198" s="24">
        <f t="shared" si="19"/>
        <v>0</v>
      </c>
      <c r="AG198" s="24">
        <f t="shared" si="20"/>
        <v>0</v>
      </c>
      <c r="AH198" s="41" t="str" cm="1">
        <f t="array" ref="AH198">_xlfn.IFS(
$AE198=15,"Not Started",
$AG198&lt;15,"In Progress",
$AG198=15,"Completed",
SUM(AE198:AG198)&gt;15,"Error"
)</f>
        <v>Not Started</v>
      </c>
    </row>
    <row r="199" spans="1:34" ht="15.5" x14ac:dyDescent="0.25">
      <c r="A199" s="248"/>
      <c r="B199" s="100">
        <v>196</v>
      </c>
      <c r="C199" s="7" t="s">
        <v>1854</v>
      </c>
      <c r="D199" s="53" t="s">
        <v>7600</v>
      </c>
      <c r="E199" s="57" t="s">
        <v>9482</v>
      </c>
      <c r="F199" s="7" t="s">
        <v>47</v>
      </c>
      <c r="G199" s="7" t="s">
        <v>48</v>
      </c>
      <c r="H199" s="7" t="s">
        <v>6206</v>
      </c>
      <c r="I199" s="7" t="s">
        <v>6206</v>
      </c>
      <c r="J199" s="7" t="s">
        <v>10259</v>
      </c>
      <c r="K199" s="7" t="s">
        <v>7850</v>
      </c>
      <c r="L199" s="7">
        <v>10052809536</v>
      </c>
      <c r="M199" s="7"/>
      <c r="N199" s="48"/>
      <c r="O199" s="232" t="s">
        <v>9</v>
      </c>
      <c r="P199" s="232" t="s">
        <v>9</v>
      </c>
      <c r="Q199" s="232" t="s">
        <v>9</v>
      </c>
      <c r="R199" s="232" t="s">
        <v>9</v>
      </c>
      <c r="S199" s="232" t="s">
        <v>9</v>
      </c>
      <c r="T199" s="232" t="s">
        <v>9</v>
      </c>
      <c r="U199" s="232" t="s">
        <v>9</v>
      </c>
      <c r="V199" s="232" t="s">
        <v>9</v>
      </c>
      <c r="W199" s="232" t="s">
        <v>9</v>
      </c>
      <c r="X199" s="232" t="s">
        <v>9</v>
      </c>
      <c r="Y199" s="232" t="s">
        <v>9</v>
      </c>
      <c r="Z199" s="232" t="s">
        <v>9</v>
      </c>
      <c r="AA199" s="232" t="s">
        <v>9</v>
      </c>
      <c r="AB199" s="232" t="s">
        <v>9</v>
      </c>
      <c r="AC199" s="232" t="s">
        <v>9</v>
      </c>
      <c r="AD199" s="232" t="s">
        <v>9</v>
      </c>
      <c r="AE199" s="24">
        <f t="shared" si="18"/>
        <v>15</v>
      </c>
      <c r="AF199" s="24">
        <f t="shared" si="19"/>
        <v>0</v>
      </c>
      <c r="AG199" s="24">
        <f t="shared" si="20"/>
        <v>0</v>
      </c>
      <c r="AH199" s="41" t="str" cm="1">
        <f t="array" ref="AH199">_xlfn.IFS(
$AE199=15,"Not Started",
$AG199&lt;15,"In Progress",
$AG199=15,"Completed",
SUM(AE199:AG199)&gt;15,"Error"
)</f>
        <v>Not Started</v>
      </c>
    </row>
    <row r="200" spans="1:34" ht="15.5" x14ac:dyDescent="0.25">
      <c r="A200" s="248"/>
      <c r="B200" s="100">
        <v>197</v>
      </c>
      <c r="C200" s="14" t="s">
        <v>1855</v>
      </c>
      <c r="D200" s="53" t="s">
        <v>7601</v>
      </c>
      <c r="E200" s="57" t="s">
        <v>9483</v>
      </c>
      <c r="F200" s="7" t="s">
        <v>51</v>
      </c>
      <c r="G200" s="7" t="s">
        <v>44</v>
      </c>
      <c r="H200" s="7" t="s">
        <v>6206</v>
      </c>
      <c r="I200" s="7" t="s">
        <v>6206</v>
      </c>
      <c r="J200" s="7" t="s">
        <v>10260</v>
      </c>
      <c r="K200" s="7" t="s">
        <v>7851</v>
      </c>
      <c r="L200" s="7">
        <v>10052737929</v>
      </c>
      <c r="M200" s="7"/>
      <c r="N200" s="48"/>
      <c r="O200" s="232" t="s">
        <v>9</v>
      </c>
      <c r="P200" s="232" t="s">
        <v>9</v>
      </c>
      <c r="Q200" s="232" t="s">
        <v>9</v>
      </c>
      <c r="R200" s="232" t="s">
        <v>9</v>
      </c>
      <c r="S200" s="232" t="s">
        <v>9</v>
      </c>
      <c r="T200" s="232" t="s">
        <v>9</v>
      </c>
      <c r="U200" s="232" t="s">
        <v>9</v>
      </c>
      <c r="V200" s="232" t="s">
        <v>9</v>
      </c>
      <c r="W200" s="232" t="s">
        <v>9</v>
      </c>
      <c r="X200" s="232" t="s">
        <v>9</v>
      </c>
      <c r="Y200" s="232" t="s">
        <v>9</v>
      </c>
      <c r="Z200" s="232" t="s">
        <v>9</v>
      </c>
      <c r="AA200" s="232" t="s">
        <v>9</v>
      </c>
      <c r="AB200" s="232" t="s">
        <v>9</v>
      </c>
      <c r="AC200" s="232" t="s">
        <v>9</v>
      </c>
      <c r="AD200" s="232" t="s">
        <v>9</v>
      </c>
      <c r="AE200" s="24">
        <f t="shared" si="18"/>
        <v>15</v>
      </c>
      <c r="AF200" s="24">
        <f t="shared" si="19"/>
        <v>0</v>
      </c>
      <c r="AG200" s="24">
        <f t="shared" si="20"/>
        <v>0</v>
      </c>
      <c r="AH200" s="41" t="str" cm="1">
        <f t="array" ref="AH200">_xlfn.IFS(
$AE200=15,"Not Started",
$AG200&lt;15,"In Progress",
$AG200=15,"Completed",
SUM(AE200:AG200)&gt;15,"Error"
)</f>
        <v>Not Started</v>
      </c>
    </row>
    <row r="201" spans="1:34" ht="15.5" x14ac:dyDescent="0.25">
      <c r="A201" s="248"/>
      <c r="B201" s="100">
        <v>198</v>
      </c>
      <c r="C201" s="7" t="s">
        <v>1856</v>
      </c>
      <c r="D201" s="213" t="s">
        <v>11154</v>
      </c>
      <c r="E201" s="186" t="s">
        <v>11155</v>
      </c>
      <c r="F201" s="48" t="s">
        <v>43</v>
      </c>
      <c r="G201" s="48" t="s">
        <v>44</v>
      </c>
      <c r="H201" s="48" t="s">
        <v>6206</v>
      </c>
      <c r="I201" s="48" t="s">
        <v>6206</v>
      </c>
      <c r="J201" s="48" t="s">
        <v>7885</v>
      </c>
      <c r="K201" s="48" t="s">
        <v>11156</v>
      </c>
      <c r="L201" s="48">
        <v>1088707051</v>
      </c>
      <c r="M201" s="9"/>
      <c r="N201" s="233">
        <v>46128</v>
      </c>
      <c r="O201" s="232" t="s">
        <v>11</v>
      </c>
      <c r="P201" s="232" t="s">
        <v>11</v>
      </c>
      <c r="Q201" s="232" t="s">
        <v>11</v>
      </c>
      <c r="R201" s="232" t="s">
        <v>11</v>
      </c>
      <c r="S201" s="232" t="s">
        <v>9</v>
      </c>
      <c r="T201" s="232" t="s">
        <v>9</v>
      </c>
      <c r="U201" s="232" t="s">
        <v>9</v>
      </c>
      <c r="V201" s="232" t="s">
        <v>9</v>
      </c>
      <c r="W201" s="232" t="s">
        <v>9</v>
      </c>
      <c r="X201" s="232" t="s">
        <v>9</v>
      </c>
      <c r="Y201" s="232" t="s">
        <v>9</v>
      </c>
      <c r="Z201" s="232" t="s">
        <v>9</v>
      </c>
      <c r="AA201" s="232" t="s">
        <v>9</v>
      </c>
      <c r="AB201" s="232" t="s">
        <v>9</v>
      </c>
      <c r="AC201" s="232" t="s">
        <v>9</v>
      </c>
      <c r="AD201" s="232" t="s">
        <v>9</v>
      </c>
      <c r="AE201" s="24">
        <f t="shared" si="18"/>
        <v>11</v>
      </c>
      <c r="AF201" s="24">
        <f t="shared" si="19"/>
        <v>0</v>
      </c>
      <c r="AG201" s="24">
        <f t="shared" si="20"/>
        <v>4</v>
      </c>
      <c r="AH201" s="41" t="str" cm="1">
        <f t="array" ref="AH201">_xlfn.IFS(
$AE201=15,"Not Started",
$AG201&lt;15,"In Progress",
$AG201=15,"Completed",
SUM(AE201:AG201)&gt;15,"Error"
)</f>
        <v>In Progress</v>
      </c>
    </row>
    <row r="202" spans="1:34" ht="15.5" x14ac:dyDescent="0.25">
      <c r="A202" s="248"/>
      <c r="B202" s="100">
        <v>199</v>
      </c>
      <c r="C202" s="215" t="s">
        <v>1857</v>
      </c>
      <c r="D202" s="146" t="s">
        <v>11235</v>
      </c>
      <c r="E202" s="186" t="s">
        <v>11236</v>
      </c>
      <c r="F202" s="48" t="s">
        <v>9671</v>
      </c>
      <c r="G202" s="48" t="s">
        <v>48</v>
      </c>
      <c r="H202" s="48" t="s">
        <v>6206</v>
      </c>
      <c r="I202" s="48" t="s">
        <v>6206</v>
      </c>
      <c r="J202" s="7"/>
      <c r="K202" s="48" t="s">
        <v>11237</v>
      </c>
      <c r="L202" s="48">
        <v>10103123751</v>
      </c>
      <c r="M202" s="9"/>
      <c r="N202" s="233">
        <v>46140</v>
      </c>
      <c r="O202" s="232" t="s">
        <v>11</v>
      </c>
      <c r="P202" s="232" t="s">
        <v>11</v>
      </c>
      <c r="Q202" s="232" t="s">
        <v>11</v>
      </c>
      <c r="R202" s="232" t="s">
        <v>11</v>
      </c>
      <c r="S202" s="232" t="s">
        <v>9</v>
      </c>
      <c r="T202" s="232" t="s">
        <v>9</v>
      </c>
      <c r="U202" s="232" t="s">
        <v>9</v>
      </c>
      <c r="V202" s="232" t="s">
        <v>9</v>
      </c>
      <c r="W202" s="232" t="s">
        <v>9</v>
      </c>
      <c r="X202" s="232" t="s">
        <v>9</v>
      </c>
      <c r="Y202" s="232" t="s">
        <v>9</v>
      </c>
      <c r="Z202" s="232" t="s">
        <v>9</v>
      </c>
      <c r="AA202" s="232" t="s">
        <v>9</v>
      </c>
      <c r="AB202" s="232" t="s">
        <v>9</v>
      </c>
      <c r="AC202" s="232" t="s">
        <v>9</v>
      </c>
      <c r="AD202" s="232" t="s">
        <v>9</v>
      </c>
      <c r="AE202" s="24">
        <f t="shared" si="18"/>
        <v>11</v>
      </c>
      <c r="AF202" s="24">
        <f t="shared" si="19"/>
        <v>0</v>
      </c>
      <c r="AG202" s="24">
        <f t="shared" si="20"/>
        <v>4</v>
      </c>
      <c r="AH202" s="41" t="str" cm="1">
        <f t="array" ref="AH202">_xlfn.IFS(
$AE202=15,"Not Started",
$AG202&lt;15,"In Progress",
$AG202=15,"Completed",
SUM(AE202:AG202)&gt;15,"Error"
)</f>
        <v>In Progress</v>
      </c>
    </row>
    <row r="203" spans="1:34" ht="15.5" x14ac:dyDescent="0.25">
      <c r="A203" s="249"/>
      <c r="B203" s="100">
        <v>200</v>
      </c>
      <c r="C203" s="7" t="s">
        <v>1858</v>
      </c>
      <c r="D203" s="101"/>
      <c r="E203" s="102"/>
      <c r="F203" s="19"/>
      <c r="G203" s="19"/>
      <c r="H203" s="19"/>
      <c r="I203" s="19"/>
      <c r="J203" s="19"/>
      <c r="K203" s="19"/>
      <c r="L203" s="19"/>
      <c r="M203" s="20"/>
      <c r="N203" s="234"/>
      <c r="O203" s="232" t="s">
        <v>9</v>
      </c>
      <c r="P203" s="232" t="s">
        <v>9</v>
      </c>
      <c r="Q203" s="232" t="s">
        <v>9</v>
      </c>
      <c r="R203" s="232" t="s">
        <v>9</v>
      </c>
      <c r="S203" s="232" t="s">
        <v>9</v>
      </c>
      <c r="T203" s="232" t="s">
        <v>9</v>
      </c>
      <c r="U203" s="232" t="s">
        <v>9</v>
      </c>
      <c r="V203" s="232" t="s">
        <v>9</v>
      </c>
      <c r="W203" s="232" t="s">
        <v>9</v>
      </c>
      <c r="X203" s="232" t="s">
        <v>9</v>
      </c>
      <c r="Y203" s="232" t="s">
        <v>9</v>
      </c>
      <c r="Z203" s="232" t="s">
        <v>9</v>
      </c>
      <c r="AA203" s="232" t="s">
        <v>9</v>
      </c>
      <c r="AB203" s="232" t="s">
        <v>9</v>
      </c>
      <c r="AC203" s="232" t="s">
        <v>9</v>
      </c>
      <c r="AD203" s="232" t="s">
        <v>9</v>
      </c>
      <c r="AE203" s="24">
        <f t="shared" si="18"/>
        <v>15</v>
      </c>
      <c r="AF203" s="24">
        <f t="shared" si="19"/>
        <v>0</v>
      </c>
      <c r="AG203" s="24">
        <f t="shared" si="20"/>
        <v>0</v>
      </c>
      <c r="AH203" s="41" t="str" cm="1">
        <f t="array" ref="AH203">_xlfn.IFS(
$AE203=15,"Not Started",
$AG203&lt;15,"In Progress",
$AG203=15,"Completed",
SUM(AE203:AG203)&gt;15,"Error"
)</f>
        <v>Not Started</v>
      </c>
    </row>
    <row r="204" spans="1:34" ht="15.75" customHeight="1" x14ac:dyDescent="0.25">
      <c r="A204" s="67" t="s">
        <v>251</v>
      </c>
      <c r="B204" s="67"/>
      <c r="C204" s="67"/>
      <c r="D204" s="67"/>
      <c r="E204" s="67"/>
      <c r="F204" s="67"/>
      <c r="G204" s="67"/>
      <c r="H204" s="67"/>
      <c r="I204" s="67"/>
      <c r="J204" s="67"/>
      <c r="K204" s="81"/>
      <c r="M204" s="250" t="s">
        <v>251</v>
      </c>
      <c r="N204" s="99" t="s">
        <v>11</v>
      </c>
      <c r="O204" s="72">
        <f>COUNTIF(O$3:O$203,"Completed")</f>
        <v>71</v>
      </c>
      <c r="P204" s="72">
        <f t="shared" ref="P204:AA204" si="21">COUNTIF(P$3:P$203,"Completed")</f>
        <v>71</v>
      </c>
      <c r="Q204" s="72">
        <f t="shared" si="21"/>
        <v>71</v>
      </c>
      <c r="R204" s="72">
        <f t="shared" si="21"/>
        <v>71</v>
      </c>
      <c r="S204" s="72">
        <f t="shared" si="21"/>
        <v>1</v>
      </c>
      <c r="T204" s="72">
        <f t="shared" si="21"/>
        <v>1</v>
      </c>
      <c r="U204" s="72">
        <f t="shared" si="21"/>
        <v>1</v>
      </c>
      <c r="V204" s="72">
        <f t="shared" si="21"/>
        <v>1</v>
      </c>
      <c r="W204" s="72">
        <f t="shared" si="21"/>
        <v>1</v>
      </c>
      <c r="X204" s="72">
        <f t="shared" si="21"/>
        <v>1</v>
      </c>
      <c r="Y204" s="72">
        <f t="shared" si="21"/>
        <v>1</v>
      </c>
      <c r="Z204" s="72">
        <f t="shared" si="21"/>
        <v>1</v>
      </c>
      <c r="AA204" s="72">
        <f t="shared" si="21"/>
        <v>1</v>
      </c>
      <c r="AB204" s="72">
        <f>COUNTIF(AB$2:AB$203,"Completed")</f>
        <v>1</v>
      </c>
      <c r="AC204" s="72">
        <f>COUNTIF(AC$2:AC$203,"Completed")</f>
        <v>1</v>
      </c>
      <c r="AD204" s="72">
        <f>COUNTIF(AD$2:AD$203,"Completed")</f>
        <v>1</v>
      </c>
      <c r="AE204" s="97">
        <f>COUNTIF(O204:AC204,$AF$2)</f>
        <v>0</v>
      </c>
      <c r="AF204" s="97">
        <f>COUNTIF(O204:AC204,$AG$2)</f>
        <v>0</v>
      </c>
      <c r="AG204" s="97">
        <f>COUNTIF(O204:AC204,$AH$2)</f>
        <v>0</v>
      </c>
      <c r="AH204" s="40" cm="1">
        <f t="array" ref="AH204">SUM(O204:AC204/15)</f>
        <v>19.666666666666664</v>
      </c>
    </row>
    <row r="205" spans="1:34" ht="15.75" customHeight="1" x14ac:dyDescent="0.25">
      <c r="M205" s="250"/>
      <c r="N205" s="73" t="s">
        <v>10</v>
      </c>
      <c r="O205" s="73">
        <f>COUNTIF(O$3:O$203,"In Progress")</f>
        <v>0</v>
      </c>
      <c r="P205" s="73">
        <f t="shared" ref="P205:AA205" si="22">COUNTIF(P$3:P$203,"In Progress")</f>
        <v>0</v>
      </c>
      <c r="Q205" s="73">
        <f t="shared" si="22"/>
        <v>0</v>
      </c>
      <c r="R205" s="73">
        <f t="shared" si="22"/>
        <v>0</v>
      </c>
      <c r="S205" s="73">
        <f t="shared" si="22"/>
        <v>0</v>
      </c>
      <c r="T205" s="73">
        <f t="shared" si="22"/>
        <v>0</v>
      </c>
      <c r="U205" s="73">
        <f t="shared" si="22"/>
        <v>0</v>
      </c>
      <c r="V205" s="73">
        <f t="shared" si="22"/>
        <v>0</v>
      </c>
      <c r="W205" s="73">
        <f t="shared" si="22"/>
        <v>0</v>
      </c>
      <c r="X205" s="73">
        <f t="shared" si="22"/>
        <v>0</v>
      </c>
      <c r="Y205" s="73">
        <f t="shared" si="22"/>
        <v>0</v>
      </c>
      <c r="Z205" s="73">
        <f t="shared" si="22"/>
        <v>0</v>
      </c>
      <c r="AA205" s="73">
        <f t="shared" si="22"/>
        <v>0</v>
      </c>
      <c r="AB205" s="73">
        <f>COUNTIF(AB$2:AB$203,"In Progress")</f>
        <v>0</v>
      </c>
      <c r="AC205" s="73">
        <f>COUNTIF(AC$2:AC$203,"In Progress")</f>
        <v>0</v>
      </c>
      <c r="AD205" s="73">
        <f>COUNTIF(AD$2:AD$203,"In Progress")</f>
        <v>0</v>
      </c>
      <c r="AE205" s="98"/>
      <c r="AF205" s="98"/>
      <c r="AG205" s="98"/>
    </row>
    <row r="206" spans="1:34" ht="15.75" customHeight="1" x14ac:dyDescent="0.25">
      <c r="M206" s="250"/>
      <c r="N206" s="74" t="s">
        <v>9</v>
      </c>
      <c r="O206" s="74">
        <f>COUNTIF(O$3:O$203,"Not Started")</f>
        <v>129</v>
      </c>
      <c r="P206" s="74">
        <f t="shared" ref="P206:AA206" si="23">COUNTIF(P$3:P$203,"Not Started")</f>
        <v>129</v>
      </c>
      <c r="Q206" s="74">
        <f t="shared" si="23"/>
        <v>129</v>
      </c>
      <c r="R206" s="74">
        <f t="shared" si="23"/>
        <v>129</v>
      </c>
      <c r="S206" s="74">
        <f t="shared" si="23"/>
        <v>199</v>
      </c>
      <c r="T206" s="74">
        <f t="shared" si="23"/>
        <v>199</v>
      </c>
      <c r="U206" s="74">
        <f t="shared" si="23"/>
        <v>199</v>
      </c>
      <c r="V206" s="74">
        <f t="shared" si="23"/>
        <v>199</v>
      </c>
      <c r="W206" s="74">
        <f t="shared" si="23"/>
        <v>199</v>
      </c>
      <c r="X206" s="74">
        <f t="shared" si="23"/>
        <v>199</v>
      </c>
      <c r="Y206" s="74">
        <f t="shared" si="23"/>
        <v>199</v>
      </c>
      <c r="Z206" s="74">
        <f t="shared" si="23"/>
        <v>199</v>
      </c>
      <c r="AA206" s="74">
        <f t="shared" si="23"/>
        <v>199</v>
      </c>
      <c r="AB206" s="74">
        <f>COUNTIF(AB$2:AB$203,"Not Started")</f>
        <v>199</v>
      </c>
      <c r="AC206" s="74">
        <f>COUNTIF(AC$2:AC$203,"Not Started")</f>
        <v>199</v>
      </c>
      <c r="AD206" s="74">
        <f>COUNTIF(AD$2:AD$203,"Not Started")</f>
        <v>199</v>
      </c>
      <c r="AE206" s="98"/>
      <c r="AF206" s="98"/>
      <c r="AG206" s="98"/>
    </row>
  </sheetData>
  <sheetProtection formatCells="0" formatColumns="0" formatRows="0" insertColumns="0" insertRows="0" insertHyperlinks="0" deleteColumns="0" deleteRows="0" sort="0" autoFilter="0" pivotTables="0"/>
  <protectedRanges>
    <protectedRange sqref="C4:M200 C203:M203 C201:C202 J202 M201:M202" name="Range1"/>
    <protectedRange sqref="D201:E201" name="Range1_1"/>
    <protectedRange sqref="F201:I201" name="Range1_2"/>
    <protectedRange sqref="J201" name="Range1_3"/>
    <protectedRange sqref="K201:L201" name="Range1_4"/>
    <protectedRange sqref="D202:I202" name="Range1_5"/>
    <protectedRange sqref="K202:L202" name="Range1_6"/>
    <protectedRange sqref="N4:AD203" name="Range1_7"/>
  </protectedRanges>
  <autoFilter ref="B3:AH206" xr:uid="{4EA9F6F4-952E-474C-B8B3-8F9AB5F72F1B}"/>
  <mergeCells count="14">
    <mergeCell ref="A4:A203"/>
    <mergeCell ref="M204:M206"/>
    <mergeCell ref="AF2:AF3"/>
    <mergeCell ref="A2:A3"/>
    <mergeCell ref="N2:N3"/>
    <mergeCell ref="AB2:AB3"/>
    <mergeCell ref="O2:R2"/>
    <mergeCell ref="B2:M2"/>
    <mergeCell ref="AE2:AE3"/>
    <mergeCell ref="AG2:AG3"/>
    <mergeCell ref="AH2:AH3"/>
    <mergeCell ref="S2:AA2"/>
    <mergeCell ref="AC2:AC3"/>
    <mergeCell ref="AD2:AD3"/>
  </mergeCells>
  <phoneticPr fontId="14" type="noConversion"/>
  <conditionalFormatting sqref="C203:M203 E4:M200 AE4:AG204 C4:C202 J202 M201:M202">
    <cfRule type="cellIs" dxfId="418" priority="80" operator="equal">
      <formula>"In Progress"</formula>
    </cfRule>
    <cfRule type="cellIs" dxfId="417" priority="81" operator="equal">
      <formula>"Completed"</formula>
    </cfRule>
  </conditionalFormatting>
  <conditionalFormatting sqref="AH4:AH203">
    <cfRule type="cellIs" dxfId="416" priority="77" operator="equal">
      <formula>"In Progress"</formula>
    </cfRule>
    <cfRule type="cellIs" dxfId="415" priority="78" operator="equal">
      <formula>"Completed"</formula>
    </cfRule>
    <cfRule type="cellIs" dxfId="414" priority="79" operator="equal">
      <formula>"Not Started"</formula>
    </cfRule>
  </conditionalFormatting>
  <conditionalFormatting sqref="D4">
    <cfRule type="cellIs" dxfId="413" priority="68" operator="equal">
      <formula>"In Progress"</formula>
    </cfRule>
    <cfRule type="cellIs" dxfId="412" priority="69" operator="equal">
      <formula>"Completed"</formula>
    </cfRule>
  </conditionalFormatting>
  <conditionalFormatting sqref="D5:D200">
    <cfRule type="cellIs" dxfId="411" priority="64" operator="equal">
      <formula>"In Progress"</formula>
    </cfRule>
    <cfRule type="cellIs" dxfId="410" priority="65" operator="equal">
      <formula>"Completed"</formula>
    </cfRule>
  </conditionalFormatting>
  <conditionalFormatting sqref="G1 G4:G200 G203:G1048576">
    <cfRule type="containsText" dxfId="409" priority="60" operator="containsText" text="girls">
      <formula>NOT(ISERROR(SEARCH("girls",G1)))</formula>
    </cfRule>
    <cfRule type="containsText" dxfId="408" priority="61" operator="containsText" text="Boys">
      <formula>NOT(ISERROR(SEARCH("Boys",G1)))</formula>
    </cfRule>
  </conditionalFormatting>
  <conditionalFormatting sqref="D201:E201">
    <cfRule type="cellIs" dxfId="407" priority="53" operator="equal">
      <formula>"In Progress"</formula>
    </cfRule>
    <cfRule type="cellIs" dxfId="406" priority="54" operator="equal">
      <formula>"Completed"</formula>
    </cfRule>
  </conditionalFormatting>
  <conditionalFormatting sqref="D201:E201">
    <cfRule type="duplicateValues" dxfId="405" priority="52"/>
  </conditionalFormatting>
  <conditionalFormatting sqref="F201:I201">
    <cfRule type="cellIs" dxfId="404" priority="50" operator="equal">
      <formula>"In Progress"</formula>
    </cfRule>
    <cfRule type="cellIs" dxfId="403" priority="51" operator="equal">
      <formula>"Completed"</formula>
    </cfRule>
  </conditionalFormatting>
  <conditionalFormatting sqref="G201">
    <cfRule type="containsText" dxfId="402" priority="48" operator="containsText" text="girls">
      <formula>NOT(ISERROR(SEARCH("girls",G201)))</formula>
    </cfRule>
    <cfRule type="containsText" dxfId="401" priority="49" operator="containsText" text="Boys">
      <formula>NOT(ISERROR(SEARCH("Boys",G201)))</formula>
    </cfRule>
  </conditionalFormatting>
  <conditionalFormatting sqref="J201">
    <cfRule type="cellIs" dxfId="400" priority="46" operator="equal">
      <formula>"In Progress"</formula>
    </cfRule>
    <cfRule type="cellIs" dxfId="399" priority="47" operator="equal">
      <formula>"Completed"</formula>
    </cfRule>
  </conditionalFormatting>
  <conditionalFormatting sqref="K201:L201">
    <cfRule type="cellIs" dxfId="398" priority="44" operator="equal">
      <formula>"In Progress"</formula>
    </cfRule>
    <cfRule type="cellIs" dxfId="397" priority="45" operator="equal">
      <formula>"Completed"</formula>
    </cfRule>
  </conditionalFormatting>
  <conditionalFormatting sqref="K201:L201">
    <cfRule type="duplicateValues" dxfId="396" priority="43"/>
  </conditionalFormatting>
  <conditionalFormatting sqref="K201:L201">
    <cfRule type="duplicateValues" dxfId="395" priority="42"/>
  </conditionalFormatting>
  <conditionalFormatting sqref="D202:I202">
    <cfRule type="cellIs" dxfId="394" priority="35" operator="equal">
      <formula>"In Progress"</formula>
    </cfRule>
    <cfRule type="cellIs" dxfId="393" priority="36" operator="equal">
      <formula>"Completed"</formula>
    </cfRule>
  </conditionalFormatting>
  <conditionalFormatting sqref="G202">
    <cfRule type="containsText" dxfId="392" priority="33" operator="containsText" text="girls">
      <formula>NOT(ISERROR(SEARCH("girls",G202)))</formula>
    </cfRule>
    <cfRule type="containsText" dxfId="391" priority="34" operator="containsText" text="Boys">
      <formula>NOT(ISERROR(SEARCH("Boys",G202)))</formula>
    </cfRule>
  </conditionalFormatting>
  <conditionalFormatting sqref="E202">
    <cfRule type="duplicateValues" dxfId="390" priority="37"/>
  </conditionalFormatting>
  <conditionalFormatting sqref="D202:E202">
    <cfRule type="duplicateValues" dxfId="389" priority="38"/>
  </conditionalFormatting>
  <conditionalFormatting sqref="D202:E202">
    <cfRule type="duplicateValues" dxfId="388" priority="39"/>
  </conditionalFormatting>
  <conditionalFormatting sqref="D202:E202">
    <cfRule type="duplicateValues" dxfId="387" priority="32"/>
  </conditionalFormatting>
  <conditionalFormatting sqref="D202:E202">
    <cfRule type="duplicateValues" dxfId="386" priority="31"/>
  </conditionalFormatting>
  <conditionalFormatting sqref="K202:L202">
    <cfRule type="cellIs" dxfId="385" priority="29" operator="equal">
      <formula>"In Progress"</formula>
    </cfRule>
    <cfRule type="cellIs" dxfId="384" priority="30" operator="equal">
      <formula>"Completed"</formula>
    </cfRule>
  </conditionalFormatting>
  <conditionalFormatting sqref="K202:L202">
    <cfRule type="duplicateValues" dxfId="383" priority="28"/>
  </conditionalFormatting>
  <conditionalFormatting sqref="K202:L202">
    <cfRule type="duplicateValues" dxfId="382" priority="27"/>
  </conditionalFormatting>
  <conditionalFormatting sqref="S71:AD71 N30:N70 O4:AD70 N72:AD203">
    <cfRule type="cellIs" dxfId="71" priority="25" operator="equal">
      <formula>"In Progress"</formula>
    </cfRule>
    <cfRule type="cellIs" dxfId="70" priority="26" operator="equal">
      <formula>"Completed"</formula>
    </cfRule>
  </conditionalFormatting>
  <conditionalFormatting sqref="S71:AD71 O4:AD70 O72:AD203">
    <cfRule type="cellIs" dxfId="69" priority="24" operator="equal">
      <formula>"Not Started"</formula>
    </cfRule>
  </conditionalFormatting>
  <conditionalFormatting sqref="N6">
    <cfRule type="cellIs" dxfId="381" priority="22" operator="equal">
      <formula>"In Progress"</formula>
    </cfRule>
    <cfRule type="cellIs" dxfId="380" priority="23" operator="equal">
      <formula>"Completed"</formula>
    </cfRule>
  </conditionalFormatting>
  <conditionalFormatting sqref="N22 N9:N15">
    <cfRule type="cellIs" dxfId="379" priority="20" operator="equal">
      <formula>"In Progress"</formula>
    </cfRule>
    <cfRule type="cellIs" dxfId="378" priority="21" operator="equal">
      <formula>"Completed"</formula>
    </cfRule>
  </conditionalFormatting>
  <conditionalFormatting sqref="N16:N17">
    <cfRule type="cellIs" dxfId="377" priority="18" operator="equal">
      <formula>"In Progress"</formula>
    </cfRule>
    <cfRule type="cellIs" dxfId="376" priority="19" operator="equal">
      <formula>"Completed"</formula>
    </cfRule>
  </conditionalFormatting>
  <conditionalFormatting sqref="N18:N19">
    <cfRule type="cellIs" dxfId="375" priority="16" operator="equal">
      <formula>"In Progress"</formula>
    </cfRule>
    <cfRule type="cellIs" dxfId="374" priority="17" operator="equal">
      <formula>"Completed"</formula>
    </cfRule>
  </conditionalFormatting>
  <conditionalFormatting sqref="N20:N21">
    <cfRule type="cellIs" dxfId="373" priority="14" operator="equal">
      <formula>"In Progress"</formula>
    </cfRule>
    <cfRule type="cellIs" dxfId="372" priority="15" operator="equal">
      <formula>"Completed"</formula>
    </cfRule>
  </conditionalFormatting>
  <conditionalFormatting sqref="N23:N25">
    <cfRule type="cellIs" dxfId="371" priority="12" operator="equal">
      <formula>"In Progress"</formula>
    </cfRule>
    <cfRule type="cellIs" dxfId="370" priority="13" operator="equal">
      <formula>"Completed"</formula>
    </cfRule>
  </conditionalFormatting>
  <conditionalFormatting sqref="N26:N27">
    <cfRule type="cellIs" dxfId="369" priority="10" operator="equal">
      <formula>"In Progress"</formula>
    </cfRule>
    <cfRule type="cellIs" dxfId="368" priority="11" operator="equal">
      <formula>"Completed"</formula>
    </cfRule>
  </conditionalFormatting>
  <conditionalFormatting sqref="N28:N29">
    <cfRule type="cellIs" dxfId="367" priority="8" operator="equal">
      <formula>"In Progress"</formula>
    </cfRule>
    <cfRule type="cellIs" dxfId="366" priority="9" operator="equal">
      <formula>"Completed"</formula>
    </cfRule>
  </conditionalFormatting>
  <conditionalFormatting sqref="N71:R71">
    <cfRule type="cellIs" dxfId="365" priority="6" operator="equal">
      <formula>"In Progress"</formula>
    </cfRule>
    <cfRule type="cellIs" dxfId="364" priority="7" operator="equal">
      <formula>"Completed"</formula>
    </cfRule>
  </conditionalFormatting>
  <conditionalFormatting sqref="O71:R71">
    <cfRule type="cellIs" dxfId="363" priority="5" operator="equal">
      <formula>"Not Started"</formula>
    </cfRule>
  </conditionalFormatting>
  <conditionalFormatting sqref="N4:N5">
    <cfRule type="cellIs" dxfId="362" priority="3" operator="equal">
      <formula>"In Progress"</formula>
    </cfRule>
    <cfRule type="cellIs" dxfId="361" priority="4" operator="equal">
      <formula>"Completed"</formula>
    </cfRule>
  </conditionalFormatting>
  <conditionalFormatting sqref="N7:N8">
    <cfRule type="cellIs" dxfId="360" priority="1" operator="equal">
      <formula>"In Progress"</formula>
    </cfRule>
    <cfRule type="cellIs" dxfId="359" priority="2" operator="equal">
      <formula>"Completed"</formula>
    </cfRule>
  </conditionalFormatting>
  <dataValidations count="5">
    <dataValidation type="list" allowBlank="1" showInputMessage="1" showErrorMessage="1" sqref="F4:F201 F203" xr:uid="{BA63D055-E44F-4BE3-892B-B3A8E8AA1A54}">
      <formula1>$AK$4:$AK$9</formula1>
    </dataValidation>
    <dataValidation type="list" allowBlank="1" showInputMessage="1" showErrorMessage="1" sqref="G4:G201 G203" xr:uid="{14606CDC-4E7F-458F-9EF6-AC64DD10B047}">
      <formula1>$AL$4:$AL$6</formula1>
    </dataValidation>
    <dataValidation type="list" allowBlank="1" showInputMessage="1" showErrorMessage="1" sqref="F202" xr:uid="{8EB4D3F6-425A-473D-B8D2-4C10C8DDA31E}">
      <formula1>$AL$4:$AL$9</formula1>
    </dataValidation>
    <dataValidation type="list" allowBlank="1" showInputMessage="1" showErrorMessage="1" sqref="G202" xr:uid="{783B5D54-78AD-46EE-9D62-6D1C81EB6CAE}">
      <formula1>$AM$4:$AM$6</formula1>
    </dataValidation>
    <dataValidation type="list" allowBlank="1" showInputMessage="1" showErrorMessage="1" sqref="O4:AD203" xr:uid="{2C71ABB9-62D3-4D7D-B236-87DAE8491D62}">
      <formula1>$AN$4:$AN$7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A568-D58F-4F5D-A6B2-81D061FD27AB}">
  <sheetPr>
    <outlinePr summaryBelow="0" summaryRight="0"/>
  </sheetPr>
  <dimension ref="A1:AL206"/>
  <sheetViews>
    <sheetView showGridLines="0" zoomScale="95" zoomScaleNormal="95" workbookViewId="0">
      <selection activeCell="C8" sqref="C8"/>
    </sheetView>
  </sheetViews>
  <sheetFormatPr defaultColWidth="12.54296875" defaultRowHeight="15.75" customHeight="1" x14ac:dyDescent="0.25"/>
  <cols>
    <col min="1" max="1" width="12.54296875" style="1"/>
    <col min="2" max="2" width="15.6328125" style="54" bestFit="1" customWidth="1"/>
    <col min="3" max="3" width="44.26953125" style="58" bestFit="1" customWidth="1"/>
    <col min="4" max="4" width="70.54296875" style="1" bestFit="1" customWidth="1"/>
    <col min="5" max="5" width="13" style="1" customWidth="1"/>
    <col min="6" max="6" width="8.1796875" style="1" customWidth="1"/>
    <col min="7" max="8" width="7.81640625" style="1" customWidth="1"/>
    <col min="9" max="9" width="35.81640625" style="1" customWidth="1"/>
    <col min="10" max="10" width="18.54296875" style="1" customWidth="1"/>
    <col min="11" max="12" width="12.54296875" style="1" customWidth="1"/>
    <col min="13" max="15" width="12.54296875" style="1"/>
    <col min="16" max="16" width="14.81640625" style="1" customWidth="1"/>
    <col min="17" max="17" width="14.7265625" style="1" customWidth="1"/>
    <col min="18" max="18" width="12.54296875" style="1"/>
    <col min="19" max="19" width="15.81640625" style="1" customWidth="1"/>
    <col min="20" max="20" width="20.1796875" style="1" customWidth="1"/>
    <col min="21" max="34" width="12.54296875" style="1"/>
    <col min="35" max="35" width="37.81640625" style="1" customWidth="1"/>
    <col min="36" max="36" width="18.453125" style="1" customWidth="1"/>
    <col min="37" max="37" width="12.54296875" style="1" customWidth="1"/>
    <col min="38" max="16384" width="12.54296875" style="1"/>
  </cols>
  <sheetData>
    <row r="1" spans="1:38" ht="37" customHeight="1" x14ac:dyDescent="0.25">
      <c r="B1" s="51" t="s">
        <v>0</v>
      </c>
      <c r="C1" s="55">
        <v>46152</v>
      </c>
    </row>
    <row r="2" spans="1:38" ht="13" x14ac:dyDescent="0.25">
      <c r="A2" s="236" t="s">
        <v>1</v>
      </c>
      <c r="B2" s="237" t="s">
        <v>2</v>
      </c>
      <c r="C2" s="238"/>
      <c r="D2" s="238"/>
      <c r="E2" s="238"/>
      <c r="F2" s="238"/>
      <c r="G2" s="238"/>
      <c r="H2" s="238"/>
      <c r="I2" s="238"/>
      <c r="J2" s="238"/>
      <c r="K2" s="238"/>
      <c r="L2" s="239"/>
      <c r="M2" s="253" t="s">
        <v>3</v>
      </c>
      <c r="N2" s="298" t="s">
        <v>4</v>
      </c>
      <c r="O2" s="299"/>
      <c r="P2" s="299"/>
      <c r="Q2" s="300"/>
      <c r="R2" s="295" t="s">
        <v>5</v>
      </c>
      <c r="S2" s="296"/>
      <c r="T2" s="296"/>
      <c r="U2" s="296"/>
      <c r="V2" s="296"/>
      <c r="W2" s="296"/>
      <c r="X2" s="296"/>
      <c r="Y2" s="296"/>
      <c r="Z2" s="297"/>
      <c r="AA2" s="244" t="s">
        <v>6</v>
      </c>
      <c r="AB2" s="251" t="s">
        <v>7</v>
      </c>
      <c r="AC2" s="279" t="s">
        <v>8</v>
      </c>
      <c r="AD2" s="235" t="s">
        <v>9</v>
      </c>
      <c r="AE2" s="235" t="s">
        <v>10</v>
      </c>
      <c r="AF2" s="235" t="s">
        <v>11</v>
      </c>
      <c r="AG2" s="235" t="s">
        <v>12</v>
      </c>
    </row>
    <row r="3" spans="1:38" s="2" customFormat="1" ht="47" x14ac:dyDescent="0.25">
      <c r="A3" s="236"/>
      <c r="B3" s="23" t="s">
        <v>13</v>
      </c>
      <c r="C3" s="23" t="s">
        <v>14</v>
      </c>
      <c r="D3" s="23" t="s">
        <v>15</v>
      </c>
      <c r="E3" s="23" t="s">
        <v>10256</v>
      </c>
      <c r="F3" s="23" t="s">
        <v>17</v>
      </c>
      <c r="G3" s="23" t="s">
        <v>18</v>
      </c>
      <c r="H3" s="23" t="s">
        <v>19</v>
      </c>
      <c r="I3" s="134" t="s">
        <v>20</v>
      </c>
      <c r="J3" s="23" t="s">
        <v>21</v>
      </c>
      <c r="K3" s="23" t="s">
        <v>22</v>
      </c>
      <c r="L3" s="23" t="s">
        <v>23</v>
      </c>
      <c r="M3" s="254"/>
      <c r="N3" s="42" t="s">
        <v>24</v>
      </c>
      <c r="O3" s="42" t="s">
        <v>25</v>
      </c>
      <c r="P3" s="42" t="s">
        <v>26</v>
      </c>
      <c r="Q3" s="42" t="s">
        <v>27</v>
      </c>
      <c r="R3" s="43" t="s">
        <v>28</v>
      </c>
      <c r="S3" s="43" t="s">
        <v>29</v>
      </c>
      <c r="T3" s="43" t="s">
        <v>30</v>
      </c>
      <c r="U3" s="43" t="s">
        <v>31</v>
      </c>
      <c r="V3" s="43" t="s">
        <v>32</v>
      </c>
      <c r="W3" s="43" t="s">
        <v>33</v>
      </c>
      <c r="X3" s="43" t="s">
        <v>34</v>
      </c>
      <c r="Y3" s="43" t="s">
        <v>35</v>
      </c>
      <c r="Z3" s="43" t="s">
        <v>36</v>
      </c>
      <c r="AA3" s="244"/>
      <c r="AB3" s="251"/>
      <c r="AC3" s="280"/>
      <c r="AD3" s="235"/>
      <c r="AE3" s="235"/>
      <c r="AF3" s="235"/>
      <c r="AG3" s="235"/>
      <c r="AJ3" s="5" t="s">
        <v>16</v>
      </c>
      <c r="AK3" s="5" t="s">
        <v>17</v>
      </c>
      <c r="AL3" s="5" t="s">
        <v>37</v>
      </c>
    </row>
    <row r="4" spans="1:38" ht="15.75" customHeight="1" x14ac:dyDescent="0.25">
      <c r="A4" s="255" t="s">
        <v>1859</v>
      </c>
      <c r="B4" s="63" t="s">
        <v>1860</v>
      </c>
      <c r="C4" s="53" t="s">
        <v>6207</v>
      </c>
      <c r="D4" s="57" t="s">
        <v>6367</v>
      </c>
      <c r="E4" s="7" t="s">
        <v>47</v>
      </c>
      <c r="F4" s="7" t="s">
        <v>44</v>
      </c>
      <c r="G4" s="7" t="s">
        <v>7527</v>
      </c>
      <c r="H4" s="7" t="s">
        <v>7527</v>
      </c>
      <c r="I4" s="7" t="s">
        <v>7378</v>
      </c>
      <c r="J4" s="7" t="s">
        <v>6521</v>
      </c>
      <c r="K4" s="7">
        <v>10052664288</v>
      </c>
      <c r="L4" s="7"/>
      <c r="M4" s="32">
        <v>46118</v>
      </c>
      <c r="N4" s="28" t="s">
        <v>11</v>
      </c>
      <c r="O4" s="28" t="s">
        <v>11</v>
      </c>
      <c r="P4" s="28" t="s">
        <v>11</v>
      </c>
      <c r="Q4" s="28" t="s">
        <v>11</v>
      </c>
      <c r="R4" s="28" t="s">
        <v>9</v>
      </c>
      <c r="S4" s="28" t="s">
        <v>9</v>
      </c>
      <c r="T4" s="28" t="s">
        <v>9</v>
      </c>
      <c r="U4" s="28" t="s">
        <v>9</v>
      </c>
      <c r="V4" s="28" t="s">
        <v>9</v>
      </c>
      <c r="W4" s="28" t="s">
        <v>9</v>
      </c>
      <c r="X4" s="28" t="s">
        <v>9</v>
      </c>
      <c r="Y4" s="28" t="s">
        <v>9</v>
      </c>
      <c r="Z4" s="28" t="s">
        <v>9</v>
      </c>
      <c r="AA4" s="28" t="s">
        <v>9</v>
      </c>
      <c r="AB4" s="28" t="s">
        <v>9</v>
      </c>
      <c r="AC4" s="28" t="s">
        <v>9</v>
      </c>
      <c r="AD4" s="24">
        <f t="shared" ref="AD4:AD67" si="0">COUNTIF(N4:AB4,$AD$2)</f>
        <v>11</v>
      </c>
      <c r="AE4" s="24">
        <f t="shared" ref="AE4:AE67" si="1">COUNTIF(N4:AB4,$AE$2)</f>
        <v>0</v>
      </c>
      <c r="AF4" s="24">
        <f t="shared" ref="AF4:AF67" si="2">COUNTIF(N4:AB4,$AF$2)</f>
        <v>4</v>
      </c>
      <c r="AG4" s="41" t="str" cm="1">
        <f t="array" ref="AG4">_xlfn.IFS(
$AD4=15,"Not Started",
$AF4&lt;15,"In Progress",
$AF4=15,"Completed",
SUM(AD4:AF4)&gt;15,"Error"
)</f>
        <v>In Progress</v>
      </c>
      <c r="AJ4" s="3" t="s">
        <v>43</v>
      </c>
      <c r="AK4" s="3" t="s">
        <v>44</v>
      </c>
      <c r="AL4" s="3" t="s">
        <v>9</v>
      </c>
    </row>
    <row r="5" spans="1:38" ht="13" x14ac:dyDescent="0.25">
      <c r="A5" s="256"/>
      <c r="B5" s="64" t="s">
        <v>1861</v>
      </c>
      <c r="C5" s="53" t="s">
        <v>6208</v>
      </c>
      <c r="D5" s="57" t="s">
        <v>6368</v>
      </c>
      <c r="E5" s="7" t="s">
        <v>43</v>
      </c>
      <c r="F5" s="7" t="s">
        <v>44</v>
      </c>
      <c r="G5" s="7" t="s">
        <v>7527</v>
      </c>
      <c r="H5" s="7" t="s">
        <v>7527</v>
      </c>
      <c r="I5" s="7" t="s">
        <v>7379</v>
      </c>
      <c r="J5" s="7" t="s">
        <v>6522</v>
      </c>
      <c r="K5" s="7">
        <v>10093334011</v>
      </c>
      <c r="L5" s="7"/>
      <c r="M5" s="32">
        <v>46145</v>
      </c>
      <c r="N5" s="28" t="s">
        <v>11</v>
      </c>
      <c r="O5" s="28" t="s">
        <v>11</v>
      </c>
      <c r="P5" s="28" t="s">
        <v>11</v>
      </c>
      <c r="Q5" s="28" t="s">
        <v>11</v>
      </c>
      <c r="R5" s="28" t="s">
        <v>9</v>
      </c>
      <c r="S5" s="28" t="s">
        <v>9</v>
      </c>
      <c r="T5" s="28" t="s">
        <v>9</v>
      </c>
      <c r="U5" s="28" t="s">
        <v>9</v>
      </c>
      <c r="V5" s="28" t="s">
        <v>9</v>
      </c>
      <c r="W5" s="28" t="s">
        <v>9</v>
      </c>
      <c r="X5" s="28" t="s">
        <v>9</v>
      </c>
      <c r="Y5" s="28" t="s">
        <v>9</v>
      </c>
      <c r="Z5" s="28" t="s">
        <v>9</v>
      </c>
      <c r="AA5" s="28" t="s">
        <v>9</v>
      </c>
      <c r="AB5" s="28" t="s">
        <v>9</v>
      </c>
      <c r="AC5" s="28" t="s">
        <v>9</v>
      </c>
      <c r="AD5" s="24">
        <f t="shared" si="0"/>
        <v>11</v>
      </c>
      <c r="AE5" s="24">
        <f t="shared" si="1"/>
        <v>0</v>
      </c>
      <c r="AF5" s="24">
        <f t="shared" si="2"/>
        <v>4</v>
      </c>
      <c r="AG5" s="41" t="str" cm="1">
        <f t="array" ref="AG5">_xlfn.IFS(
$AD5=15,"Not Started",
$AF5&lt;15,"In Progress",
$AF5=15,"Completed",
SUM(AD5:AF5)&gt;15,"Error"
)</f>
        <v>In Progress</v>
      </c>
      <c r="AJ5" s="3" t="s">
        <v>47</v>
      </c>
      <c r="AK5" s="3" t="s">
        <v>48</v>
      </c>
      <c r="AL5" s="3" t="s">
        <v>10</v>
      </c>
    </row>
    <row r="6" spans="1:38" ht="13" x14ac:dyDescent="0.25">
      <c r="A6" s="256"/>
      <c r="B6" s="63" t="s">
        <v>1862</v>
      </c>
      <c r="C6" s="53" t="s">
        <v>6209</v>
      </c>
      <c r="D6" s="57" t="s">
        <v>6369</v>
      </c>
      <c r="E6" s="7" t="s">
        <v>43</v>
      </c>
      <c r="F6" s="7" t="s">
        <v>44</v>
      </c>
      <c r="G6" s="7" t="s">
        <v>7527</v>
      </c>
      <c r="H6" s="7" t="s">
        <v>7527</v>
      </c>
      <c r="I6" s="7" t="s">
        <v>7380</v>
      </c>
      <c r="J6" s="7" t="s">
        <v>6523</v>
      </c>
      <c r="K6" s="7">
        <v>10103302279</v>
      </c>
      <c r="L6" s="7"/>
      <c r="M6" s="32">
        <v>46145</v>
      </c>
      <c r="N6" s="28" t="s">
        <v>11</v>
      </c>
      <c r="O6" s="28" t="s">
        <v>11</v>
      </c>
      <c r="P6" s="28" t="s">
        <v>11</v>
      </c>
      <c r="Q6" s="28" t="s">
        <v>11</v>
      </c>
      <c r="R6" s="28" t="s">
        <v>9</v>
      </c>
      <c r="S6" s="28" t="s">
        <v>9</v>
      </c>
      <c r="T6" s="28" t="s">
        <v>9</v>
      </c>
      <c r="U6" s="28" t="s">
        <v>9</v>
      </c>
      <c r="V6" s="28" t="s">
        <v>9</v>
      </c>
      <c r="W6" s="28" t="s">
        <v>9</v>
      </c>
      <c r="X6" s="28" t="s">
        <v>9</v>
      </c>
      <c r="Y6" s="28" t="s">
        <v>9</v>
      </c>
      <c r="Z6" s="28" t="s">
        <v>9</v>
      </c>
      <c r="AA6" s="28" t="s">
        <v>9</v>
      </c>
      <c r="AB6" s="28" t="s">
        <v>9</v>
      </c>
      <c r="AC6" s="28" t="s">
        <v>9</v>
      </c>
      <c r="AD6" s="24">
        <f t="shared" si="0"/>
        <v>11</v>
      </c>
      <c r="AE6" s="24">
        <f t="shared" si="1"/>
        <v>0</v>
      </c>
      <c r="AF6" s="24">
        <f t="shared" si="2"/>
        <v>4</v>
      </c>
      <c r="AG6" s="41" t="str" cm="1">
        <f t="array" ref="AG6">_xlfn.IFS(
$AD6=15,"Not Started",
$AF6&lt;15,"In Progress",
$AF6=15,"Completed",
SUM(AD6:AF6)&gt;15,"Error"
)</f>
        <v>In Progress</v>
      </c>
      <c r="AJ6" s="3" t="s">
        <v>51</v>
      </c>
      <c r="AK6" s="3" t="s">
        <v>52</v>
      </c>
      <c r="AL6" s="3" t="s">
        <v>11</v>
      </c>
    </row>
    <row r="7" spans="1:38" ht="13" x14ac:dyDescent="0.25">
      <c r="A7" s="256"/>
      <c r="B7" s="64" t="s">
        <v>1863</v>
      </c>
      <c r="C7" s="53" t="s">
        <v>6210</v>
      </c>
      <c r="D7" s="57" t="s">
        <v>6370</v>
      </c>
      <c r="E7" s="7" t="s">
        <v>43</v>
      </c>
      <c r="F7" s="7" t="s">
        <v>44</v>
      </c>
      <c r="G7" s="7" t="s">
        <v>7527</v>
      </c>
      <c r="H7" s="7" t="s">
        <v>7527</v>
      </c>
      <c r="I7" s="7" t="s">
        <v>7381</v>
      </c>
      <c r="J7" s="7" t="s">
        <v>6524</v>
      </c>
      <c r="K7" s="7">
        <v>10053066005</v>
      </c>
      <c r="L7" s="7"/>
      <c r="M7" s="9">
        <v>46119</v>
      </c>
      <c r="N7" s="28" t="s">
        <v>11</v>
      </c>
      <c r="O7" s="28" t="s">
        <v>11</v>
      </c>
      <c r="P7" s="28" t="s">
        <v>11</v>
      </c>
      <c r="Q7" s="28" t="s">
        <v>11</v>
      </c>
      <c r="R7" s="28" t="s">
        <v>9</v>
      </c>
      <c r="S7" s="28" t="s">
        <v>9</v>
      </c>
      <c r="T7" s="28" t="s">
        <v>9</v>
      </c>
      <c r="U7" s="28" t="s">
        <v>9</v>
      </c>
      <c r="V7" s="28" t="s">
        <v>9</v>
      </c>
      <c r="W7" s="28" t="s">
        <v>9</v>
      </c>
      <c r="X7" s="28" t="s">
        <v>9</v>
      </c>
      <c r="Y7" s="28" t="s">
        <v>9</v>
      </c>
      <c r="Z7" s="28" t="s">
        <v>9</v>
      </c>
      <c r="AA7" s="28" t="s">
        <v>9</v>
      </c>
      <c r="AB7" s="28" t="s">
        <v>9</v>
      </c>
      <c r="AC7" s="28" t="s">
        <v>9</v>
      </c>
      <c r="AD7" s="24">
        <f t="shared" si="0"/>
        <v>11</v>
      </c>
      <c r="AE7" s="24">
        <f t="shared" si="1"/>
        <v>0</v>
      </c>
      <c r="AF7" s="24">
        <f t="shared" si="2"/>
        <v>4</v>
      </c>
      <c r="AG7" s="41" t="str" cm="1">
        <f t="array" ref="AG7">_xlfn.IFS(
$AD7=15,"Not Started",
$AF7&lt;15,"In Progress",
$AF7=15,"Completed",
SUM(AD7:AF7)&gt;15,"Error"
)</f>
        <v>In Progress</v>
      </c>
      <c r="AJ7" s="3" t="s">
        <v>9671</v>
      </c>
      <c r="AK7" s="3"/>
      <c r="AL7" s="3" t="s">
        <v>52</v>
      </c>
    </row>
    <row r="8" spans="1:38" ht="13" x14ac:dyDescent="0.25">
      <c r="A8" s="256"/>
      <c r="B8" s="63" t="s">
        <v>1864</v>
      </c>
      <c r="C8" s="53" t="s">
        <v>6211</v>
      </c>
      <c r="D8" s="57" t="s">
        <v>6371</v>
      </c>
      <c r="E8" s="7" t="s">
        <v>9672</v>
      </c>
      <c r="F8" s="7" t="s">
        <v>48</v>
      </c>
      <c r="G8" s="7" t="s">
        <v>7527</v>
      </c>
      <c r="H8" s="7" t="s">
        <v>7527</v>
      </c>
      <c r="I8" s="7" t="s">
        <v>7382</v>
      </c>
      <c r="J8" s="7" t="s">
        <v>6525</v>
      </c>
      <c r="K8" s="7">
        <v>10052504373</v>
      </c>
      <c r="L8" s="7"/>
      <c r="M8" s="32">
        <v>46142</v>
      </c>
      <c r="N8" s="28" t="s">
        <v>11</v>
      </c>
      <c r="O8" s="28" t="s">
        <v>11</v>
      </c>
      <c r="P8" s="28" t="s">
        <v>11</v>
      </c>
      <c r="Q8" s="28" t="s">
        <v>11</v>
      </c>
      <c r="R8" s="28" t="s">
        <v>9</v>
      </c>
      <c r="S8" s="28" t="s">
        <v>9</v>
      </c>
      <c r="T8" s="28" t="s">
        <v>9</v>
      </c>
      <c r="U8" s="28" t="s">
        <v>9</v>
      </c>
      <c r="V8" s="28" t="s">
        <v>9</v>
      </c>
      <c r="W8" s="28" t="s">
        <v>9</v>
      </c>
      <c r="X8" s="28" t="s">
        <v>9</v>
      </c>
      <c r="Y8" s="28" t="s">
        <v>9</v>
      </c>
      <c r="Z8" s="28" t="s">
        <v>9</v>
      </c>
      <c r="AA8" s="28" t="s">
        <v>9</v>
      </c>
      <c r="AB8" s="28" t="s">
        <v>9</v>
      </c>
      <c r="AC8" s="28" t="s">
        <v>9</v>
      </c>
      <c r="AD8" s="24">
        <f t="shared" si="0"/>
        <v>11</v>
      </c>
      <c r="AE8" s="24">
        <f t="shared" si="1"/>
        <v>0</v>
      </c>
      <c r="AF8" s="24">
        <f t="shared" si="2"/>
        <v>4</v>
      </c>
      <c r="AG8" s="41" t="str" cm="1">
        <f t="array" ref="AG8">_xlfn.IFS(
$AD8=15,"Not Started",
$AF8&lt;15,"In Progress",
$AF8=15,"Completed",
SUM(AD8:AF8)&gt;15,"Error"
)</f>
        <v>In Progress</v>
      </c>
      <c r="AJ8" s="3" t="s">
        <v>9672</v>
      </c>
      <c r="AK8" s="3"/>
      <c r="AL8" s="3"/>
    </row>
    <row r="9" spans="1:38" ht="13" x14ac:dyDescent="0.25">
      <c r="A9" s="256"/>
      <c r="B9" s="64" t="s">
        <v>1865</v>
      </c>
      <c r="C9" s="53" t="s">
        <v>6212</v>
      </c>
      <c r="D9" s="57" t="s">
        <v>6372</v>
      </c>
      <c r="E9" s="7" t="s">
        <v>9672</v>
      </c>
      <c r="F9" s="7" t="s">
        <v>48</v>
      </c>
      <c r="G9" s="7" t="s">
        <v>7527</v>
      </c>
      <c r="H9" s="7" t="s">
        <v>7527</v>
      </c>
      <c r="I9" s="7" t="s">
        <v>7383</v>
      </c>
      <c r="J9" s="7" t="s">
        <v>6526</v>
      </c>
      <c r="K9" s="7">
        <v>10086279724</v>
      </c>
      <c r="L9" s="7"/>
      <c r="M9" s="32">
        <v>46144</v>
      </c>
      <c r="N9" s="28" t="s">
        <v>11</v>
      </c>
      <c r="O9" s="28" t="s">
        <v>11</v>
      </c>
      <c r="P9" s="28" t="s">
        <v>11</v>
      </c>
      <c r="Q9" s="28" t="s">
        <v>11</v>
      </c>
      <c r="R9" s="28" t="s">
        <v>9</v>
      </c>
      <c r="S9" s="28" t="s">
        <v>9</v>
      </c>
      <c r="T9" s="28" t="s">
        <v>9</v>
      </c>
      <c r="U9" s="28" t="s">
        <v>9</v>
      </c>
      <c r="V9" s="28" t="s">
        <v>9</v>
      </c>
      <c r="W9" s="28" t="s">
        <v>9</v>
      </c>
      <c r="X9" s="28" t="s">
        <v>9</v>
      </c>
      <c r="Y9" s="28" t="s">
        <v>9</v>
      </c>
      <c r="Z9" s="28" t="s">
        <v>9</v>
      </c>
      <c r="AA9" s="28" t="s">
        <v>9</v>
      </c>
      <c r="AB9" s="28" t="s">
        <v>9</v>
      </c>
      <c r="AC9" s="28" t="s">
        <v>9</v>
      </c>
      <c r="AD9" s="24">
        <f t="shared" si="0"/>
        <v>11</v>
      </c>
      <c r="AE9" s="24">
        <f t="shared" si="1"/>
        <v>0</v>
      </c>
      <c r="AF9" s="24">
        <f t="shared" si="2"/>
        <v>4</v>
      </c>
      <c r="AG9" s="41" t="str" cm="1">
        <f t="array" ref="AG9">_xlfn.IFS(
$AD9=15,"Not Started",
$AF9&lt;15,"In Progress",
$AF9=15,"Completed",
SUM(AD9:AF9)&gt;15,"Error"
)</f>
        <v>In Progress</v>
      </c>
      <c r="AJ9" s="3" t="s">
        <v>52</v>
      </c>
      <c r="AK9" s="3"/>
      <c r="AL9" s="3"/>
    </row>
    <row r="10" spans="1:38" ht="13" x14ac:dyDescent="0.25">
      <c r="A10" s="256"/>
      <c r="B10" s="63" t="s">
        <v>1866</v>
      </c>
      <c r="C10" s="53" t="s">
        <v>6213</v>
      </c>
      <c r="D10" s="57" t="s">
        <v>6373</v>
      </c>
      <c r="E10" s="7" t="s">
        <v>43</v>
      </c>
      <c r="F10" s="7" t="s">
        <v>48</v>
      </c>
      <c r="G10" s="7" t="s">
        <v>7527</v>
      </c>
      <c r="H10" s="7" t="s">
        <v>7527</v>
      </c>
      <c r="I10" s="7" t="s">
        <v>7384</v>
      </c>
      <c r="J10" s="7" t="s">
        <v>6527</v>
      </c>
      <c r="K10" s="7">
        <v>10086280421</v>
      </c>
      <c r="L10" s="7"/>
      <c r="M10" s="32">
        <v>46144</v>
      </c>
      <c r="N10" s="28" t="s">
        <v>11</v>
      </c>
      <c r="O10" s="28" t="s">
        <v>11</v>
      </c>
      <c r="P10" s="28" t="s">
        <v>11</v>
      </c>
      <c r="Q10" s="28" t="s">
        <v>11</v>
      </c>
      <c r="R10" s="28" t="s">
        <v>9</v>
      </c>
      <c r="S10" s="28" t="s">
        <v>9</v>
      </c>
      <c r="T10" s="28" t="s">
        <v>9</v>
      </c>
      <c r="U10" s="28" t="s">
        <v>9</v>
      </c>
      <c r="V10" s="28" t="s">
        <v>9</v>
      </c>
      <c r="W10" s="28" t="s">
        <v>9</v>
      </c>
      <c r="X10" s="28" t="s">
        <v>9</v>
      </c>
      <c r="Y10" s="28" t="s">
        <v>9</v>
      </c>
      <c r="Z10" s="28" t="s">
        <v>9</v>
      </c>
      <c r="AA10" s="28" t="s">
        <v>9</v>
      </c>
      <c r="AB10" s="28" t="s">
        <v>9</v>
      </c>
      <c r="AC10" s="28" t="s">
        <v>9</v>
      </c>
      <c r="AD10" s="24">
        <f t="shared" si="0"/>
        <v>11</v>
      </c>
      <c r="AE10" s="24">
        <f t="shared" si="1"/>
        <v>0</v>
      </c>
      <c r="AF10" s="24">
        <f t="shared" si="2"/>
        <v>4</v>
      </c>
      <c r="AG10" s="41" t="str" cm="1">
        <f t="array" ref="AG10">_xlfn.IFS(
$AD10=15,"Not Started",
$AF10&lt;15,"In Progress",
$AF10=15,"Completed",
SUM(AD10:AF10)&gt;15,"Error"
)</f>
        <v>In Progress</v>
      </c>
    </row>
    <row r="11" spans="1:38" ht="13" x14ac:dyDescent="0.25">
      <c r="A11" s="256"/>
      <c r="B11" s="64" t="s">
        <v>1867</v>
      </c>
      <c r="C11" s="53" t="s">
        <v>6214</v>
      </c>
      <c r="D11" s="57" t="s">
        <v>6374</v>
      </c>
      <c r="E11" s="7" t="s">
        <v>47</v>
      </c>
      <c r="F11" s="7" t="s">
        <v>48</v>
      </c>
      <c r="G11" s="7" t="s">
        <v>7527</v>
      </c>
      <c r="H11" s="7" t="s">
        <v>7527</v>
      </c>
      <c r="I11" s="7" t="s">
        <v>7385</v>
      </c>
      <c r="J11" s="7" t="s">
        <v>6528</v>
      </c>
      <c r="K11" s="7">
        <v>10086285196</v>
      </c>
      <c r="L11" s="7"/>
      <c r="M11" s="32">
        <v>46144</v>
      </c>
      <c r="N11" s="28" t="s">
        <v>11</v>
      </c>
      <c r="O11" s="28" t="s">
        <v>11</v>
      </c>
      <c r="P11" s="28" t="s">
        <v>11</v>
      </c>
      <c r="Q11" s="28" t="s">
        <v>11</v>
      </c>
      <c r="R11" s="28" t="s">
        <v>9</v>
      </c>
      <c r="S11" s="28" t="s">
        <v>9</v>
      </c>
      <c r="T11" s="28" t="s">
        <v>9</v>
      </c>
      <c r="U11" s="28" t="s">
        <v>9</v>
      </c>
      <c r="V11" s="28" t="s">
        <v>9</v>
      </c>
      <c r="W11" s="28" t="s">
        <v>9</v>
      </c>
      <c r="X11" s="28" t="s">
        <v>9</v>
      </c>
      <c r="Y11" s="28" t="s">
        <v>9</v>
      </c>
      <c r="Z11" s="28" t="s">
        <v>9</v>
      </c>
      <c r="AA11" s="28" t="s">
        <v>9</v>
      </c>
      <c r="AB11" s="28" t="s">
        <v>9</v>
      </c>
      <c r="AC11" s="28" t="s">
        <v>9</v>
      </c>
      <c r="AD11" s="24">
        <f t="shared" si="0"/>
        <v>11</v>
      </c>
      <c r="AE11" s="24">
        <f t="shared" si="1"/>
        <v>0</v>
      </c>
      <c r="AF11" s="24">
        <f t="shared" si="2"/>
        <v>4</v>
      </c>
      <c r="AG11" s="41" t="str" cm="1">
        <f t="array" ref="AG11">_xlfn.IFS(
$AD11=15,"Not Started",
$AF11&lt;15,"In Progress",
$AF11=15,"Completed",
SUM(AD11:AF11)&gt;15,"Error"
)</f>
        <v>In Progress</v>
      </c>
    </row>
    <row r="12" spans="1:38" ht="13" x14ac:dyDescent="0.25">
      <c r="A12" s="256"/>
      <c r="B12" s="63" t="s">
        <v>1868</v>
      </c>
      <c r="C12" s="53" t="s">
        <v>6215</v>
      </c>
      <c r="D12" s="57" t="s">
        <v>6375</v>
      </c>
      <c r="E12" s="7" t="s">
        <v>51</v>
      </c>
      <c r="F12" s="7" t="s">
        <v>44</v>
      </c>
      <c r="G12" s="7" t="s">
        <v>7527</v>
      </c>
      <c r="H12" s="7" t="s">
        <v>7527</v>
      </c>
      <c r="I12" s="7" t="s">
        <v>7386</v>
      </c>
      <c r="J12" s="7" t="s">
        <v>6529</v>
      </c>
      <c r="K12" s="7">
        <v>10052700221</v>
      </c>
      <c r="L12" s="7"/>
      <c r="M12" s="32">
        <v>46120</v>
      </c>
      <c r="N12" s="28" t="s">
        <v>11</v>
      </c>
      <c r="O12" s="28" t="s">
        <v>11</v>
      </c>
      <c r="P12" s="28" t="s">
        <v>11</v>
      </c>
      <c r="Q12" s="28" t="s">
        <v>11</v>
      </c>
      <c r="R12" s="28" t="s">
        <v>9</v>
      </c>
      <c r="S12" s="28" t="s">
        <v>9</v>
      </c>
      <c r="T12" s="28" t="s">
        <v>9</v>
      </c>
      <c r="U12" s="28" t="s">
        <v>9</v>
      </c>
      <c r="V12" s="28" t="s">
        <v>9</v>
      </c>
      <c r="W12" s="28" t="s">
        <v>9</v>
      </c>
      <c r="X12" s="28" t="s">
        <v>9</v>
      </c>
      <c r="Y12" s="28" t="s">
        <v>9</v>
      </c>
      <c r="Z12" s="28" t="s">
        <v>9</v>
      </c>
      <c r="AA12" s="28" t="s">
        <v>9</v>
      </c>
      <c r="AB12" s="28" t="s">
        <v>9</v>
      </c>
      <c r="AC12" s="28" t="s">
        <v>9</v>
      </c>
      <c r="AD12" s="24">
        <f t="shared" si="0"/>
        <v>11</v>
      </c>
      <c r="AE12" s="24">
        <f t="shared" si="1"/>
        <v>0</v>
      </c>
      <c r="AF12" s="24">
        <f t="shared" si="2"/>
        <v>4</v>
      </c>
      <c r="AG12" s="41" t="str" cm="1">
        <f t="array" ref="AG12">_xlfn.IFS(
$AD12=15,"Not Started",
$AF12&lt;15,"In Progress",
$AF12=15,"Completed",
SUM(AD12:AF12)&gt;15,"Error"
)</f>
        <v>In Progress</v>
      </c>
    </row>
    <row r="13" spans="1:38" ht="13" x14ac:dyDescent="0.25">
      <c r="A13" s="256"/>
      <c r="B13" s="64" t="s">
        <v>1869</v>
      </c>
      <c r="C13" s="53" t="s">
        <v>6216</v>
      </c>
      <c r="D13" s="57" t="s">
        <v>6376</v>
      </c>
      <c r="E13" s="7" t="s">
        <v>43</v>
      </c>
      <c r="F13" s="7" t="s">
        <v>48</v>
      </c>
      <c r="G13" s="7" t="s">
        <v>7527</v>
      </c>
      <c r="H13" s="7" t="s">
        <v>7527</v>
      </c>
      <c r="I13" s="7" t="s">
        <v>7387</v>
      </c>
      <c r="J13" s="7" t="s">
        <v>6530</v>
      </c>
      <c r="K13" s="7">
        <v>10102374424</v>
      </c>
      <c r="L13" s="7"/>
      <c r="M13" s="32">
        <v>46144</v>
      </c>
      <c r="N13" s="28" t="s">
        <v>11</v>
      </c>
      <c r="O13" s="28" t="s">
        <v>11</v>
      </c>
      <c r="P13" s="28" t="s">
        <v>11</v>
      </c>
      <c r="Q13" s="28" t="s">
        <v>11</v>
      </c>
      <c r="R13" s="28" t="s">
        <v>9</v>
      </c>
      <c r="S13" s="28" t="s">
        <v>9</v>
      </c>
      <c r="T13" s="28" t="s">
        <v>9</v>
      </c>
      <c r="U13" s="28" t="s">
        <v>9</v>
      </c>
      <c r="V13" s="28" t="s">
        <v>9</v>
      </c>
      <c r="W13" s="28" t="s">
        <v>9</v>
      </c>
      <c r="X13" s="28" t="s">
        <v>9</v>
      </c>
      <c r="Y13" s="28" t="s">
        <v>9</v>
      </c>
      <c r="Z13" s="28" t="s">
        <v>9</v>
      </c>
      <c r="AA13" s="28" t="s">
        <v>9</v>
      </c>
      <c r="AB13" s="28" t="s">
        <v>9</v>
      </c>
      <c r="AC13" s="28" t="s">
        <v>9</v>
      </c>
      <c r="AD13" s="24">
        <f t="shared" si="0"/>
        <v>11</v>
      </c>
      <c r="AE13" s="24">
        <f t="shared" si="1"/>
        <v>0</v>
      </c>
      <c r="AF13" s="24">
        <f t="shared" si="2"/>
        <v>4</v>
      </c>
      <c r="AG13" s="41" t="str" cm="1">
        <f t="array" ref="AG13">_xlfn.IFS(
$AD13=15,"Not Started",
$AF13&lt;15,"In Progress",
$AF13=15,"Completed",
SUM(AD13:AF13)&gt;15,"Error"
)</f>
        <v>In Progress</v>
      </c>
    </row>
    <row r="14" spans="1:38" ht="15.75" customHeight="1" x14ac:dyDescent="0.25">
      <c r="A14" s="256"/>
      <c r="B14" s="63" t="s">
        <v>1870</v>
      </c>
      <c r="C14" s="53" t="s">
        <v>6217</v>
      </c>
      <c r="D14" s="57" t="s">
        <v>6377</v>
      </c>
      <c r="E14" s="7" t="s">
        <v>43</v>
      </c>
      <c r="F14" s="7" t="s">
        <v>48</v>
      </c>
      <c r="G14" s="7" t="s">
        <v>7527</v>
      </c>
      <c r="H14" s="7" t="s">
        <v>7527</v>
      </c>
      <c r="I14" s="7" t="s">
        <v>7388</v>
      </c>
      <c r="J14" s="7" t="s">
        <v>6531</v>
      </c>
      <c r="K14" s="7">
        <v>10052868045</v>
      </c>
      <c r="L14" s="7"/>
      <c r="M14" s="32">
        <v>46147</v>
      </c>
      <c r="N14" s="28" t="s">
        <v>11</v>
      </c>
      <c r="O14" s="28" t="s">
        <v>11</v>
      </c>
      <c r="P14" s="28" t="s">
        <v>11</v>
      </c>
      <c r="Q14" s="28" t="s">
        <v>11</v>
      </c>
      <c r="R14" s="28" t="s">
        <v>9</v>
      </c>
      <c r="S14" s="28" t="s">
        <v>9</v>
      </c>
      <c r="T14" s="28" t="s">
        <v>9</v>
      </c>
      <c r="U14" s="28" t="s">
        <v>9</v>
      </c>
      <c r="V14" s="28" t="s">
        <v>9</v>
      </c>
      <c r="W14" s="28" t="s">
        <v>9</v>
      </c>
      <c r="X14" s="28" t="s">
        <v>9</v>
      </c>
      <c r="Y14" s="28" t="s">
        <v>9</v>
      </c>
      <c r="Z14" s="28" t="s">
        <v>9</v>
      </c>
      <c r="AA14" s="28" t="s">
        <v>9</v>
      </c>
      <c r="AB14" s="28" t="s">
        <v>9</v>
      </c>
      <c r="AC14" s="28" t="s">
        <v>9</v>
      </c>
      <c r="AD14" s="24">
        <f t="shared" si="0"/>
        <v>11</v>
      </c>
      <c r="AE14" s="24">
        <f t="shared" si="1"/>
        <v>0</v>
      </c>
      <c r="AF14" s="24">
        <f t="shared" si="2"/>
        <v>4</v>
      </c>
      <c r="AG14" s="41" t="str" cm="1">
        <f t="array" ref="AG14">_xlfn.IFS(
$AD14=15,"Not Started",
$AF14&lt;15,"In Progress",
$AF14=15,"Completed",
SUM(AD14:AF14)&gt;15,"Error"
)</f>
        <v>In Progress</v>
      </c>
    </row>
    <row r="15" spans="1:38" ht="15.75" customHeight="1" x14ac:dyDescent="0.25">
      <c r="A15" s="256"/>
      <c r="B15" s="64" t="s">
        <v>1871</v>
      </c>
      <c r="C15" s="53" t="s">
        <v>6218</v>
      </c>
      <c r="D15" s="57" t="s">
        <v>6378</v>
      </c>
      <c r="E15" s="7" t="s">
        <v>47</v>
      </c>
      <c r="F15" s="7" t="s">
        <v>44</v>
      </c>
      <c r="G15" s="7" t="s">
        <v>7527</v>
      </c>
      <c r="H15" s="7" t="s">
        <v>7527</v>
      </c>
      <c r="I15" s="7" t="s">
        <v>7389</v>
      </c>
      <c r="J15" s="7" t="s">
        <v>6532</v>
      </c>
      <c r="K15" s="7">
        <v>10091627598</v>
      </c>
      <c r="L15" s="7"/>
      <c r="M15" s="32">
        <v>46118</v>
      </c>
      <c r="N15" s="28" t="s">
        <v>11</v>
      </c>
      <c r="O15" s="28" t="s">
        <v>11</v>
      </c>
      <c r="P15" s="28" t="s">
        <v>11</v>
      </c>
      <c r="Q15" s="28" t="s">
        <v>11</v>
      </c>
      <c r="R15" s="28" t="s">
        <v>9</v>
      </c>
      <c r="S15" s="28" t="s">
        <v>9</v>
      </c>
      <c r="T15" s="28" t="s">
        <v>9</v>
      </c>
      <c r="U15" s="28" t="s">
        <v>9</v>
      </c>
      <c r="V15" s="28" t="s">
        <v>9</v>
      </c>
      <c r="W15" s="28" t="s">
        <v>9</v>
      </c>
      <c r="X15" s="28" t="s">
        <v>9</v>
      </c>
      <c r="Y15" s="28" t="s">
        <v>9</v>
      </c>
      <c r="Z15" s="28" t="s">
        <v>9</v>
      </c>
      <c r="AA15" s="28" t="s">
        <v>9</v>
      </c>
      <c r="AB15" s="28" t="s">
        <v>9</v>
      </c>
      <c r="AC15" s="28" t="s">
        <v>9</v>
      </c>
      <c r="AD15" s="24">
        <f t="shared" si="0"/>
        <v>11</v>
      </c>
      <c r="AE15" s="24">
        <f t="shared" si="1"/>
        <v>0</v>
      </c>
      <c r="AF15" s="24">
        <f t="shared" si="2"/>
        <v>4</v>
      </c>
      <c r="AG15" s="41" t="str" cm="1">
        <f t="array" ref="AG15">_xlfn.IFS(
$AD15=15,"Not Started",
$AF15&lt;15,"In Progress",
$AF15=15,"Completed",
SUM(AD15:AF15)&gt;15,"Error"
)</f>
        <v>In Progress</v>
      </c>
    </row>
    <row r="16" spans="1:38" ht="15.75" customHeight="1" x14ac:dyDescent="0.25">
      <c r="A16" s="256"/>
      <c r="B16" s="63" t="s">
        <v>1872</v>
      </c>
      <c r="C16" s="53" t="s">
        <v>6219</v>
      </c>
      <c r="D16" s="57" t="s">
        <v>6379</v>
      </c>
      <c r="E16" s="7" t="s">
        <v>43</v>
      </c>
      <c r="F16" s="7" t="s">
        <v>44</v>
      </c>
      <c r="G16" s="7" t="s">
        <v>7527</v>
      </c>
      <c r="H16" s="7" t="s">
        <v>7527</v>
      </c>
      <c r="I16" s="7" t="s">
        <v>7390</v>
      </c>
      <c r="J16" s="7" t="s">
        <v>6533</v>
      </c>
      <c r="K16" s="7">
        <v>10052700375</v>
      </c>
      <c r="L16" s="7"/>
      <c r="M16" s="32">
        <v>46120</v>
      </c>
      <c r="N16" s="28" t="s">
        <v>11</v>
      </c>
      <c r="O16" s="28" t="s">
        <v>11</v>
      </c>
      <c r="P16" s="28" t="s">
        <v>11</v>
      </c>
      <c r="Q16" s="28" t="s">
        <v>11</v>
      </c>
      <c r="R16" s="28" t="s">
        <v>9</v>
      </c>
      <c r="S16" s="28" t="s">
        <v>9</v>
      </c>
      <c r="T16" s="28" t="s">
        <v>9</v>
      </c>
      <c r="U16" s="28" t="s">
        <v>9</v>
      </c>
      <c r="V16" s="28" t="s">
        <v>9</v>
      </c>
      <c r="W16" s="28" t="s">
        <v>9</v>
      </c>
      <c r="X16" s="28" t="s">
        <v>9</v>
      </c>
      <c r="Y16" s="28" t="s">
        <v>9</v>
      </c>
      <c r="Z16" s="28" t="s">
        <v>9</v>
      </c>
      <c r="AA16" s="28" t="s">
        <v>9</v>
      </c>
      <c r="AB16" s="28" t="s">
        <v>9</v>
      </c>
      <c r="AC16" s="28" t="s">
        <v>9</v>
      </c>
      <c r="AD16" s="24">
        <f t="shared" si="0"/>
        <v>11</v>
      </c>
      <c r="AE16" s="24">
        <f t="shared" si="1"/>
        <v>0</v>
      </c>
      <c r="AF16" s="24">
        <f t="shared" si="2"/>
        <v>4</v>
      </c>
      <c r="AG16" s="41" t="str" cm="1">
        <f t="array" ref="AG16">_xlfn.IFS(
$AD16=15,"Not Started",
$AF16&lt;15,"In Progress",
$AF16=15,"Completed",
SUM(AD16:AF16)&gt;15,"Error"
)</f>
        <v>In Progress</v>
      </c>
    </row>
    <row r="17" spans="1:33" ht="15.75" customHeight="1" x14ac:dyDescent="0.25">
      <c r="A17" s="256"/>
      <c r="B17" s="64" t="s">
        <v>1873</v>
      </c>
      <c r="C17" s="53" t="s">
        <v>6220</v>
      </c>
      <c r="D17" s="57" t="s">
        <v>6380</v>
      </c>
      <c r="E17" s="7" t="s">
        <v>47</v>
      </c>
      <c r="F17" s="7" t="s">
        <v>44</v>
      </c>
      <c r="G17" s="7" t="s">
        <v>7527</v>
      </c>
      <c r="H17" s="7" t="s">
        <v>7527</v>
      </c>
      <c r="I17" s="7" t="s">
        <v>7391</v>
      </c>
      <c r="J17" s="7" t="s">
        <v>6534</v>
      </c>
      <c r="K17" s="7">
        <v>10106328303</v>
      </c>
      <c r="L17" s="7"/>
      <c r="M17" s="32"/>
      <c r="N17" s="28" t="s">
        <v>9</v>
      </c>
      <c r="O17" s="28" t="s">
        <v>9</v>
      </c>
      <c r="P17" s="28" t="s">
        <v>9</v>
      </c>
      <c r="Q17" s="28" t="s">
        <v>9</v>
      </c>
      <c r="R17" s="28" t="s">
        <v>9</v>
      </c>
      <c r="S17" s="28" t="s">
        <v>9</v>
      </c>
      <c r="T17" s="28" t="s">
        <v>9</v>
      </c>
      <c r="U17" s="28" t="s">
        <v>9</v>
      </c>
      <c r="V17" s="28" t="s">
        <v>9</v>
      </c>
      <c r="W17" s="28" t="s">
        <v>9</v>
      </c>
      <c r="X17" s="28" t="s">
        <v>9</v>
      </c>
      <c r="Y17" s="28" t="s">
        <v>9</v>
      </c>
      <c r="Z17" s="28" t="s">
        <v>9</v>
      </c>
      <c r="AA17" s="28" t="s">
        <v>9</v>
      </c>
      <c r="AB17" s="28" t="s">
        <v>9</v>
      </c>
      <c r="AC17" s="28" t="s">
        <v>9</v>
      </c>
      <c r="AD17" s="24">
        <f t="shared" si="0"/>
        <v>15</v>
      </c>
      <c r="AE17" s="24">
        <f t="shared" si="1"/>
        <v>0</v>
      </c>
      <c r="AF17" s="24">
        <f t="shared" si="2"/>
        <v>0</v>
      </c>
      <c r="AG17" s="41" t="str" cm="1">
        <f t="array" ref="AG17">_xlfn.IFS(
$AD17=15,"Not Started",
$AF17&lt;15,"In Progress",
$AF17=15,"Completed",
SUM(AD17:AF17)&gt;15,"Error"
)</f>
        <v>Not Started</v>
      </c>
    </row>
    <row r="18" spans="1:33" ht="15.75" customHeight="1" x14ac:dyDescent="0.25">
      <c r="A18" s="256"/>
      <c r="B18" s="63" t="s">
        <v>1874</v>
      </c>
      <c r="C18" s="53" t="s">
        <v>6221</v>
      </c>
      <c r="D18" s="57" t="s">
        <v>6381</v>
      </c>
      <c r="E18" s="7" t="s">
        <v>43</v>
      </c>
      <c r="F18" s="7" t="s">
        <v>44</v>
      </c>
      <c r="G18" s="7" t="s">
        <v>7527</v>
      </c>
      <c r="H18" s="7" t="s">
        <v>7527</v>
      </c>
      <c r="I18" s="7" t="s">
        <v>7392</v>
      </c>
      <c r="J18" s="7" t="s">
        <v>6535</v>
      </c>
      <c r="K18" s="7">
        <v>10052610401</v>
      </c>
      <c r="L18" s="7"/>
      <c r="M18" s="32"/>
      <c r="N18" s="28" t="s">
        <v>9</v>
      </c>
      <c r="O18" s="28" t="s">
        <v>9</v>
      </c>
      <c r="P18" s="28" t="s">
        <v>9</v>
      </c>
      <c r="Q18" s="28" t="s">
        <v>9</v>
      </c>
      <c r="R18" s="28" t="s">
        <v>9</v>
      </c>
      <c r="S18" s="28" t="s">
        <v>9</v>
      </c>
      <c r="T18" s="28" t="s">
        <v>9</v>
      </c>
      <c r="U18" s="28" t="s">
        <v>9</v>
      </c>
      <c r="V18" s="28" t="s">
        <v>9</v>
      </c>
      <c r="W18" s="28" t="s">
        <v>9</v>
      </c>
      <c r="X18" s="28" t="s">
        <v>9</v>
      </c>
      <c r="Y18" s="28" t="s">
        <v>9</v>
      </c>
      <c r="Z18" s="28" t="s">
        <v>9</v>
      </c>
      <c r="AA18" s="28" t="s">
        <v>9</v>
      </c>
      <c r="AB18" s="28" t="s">
        <v>9</v>
      </c>
      <c r="AC18" s="28" t="s">
        <v>9</v>
      </c>
      <c r="AD18" s="24">
        <f t="shared" si="0"/>
        <v>15</v>
      </c>
      <c r="AE18" s="24">
        <f t="shared" si="1"/>
        <v>0</v>
      </c>
      <c r="AF18" s="24">
        <f t="shared" si="2"/>
        <v>0</v>
      </c>
      <c r="AG18" s="41" t="str" cm="1">
        <f t="array" ref="AG18">_xlfn.IFS(
$AD18=15,"Not Started",
$AF18&lt;15,"In Progress",
$AF18=15,"Completed",
SUM(AD18:AF18)&gt;15,"Error"
)</f>
        <v>Not Started</v>
      </c>
    </row>
    <row r="19" spans="1:33" ht="15.75" customHeight="1" x14ac:dyDescent="0.25">
      <c r="A19" s="256"/>
      <c r="B19" s="64" t="s">
        <v>1875</v>
      </c>
      <c r="C19" s="53" t="s">
        <v>6222</v>
      </c>
      <c r="D19" s="57" t="s">
        <v>6382</v>
      </c>
      <c r="E19" s="7" t="s">
        <v>51</v>
      </c>
      <c r="F19" s="7" t="s">
        <v>44</v>
      </c>
      <c r="G19" s="7" t="s">
        <v>7527</v>
      </c>
      <c r="H19" s="7" t="s">
        <v>7527</v>
      </c>
      <c r="I19" s="7" t="s">
        <v>7393</v>
      </c>
      <c r="J19" s="7" t="s">
        <v>6536</v>
      </c>
      <c r="K19" s="7">
        <v>10052664134</v>
      </c>
      <c r="L19" s="7"/>
      <c r="M19" s="32">
        <v>46121</v>
      </c>
      <c r="N19" s="28" t="s">
        <v>11</v>
      </c>
      <c r="O19" s="28" t="s">
        <v>11</v>
      </c>
      <c r="P19" s="28" t="s">
        <v>11</v>
      </c>
      <c r="Q19" s="28" t="s">
        <v>11</v>
      </c>
      <c r="R19" s="28" t="s">
        <v>9</v>
      </c>
      <c r="S19" s="28" t="s">
        <v>9</v>
      </c>
      <c r="T19" s="28" t="s">
        <v>9</v>
      </c>
      <c r="U19" s="28" t="s">
        <v>9</v>
      </c>
      <c r="V19" s="28" t="s">
        <v>9</v>
      </c>
      <c r="W19" s="28" t="s">
        <v>9</v>
      </c>
      <c r="X19" s="28" t="s">
        <v>9</v>
      </c>
      <c r="Y19" s="28" t="s">
        <v>9</v>
      </c>
      <c r="Z19" s="28" t="s">
        <v>9</v>
      </c>
      <c r="AA19" s="28" t="s">
        <v>9</v>
      </c>
      <c r="AB19" s="28" t="s">
        <v>9</v>
      </c>
      <c r="AC19" s="28" t="s">
        <v>9</v>
      </c>
      <c r="AD19" s="24">
        <f t="shared" si="0"/>
        <v>11</v>
      </c>
      <c r="AE19" s="24">
        <f t="shared" si="1"/>
        <v>0</v>
      </c>
      <c r="AF19" s="24">
        <f t="shared" si="2"/>
        <v>4</v>
      </c>
      <c r="AG19" s="41" t="str" cm="1">
        <f t="array" ref="AG19">_xlfn.IFS(
$AD19=15,"Not Started",
$AF19&lt;15,"In Progress",
$AF19=15,"Completed",
SUM(AD19:AF19)&gt;15,"Error"
)</f>
        <v>In Progress</v>
      </c>
    </row>
    <row r="20" spans="1:33" ht="15.75" customHeight="1" x14ac:dyDescent="0.25">
      <c r="A20" s="256"/>
      <c r="B20" s="63" t="s">
        <v>1876</v>
      </c>
      <c r="C20" s="53" t="s">
        <v>6223</v>
      </c>
      <c r="D20" s="57" t="s">
        <v>6383</v>
      </c>
      <c r="E20" s="7" t="s">
        <v>43</v>
      </c>
      <c r="F20" s="7" t="s">
        <v>48</v>
      </c>
      <c r="G20" s="7" t="s">
        <v>7527</v>
      </c>
      <c r="H20" s="7" t="s">
        <v>7527</v>
      </c>
      <c r="I20" s="7" t="s">
        <v>7394</v>
      </c>
      <c r="J20" s="7" t="s">
        <v>6537</v>
      </c>
      <c r="K20" s="7">
        <v>10052715663</v>
      </c>
      <c r="L20" s="7"/>
      <c r="M20" s="32">
        <v>46148</v>
      </c>
      <c r="N20" s="28" t="s">
        <v>11</v>
      </c>
      <c r="O20" s="28" t="s">
        <v>11</v>
      </c>
      <c r="P20" s="28" t="s">
        <v>11</v>
      </c>
      <c r="Q20" s="28" t="s">
        <v>11</v>
      </c>
      <c r="R20" s="28" t="s">
        <v>9</v>
      </c>
      <c r="S20" s="28" t="s">
        <v>9</v>
      </c>
      <c r="T20" s="28" t="s">
        <v>9</v>
      </c>
      <c r="U20" s="28" t="s">
        <v>9</v>
      </c>
      <c r="V20" s="28" t="s">
        <v>9</v>
      </c>
      <c r="W20" s="28" t="s">
        <v>9</v>
      </c>
      <c r="X20" s="28" t="s">
        <v>9</v>
      </c>
      <c r="Y20" s="28" t="s">
        <v>9</v>
      </c>
      <c r="Z20" s="28" t="s">
        <v>9</v>
      </c>
      <c r="AA20" s="28" t="s">
        <v>9</v>
      </c>
      <c r="AB20" s="28" t="s">
        <v>9</v>
      </c>
      <c r="AC20" s="28" t="s">
        <v>9</v>
      </c>
      <c r="AD20" s="24">
        <f t="shared" si="0"/>
        <v>11</v>
      </c>
      <c r="AE20" s="24">
        <f t="shared" si="1"/>
        <v>0</v>
      </c>
      <c r="AF20" s="24">
        <f t="shared" si="2"/>
        <v>4</v>
      </c>
      <c r="AG20" s="41" t="str" cm="1">
        <f t="array" ref="AG20">_xlfn.IFS(
$AD20=15,"Not Started",
$AF20&lt;15,"In Progress",
$AF20=15,"Completed",
SUM(AD20:AF20)&gt;15,"Error"
)</f>
        <v>In Progress</v>
      </c>
    </row>
    <row r="21" spans="1:33" ht="13" x14ac:dyDescent="0.25">
      <c r="A21" s="256"/>
      <c r="B21" s="64" t="s">
        <v>1877</v>
      </c>
      <c r="C21" s="53" t="s">
        <v>6224</v>
      </c>
      <c r="D21" s="57" t="s">
        <v>6384</v>
      </c>
      <c r="E21" s="7" t="s">
        <v>43</v>
      </c>
      <c r="F21" s="7" t="s">
        <v>44</v>
      </c>
      <c r="G21" s="7" t="s">
        <v>7527</v>
      </c>
      <c r="H21" s="7" t="s">
        <v>7527</v>
      </c>
      <c r="I21" s="7" t="s">
        <v>7395</v>
      </c>
      <c r="J21" s="7" t="s">
        <v>6538</v>
      </c>
      <c r="K21" s="7">
        <v>10052834557</v>
      </c>
      <c r="L21" s="7"/>
      <c r="M21" s="32">
        <v>46148</v>
      </c>
      <c r="N21" s="28" t="s">
        <v>11</v>
      </c>
      <c r="O21" s="28" t="s">
        <v>11</v>
      </c>
      <c r="P21" s="28" t="s">
        <v>11</v>
      </c>
      <c r="Q21" s="28" t="s">
        <v>11</v>
      </c>
      <c r="R21" s="28" t="s">
        <v>9</v>
      </c>
      <c r="S21" s="28" t="s">
        <v>9</v>
      </c>
      <c r="T21" s="28" t="s">
        <v>9</v>
      </c>
      <c r="U21" s="28" t="s">
        <v>9</v>
      </c>
      <c r="V21" s="28" t="s">
        <v>9</v>
      </c>
      <c r="W21" s="28" t="s">
        <v>9</v>
      </c>
      <c r="X21" s="28" t="s">
        <v>9</v>
      </c>
      <c r="Y21" s="28" t="s">
        <v>9</v>
      </c>
      <c r="Z21" s="28" t="s">
        <v>9</v>
      </c>
      <c r="AA21" s="28" t="s">
        <v>9</v>
      </c>
      <c r="AB21" s="28" t="s">
        <v>9</v>
      </c>
      <c r="AC21" s="28" t="s">
        <v>9</v>
      </c>
      <c r="AD21" s="24">
        <f t="shared" si="0"/>
        <v>11</v>
      </c>
      <c r="AE21" s="24">
        <f t="shared" si="1"/>
        <v>0</v>
      </c>
      <c r="AF21" s="24">
        <f t="shared" si="2"/>
        <v>4</v>
      </c>
      <c r="AG21" s="41" t="str" cm="1">
        <f t="array" ref="AG21">_xlfn.IFS(
$AD21=15,"Not Started",
$AF21&lt;15,"In Progress",
$AF21=15,"Completed",
SUM(AD21:AF21)&gt;15,"Error"
)</f>
        <v>In Progress</v>
      </c>
    </row>
    <row r="22" spans="1:33" ht="13" x14ac:dyDescent="0.25">
      <c r="A22" s="256"/>
      <c r="B22" s="63" t="s">
        <v>1878</v>
      </c>
      <c r="C22" s="53" t="s">
        <v>6225</v>
      </c>
      <c r="D22" s="57" t="s">
        <v>6385</v>
      </c>
      <c r="E22" s="7" t="s">
        <v>43</v>
      </c>
      <c r="F22" s="7" t="s">
        <v>44</v>
      </c>
      <c r="G22" s="7" t="s">
        <v>7527</v>
      </c>
      <c r="H22" s="7" t="s">
        <v>7527</v>
      </c>
      <c r="I22" s="7" t="s">
        <v>7396</v>
      </c>
      <c r="J22" s="7" t="s">
        <v>6539</v>
      </c>
      <c r="K22" s="7">
        <v>10053029718</v>
      </c>
      <c r="L22" s="7"/>
      <c r="M22" s="32">
        <v>46149</v>
      </c>
      <c r="N22" s="28" t="s">
        <v>11</v>
      </c>
      <c r="O22" s="28" t="s">
        <v>11</v>
      </c>
      <c r="P22" s="28" t="s">
        <v>11</v>
      </c>
      <c r="Q22" s="28" t="s">
        <v>11</v>
      </c>
      <c r="R22" s="28" t="s">
        <v>9</v>
      </c>
      <c r="S22" s="28" t="s">
        <v>9</v>
      </c>
      <c r="T22" s="28" t="s">
        <v>9</v>
      </c>
      <c r="U22" s="28" t="s">
        <v>9</v>
      </c>
      <c r="V22" s="28" t="s">
        <v>9</v>
      </c>
      <c r="W22" s="28" t="s">
        <v>9</v>
      </c>
      <c r="X22" s="28" t="s">
        <v>9</v>
      </c>
      <c r="Y22" s="28" t="s">
        <v>9</v>
      </c>
      <c r="Z22" s="28" t="s">
        <v>9</v>
      </c>
      <c r="AA22" s="28" t="s">
        <v>9</v>
      </c>
      <c r="AB22" s="28" t="s">
        <v>9</v>
      </c>
      <c r="AC22" s="28" t="s">
        <v>9</v>
      </c>
      <c r="AD22" s="24">
        <f t="shared" si="0"/>
        <v>11</v>
      </c>
      <c r="AE22" s="24">
        <f t="shared" si="1"/>
        <v>0</v>
      </c>
      <c r="AF22" s="24">
        <f t="shared" si="2"/>
        <v>4</v>
      </c>
      <c r="AG22" s="41" t="str" cm="1">
        <f t="array" ref="AG22">_xlfn.IFS(
$AD22=15,"Not Started",
$AF22&lt;15,"In Progress",
$AF22=15,"Completed",
SUM(AD22:AF22)&gt;15,"Error"
)</f>
        <v>In Progress</v>
      </c>
    </row>
    <row r="23" spans="1:33" ht="13" x14ac:dyDescent="0.25">
      <c r="A23" s="256"/>
      <c r="B23" s="64" t="s">
        <v>1879</v>
      </c>
      <c r="C23" s="53" t="s">
        <v>6226</v>
      </c>
      <c r="D23" s="57" t="s">
        <v>6386</v>
      </c>
      <c r="E23" s="7" t="s">
        <v>43</v>
      </c>
      <c r="F23" s="7" t="s">
        <v>44</v>
      </c>
      <c r="G23" s="7" t="s">
        <v>7527</v>
      </c>
      <c r="H23" s="7" t="s">
        <v>7527</v>
      </c>
      <c r="I23" s="7" t="s">
        <v>7397</v>
      </c>
      <c r="J23" s="7" t="s">
        <v>6540</v>
      </c>
      <c r="K23" s="7">
        <v>10052569691</v>
      </c>
      <c r="L23" s="7"/>
      <c r="M23" s="32">
        <v>46149</v>
      </c>
      <c r="N23" s="28" t="s">
        <v>11</v>
      </c>
      <c r="O23" s="28" t="s">
        <v>11</v>
      </c>
      <c r="P23" s="28" t="s">
        <v>11</v>
      </c>
      <c r="Q23" s="28" t="s">
        <v>11</v>
      </c>
      <c r="R23" s="28" t="s">
        <v>9</v>
      </c>
      <c r="S23" s="28" t="s">
        <v>9</v>
      </c>
      <c r="T23" s="28" t="s">
        <v>9</v>
      </c>
      <c r="U23" s="28" t="s">
        <v>9</v>
      </c>
      <c r="V23" s="28" t="s">
        <v>9</v>
      </c>
      <c r="W23" s="28" t="s">
        <v>9</v>
      </c>
      <c r="X23" s="28" t="s">
        <v>9</v>
      </c>
      <c r="Y23" s="28" t="s">
        <v>9</v>
      </c>
      <c r="Z23" s="28" t="s">
        <v>9</v>
      </c>
      <c r="AA23" s="28" t="s">
        <v>9</v>
      </c>
      <c r="AB23" s="28" t="s">
        <v>9</v>
      </c>
      <c r="AC23" s="28" t="s">
        <v>9</v>
      </c>
      <c r="AD23" s="24">
        <f t="shared" si="0"/>
        <v>11</v>
      </c>
      <c r="AE23" s="24">
        <f t="shared" si="1"/>
        <v>0</v>
      </c>
      <c r="AF23" s="24">
        <f t="shared" si="2"/>
        <v>4</v>
      </c>
      <c r="AG23" s="41" t="str" cm="1">
        <f t="array" ref="AG23">_xlfn.IFS(
$AD23=15,"Not Started",
$AF23&lt;15,"In Progress",
$AF23=15,"Completed",
SUM(AD23:AF23)&gt;15,"Error"
)</f>
        <v>In Progress</v>
      </c>
    </row>
    <row r="24" spans="1:33" ht="13" x14ac:dyDescent="0.25">
      <c r="A24" s="256"/>
      <c r="B24" s="63" t="s">
        <v>1880</v>
      </c>
      <c r="C24" s="53" t="s">
        <v>6227</v>
      </c>
      <c r="D24" s="57" t="s">
        <v>6387</v>
      </c>
      <c r="E24" s="7" t="s">
        <v>9672</v>
      </c>
      <c r="F24" s="7" t="s">
        <v>48</v>
      </c>
      <c r="G24" s="7" t="s">
        <v>7527</v>
      </c>
      <c r="H24" s="7" t="s">
        <v>7527</v>
      </c>
      <c r="I24" s="7" t="s">
        <v>7398</v>
      </c>
      <c r="J24" s="7" t="s">
        <v>6541</v>
      </c>
      <c r="K24" s="7">
        <v>10052909166</v>
      </c>
      <c r="L24" s="7"/>
      <c r="M24" s="32">
        <v>46121</v>
      </c>
      <c r="N24" s="28" t="s">
        <v>11</v>
      </c>
      <c r="O24" s="28" t="s">
        <v>11</v>
      </c>
      <c r="P24" s="28" t="s">
        <v>11</v>
      </c>
      <c r="Q24" s="28" t="s">
        <v>11</v>
      </c>
      <c r="R24" s="28" t="s">
        <v>9</v>
      </c>
      <c r="S24" s="28" t="s">
        <v>9</v>
      </c>
      <c r="T24" s="28" t="s">
        <v>9</v>
      </c>
      <c r="U24" s="28" t="s">
        <v>9</v>
      </c>
      <c r="V24" s="28" t="s">
        <v>9</v>
      </c>
      <c r="W24" s="28" t="s">
        <v>9</v>
      </c>
      <c r="X24" s="28" t="s">
        <v>9</v>
      </c>
      <c r="Y24" s="28" t="s">
        <v>9</v>
      </c>
      <c r="Z24" s="28" t="s">
        <v>9</v>
      </c>
      <c r="AA24" s="28" t="s">
        <v>9</v>
      </c>
      <c r="AB24" s="28" t="s">
        <v>9</v>
      </c>
      <c r="AC24" s="28" t="s">
        <v>9</v>
      </c>
      <c r="AD24" s="24">
        <f t="shared" si="0"/>
        <v>11</v>
      </c>
      <c r="AE24" s="24">
        <f t="shared" si="1"/>
        <v>0</v>
      </c>
      <c r="AF24" s="24">
        <f t="shared" si="2"/>
        <v>4</v>
      </c>
      <c r="AG24" s="41" t="str" cm="1">
        <f t="array" ref="AG24">_xlfn.IFS(
$AD24=15,"Not Started",
$AF24&lt;15,"In Progress",
$AF24=15,"Completed",
SUM(AD24:AF24)&gt;15,"Error"
)</f>
        <v>In Progress</v>
      </c>
    </row>
    <row r="25" spans="1:33" ht="13" x14ac:dyDescent="0.25">
      <c r="A25" s="256"/>
      <c r="B25" s="64" t="s">
        <v>1881</v>
      </c>
      <c r="C25" s="53" t="s">
        <v>6228</v>
      </c>
      <c r="D25" s="57" t="s">
        <v>6388</v>
      </c>
      <c r="E25" s="7" t="s">
        <v>9671</v>
      </c>
      <c r="F25" s="7" t="s">
        <v>48</v>
      </c>
      <c r="G25" s="7" t="s">
        <v>7527</v>
      </c>
      <c r="H25" s="7" t="s">
        <v>7527</v>
      </c>
      <c r="I25" s="7" t="s">
        <v>7399</v>
      </c>
      <c r="J25" s="7" t="s">
        <v>6542</v>
      </c>
      <c r="K25" s="7">
        <v>10052624587</v>
      </c>
      <c r="L25" s="7"/>
      <c r="M25" s="32">
        <v>46123</v>
      </c>
      <c r="N25" s="28" t="s">
        <v>11</v>
      </c>
      <c r="O25" s="28" t="s">
        <v>11</v>
      </c>
      <c r="P25" s="28" t="s">
        <v>11</v>
      </c>
      <c r="Q25" s="28" t="s">
        <v>11</v>
      </c>
      <c r="R25" s="28" t="s">
        <v>9</v>
      </c>
      <c r="S25" s="28" t="s">
        <v>9</v>
      </c>
      <c r="T25" s="28" t="s">
        <v>9</v>
      </c>
      <c r="U25" s="28" t="s">
        <v>9</v>
      </c>
      <c r="V25" s="28" t="s">
        <v>9</v>
      </c>
      <c r="W25" s="28" t="s">
        <v>9</v>
      </c>
      <c r="X25" s="28" t="s">
        <v>9</v>
      </c>
      <c r="Y25" s="28" t="s">
        <v>9</v>
      </c>
      <c r="Z25" s="28" t="s">
        <v>9</v>
      </c>
      <c r="AA25" s="28" t="s">
        <v>9</v>
      </c>
      <c r="AB25" s="28" t="s">
        <v>9</v>
      </c>
      <c r="AC25" s="28" t="s">
        <v>9</v>
      </c>
      <c r="AD25" s="24">
        <f t="shared" si="0"/>
        <v>11</v>
      </c>
      <c r="AE25" s="24">
        <f t="shared" si="1"/>
        <v>0</v>
      </c>
      <c r="AF25" s="24">
        <f t="shared" si="2"/>
        <v>4</v>
      </c>
      <c r="AG25" s="41" t="str" cm="1">
        <f t="array" ref="AG25">_xlfn.IFS(
$AD25=15,"Not Started",
$AF25&lt;15,"In Progress",
$AF25=15,"Completed",
SUM(AD25:AF25)&gt;15,"Error"
)</f>
        <v>In Progress</v>
      </c>
    </row>
    <row r="26" spans="1:33" ht="13" x14ac:dyDescent="0.25">
      <c r="A26" s="256"/>
      <c r="B26" s="63" t="s">
        <v>1882</v>
      </c>
      <c r="C26" s="53" t="s">
        <v>6229</v>
      </c>
      <c r="D26" s="57" t="s">
        <v>6389</v>
      </c>
      <c r="E26" s="7" t="s">
        <v>51</v>
      </c>
      <c r="F26" s="7" t="s">
        <v>44</v>
      </c>
      <c r="G26" s="7" t="s">
        <v>7527</v>
      </c>
      <c r="H26" s="7" t="s">
        <v>7527</v>
      </c>
      <c r="I26" s="7" t="s">
        <v>7400</v>
      </c>
      <c r="J26" s="7" t="s">
        <v>6543</v>
      </c>
      <c r="K26" s="7">
        <v>10053068691</v>
      </c>
      <c r="L26" s="7"/>
      <c r="M26" s="32">
        <v>46123</v>
      </c>
      <c r="N26" s="28" t="s">
        <v>11</v>
      </c>
      <c r="O26" s="28" t="s">
        <v>11</v>
      </c>
      <c r="P26" s="28" t="s">
        <v>11</v>
      </c>
      <c r="Q26" s="28" t="s">
        <v>11</v>
      </c>
      <c r="R26" s="28" t="s">
        <v>9</v>
      </c>
      <c r="S26" s="28" t="s">
        <v>9</v>
      </c>
      <c r="T26" s="28" t="s">
        <v>9</v>
      </c>
      <c r="U26" s="28" t="s">
        <v>9</v>
      </c>
      <c r="V26" s="28" t="s">
        <v>9</v>
      </c>
      <c r="W26" s="28" t="s">
        <v>9</v>
      </c>
      <c r="X26" s="28" t="s">
        <v>9</v>
      </c>
      <c r="Y26" s="28" t="s">
        <v>9</v>
      </c>
      <c r="Z26" s="28" t="s">
        <v>9</v>
      </c>
      <c r="AA26" s="28" t="s">
        <v>9</v>
      </c>
      <c r="AB26" s="28" t="s">
        <v>9</v>
      </c>
      <c r="AC26" s="28" t="s">
        <v>9</v>
      </c>
      <c r="AD26" s="24">
        <f t="shared" si="0"/>
        <v>11</v>
      </c>
      <c r="AE26" s="24">
        <f t="shared" si="1"/>
        <v>0</v>
      </c>
      <c r="AF26" s="24">
        <f t="shared" si="2"/>
        <v>4</v>
      </c>
      <c r="AG26" s="41" t="str" cm="1">
        <f t="array" ref="AG26">_xlfn.IFS(
$AD26=15,"Not Started",
$AF26&lt;15,"In Progress",
$AF26=15,"Completed",
SUM(AD26:AF26)&gt;15,"Error"
)</f>
        <v>In Progress</v>
      </c>
    </row>
    <row r="27" spans="1:33" ht="13" x14ac:dyDescent="0.25">
      <c r="A27" s="256"/>
      <c r="B27" s="64" t="s">
        <v>1883</v>
      </c>
      <c r="C27" s="53" t="s">
        <v>6230</v>
      </c>
      <c r="D27" s="57" t="s">
        <v>6390</v>
      </c>
      <c r="E27" s="7" t="s">
        <v>47</v>
      </c>
      <c r="F27" s="7" t="s">
        <v>44</v>
      </c>
      <c r="G27" s="7" t="s">
        <v>7527</v>
      </c>
      <c r="H27" s="7" t="s">
        <v>7527</v>
      </c>
      <c r="I27" s="7" t="s">
        <v>7401</v>
      </c>
      <c r="J27" s="7" t="s">
        <v>6544</v>
      </c>
      <c r="K27" s="7">
        <v>10052971931</v>
      </c>
      <c r="L27" s="7"/>
      <c r="M27" s="32">
        <v>46124</v>
      </c>
      <c r="N27" s="28" t="s">
        <v>11</v>
      </c>
      <c r="O27" s="28" t="s">
        <v>11</v>
      </c>
      <c r="P27" s="28" t="s">
        <v>11</v>
      </c>
      <c r="Q27" s="28" t="s">
        <v>11</v>
      </c>
      <c r="R27" s="28" t="s">
        <v>9</v>
      </c>
      <c r="S27" s="28" t="s">
        <v>9</v>
      </c>
      <c r="T27" s="28" t="s">
        <v>9</v>
      </c>
      <c r="U27" s="28" t="s">
        <v>9</v>
      </c>
      <c r="V27" s="28" t="s">
        <v>9</v>
      </c>
      <c r="W27" s="28" t="s">
        <v>9</v>
      </c>
      <c r="X27" s="28" t="s">
        <v>9</v>
      </c>
      <c r="Y27" s="28" t="s">
        <v>9</v>
      </c>
      <c r="Z27" s="28" t="s">
        <v>9</v>
      </c>
      <c r="AA27" s="28" t="s">
        <v>9</v>
      </c>
      <c r="AB27" s="28" t="s">
        <v>9</v>
      </c>
      <c r="AC27" s="28" t="s">
        <v>9</v>
      </c>
      <c r="AD27" s="24">
        <f t="shared" si="0"/>
        <v>11</v>
      </c>
      <c r="AE27" s="24">
        <f t="shared" si="1"/>
        <v>0</v>
      </c>
      <c r="AF27" s="24">
        <f t="shared" si="2"/>
        <v>4</v>
      </c>
      <c r="AG27" s="41" t="str" cm="1">
        <f t="array" ref="AG27">_xlfn.IFS(
$AD27=15,"Not Started",
$AF27&lt;15,"In Progress",
$AF27=15,"Completed",
SUM(AD27:AF27)&gt;15,"Error"
)</f>
        <v>In Progress</v>
      </c>
    </row>
    <row r="28" spans="1:33" ht="13" x14ac:dyDescent="0.25">
      <c r="A28" s="256"/>
      <c r="B28" s="63" t="s">
        <v>1884</v>
      </c>
      <c r="C28" s="53" t="s">
        <v>6231</v>
      </c>
      <c r="D28" s="57" t="s">
        <v>6391</v>
      </c>
      <c r="E28" s="7" t="s">
        <v>47</v>
      </c>
      <c r="F28" s="7" t="s">
        <v>48</v>
      </c>
      <c r="G28" s="7" t="s">
        <v>7527</v>
      </c>
      <c r="H28" s="7" t="s">
        <v>7527</v>
      </c>
      <c r="I28" s="7" t="s">
        <v>7402</v>
      </c>
      <c r="J28" s="7" t="s">
        <v>6545</v>
      </c>
      <c r="K28" s="7">
        <v>10052798281</v>
      </c>
      <c r="L28" s="7"/>
      <c r="M28" s="32">
        <v>46151</v>
      </c>
      <c r="N28" s="28" t="s">
        <v>11</v>
      </c>
      <c r="O28" s="28" t="s">
        <v>11</v>
      </c>
      <c r="P28" s="28" t="s">
        <v>11</v>
      </c>
      <c r="Q28" s="28" t="s">
        <v>11</v>
      </c>
      <c r="R28" s="28" t="s">
        <v>9</v>
      </c>
      <c r="S28" s="28" t="s">
        <v>9</v>
      </c>
      <c r="T28" s="28" t="s">
        <v>9</v>
      </c>
      <c r="U28" s="28" t="s">
        <v>9</v>
      </c>
      <c r="V28" s="28" t="s">
        <v>9</v>
      </c>
      <c r="W28" s="28" t="s">
        <v>9</v>
      </c>
      <c r="X28" s="28" t="s">
        <v>9</v>
      </c>
      <c r="Y28" s="28" t="s">
        <v>9</v>
      </c>
      <c r="Z28" s="28" t="s">
        <v>9</v>
      </c>
      <c r="AA28" s="28" t="s">
        <v>9</v>
      </c>
      <c r="AB28" s="28" t="s">
        <v>9</v>
      </c>
      <c r="AC28" s="28" t="s">
        <v>9</v>
      </c>
      <c r="AD28" s="24">
        <f t="shared" si="0"/>
        <v>11</v>
      </c>
      <c r="AE28" s="24">
        <f t="shared" si="1"/>
        <v>0</v>
      </c>
      <c r="AF28" s="24">
        <f t="shared" si="2"/>
        <v>4</v>
      </c>
      <c r="AG28" s="41" t="str" cm="1">
        <f t="array" ref="AG28">_xlfn.IFS(
$AD28=15,"Not Started",
$AF28&lt;15,"In Progress",
$AF28=15,"Completed",
SUM(AD28:AF28)&gt;15,"Error"
)</f>
        <v>In Progress</v>
      </c>
    </row>
    <row r="29" spans="1:33" ht="13" x14ac:dyDescent="0.25">
      <c r="A29" s="256"/>
      <c r="B29" s="64" t="s">
        <v>1885</v>
      </c>
      <c r="C29" s="53" t="s">
        <v>6232</v>
      </c>
      <c r="D29" s="57" t="s">
        <v>6392</v>
      </c>
      <c r="E29" s="7" t="s">
        <v>51</v>
      </c>
      <c r="F29" s="7" t="s">
        <v>48</v>
      </c>
      <c r="G29" s="7" t="s">
        <v>7527</v>
      </c>
      <c r="H29" s="7" t="s">
        <v>7527</v>
      </c>
      <c r="I29" s="7" t="s">
        <v>7403</v>
      </c>
      <c r="J29" s="7" t="s">
        <v>6546</v>
      </c>
      <c r="K29" s="7">
        <v>10052461187</v>
      </c>
      <c r="L29" s="7"/>
      <c r="M29" s="32">
        <v>46128</v>
      </c>
      <c r="N29" s="28" t="s">
        <v>11</v>
      </c>
      <c r="O29" s="28" t="s">
        <v>11</v>
      </c>
      <c r="P29" s="28" t="s">
        <v>11</v>
      </c>
      <c r="Q29" s="28" t="s">
        <v>11</v>
      </c>
      <c r="R29" s="28" t="s">
        <v>9</v>
      </c>
      <c r="S29" s="28" t="s">
        <v>9</v>
      </c>
      <c r="T29" s="28" t="s">
        <v>9</v>
      </c>
      <c r="U29" s="28" t="s">
        <v>9</v>
      </c>
      <c r="V29" s="28" t="s">
        <v>9</v>
      </c>
      <c r="W29" s="28" t="s">
        <v>9</v>
      </c>
      <c r="X29" s="28" t="s">
        <v>9</v>
      </c>
      <c r="Y29" s="28" t="s">
        <v>9</v>
      </c>
      <c r="Z29" s="28" t="s">
        <v>9</v>
      </c>
      <c r="AA29" s="28" t="s">
        <v>9</v>
      </c>
      <c r="AB29" s="28" t="s">
        <v>9</v>
      </c>
      <c r="AC29" s="28" t="s">
        <v>9</v>
      </c>
      <c r="AD29" s="24">
        <f t="shared" si="0"/>
        <v>11</v>
      </c>
      <c r="AE29" s="24">
        <f t="shared" si="1"/>
        <v>0</v>
      </c>
      <c r="AF29" s="24">
        <f t="shared" si="2"/>
        <v>4</v>
      </c>
      <c r="AG29" s="41" t="str" cm="1">
        <f t="array" ref="AG29">_xlfn.IFS(
$AD29=15,"Not Started",
$AF29&lt;15,"In Progress",
$AF29=15,"Completed",
SUM(AD29:AF29)&gt;15,"Error"
)</f>
        <v>In Progress</v>
      </c>
    </row>
    <row r="30" spans="1:33" ht="13" x14ac:dyDescent="0.25">
      <c r="A30" s="256"/>
      <c r="B30" s="63" t="s">
        <v>1886</v>
      </c>
      <c r="C30" s="53" t="s">
        <v>6233</v>
      </c>
      <c r="D30" s="57" t="s">
        <v>6393</v>
      </c>
      <c r="E30" s="7" t="s">
        <v>43</v>
      </c>
      <c r="F30" s="7" t="s">
        <v>48</v>
      </c>
      <c r="G30" s="7" t="s">
        <v>7527</v>
      </c>
      <c r="H30" s="7" t="s">
        <v>7527</v>
      </c>
      <c r="I30" s="7" t="s">
        <v>7404</v>
      </c>
      <c r="J30" s="7" t="s">
        <v>6547</v>
      </c>
      <c r="K30" s="7">
        <v>10103198653</v>
      </c>
      <c r="L30" s="7"/>
      <c r="M30" s="32">
        <v>46149</v>
      </c>
      <c r="N30" s="28" t="s">
        <v>11</v>
      </c>
      <c r="O30" s="28" t="s">
        <v>11</v>
      </c>
      <c r="P30" s="28" t="s">
        <v>11</v>
      </c>
      <c r="Q30" s="28" t="s">
        <v>11</v>
      </c>
      <c r="R30" s="28" t="s">
        <v>9</v>
      </c>
      <c r="S30" s="28" t="s">
        <v>9</v>
      </c>
      <c r="T30" s="28" t="s">
        <v>9</v>
      </c>
      <c r="U30" s="28" t="s">
        <v>9</v>
      </c>
      <c r="V30" s="28" t="s">
        <v>9</v>
      </c>
      <c r="W30" s="28" t="s">
        <v>9</v>
      </c>
      <c r="X30" s="28" t="s">
        <v>9</v>
      </c>
      <c r="Y30" s="28" t="s">
        <v>9</v>
      </c>
      <c r="Z30" s="28" t="s">
        <v>9</v>
      </c>
      <c r="AA30" s="28" t="s">
        <v>9</v>
      </c>
      <c r="AB30" s="28" t="s">
        <v>9</v>
      </c>
      <c r="AC30" s="28" t="s">
        <v>9</v>
      </c>
      <c r="AD30" s="24">
        <f t="shared" si="0"/>
        <v>11</v>
      </c>
      <c r="AE30" s="24">
        <f t="shared" si="1"/>
        <v>0</v>
      </c>
      <c r="AF30" s="24">
        <f t="shared" si="2"/>
        <v>4</v>
      </c>
      <c r="AG30" s="41" t="str" cm="1">
        <f t="array" ref="AG30">_xlfn.IFS(
$AD30=15,"Not Started",
$AF30&lt;15,"In Progress",
$AF30=15,"Completed",
SUM(AD30:AF30)&gt;15,"Error"
)</f>
        <v>In Progress</v>
      </c>
    </row>
    <row r="31" spans="1:33" ht="13" x14ac:dyDescent="0.25">
      <c r="A31" s="256"/>
      <c r="B31" s="64" t="s">
        <v>1887</v>
      </c>
      <c r="C31" s="53" t="s">
        <v>6234</v>
      </c>
      <c r="D31" s="57" t="s">
        <v>6394</v>
      </c>
      <c r="E31" s="7" t="s">
        <v>51</v>
      </c>
      <c r="F31" s="7" t="s">
        <v>48</v>
      </c>
      <c r="G31" s="7" t="s">
        <v>7527</v>
      </c>
      <c r="H31" s="7" t="s">
        <v>7527</v>
      </c>
      <c r="I31" s="7" t="s">
        <v>7405</v>
      </c>
      <c r="J31" s="7" t="s">
        <v>6548</v>
      </c>
      <c r="K31" s="7">
        <v>10091847706</v>
      </c>
      <c r="L31" s="7"/>
      <c r="M31" s="32">
        <v>46128</v>
      </c>
      <c r="N31" s="28" t="s">
        <v>11</v>
      </c>
      <c r="O31" s="28" t="s">
        <v>11</v>
      </c>
      <c r="P31" s="28" t="s">
        <v>11</v>
      </c>
      <c r="Q31" s="28" t="s">
        <v>11</v>
      </c>
      <c r="R31" s="28" t="s">
        <v>9</v>
      </c>
      <c r="S31" s="28" t="s">
        <v>9</v>
      </c>
      <c r="T31" s="28" t="s">
        <v>9</v>
      </c>
      <c r="U31" s="28" t="s">
        <v>9</v>
      </c>
      <c r="V31" s="28" t="s">
        <v>9</v>
      </c>
      <c r="W31" s="28" t="s">
        <v>9</v>
      </c>
      <c r="X31" s="28" t="s">
        <v>9</v>
      </c>
      <c r="Y31" s="28" t="s">
        <v>9</v>
      </c>
      <c r="Z31" s="28" t="s">
        <v>9</v>
      </c>
      <c r="AA31" s="28" t="s">
        <v>9</v>
      </c>
      <c r="AB31" s="28" t="s">
        <v>9</v>
      </c>
      <c r="AC31" s="28" t="s">
        <v>9</v>
      </c>
      <c r="AD31" s="24">
        <f t="shared" si="0"/>
        <v>11</v>
      </c>
      <c r="AE31" s="24">
        <f t="shared" si="1"/>
        <v>0</v>
      </c>
      <c r="AF31" s="24">
        <f t="shared" si="2"/>
        <v>4</v>
      </c>
      <c r="AG31" s="41" t="str" cm="1">
        <f t="array" ref="AG31">_xlfn.IFS(
$AD31=15,"Not Started",
$AF31&lt;15,"In Progress",
$AF31=15,"Completed",
SUM(AD31:AF31)&gt;15,"Error"
)</f>
        <v>In Progress</v>
      </c>
    </row>
    <row r="32" spans="1:33" ht="13" x14ac:dyDescent="0.25">
      <c r="A32" s="256"/>
      <c r="B32" s="63" t="s">
        <v>1888</v>
      </c>
      <c r="C32" s="53" t="s">
        <v>6235</v>
      </c>
      <c r="D32" s="57" t="s">
        <v>6395</v>
      </c>
      <c r="E32" s="7" t="s">
        <v>47</v>
      </c>
      <c r="F32" s="7" t="s">
        <v>48</v>
      </c>
      <c r="G32" s="7" t="s">
        <v>7527</v>
      </c>
      <c r="H32" s="7" t="s">
        <v>7527</v>
      </c>
      <c r="I32" s="7" t="s">
        <v>7406</v>
      </c>
      <c r="J32" s="7" t="s">
        <v>6549</v>
      </c>
      <c r="K32" s="7">
        <v>10052694410</v>
      </c>
      <c r="L32" s="7"/>
      <c r="M32" s="32">
        <v>46125</v>
      </c>
      <c r="N32" s="28" t="s">
        <v>11</v>
      </c>
      <c r="O32" s="28" t="s">
        <v>11</v>
      </c>
      <c r="P32" s="28" t="s">
        <v>11</v>
      </c>
      <c r="Q32" s="28" t="s">
        <v>11</v>
      </c>
      <c r="R32" s="28" t="s">
        <v>9</v>
      </c>
      <c r="S32" s="28" t="s">
        <v>9</v>
      </c>
      <c r="T32" s="28" t="s">
        <v>9</v>
      </c>
      <c r="U32" s="28" t="s">
        <v>9</v>
      </c>
      <c r="V32" s="28" t="s">
        <v>9</v>
      </c>
      <c r="W32" s="28" t="s">
        <v>9</v>
      </c>
      <c r="X32" s="28" t="s">
        <v>9</v>
      </c>
      <c r="Y32" s="28" t="s">
        <v>9</v>
      </c>
      <c r="Z32" s="28" t="s">
        <v>9</v>
      </c>
      <c r="AA32" s="28" t="s">
        <v>9</v>
      </c>
      <c r="AB32" s="28" t="s">
        <v>9</v>
      </c>
      <c r="AC32" s="28" t="s">
        <v>9</v>
      </c>
      <c r="AD32" s="24">
        <f t="shared" si="0"/>
        <v>11</v>
      </c>
      <c r="AE32" s="24">
        <f t="shared" si="1"/>
        <v>0</v>
      </c>
      <c r="AF32" s="24">
        <f t="shared" si="2"/>
        <v>4</v>
      </c>
      <c r="AG32" s="41" t="str" cm="1">
        <f t="array" ref="AG32">_xlfn.IFS(
$AD32=15,"Not Started",
$AF32&lt;15,"In Progress",
$AF32=15,"Completed",
SUM(AD32:AF32)&gt;15,"Error"
)</f>
        <v>In Progress</v>
      </c>
    </row>
    <row r="33" spans="1:33" ht="13" x14ac:dyDescent="0.25">
      <c r="A33" s="256"/>
      <c r="B33" s="64" t="s">
        <v>1889</v>
      </c>
      <c r="C33" s="53" t="s">
        <v>6236</v>
      </c>
      <c r="D33" s="57" t="s">
        <v>6396</v>
      </c>
      <c r="E33" s="7" t="s">
        <v>43</v>
      </c>
      <c r="F33" s="7" t="s">
        <v>48</v>
      </c>
      <c r="G33" s="7" t="s">
        <v>7527</v>
      </c>
      <c r="H33" s="7" t="s">
        <v>7527</v>
      </c>
      <c r="I33" s="7" t="s">
        <v>7407</v>
      </c>
      <c r="J33" s="7" t="s">
        <v>6550</v>
      </c>
      <c r="K33" s="7">
        <v>10052359844</v>
      </c>
      <c r="L33" s="7"/>
      <c r="M33" s="32">
        <v>46125</v>
      </c>
      <c r="N33" s="28" t="s">
        <v>11</v>
      </c>
      <c r="O33" s="28" t="s">
        <v>11</v>
      </c>
      <c r="P33" s="28" t="s">
        <v>11</v>
      </c>
      <c r="Q33" s="28" t="s">
        <v>11</v>
      </c>
      <c r="R33" s="28" t="s">
        <v>9</v>
      </c>
      <c r="S33" s="28" t="s">
        <v>9</v>
      </c>
      <c r="T33" s="28" t="s">
        <v>9</v>
      </c>
      <c r="U33" s="28" t="s">
        <v>9</v>
      </c>
      <c r="V33" s="28" t="s">
        <v>9</v>
      </c>
      <c r="W33" s="28" t="s">
        <v>9</v>
      </c>
      <c r="X33" s="28" t="s">
        <v>9</v>
      </c>
      <c r="Y33" s="28" t="s">
        <v>9</v>
      </c>
      <c r="Z33" s="28" t="s">
        <v>9</v>
      </c>
      <c r="AA33" s="28" t="s">
        <v>9</v>
      </c>
      <c r="AB33" s="28" t="s">
        <v>9</v>
      </c>
      <c r="AC33" s="28" t="s">
        <v>9</v>
      </c>
      <c r="AD33" s="24">
        <f t="shared" si="0"/>
        <v>11</v>
      </c>
      <c r="AE33" s="24">
        <f t="shared" si="1"/>
        <v>0</v>
      </c>
      <c r="AF33" s="24">
        <f t="shared" si="2"/>
        <v>4</v>
      </c>
      <c r="AG33" s="41" t="str" cm="1">
        <f t="array" ref="AG33">_xlfn.IFS(
$AD33=15,"Not Started",
$AF33&lt;15,"In Progress",
$AF33=15,"Completed",
SUM(AD33:AF33)&gt;15,"Error"
)</f>
        <v>In Progress</v>
      </c>
    </row>
    <row r="34" spans="1:33" ht="13" x14ac:dyDescent="0.25">
      <c r="A34" s="256"/>
      <c r="B34" s="63" t="s">
        <v>1890</v>
      </c>
      <c r="C34" s="53" t="s">
        <v>6237</v>
      </c>
      <c r="D34" s="57" t="s">
        <v>6397</v>
      </c>
      <c r="E34" s="7" t="s">
        <v>47</v>
      </c>
      <c r="F34" s="7" t="s">
        <v>44</v>
      </c>
      <c r="G34" s="7" t="s">
        <v>7527</v>
      </c>
      <c r="H34" s="7" t="s">
        <v>7527</v>
      </c>
      <c r="I34" s="7" t="s">
        <v>7408</v>
      </c>
      <c r="J34" s="7" t="s">
        <v>6551</v>
      </c>
      <c r="K34" s="7">
        <v>10052715823</v>
      </c>
      <c r="L34" s="7"/>
      <c r="M34" s="32">
        <v>46127</v>
      </c>
      <c r="N34" s="28" t="s">
        <v>11</v>
      </c>
      <c r="O34" s="28" t="s">
        <v>11</v>
      </c>
      <c r="P34" s="28" t="s">
        <v>11</v>
      </c>
      <c r="Q34" s="28" t="s">
        <v>11</v>
      </c>
      <c r="R34" s="28" t="s">
        <v>9</v>
      </c>
      <c r="S34" s="28" t="s">
        <v>9</v>
      </c>
      <c r="T34" s="28" t="s">
        <v>9</v>
      </c>
      <c r="U34" s="28" t="s">
        <v>9</v>
      </c>
      <c r="V34" s="28" t="s">
        <v>9</v>
      </c>
      <c r="W34" s="28" t="s">
        <v>9</v>
      </c>
      <c r="X34" s="28" t="s">
        <v>9</v>
      </c>
      <c r="Y34" s="28" t="s">
        <v>9</v>
      </c>
      <c r="Z34" s="28" t="s">
        <v>9</v>
      </c>
      <c r="AA34" s="28" t="s">
        <v>9</v>
      </c>
      <c r="AB34" s="28" t="s">
        <v>9</v>
      </c>
      <c r="AC34" s="28" t="s">
        <v>9</v>
      </c>
      <c r="AD34" s="24">
        <f t="shared" si="0"/>
        <v>11</v>
      </c>
      <c r="AE34" s="24">
        <f t="shared" si="1"/>
        <v>0</v>
      </c>
      <c r="AF34" s="24">
        <f t="shared" si="2"/>
        <v>4</v>
      </c>
      <c r="AG34" s="41" t="str" cm="1">
        <f t="array" ref="AG34">_xlfn.IFS(
$AD34=15,"Not Started",
$AF34&lt;15,"In Progress",
$AF34=15,"Completed",
SUM(AD34:AF34)&gt;15,"Error"
)</f>
        <v>In Progress</v>
      </c>
    </row>
    <row r="35" spans="1:33" ht="13" x14ac:dyDescent="0.25">
      <c r="A35" s="256"/>
      <c r="B35" s="64" t="s">
        <v>1891</v>
      </c>
      <c r="C35" s="53" t="s">
        <v>6238</v>
      </c>
      <c r="D35" s="57" t="s">
        <v>6398</v>
      </c>
      <c r="E35" s="7" t="s">
        <v>51</v>
      </c>
      <c r="F35" s="7" t="s">
        <v>48</v>
      </c>
      <c r="G35" s="7" t="s">
        <v>7527</v>
      </c>
      <c r="H35" s="7" t="s">
        <v>7527</v>
      </c>
      <c r="I35" s="7" t="s">
        <v>7409</v>
      </c>
      <c r="J35" s="7" t="s">
        <v>6552</v>
      </c>
      <c r="K35" s="7">
        <v>10096317794</v>
      </c>
      <c r="L35" s="7"/>
      <c r="M35" s="32">
        <v>46151</v>
      </c>
      <c r="N35" s="28" t="s">
        <v>11</v>
      </c>
      <c r="O35" s="28" t="s">
        <v>11</v>
      </c>
      <c r="P35" s="28" t="s">
        <v>11</v>
      </c>
      <c r="Q35" s="28" t="s">
        <v>11</v>
      </c>
      <c r="R35" s="28" t="s">
        <v>9</v>
      </c>
      <c r="S35" s="28" t="s">
        <v>9</v>
      </c>
      <c r="T35" s="28" t="s">
        <v>9</v>
      </c>
      <c r="U35" s="28" t="s">
        <v>9</v>
      </c>
      <c r="V35" s="28" t="s">
        <v>9</v>
      </c>
      <c r="W35" s="28" t="s">
        <v>9</v>
      </c>
      <c r="X35" s="28" t="s">
        <v>9</v>
      </c>
      <c r="Y35" s="28" t="s">
        <v>9</v>
      </c>
      <c r="Z35" s="28" t="s">
        <v>9</v>
      </c>
      <c r="AA35" s="28" t="s">
        <v>9</v>
      </c>
      <c r="AB35" s="28" t="s">
        <v>9</v>
      </c>
      <c r="AC35" s="28" t="s">
        <v>9</v>
      </c>
      <c r="AD35" s="24">
        <f t="shared" si="0"/>
        <v>11</v>
      </c>
      <c r="AE35" s="24">
        <f t="shared" si="1"/>
        <v>0</v>
      </c>
      <c r="AF35" s="24">
        <f t="shared" si="2"/>
        <v>4</v>
      </c>
      <c r="AG35" s="41" t="str" cm="1">
        <f t="array" ref="AG35">_xlfn.IFS(
$AD35=15,"Not Started",
$AF35&lt;15,"In Progress",
$AF35=15,"Completed",
SUM(AD35:AF35)&gt;15,"Error"
)</f>
        <v>In Progress</v>
      </c>
    </row>
    <row r="36" spans="1:33" ht="13" x14ac:dyDescent="0.25">
      <c r="A36" s="256"/>
      <c r="B36" s="63" t="s">
        <v>1892</v>
      </c>
      <c r="C36" s="53" t="s">
        <v>6239</v>
      </c>
      <c r="D36" s="57" t="s">
        <v>6399</v>
      </c>
      <c r="E36" s="7" t="s">
        <v>43</v>
      </c>
      <c r="F36" s="7" t="s">
        <v>44</v>
      </c>
      <c r="G36" s="7" t="s">
        <v>7527</v>
      </c>
      <c r="H36" s="7" t="s">
        <v>7527</v>
      </c>
      <c r="I36" s="7" t="s">
        <v>7410</v>
      </c>
      <c r="J36" s="7" t="s">
        <v>6553</v>
      </c>
      <c r="K36" s="7">
        <v>10052580482</v>
      </c>
      <c r="L36" s="7"/>
      <c r="M36" s="32">
        <v>46151</v>
      </c>
      <c r="N36" s="28" t="s">
        <v>11</v>
      </c>
      <c r="O36" s="28" t="s">
        <v>11</v>
      </c>
      <c r="P36" s="28" t="s">
        <v>11</v>
      </c>
      <c r="Q36" s="28" t="s">
        <v>11</v>
      </c>
      <c r="R36" s="28" t="s">
        <v>9</v>
      </c>
      <c r="S36" s="28" t="s">
        <v>9</v>
      </c>
      <c r="T36" s="28" t="s">
        <v>9</v>
      </c>
      <c r="U36" s="28" t="s">
        <v>9</v>
      </c>
      <c r="V36" s="28" t="s">
        <v>9</v>
      </c>
      <c r="W36" s="28" t="s">
        <v>9</v>
      </c>
      <c r="X36" s="28" t="s">
        <v>9</v>
      </c>
      <c r="Y36" s="28" t="s">
        <v>9</v>
      </c>
      <c r="Z36" s="28" t="s">
        <v>9</v>
      </c>
      <c r="AA36" s="28" t="s">
        <v>9</v>
      </c>
      <c r="AB36" s="28" t="s">
        <v>9</v>
      </c>
      <c r="AC36" s="28" t="s">
        <v>9</v>
      </c>
      <c r="AD36" s="24">
        <f t="shared" si="0"/>
        <v>11</v>
      </c>
      <c r="AE36" s="24">
        <f t="shared" si="1"/>
        <v>0</v>
      </c>
      <c r="AF36" s="24">
        <f t="shared" si="2"/>
        <v>4</v>
      </c>
      <c r="AG36" s="41" t="str" cm="1">
        <f t="array" ref="AG36">_xlfn.IFS(
$AD36=15,"Not Started",
$AF36&lt;15,"In Progress",
$AF36=15,"Completed",
SUM(AD36:AF36)&gt;15,"Error"
)</f>
        <v>In Progress</v>
      </c>
    </row>
    <row r="37" spans="1:33" ht="13" x14ac:dyDescent="0.25">
      <c r="A37" s="256"/>
      <c r="B37" s="64" t="s">
        <v>1893</v>
      </c>
      <c r="C37" s="53" t="s">
        <v>6240</v>
      </c>
      <c r="D37" s="57" t="s">
        <v>6400</v>
      </c>
      <c r="E37" s="7" t="s">
        <v>43</v>
      </c>
      <c r="F37" s="7" t="s">
        <v>48</v>
      </c>
      <c r="G37" s="7" t="s">
        <v>7527</v>
      </c>
      <c r="H37" s="7" t="s">
        <v>7527</v>
      </c>
      <c r="I37" s="7" t="s">
        <v>7411</v>
      </c>
      <c r="J37" s="7" t="s">
        <v>6554</v>
      </c>
      <c r="K37" s="7">
        <v>10052700526</v>
      </c>
      <c r="L37" s="7"/>
      <c r="M37" s="32">
        <v>46151</v>
      </c>
      <c r="N37" s="28" t="s">
        <v>11</v>
      </c>
      <c r="O37" s="28" t="s">
        <v>11</v>
      </c>
      <c r="P37" s="28" t="s">
        <v>11</v>
      </c>
      <c r="Q37" s="28" t="s">
        <v>11</v>
      </c>
      <c r="R37" s="28" t="s">
        <v>9</v>
      </c>
      <c r="S37" s="28" t="s">
        <v>9</v>
      </c>
      <c r="T37" s="28" t="s">
        <v>9</v>
      </c>
      <c r="U37" s="28" t="s">
        <v>9</v>
      </c>
      <c r="V37" s="28" t="s">
        <v>9</v>
      </c>
      <c r="W37" s="28" t="s">
        <v>9</v>
      </c>
      <c r="X37" s="28" t="s">
        <v>9</v>
      </c>
      <c r="Y37" s="28" t="s">
        <v>9</v>
      </c>
      <c r="Z37" s="28" t="s">
        <v>9</v>
      </c>
      <c r="AA37" s="28" t="s">
        <v>9</v>
      </c>
      <c r="AB37" s="28" t="s">
        <v>9</v>
      </c>
      <c r="AC37" s="28" t="s">
        <v>9</v>
      </c>
      <c r="AD37" s="24">
        <f t="shared" si="0"/>
        <v>11</v>
      </c>
      <c r="AE37" s="24">
        <f t="shared" si="1"/>
        <v>0</v>
      </c>
      <c r="AF37" s="24">
        <f t="shared" si="2"/>
        <v>4</v>
      </c>
      <c r="AG37" s="41" t="str" cm="1">
        <f t="array" ref="AG37">_xlfn.IFS(
$AD37=15,"Not Started",
$AF37&lt;15,"In Progress",
$AF37=15,"Completed",
SUM(AD37:AF37)&gt;15,"Error"
)</f>
        <v>In Progress</v>
      </c>
    </row>
    <row r="38" spans="1:33" ht="13" x14ac:dyDescent="0.25">
      <c r="A38" s="256"/>
      <c r="B38" s="63" t="s">
        <v>1894</v>
      </c>
      <c r="C38" s="53" t="s">
        <v>6241</v>
      </c>
      <c r="D38" s="57" t="s">
        <v>6401</v>
      </c>
      <c r="E38" s="7" t="s">
        <v>47</v>
      </c>
      <c r="F38" s="7" t="s">
        <v>44</v>
      </c>
      <c r="G38" s="7" t="s">
        <v>7527</v>
      </c>
      <c r="H38" s="7" t="s">
        <v>7527</v>
      </c>
      <c r="I38" s="7" t="s">
        <v>7412</v>
      </c>
      <c r="J38" s="7" t="s">
        <v>6555</v>
      </c>
      <c r="K38" s="7">
        <v>10052971805</v>
      </c>
      <c r="L38" s="7"/>
      <c r="M38" s="32">
        <v>46148</v>
      </c>
      <c r="N38" s="28" t="s">
        <v>11</v>
      </c>
      <c r="O38" s="28" t="s">
        <v>11</v>
      </c>
      <c r="P38" s="28" t="s">
        <v>11</v>
      </c>
      <c r="Q38" s="28" t="s">
        <v>11</v>
      </c>
      <c r="R38" s="28" t="s">
        <v>9</v>
      </c>
      <c r="S38" s="28" t="s">
        <v>9</v>
      </c>
      <c r="T38" s="28" t="s">
        <v>9</v>
      </c>
      <c r="U38" s="28" t="s">
        <v>9</v>
      </c>
      <c r="V38" s="28" t="s">
        <v>9</v>
      </c>
      <c r="W38" s="28" t="s">
        <v>9</v>
      </c>
      <c r="X38" s="28" t="s">
        <v>9</v>
      </c>
      <c r="Y38" s="28" t="s">
        <v>9</v>
      </c>
      <c r="Z38" s="28" t="s">
        <v>9</v>
      </c>
      <c r="AA38" s="28" t="s">
        <v>9</v>
      </c>
      <c r="AB38" s="28" t="s">
        <v>9</v>
      </c>
      <c r="AC38" s="28" t="s">
        <v>9</v>
      </c>
      <c r="AD38" s="24">
        <f t="shared" si="0"/>
        <v>11</v>
      </c>
      <c r="AE38" s="24">
        <f t="shared" si="1"/>
        <v>0</v>
      </c>
      <c r="AF38" s="24">
        <f t="shared" si="2"/>
        <v>4</v>
      </c>
      <c r="AG38" s="41" t="str" cm="1">
        <f t="array" ref="AG38">_xlfn.IFS(
$AD38=15,"Not Started",
$AF38&lt;15,"In Progress",
$AF38=15,"Completed",
SUM(AD38:AF38)&gt;15,"Error"
)</f>
        <v>In Progress</v>
      </c>
    </row>
    <row r="39" spans="1:33" ht="13" x14ac:dyDescent="0.25">
      <c r="A39" s="256"/>
      <c r="B39" s="64" t="s">
        <v>1895</v>
      </c>
      <c r="C39" s="53" t="s">
        <v>6242</v>
      </c>
      <c r="D39" s="57" t="s">
        <v>6402</v>
      </c>
      <c r="E39" s="7" t="s">
        <v>47</v>
      </c>
      <c r="F39" s="7" t="s">
        <v>44</v>
      </c>
      <c r="G39" s="7" t="s">
        <v>7527</v>
      </c>
      <c r="H39" s="7" t="s">
        <v>7527</v>
      </c>
      <c r="I39" s="7" t="s">
        <v>7413</v>
      </c>
      <c r="J39" s="7" t="s">
        <v>6556</v>
      </c>
      <c r="K39" s="7">
        <v>10053066140</v>
      </c>
      <c r="L39" s="7"/>
      <c r="M39" s="32">
        <v>46148</v>
      </c>
      <c r="N39" s="28" t="s">
        <v>11</v>
      </c>
      <c r="O39" s="28" t="s">
        <v>11</v>
      </c>
      <c r="P39" s="28" t="s">
        <v>11</v>
      </c>
      <c r="Q39" s="28" t="s">
        <v>11</v>
      </c>
      <c r="R39" s="28" t="s">
        <v>9</v>
      </c>
      <c r="S39" s="28" t="s">
        <v>9</v>
      </c>
      <c r="T39" s="28" t="s">
        <v>9</v>
      </c>
      <c r="U39" s="28" t="s">
        <v>9</v>
      </c>
      <c r="V39" s="28" t="s">
        <v>9</v>
      </c>
      <c r="W39" s="28" t="s">
        <v>9</v>
      </c>
      <c r="X39" s="28" t="s">
        <v>9</v>
      </c>
      <c r="Y39" s="28" t="s">
        <v>9</v>
      </c>
      <c r="Z39" s="28" t="s">
        <v>9</v>
      </c>
      <c r="AA39" s="28" t="s">
        <v>9</v>
      </c>
      <c r="AB39" s="28" t="s">
        <v>9</v>
      </c>
      <c r="AC39" s="28" t="s">
        <v>9</v>
      </c>
      <c r="AD39" s="24">
        <f t="shared" si="0"/>
        <v>11</v>
      </c>
      <c r="AE39" s="24">
        <f t="shared" si="1"/>
        <v>0</v>
      </c>
      <c r="AF39" s="24">
        <f t="shared" si="2"/>
        <v>4</v>
      </c>
      <c r="AG39" s="41" t="str" cm="1">
        <f t="array" ref="AG39">_xlfn.IFS(
$AD39=15,"Not Started",
$AF39&lt;15,"In Progress",
$AF39=15,"Completed",
SUM(AD39:AF39)&gt;15,"Error"
)</f>
        <v>In Progress</v>
      </c>
    </row>
    <row r="40" spans="1:33" ht="13" x14ac:dyDescent="0.25">
      <c r="A40" s="256"/>
      <c r="B40" s="63" t="s">
        <v>1896</v>
      </c>
      <c r="C40" s="53" t="s">
        <v>6243</v>
      </c>
      <c r="D40" s="57" t="s">
        <v>6403</v>
      </c>
      <c r="E40" s="7" t="s">
        <v>51</v>
      </c>
      <c r="F40" s="7" t="s">
        <v>44</v>
      </c>
      <c r="G40" s="7" t="s">
        <v>7527</v>
      </c>
      <c r="H40" s="7" t="s">
        <v>7527</v>
      </c>
      <c r="I40" s="7" t="s">
        <v>7414</v>
      </c>
      <c r="J40" s="7" t="s">
        <v>6557</v>
      </c>
      <c r="K40" s="7">
        <v>10052812756</v>
      </c>
      <c r="L40" s="7"/>
      <c r="M40" s="32">
        <v>46146</v>
      </c>
      <c r="N40" s="28" t="s">
        <v>11</v>
      </c>
      <c r="O40" s="28" t="s">
        <v>11</v>
      </c>
      <c r="P40" s="28" t="s">
        <v>11</v>
      </c>
      <c r="Q40" s="28" t="s">
        <v>11</v>
      </c>
      <c r="R40" s="28" t="s">
        <v>9</v>
      </c>
      <c r="S40" s="28" t="s">
        <v>9</v>
      </c>
      <c r="T40" s="28" t="s">
        <v>9</v>
      </c>
      <c r="U40" s="28" t="s">
        <v>9</v>
      </c>
      <c r="V40" s="28" t="s">
        <v>9</v>
      </c>
      <c r="W40" s="28" t="s">
        <v>9</v>
      </c>
      <c r="X40" s="28" t="s">
        <v>9</v>
      </c>
      <c r="Y40" s="28" t="s">
        <v>9</v>
      </c>
      <c r="Z40" s="28" t="s">
        <v>9</v>
      </c>
      <c r="AA40" s="28" t="s">
        <v>9</v>
      </c>
      <c r="AB40" s="28" t="s">
        <v>9</v>
      </c>
      <c r="AC40" s="28" t="s">
        <v>9</v>
      </c>
      <c r="AD40" s="24">
        <f t="shared" si="0"/>
        <v>11</v>
      </c>
      <c r="AE40" s="24">
        <f t="shared" si="1"/>
        <v>0</v>
      </c>
      <c r="AF40" s="24">
        <f t="shared" si="2"/>
        <v>4</v>
      </c>
      <c r="AG40" s="41" t="str" cm="1">
        <f t="array" ref="AG40">_xlfn.IFS(
$AD40=15,"Not Started",
$AF40&lt;15,"In Progress",
$AF40=15,"Completed",
SUM(AD40:AF40)&gt;15,"Error"
)</f>
        <v>In Progress</v>
      </c>
    </row>
    <row r="41" spans="1:33" ht="13" x14ac:dyDescent="0.25">
      <c r="A41" s="256"/>
      <c r="B41" s="64" t="s">
        <v>1897</v>
      </c>
      <c r="C41" s="53" t="s">
        <v>6244</v>
      </c>
      <c r="D41" s="57" t="s">
        <v>6404</v>
      </c>
      <c r="E41" s="7" t="s">
        <v>43</v>
      </c>
      <c r="F41" s="7" t="s">
        <v>48</v>
      </c>
      <c r="G41" s="7" t="s">
        <v>7527</v>
      </c>
      <c r="H41" s="7" t="s">
        <v>7527</v>
      </c>
      <c r="I41" s="7" t="s">
        <v>7415</v>
      </c>
      <c r="J41" s="7" t="s">
        <v>6558</v>
      </c>
      <c r="K41" s="7">
        <v>10091905425</v>
      </c>
      <c r="L41" s="7"/>
      <c r="M41" s="32">
        <v>46119</v>
      </c>
      <c r="N41" s="28" t="s">
        <v>11</v>
      </c>
      <c r="O41" s="28" t="s">
        <v>11</v>
      </c>
      <c r="P41" s="28" t="s">
        <v>11</v>
      </c>
      <c r="Q41" s="28" t="s">
        <v>11</v>
      </c>
      <c r="R41" s="28" t="s">
        <v>9</v>
      </c>
      <c r="S41" s="28" t="s">
        <v>9</v>
      </c>
      <c r="T41" s="28" t="s">
        <v>9</v>
      </c>
      <c r="U41" s="28" t="s">
        <v>9</v>
      </c>
      <c r="V41" s="28" t="s">
        <v>9</v>
      </c>
      <c r="W41" s="28" t="s">
        <v>9</v>
      </c>
      <c r="X41" s="28" t="s">
        <v>9</v>
      </c>
      <c r="Y41" s="28" t="s">
        <v>9</v>
      </c>
      <c r="Z41" s="28" t="s">
        <v>9</v>
      </c>
      <c r="AA41" s="28" t="s">
        <v>9</v>
      </c>
      <c r="AB41" s="28" t="s">
        <v>9</v>
      </c>
      <c r="AC41" s="28" t="s">
        <v>9</v>
      </c>
      <c r="AD41" s="24">
        <f t="shared" si="0"/>
        <v>11</v>
      </c>
      <c r="AE41" s="24">
        <f t="shared" si="1"/>
        <v>0</v>
      </c>
      <c r="AF41" s="24">
        <f t="shared" si="2"/>
        <v>4</v>
      </c>
      <c r="AG41" s="41" t="str" cm="1">
        <f t="array" ref="AG41">_xlfn.IFS(
$AD41=15,"Not Started",
$AF41&lt;15,"In Progress",
$AF41=15,"Completed",
SUM(AD41:AF41)&gt;15,"Error"
)</f>
        <v>In Progress</v>
      </c>
    </row>
    <row r="42" spans="1:33" ht="13" x14ac:dyDescent="0.25">
      <c r="A42" s="256"/>
      <c r="B42" s="63" t="s">
        <v>1898</v>
      </c>
      <c r="C42" s="53" t="s">
        <v>6245</v>
      </c>
      <c r="D42" s="57" t="s">
        <v>6405</v>
      </c>
      <c r="E42" s="7" t="s">
        <v>9672</v>
      </c>
      <c r="F42" s="7" t="s">
        <v>48</v>
      </c>
      <c r="G42" s="7" t="s">
        <v>7527</v>
      </c>
      <c r="H42" s="7" t="s">
        <v>7527</v>
      </c>
      <c r="I42" s="7" t="s">
        <v>7416</v>
      </c>
      <c r="J42" s="7" t="s">
        <v>6559</v>
      </c>
      <c r="K42" s="7">
        <v>10052798568</v>
      </c>
      <c r="L42" s="7"/>
      <c r="M42" s="32">
        <v>46099</v>
      </c>
      <c r="N42" s="28" t="s">
        <v>11</v>
      </c>
      <c r="O42" s="28" t="s">
        <v>11</v>
      </c>
      <c r="P42" s="28" t="s">
        <v>11</v>
      </c>
      <c r="Q42" s="28" t="s">
        <v>11</v>
      </c>
      <c r="R42" s="28" t="s">
        <v>9</v>
      </c>
      <c r="S42" s="28" t="s">
        <v>9</v>
      </c>
      <c r="T42" s="28" t="s">
        <v>9</v>
      </c>
      <c r="U42" s="28" t="s">
        <v>9</v>
      </c>
      <c r="V42" s="28" t="s">
        <v>9</v>
      </c>
      <c r="W42" s="28" t="s">
        <v>9</v>
      </c>
      <c r="X42" s="28" t="s">
        <v>9</v>
      </c>
      <c r="Y42" s="28" t="s">
        <v>9</v>
      </c>
      <c r="Z42" s="28" t="s">
        <v>9</v>
      </c>
      <c r="AA42" s="28" t="s">
        <v>9</v>
      </c>
      <c r="AB42" s="28" t="s">
        <v>9</v>
      </c>
      <c r="AC42" s="28" t="s">
        <v>9</v>
      </c>
      <c r="AD42" s="24">
        <f t="shared" si="0"/>
        <v>11</v>
      </c>
      <c r="AE42" s="24">
        <f t="shared" si="1"/>
        <v>0</v>
      </c>
      <c r="AF42" s="24">
        <f t="shared" si="2"/>
        <v>4</v>
      </c>
      <c r="AG42" s="41" t="str" cm="1">
        <f t="array" ref="AG42">_xlfn.IFS(
$AD42=15,"Not Started",
$AF42&lt;15,"In Progress",
$AF42=15,"Completed",
SUM(AD42:AF42)&gt;15,"Error"
)</f>
        <v>In Progress</v>
      </c>
    </row>
    <row r="43" spans="1:33" ht="13" x14ac:dyDescent="0.25">
      <c r="A43" s="256"/>
      <c r="B43" s="64" t="s">
        <v>1899</v>
      </c>
      <c r="C43" s="53" t="s">
        <v>6246</v>
      </c>
      <c r="D43" s="57" t="s">
        <v>6406</v>
      </c>
      <c r="E43" s="7" t="s">
        <v>43</v>
      </c>
      <c r="F43" s="7" t="s">
        <v>44</v>
      </c>
      <c r="G43" s="7" t="s">
        <v>7527</v>
      </c>
      <c r="H43" s="7" t="s">
        <v>7527</v>
      </c>
      <c r="I43" s="7" t="s">
        <v>7417</v>
      </c>
      <c r="J43" s="7" t="s">
        <v>6560</v>
      </c>
      <c r="K43" s="7">
        <v>10052992073</v>
      </c>
      <c r="L43" s="7"/>
      <c r="M43" s="32">
        <v>46117</v>
      </c>
      <c r="N43" s="28" t="s">
        <v>11</v>
      </c>
      <c r="O43" s="28" t="s">
        <v>11</v>
      </c>
      <c r="P43" s="28" t="s">
        <v>11</v>
      </c>
      <c r="Q43" s="28" t="s">
        <v>11</v>
      </c>
      <c r="R43" s="28" t="s">
        <v>9</v>
      </c>
      <c r="S43" s="28" t="s">
        <v>9</v>
      </c>
      <c r="T43" s="28" t="s">
        <v>9</v>
      </c>
      <c r="U43" s="28" t="s">
        <v>9</v>
      </c>
      <c r="V43" s="28" t="s">
        <v>9</v>
      </c>
      <c r="W43" s="28" t="s">
        <v>9</v>
      </c>
      <c r="X43" s="28" t="s">
        <v>9</v>
      </c>
      <c r="Y43" s="28" t="s">
        <v>9</v>
      </c>
      <c r="Z43" s="28" t="s">
        <v>9</v>
      </c>
      <c r="AA43" s="28" t="s">
        <v>9</v>
      </c>
      <c r="AB43" s="28" t="s">
        <v>9</v>
      </c>
      <c r="AC43" s="28" t="s">
        <v>9</v>
      </c>
      <c r="AD43" s="24">
        <f t="shared" si="0"/>
        <v>11</v>
      </c>
      <c r="AE43" s="24">
        <f t="shared" si="1"/>
        <v>0</v>
      </c>
      <c r="AF43" s="24">
        <f t="shared" si="2"/>
        <v>4</v>
      </c>
      <c r="AG43" s="41" t="str" cm="1">
        <f t="array" ref="AG43">_xlfn.IFS(
$AD43=15,"Not Started",
$AF43&lt;15,"In Progress",
$AF43=15,"Completed",
SUM(AD43:AF43)&gt;15,"Error"
)</f>
        <v>In Progress</v>
      </c>
    </row>
    <row r="44" spans="1:33" ht="13" x14ac:dyDescent="0.25">
      <c r="A44" s="256"/>
      <c r="B44" s="63" t="s">
        <v>1900</v>
      </c>
      <c r="C44" s="53" t="s">
        <v>6247</v>
      </c>
      <c r="D44" s="57" t="s">
        <v>6407</v>
      </c>
      <c r="E44" s="7" t="s">
        <v>43</v>
      </c>
      <c r="F44" s="7" t="s">
        <v>44</v>
      </c>
      <c r="G44" s="7" t="s">
        <v>7527</v>
      </c>
      <c r="H44" s="7" t="s">
        <v>7527</v>
      </c>
      <c r="I44" s="7" t="s">
        <v>7418</v>
      </c>
      <c r="J44" s="7" t="s">
        <v>6561</v>
      </c>
      <c r="K44" s="7">
        <v>10052885879</v>
      </c>
      <c r="L44" s="7"/>
      <c r="M44" s="32"/>
      <c r="N44" s="28" t="s">
        <v>9</v>
      </c>
      <c r="O44" s="28" t="s">
        <v>9</v>
      </c>
      <c r="P44" s="28" t="s">
        <v>9</v>
      </c>
      <c r="Q44" s="28" t="s">
        <v>9</v>
      </c>
      <c r="R44" s="28" t="s">
        <v>9</v>
      </c>
      <c r="S44" s="28" t="s">
        <v>9</v>
      </c>
      <c r="T44" s="28" t="s">
        <v>9</v>
      </c>
      <c r="U44" s="28" t="s">
        <v>9</v>
      </c>
      <c r="V44" s="28" t="s">
        <v>9</v>
      </c>
      <c r="W44" s="28" t="s">
        <v>9</v>
      </c>
      <c r="X44" s="28" t="s">
        <v>9</v>
      </c>
      <c r="Y44" s="28" t="s">
        <v>9</v>
      </c>
      <c r="Z44" s="28" t="s">
        <v>9</v>
      </c>
      <c r="AA44" s="28" t="s">
        <v>9</v>
      </c>
      <c r="AB44" s="28" t="s">
        <v>9</v>
      </c>
      <c r="AC44" s="28" t="s">
        <v>9</v>
      </c>
      <c r="AD44" s="24">
        <f t="shared" si="0"/>
        <v>15</v>
      </c>
      <c r="AE44" s="24">
        <f t="shared" si="1"/>
        <v>0</v>
      </c>
      <c r="AF44" s="24">
        <f t="shared" si="2"/>
        <v>0</v>
      </c>
      <c r="AG44" s="41" t="str" cm="1">
        <f t="array" ref="AG44">_xlfn.IFS(
$AD44=15,"Not Started",
$AF44&lt;15,"In Progress",
$AF44=15,"Completed",
SUM(AD44:AF44)&gt;15,"Error"
)</f>
        <v>Not Started</v>
      </c>
    </row>
    <row r="45" spans="1:33" ht="13" x14ac:dyDescent="0.25">
      <c r="A45" s="256"/>
      <c r="B45" s="64" t="s">
        <v>1901</v>
      </c>
      <c r="C45" s="53" t="s">
        <v>6248</v>
      </c>
      <c r="D45" s="57" t="s">
        <v>6408</v>
      </c>
      <c r="E45" s="7" t="s">
        <v>43</v>
      </c>
      <c r="F45" s="7" t="s">
        <v>44</v>
      </c>
      <c r="G45" s="7" t="s">
        <v>7527</v>
      </c>
      <c r="H45" s="7" t="s">
        <v>7527</v>
      </c>
      <c r="I45" s="7" t="s">
        <v>7419</v>
      </c>
      <c r="J45" s="7" t="s">
        <v>6562</v>
      </c>
      <c r="K45" s="7">
        <v>10052541439</v>
      </c>
      <c r="L45" s="7"/>
      <c r="M45" s="32">
        <v>46135</v>
      </c>
      <c r="N45" s="28" t="s">
        <v>11</v>
      </c>
      <c r="O45" s="28" t="s">
        <v>11</v>
      </c>
      <c r="P45" s="28" t="s">
        <v>11</v>
      </c>
      <c r="Q45" s="28" t="s">
        <v>11</v>
      </c>
      <c r="R45" s="28" t="s">
        <v>9</v>
      </c>
      <c r="S45" s="28" t="s">
        <v>9</v>
      </c>
      <c r="T45" s="28" t="s">
        <v>9</v>
      </c>
      <c r="U45" s="28" t="s">
        <v>9</v>
      </c>
      <c r="V45" s="28" t="s">
        <v>9</v>
      </c>
      <c r="W45" s="28" t="s">
        <v>9</v>
      </c>
      <c r="X45" s="28" t="s">
        <v>9</v>
      </c>
      <c r="Y45" s="28" t="s">
        <v>9</v>
      </c>
      <c r="Z45" s="28" t="s">
        <v>9</v>
      </c>
      <c r="AA45" s="28" t="s">
        <v>9</v>
      </c>
      <c r="AB45" s="28" t="s">
        <v>9</v>
      </c>
      <c r="AC45" s="28" t="s">
        <v>9</v>
      </c>
      <c r="AD45" s="24">
        <f t="shared" si="0"/>
        <v>11</v>
      </c>
      <c r="AE45" s="24">
        <f t="shared" si="1"/>
        <v>0</v>
      </c>
      <c r="AF45" s="24">
        <f t="shared" si="2"/>
        <v>4</v>
      </c>
      <c r="AG45" s="41" t="str" cm="1">
        <f t="array" ref="AG45">_xlfn.IFS(
$AD45=15,"Not Started",
$AF45&lt;15,"In Progress",
$AF45=15,"Completed",
SUM(AD45:AF45)&gt;15,"Error"
)</f>
        <v>In Progress</v>
      </c>
    </row>
    <row r="46" spans="1:33" ht="13" x14ac:dyDescent="0.25">
      <c r="A46" s="256"/>
      <c r="B46" s="63" t="s">
        <v>1902</v>
      </c>
      <c r="C46" s="53" t="s">
        <v>6249</v>
      </c>
      <c r="D46" s="57" t="s">
        <v>6409</v>
      </c>
      <c r="E46" s="7" t="s">
        <v>9672</v>
      </c>
      <c r="F46" s="7" t="s">
        <v>48</v>
      </c>
      <c r="G46" s="7" t="s">
        <v>7527</v>
      </c>
      <c r="H46" s="7" t="s">
        <v>7527</v>
      </c>
      <c r="I46" s="7" t="s">
        <v>7420</v>
      </c>
      <c r="J46" s="7" t="s">
        <v>6563</v>
      </c>
      <c r="K46" s="7">
        <v>10053009887</v>
      </c>
      <c r="L46" s="7"/>
      <c r="M46" s="32">
        <v>46144</v>
      </c>
      <c r="N46" s="28" t="s">
        <v>11</v>
      </c>
      <c r="O46" s="28" t="s">
        <v>11</v>
      </c>
      <c r="P46" s="28" t="s">
        <v>11</v>
      </c>
      <c r="Q46" s="28" t="s">
        <v>11</v>
      </c>
      <c r="R46" s="28" t="s">
        <v>9</v>
      </c>
      <c r="S46" s="28" t="s">
        <v>9</v>
      </c>
      <c r="T46" s="28" t="s">
        <v>9</v>
      </c>
      <c r="U46" s="28" t="s">
        <v>9</v>
      </c>
      <c r="V46" s="28" t="s">
        <v>9</v>
      </c>
      <c r="W46" s="28" t="s">
        <v>9</v>
      </c>
      <c r="X46" s="28" t="s">
        <v>9</v>
      </c>
      <c r="Y46" s="28" t="s">
        <v>9</v>
      </c>
      <c r="Z46" s="28" t="s">
        <v>9</v>
      </c>
      <c r="AA46" s="28" t="s">
        <v>9</v>
      </c>
      <c r="AB46" s="28" t="s">
        <v>9</v>
      </c>
      <c r="AC46" s="28" t="s">
        <v>9</v>
      </c>
      <c r="AD46" s="24">
        <f t="shared" si="0"/>
        <v>11</v>
      </c>
      <c r="AE46" s="24">
        <f t="shared" si="1"/>
        <v>0</v>
      </c>
      <c r="AF46" s="24">
        <f t="shared" si="2"/>
        <v>4</v>
      </c>
      <c r="AG46" s="41" t="str" cm="1">
        <f t="array" ref="AG46">_xlfn.IFS(
$AD46=15,"Not Started",
$AF46&lt;15,"In Progress",
$AF46=15,"Completed",
SUM(AD46:AF46)&gt;15,"Error"
)</f>
        <v>In Progress</v>
      </c>
    </row>
    <row r="47" spans="1:33" ht="13" x14ac:dyDescent="0.25">
      <c r="A47" s="256"/>
      <c r="B47" s="64" t="s">
        <v>1903</v>
      </c>
      <c r="C47" s="53" t="s">
        <v>6250</v>
      </c>
      <c r="D47" s="57" t="s">
        <v>6410</v>
      </c>
      <c r="E47" s="7" t="s">
        <v>43</v>
      </c>
      <c r="F47" s="7" t="s">
        <v>44</v>
      </c>
      <c r="G47" s="7" t="s">
        <v>7527</v>
      </c>
      <c r="H47" s="7" t="s">
        <v>7527</v>
      </c>
      <c r="I47" s="7" t="s">
        <v>7421</v>
      </c>
      <c r="J47" s="7" t="s">
        <v>6564</v>
      </c>
      <c r="K47" s="7">
        <v>10052886562</v>
      </c>
      <c r="L47" s="7"/>
      <c r="M47" s="32"/>
      <c r="N47" s="28" t="s">
        <v>9</v>
      </c>
      <c r="O47" s="28" t="s">
        <v>9</v>
      </c>
      <c r="P47" s="28" t="s">
        <v>9</v>
      </c>
      <c r="Q47" s="28" t="s">
        <v>9</v>
      </c>
      <c r="R47" s="28" t="s">
        <v>9</v>
      </c>
      <c r="S47" s="28" t="s">
        <v>9</v>
      </c>
      <c r="T47" s="28" t="s">
        <v>9</v>
      </c>
      <c r="U47" s="28" t="s">
        <v>9</v>
      </c>
      <c r="V47" s="28" t="s">
        <v>9</v>
      </c>
      <c r="W47" s="28" t="s">
        <v>9</v>
      </c>
      <c r="X47" s="28" t="s">
        <v>9</v>
      </c>
      <c r="Y47" s="28" t="s">
        <v>9</v>
      </c>
      <c r="Z47" s="28" t="s">
        <v>9</v>
      </c>
      <c r="AA47" s="28" t="s">
        <v>9</v>
      </c>
      <c r="AB47" s="28" t="s">
        <v>9</v>
      </c>
      <c r="AC47" s="28" t="s">
        <v>9</v>
      </c>
      <c r="AD47" s="24">
        <f t="shared" si="0"/>
        <v>15</v>
      </c>
      <c r="AE47" s="24">
        <f t="shared" si="1"/>
        <v>0</v>
      </c>
      <c r="AF47" s="24">
        <f t="shared" si="2"/>
        <v>0</v>
      </c>
      <c r="AG47" s="41" t="str" cm="1">
        <f t="array" ref="AG47">_xlfn.IFS(
$AD47=15,"Not Started",
$AF47&lt;15,"In Progress",
$AF47=15,"Completed",
SUM(AD47:AF47)&gt;15,"Error"
)</f>
        <v>Not Started</v>
      </c>
    </row>
    <row r="48" spans="1:33" ht="13" x14ac:dyDescent="0.25">
      <c r="A48" s="256"/>
      <c r="B48" s="63" t="s">
        <v>1904</v>
      </c>
      <c r="C48" s="53" t="s">
        <v>6251</v>
      </c>
      <c r="D48" s="57" t="s">
        <v>6411</v>
      </c>
      <c r="E48" s="7" t="s">
        <v>43</v>
      </c>
      <c r="F48" s="7" t="s">
        <v>44</v>
      </c>
      <c r="G48" s="7" t="s">
        <v>7527</v>
      </c>
      <c r="H48" s="7" t="s">
        <v>7527</v>
      </c>
      <c r="I48" s="7" t="s">
        <v>7422</v>
      </c>
      <c r="J48" s="7" t="s">
        <v>6565</v>
      </c>
      <c r="K48" s="7">
        <v>10102835192</v>
      </c>
      <c r="L48" s="7"/>
      <c r="M48" s="32">
        <v>46135</v>
      </c>
      <c r="N48" s="28" t="s">
        <v>11</v>
      </c>
      <c r="O48" s="28" t="s">
        <v>11</v>
      </c>
      <c r="P48" s="28" t="s">
        <v>11</v>
      </c>
      <c r="Q48" s="28" t="s">
        <v>11</v>
      </c>
      <c r="R48" s="28" t="s">
        <v>9</v>
      </c>
      <c r="S48" s="28" t="s">
        <v>9</v>
      </c>
      <c r="T48" s="28" t="s">
        <v>9</v>
      </c>
      <c r="U48" s="28" t="s">
        <v>9</v>
      </c>
      <c r="V48" s="28" t="s">
        <v>9</v>
      </c>
      <c r="W48" s="28" t="s">
        <v>9</v>
      </c>
      <c r="X48" s="28" t="s">
        <v>9</v>
      </c>
      <c r="Y48" s="28" t="s">
        <v>9</v>
      </c>
      <c r="Z48" s="28" t="s">
        <v>9</v>
      </c>
      <c r="AA48" s="28" t="s">
        <v>9</v>
      </c>
      <c r="AB48" s="28" t="s">
        <v>9</v>
      </c>
      <c r="AC48" s="28" t="s">
        <v>9</v>
      </c>
      <c r="AD48" s="24">
        <f t="shared" si="0"/>
        <v>11</v>
      </c>
      <c r="AE48" s="24">
        <f t="shared" si="1"/>
        <v>0</v>
      </c>
      <c r="AF48" s="24">
        <f t="shared" si="2"/>
        <v>4</v>
      </c>
      <c r="AG48" s="41" t="str" cm="1">
        <f t="array" ref="AG48">_xlfn.IFS(
$AD48=15,"Not Started",
$AF48&lt;15,"In Progress",
$AF48=15,"Completed",
SUM(AD48:AF48)&gt;15,"Error"
)</f>
        <v>In Progress</v>
      </c>
    </row>
    <row r="49" spans="1:33" ht="13" x14ac:dyDescent="0.25">
      <c r="A49" s="256"/>
      <c r="B49" s="64" t="s">
        <v>1905</v>
      </c>
      <c r="C49" s="53" t="s">
        <v>6252</v>
      </c>
      <c r="D49" s="57" t="s">
        <v>6412</v>
      </c>
      <c r="E49" s="7" t="s">
        <v>43</v>
      </c>
      <c r="F49" s="7" t="s">
        <v>44</v>
      </c>
      <c r="G49" s="7" t="s">
        <v>7527</v>
      </c>
      <c r="H49" s="7" t="s">
        <v>7527</v>
      </c>
      <c r="I49" s="7" t="s">
        <v>7423</v>
      </c>
      <c r="J49" s="7" t="s">
        <v>6566</v>
      </c>
      <c r="K49" s="7">
        <v>10052569402</v>
      </c>
      <c r="L49" s="7"/>
      <c r="M49" s="32">
        <v>46098</v>
      </c>
      <c r="N49" s="28" t="s">
        <v>11</v>
      </c>
      <c r="O49" s="28" t="s">
        <v>11</v>
      </c>
      <c r="P49" s="28" t="s">
        <v>11</v>
      </c>
      <c r="Q49" s="28" t="s">
        <v>11</v>
      </c>
      <c r="R49" s="28" t="s">
        <v>9</v>
      </c>
      <c r="S49" s="28" t="s">
        <v>9</v>
      </c>
      <c r="T49" s="28" t="s">
        <v>9</v>
      </c>
      <c r="U49" s="28" t="s">
        <v>9</v>
      </c>
      <c r="V49" s="28" t="s">
        <v>9</v>
      </c>
      <c r="W49" s="28" t="s">
        <v>9</v>
      </c>
      <c r="X49" s="28" t="s">
        <v>9</v>
      </c>
      <c r="Y49" s="28" t="s">
        <v>9</v>
      </c>
      <c r="Z49" s="28" t="s">
        <v>9</v>
      </c>
      <c r="AA49" s="28" t="s">
        <v>9</v>
      </c>
      <c r="AB49" s="28" t="s">
        <v>9</v>
      </c>
      <c r="AC49" s="28" t="s">
        <v>9</v>
      </c>
      <c r="AD49" s="24">
        <f t="shared" si="0"/>
        <v>11</v>
      </c>
      <c r="AE49" s="24">
        <f t="shared" si="1"/>
        <v>0</v>
      </c>
      <c r="AF49" s="24">
        <f t="shared" si="2"/>
        <v>4</v>
      </c>
      <c r="AG49" s="41" t="str" cm="1">
        <f t="array" ref="AG49">_xlfn.IFS(
$AD49=15,"Not Started",
$AF49&lt;15,"In Progress",
$AF49=15,"Completed",
SUM(AD49:AF49)&gt;15,"Error"
)</f>
        <v>In Progress</v>
      </c>
    </row>
    <row r="50" spans="1:33" ht="13" x14ac:dyDescent="0.25">
      <c r="A50" s="256"/>
      <c r="B50" s="63" t="s">
        <v>1906</v>
      </c>
      <c r="C50" s="53" t="s">
        <v>6253</v>
      </c>
      <c r="D50" s="57" t="s">
        <v>6413</v>
      </c>
      <c r="E50" s="7" t="s">
        <v>43</v>
      </c>
      <c r="F50" s="7" t="s">
        <v>44</v>
      </c>
      <c r="G50" s="7" t="s">
        <v>7527</v>
      </c>
      <c r="H50" s="7" t="s">
        <v>7527</v>
      </c>
      <c r="I50" s="7" t="s">
        <v>7424</v>
      </c>
      <c r="J50" s="7" t="s">
        <v>6567</v>
      </c>
      <c r="K50" s="7">
        <v>10052645424</v>
      </c>
      <c r="L50" s="7"/>
      <c r="M50" s="32"/>
      <c r="N50" s="28" t="s">
        <v>9</v>
      </c>
      <c r="O50" s="28" t="s">
        <v>9</v>
      </c>
      <c r="P50" s="28" t="s">
        <v>9</v>
      </c>
      <c r="Q50" s="28" t="s">
        <v>9</v>
      </c>
      <c r="R50" s="28" t="s">
        <v>9</v>
      </c>
      <c r="S50" s="28" t="s">
        <v>9</v>
      </c>
      <c r="T50" s="28" t="s">
        <v>9</v>
      </c>
      <c r="U50" s="28" t="s">
        <v>9</v>
      </c>
      <c r="V50" s="28" t="s">
        <v>9</v>
      </c>
      <c r="W50" s="28" t="s">
        <v>9</v>
      </c>
      <c r="X50" s="28" t="s">
        <v>9</v>
      </c>
      <c r="Y50" s="28" t="s">
        <v>9</v>
      </c>
      <c r="Z50" s="28" t="s">
        <v>9</v>
      </c>
      <c r="AA50" s="28" t="s">
        <v>9</v>
      </c>
      <c r="AB50" s="28" t="s">
        <v>9</v>
      </c>
      <c r="AC50" s="28" t="s">
        <v>9</v>
      </c>
      <c r="AD50" s="24">
        <f t="shared" si="0"/>
        <v>15</v>
      </c>
      <c r="AE50" s="24">
        <f t="shared" si="1"/>
        <v>0</v>
      </c>
      <c r="AF50" s="24">
        <f t="shared" si="2"/>
        <v>0</v>
      </c>
      <c r="AG50" s="41" t="str" cm="1">
        <f t="array" ref="AG50">_xlfn.IFS(
$AD50=15,"Not Started",
$AF50&lt;15,"In Progress",
$AF50=15,"Completed",
SUM(AD50:AF50)&gt;15,"Error"
)</f>
        <v>Not Started</v>
      </c>
    </row>
    <row r="51" spans="1:33" ht="13" x14ac:dyDescent="0.25">
      <c r="A51" s="256"/>
      <c r="B51" s="64" t="s">
        <v>1907</v>
      </c>
      <c r="C51" s="53" t="s">
        <v>6254</v>
      </c>
      <c r="D51" s="57" t="s">
        <v>6414</v>
      </c>
      <c r="E51" s="7" t="s">
        <v>43</v>
      </c>
      <c r="F51" s="7" t="s">
        <v>44</v>
      </c>
      <c r="G51" s="7" t="s">
        <v>7527</v>
      </c>
      <c r="H51" s="7" t="s">
        <v>7527</v>
      </c>
      <c r="I51" s="7" t="s">
        <v>7425</v>
      </c>
      <c r="J51" s="7" t="s">
        <v>6568</v>
      </c>
      <c r="K51" s="7">
        <v>10102490728</v>
      </c>
      <c r="L51" s="7"/>
      <c r="M51" s="32">
        <v>46147</v>
      </c>
      <c r="N51" s="28" t="s">
        <v>11</v>
      </c>
      <c r="O51" s="28" t="s">
        <v>11</v>
      </c>
      <c r="P51" s="28" t="s">
        <v>11</v>
      </c>
      <c r="Q51" s="28" t="s">
        <v>11</v>
      </c>
      <c r="R51" s="28" t="s">
        <v>9</v>
      </c>
      <c r="S51" s="28" t="s">
        <v>9</v>
      </c>
      <c r="T51" s="28" t="s">
        <v>9</v>
      </c>
      <c r="U51" s="28" t="s">
        <v>9</v>
      </c>
      <c r="V51" s="28" t="s">
        <v>9</v>
      </c>
      <c r="W51" s="28" t="s">
        <v>9</v>
      </c>
      <c r="X51" s="28" t="s">
        <v>9</v>
      </c>
      <c r="Y51" s="28" t="s">
        <v>9</v>
      </c>
      <c r="Z51" s="28" t="s">
        <v>9</v>
      </c>
      <c r="AA51" s="28" t="s">
        <v>9</v>
      </c>
      <c r="AB51" s="28" t="s">
        <v>9</v>
      </c>
      <c r="AC51" s="28" t="s">
        <v>9</v>
      </c>
      <c r="AD51" s="24">
        <f t="shared" si="0"/>
        <v>11</v>
      </c>
      <c r="AE51" s="24">
        <f t="shared" si="1"/>
        <v>0</v>
      </c>
      <c r="AF51" s="24">
        <f t="shared" si="2"/>
        <v>4</v>
      </c>
      <c r="AG51" s="41" t="str" cm="1">
        <f t="array" ref="AG51">_xlfn.IFS(
$AD51=15,"Not Started",
$AF51&lt;15,"In Progress",
$AF51=15,"Completed",
SUM(AD51:AF51)&gt;15,"Error"
)</f>
        <v>In Progress</v>
      </c>
    </row>
    <row r="52" spans="1:33" ht="13" x14ac:dyDescent="0.25">
      <c r="A52" s="256"/>
      <c r="B52" s="63" t="s">
        <v>1908</v>
      </c>
      <c r="C52" s="53" t="s">
        <v>6255</v>
      </c>
      <c r="D52" s="57" t="s">
        <v>6415</v>
      </c>
      <c r="E52" s="7" t="s">
        <v>51</v>
      </c>
      <c r="F52" s="7" t="s">
        <v>48</v>
      </c>
      <c r="G52" s="7" t="s">
        <v>7527</v>
      </c>
      <c r="H52" s="7" t="s">
        <v>7527</v>
      </c>
      <c r="I52" s="7" t="s">
        <v>7426</v>
      </c>
      <c r="J52" s="7" t="s">
        <v>6569</v>
      </c>
      <c r="K52" s="7">
        <v>10052622125</v>
      </c>
      <c r="L52" s="7"/>
      <c r="M52" s="32"/>
      <c r="N52" s="28" t="s">
        <v>9</v>
      </c>
      <c r="O52" s="28" t="s">
        <v>9</v>
      </c>
      <c r="P52" s="28" t="s">
        <v>9</v>
      </c>
      <c r="Q52" s="28" t="s">
        <v>9</v>
      </c>
      <c r="R52" s="28" t="s">
        <v>9</v>
      </c>
      <c r="S52" s="28" t="s">
        <v>9</v>
      </c>
      <c r="T52" s="28" t="s">
        <v>9</v>
      </c>
      <c r="U52" s="28" t="s">
        <v>9</v>
      </c>
      <c r="V52" s="28" t="s">
        <v>9</v>
      </c>
      <c r="W52" s="28" t="s">
        <v>9</v>
      </c>
      <c r="X52" s="28" t="s">
        <v>9</v>
      </c>
      <c r="Y52" s="28" t="s">
        <v>9</v>
      </c>
      <c r="Z52" s="28" t="s">
        <v>9</v>
      </c>
      <c r="AA52" s="28" t="s">
        <v>9</v>
      </c>
      <c r="AB52" s="28" t="s">
        <v>9</v>
      </c>
      <c r="AC52" s="28" t="s">
        <v>9</v>
      </c>
      <c r="AD52" s="24">
        <f t="shared" si="0"/>
        <v>15</v>
      </c>
      <c r="AE52" s="24">
        <f t="shared" si="1"/>
        <v>0</v>
      </c>
      <c r="AF52" s="24">
        <f t="shared" si="2"/>
        <v>0</v>
      </c>
      <c r="AG52" s="41" t="str" cm="1">
        <f t="array" ref="AG52">_xlfn.IFS(
$AD52=15,"Not Started",
$AF52&lt;15,"In Progress",
$AF52=15,"Completed",
SUM(AD52:AF52)&gt;15,"Error"
)</f>
        <v>Not Started</v>
      </c>
    </row>
    <row r="53" spans="1:33" ht="13" x14ac:dyDescent="0.25">
      <c r="A53" s="256"/>
      <c r="B53" s="64" t="s">
        <v>1909</v>
      </c>
      <c r="C53" s="53" t="s">
        <v>6256</v>
      </c>
      <c r="D53" s="57" t="s">
        <v>6416</v>
      </c>
      <c r="E53" s="7" t="s">
        <v>51</v>
      </c>
      <c r="F53" s="7" t="s">
        <v>44</v>
      </c>
      <c r="G53" s="7" t="s">
        <v>7527</v>
      </c>
      <c r="H53" s="7" t="s">
        <v>7527</v>
      </c>
      <c r="I53" s="7" t="s">
        <v>7427</v>
      </c>
      <c r="J53" s="7" t="s">
        <v>6570</v>
      </c>
      <c r="K53" s="7">
        <v>10052578420</v>
      </c>
      <c r="L53" s="7"/>
      <c r="M53" s="32">
        <v>46147</v>
      </c>
      <c r="N53" s="28" t="s">
        <v>11</v>
      </c>
      <c r="O53" s="28" t="s">
        <v>11</v>
      </c>
      <c r="P53" s="28" t="s">
        <v>11</v>
      </c>
      <c r="Q53" s="28" t="s">
        <v>11</v>
      </c>
      <c r="R53" s="28" t="s">
        <v>9</v>
      </c>
      <c r="S53" s="28" t="s">
        <v>9</v>
      </c>
      <c r="T53" s="28" t="s">
        <v>9</v>
      </c>
      <c r="U53" s="28" t="s">
        <v>9</v>
      </c>
      <c r="V53" s="28" t="s">
        <v>9</v>
      </c>
      <c r="W53" s="28" t="s">
        <v>9</v>
      </c>
      <c r="X53" s="28" t="s">
        <v>9</v>
      </c>
      <c r="Y53" s="28" t="s">
        <v>9</v>
      </c>
      <c r="Z53" s="28" t="s">
        <v>9</v>
      </c>
      <c r="AA53" s="28" t="s">
        <v>9</v>
      </c>
      <c r="AB53" s="28" t="s">
        <v>9</v>
      </c>
      <c r="AC53" s="28" t="s">
        <v>9</v>
      </c>
      <c r="AD53" s="24">
        <f t="shared" si="0"/>
        <v>11</v>
      </c>
      <c r="AE53" s="24">
        <f t="shared" si="1"/>
        <v>0</v>
      </c>
      <c r="AF53" s="24">
        <f t="shared" si="2"/>
        <v>4</v>
      </c>
      <c r="AG53" s="41" t="str" cm="1">
        <f t="array" ref="AG53">_xlfn.IFS(
$AD53=15,"Not Started",
$AF53&lt;15,"In Progress",
$AF53=15,"Completed",
SUM(AD53:AF53)&gt;15,"Error"
)</f>
        <v>In Progress</v>
      </c>
    </row>
    <row r="54" spans="1:33" ht="13" x14ac:dyDescent="0.25">
      <c r="A54" s="256"/>
      <c r="B54" s="63" t="s">
        <v>1910</v>
      </c>
      <c r="C54" s="53" t="s">
        <v>6257</v>
      </c>
      <c r="D54" s="57" t="s">
        <v>6417</v>
      </c>
      <c r="E54" s="7" t="s">
        <v>47</v>
      </c>
      <c r="F54" s="7" t="s">
        <v>44</v>
      </c>
      <c r="G54" s="7" t="s">
        <v>7527</v>
      </c>
      <c r="H54" s="7" t="s">
        <v>7527</v>
      </c>
      <c r="I54" s="7" t="s">
        <v>7428</v>
      </c>
      <c r="J54" s="7" t="s">
        <v>6571</v>
      </c>
      <c r="K54" s="7">
        <v>10101210061</v>
      </c>
      <c r="L54" s="7"/>
      <c r="M54" s="32">
        <v>46146</v>
      </c>
      <c r="N54" s="28" t="s">
        <v>11</v>
      </c>
      <c r="O54" s="28" t="s">
        <v>11</v>
      </c>
      <c r="P54" s="28" t="s">
        <v>11</v>
      </c>
      <c r="Q54" s="28" t="s">
        <v>11</v>
      </c>
      <c r="R54" s="28" t="s">
        <v>9</v>
      </c>
      <c r="S54" s="28" t="s">
        <v>9</v>
      </c>
      <c r="T54" s="28" t="s">
        <v>9</v>
      </c>
      <c r="U54" s="28" t="s">
        <v>9</v>
      </c>
      <c r="V54" s="28" t="s">
        <v>9</v>
      </c>
      <c r="W54" s="28" t="s">
        <v>9</v>
      </c>
      <c r="X54" s="28" t="s">
        <v>9</v>
      </c>
      <c r="Y54" s="28" t="s">
        <v>9</v>
      </c>
      <c r="Z54" s="28" t="s">
        <v>9</v>
      </c>
      <c r="AA54" s="28" t="s">
        <v>9</v>
      </c>
      <c r="AB54" s="28" t="s">
        <v>9</v>
      </c>
      <c r="AC54" s="28" t="s">
        <v>9</v>
      </c>
      <c r="AD54" s="24">
        <f t="shared" si="0"/>
        <v>11</v>
      </c>
      <c r="AE54" s="24">
        <f t="shared" si="1"/>
        <v>0</v>
      </c>
      <c r="AF54" s="24">
        <f t="shared" si="2"/>
        <v>4</v>
      </c>
      <c r="AG54" s="41" t="str" cm="1">
        <f t="array" ref="AG54">_xlfn.IFS(
$AD54=15,"Not Started",
$AF54&lt;15,"In Progress",
$AF54=15,"Completed",
SUM(AD54:AF54)&gt;15,"Error"
)</f>
        <v>In Progress</v>
      </c>
    </row>
    <row r="55" spans="1:33" ht="13" x14ac:dyDescent="0.25">
      <c r="A55" s="256"/>
      <c r="B55" s="64" t="s">
        <v>1911</v>
      </c>
      <c r="C55" s="53" t="s">
        <v>6258</v>
      </c>
      <c r="D55" s="57" t="s">
        <v>6418</v>
      </c>
      <c r="E55" s="7" t="s">
        <v>43</v>
      </c>
      <c r="F55" s="7" t="s">
        <v>44</v>
      </c>
      <c r="G55" s="7" t="s">
        <v>7527</v>
      </c>
      <c r="H55" s="7" t="s">
        <v>7527</v>
      </c>
      <c r="I55" s="7" t="s">
        <v>7429</v>
      </c>
      <c r="J55" s="7" t="s">
        <v>6572</v>
      </c>
      <c r="K55" s="7">
        <v>10052454398</v>
      </c>
      <c r="L55" s="7"/>
      <c r="M55" s="32">
        <v>46117</v>
      </c>
      <c r="N55" s="28" t="s">
        <v>11</v>
      </c>
      <c r="O55" s="28" t="s">
        <v>11</v>
      </c>
      <c r="P55" s="28" t="s">
        <v>11</v>
      </c>
      <c r="Q55" s="28" t="s">
        <v>11</v>
      </c>
      <c r="R55" s="28" t="s">
        <v>9</v>
      </c>
      <c r="S55" s="28" t="s">
        <v>9</v>
      </c>
      <c r="T55" s="28" t="s">
        <v>9</v>
      </c>
      <c r="U55" s="28" t="s">
        <v>9</v>
      </c>
      <c r="V55" s="28" t="s">
        <v>9</v>
      </c>
      <c r="W55" s="28" t="s">
        <v>9</v>
      </c>
      <c r="X55" s="28" t="s">
        <v>9</v>
      </c>
      <c r="Y55" s="28" t="s">
        <v>9</v>
      </c>
      <c r="Z55" s="28" t="s">
        <v>9</v>
      </c>
      <c r="AA55" s="28" t="s">
        <v>9</v>
      </c>
      <c r="AB55" s="28" t="s">
        <v>9</v>
      </c>
      <c r="AC55" s="28" t="s">
        <v>9</v>
      </c>
      <c r="AD55" s="24">
        <f t="shared" si="0"/>
        <v>11</v>
      </c>
      <c r="AE55" s="24">
        <f t="shared" si="1"/>
        <v>0</v>
      </c>
      <c r="AF55" s="24">
        <f t="shared" si="2"/>
        <v>4</v>
      </c>
      <c r="AG55" s="41" t="str" cm="1">
        <f t="array" ref="AG55">_xlfn.IFS(
$AD55=15,"Not Started",
$AF55&lt;15,"In Progress",
$AF55=15,"Completed",
SUM(AD55:AF55)&gt;15,"Error"
)</f>
        <v>In Progress</v>
      </c>
    </row>
    <row r="56" spans="1:33" ht="13" x14ac:dyDescent="0.25">
      <c r="A56" s="256"/>
      <c r="B56" s="63" t="s">
        <v>1912</v>
      </c>
      <c r="C56" s="53" t="s">
        <v>6259</v>
      </c>
      <c r="D56" s="57" t="s">
        <v>6419</v>
      </c>
      <c r="E56" s="7" t="s">
        <v>9672</v>
      </c>
      <c r="F56" s="7" t="s">
        <v>48</v>
      </c>
      <c r="G56" s="7" t="s">
        <v>7527</v>
      </c>
      <c r="H56" s="7" t="s">
        <v>7527</v>
      </c>
      <c r="I56" s="7" t="s">
        <v>7430</v>
      </c>
      <c r="J56" s="7" t="s">
        <v>6573</v>
      </c>
      <c r="K56" s="7">
        <v>10052692246</v>
      </c>
      <c r="L56" s="7"/>
      <c r="M56" s="32"/>
      <c r="N56" s="28" t="s">
        <v>9</v>
      </c>
      <c r="O56" s="28" t="s">
        <v>9</v>
      </c>
      <c r="P56" s="28" t="s">
        <v>9</v>
      </c>
      <c r="Q56" s="28" t="s">
        <v>9</v>
      </c>
      <c r="R56" s="28" t="s">
        <v>9</v>
      </c>
      <c r="S56" s="28" t="s">
        <v>9</v>
      </c>
      <c r="T56" s="28" t="s">
        <v>9</v>
      </c>
      <c r="U56" s="28" t="s">
        <v>9</v>
      </c>
      <c r="V56" s="28" t="s">
        <v>9</v>
      </c>
      <c r="W56" s="28" t="s">
        <v>9</v>
      </c>
      <c r="X56" s="28" t="s">
        <v>9</v>
      </c>
      <c r="Y56" s="28" t="s">
        <v>9</v>
      </c>
      <c r="Z56" s="28" t="s">
        <v>9</v>
      </c>
      <c r="AA56" s="28" t="s">
        <v>9</v>
      </c>
      <c r="AB56" s="28" t="s">
        <v>9</v>
      </c>
      <c r="AC56" s="28" t="s">
        <v>9</v>
      </c>
      <c r="AD56" s="24">
        <f t="shared" si="0"/>
        <v>15</v>
      </c>
      <c r="AE56" s="24">
        <f t="shared" si="1"/>
        <v>0</v>
      </c>
      <c r="AF56" s="24">
        <f t="shared" si="2"/>
        <v>0</v>
      </c>
      <c r="AG56" s="41" t="str" cm="1">
        <f t="array" ref="AG56">_xlfn.IFS(
$AD56=15,"Not Started",
$AF56&lt;15,"In Progress",
$AF56=15,"Completed",
SUM(AD56:AF56)&gt;15,"Error"
)</f>
        <v>Not Started</v>
      </c>
    </row>
    <row r="57" spans="1:33" ht="13" x14ac:dyDescent="0.25">
      <c r="A57" s="256"/>
      <c r="B57" s="64" t="s">
        <v>1913</v>
      </c>
      <c r="C57" s="53" t="s">
        <v>6260</v>
      </c>
      <c r="D57" s="57" t="s">
        <v>6420</v>
      </c>
      <c r="E57" s="7" t="s">
        <v>43</v>
      </c>
      <c r="F57" s="7" t="s">
        <v>44</v>
      </c>
      <c r="G57" s="7" t="s">
        <v>7527</v>
      </c>
      <c r="H57" s="7" t="s">
        <v>7527</v>
      </c>
      <c r="I57" s="7" t="s">
        <v>7431</v>
      </c>
      <c r="J57" s="7" t="s">
        <v>6574</v>
      </c>
      <c r="K57" s="7">
        <v>10052723576</v>
      </c>
      <c r="L57" s="7"/>
      <c r="M57" s="32">
        <v>46124</v>
      </c>
      <c r="N57" s="28" t="s">
        <v>11</v>
      </c>
      <c r="O57" s="28" t="s">
        <v>11</v>
      </c>
      <c r="P57" s="28" t="s">
        <v>11</v>
      </c>
      <c r="Q57" s="28" t="s">
        <v>11</v>
      </c>
      <c r="R57" s="28" t="s">
        <v>9</v>
      </c>
      <c r="S57" s="28" t="s">
        <v>9</v>
      </c>
      <c r="T57" s="28" t="s">
        <v>9</v>
      </c>
      <c r="U57" s="28" t="s">
        <v>9</v>
      </c>
      <c r="V57" s="28" t="s">
        <v>9</v>
      </c>
      <c r="W57" s="28" t="s">
        <v>9</v>
      </c>
      <c r="X57" s="28" t="s">
        <v>9</v>
      </c>
      <c r="Y57" s="28" t="s">
        <v>9</v>
      </c>
      <c r="Z57" s="28" t="s">
        <v>9</v>
      </c>
      <c r="AA57" s="28" t="s">
        <v>9</v>
      </c>
      <c r="AB57" s="28" t="s">
        <v>9</v>
      </c>
      <c r="AC57" s="28" t="s">
        <v>9</v>
      </c>
      <c r="AD57" s="24">
        <f t="shared" si="0"/>
        <v>11</v>
      </c>
      <c r="AE57" s="24">
        <f t="shared" si="1"/>
        <v>0</v>
      </c>
      <c r="AF57" s="24">
        <f t="shared" si="2"/>
        <v>4</v>
      </c>
      <c r="AG57" s="41" t="str" cm="1">
        <f t="array" ref="AG57">_xlfn.IFS(
$AD57=15,"Not Started",
$AF57&lt;15,"In Progress",
$AF57=15,"Completed",
SUM(AD57:AF57)&gt;15,"Error"
)</f>
        <v>In Progress</v>
      </c>
    </row>
    <row r="58" spans="1:33" ht="13" x14ac:dyDescent="0.25">
      <c r="A58" s="256"/>
      <c r="B58" s="63" t="s">
        <v>1914</v>
      </c>
      <c r="C58" s="53" t="s">
        <v>6261</v>
      </c>
      <c r="D58" s="57" t="s">
        <v>6421</v>
      </c>
      <c r="E58" s="7" t="s">
        <v>51</v>
      </c>
      <c r="F58" s="7" t="s">
        <v>48</v>
      </c>
      <c r="G58" s="7" t="s">
        <v>7527</v>
      </c>
      <c r="H58" s="7" t="s">
        <v>7527</v>
      </c>
      <c r="I58" s="7" t="s">
        <v>7432</v>
      </c>
      <c r="J58" s="7" t="s">
        <v>6575</v>
      </c>
      <c r="K58" s="7">
        <v>10052571349</v>
      </c>
      <c r="L58" s="7"/>
      <c r="M58" s="32">
        <v>46098</v>
      </c>
      <c r="N58" s="28" t="s">
        <v>11</v>
      </c>
      <c r="O58" s="28" t="s">
        <v>11</v>
      </c>
      <c r="P58" s="28" t="s">
        <v>11</v>
      </c>
      <c r="Q58" s="28" t="s">
        <v>11</v>
      </c>
      <c r="R58" s="28" t="s">
        <v>9</v>
      </c>
      <c r="S58" s="28" t="s">
        <v>9</v>
      </c>
      <c r="T58" s="28" t="s">
        <v>9</v>
      </c>
      <c r="U58" s="28" t="s">
        <v>9</v>
      </c>
      <c r="V58" s="28" t="s">
        <v>9</v>
      </c>
      <c r="W58" s="28" t="s">
        <v>9</v>
      </c>
      <c r="X58" s="28" t="s">
        <v>9</v>
      </c>
      <c r="Y58" s="28" t="s">
        <v>9</v>
      </c>
      <c r="Z58" s="28" t="s">
        <v>9</v>
      </c>
      <c r="AA58" s="28" t="s">
        <v>9</v>
      </c>
      <c r="AB58" s="28" t="s">
        <v>9</v>
      </c>
      <c r="AC58" s="28" t="s">
        <v>9</v>
      </c>
      <c r="AD58" s="24">
        <f t="shared" si="0"/>
        <v>11</v>
      </c>
      <c r="AE58" s="24">
        <f t="shared" si="1"/>
        <v>0</v>
      </c>
      <c r="AF58" s="24">
        <f t="shared" si="2"/>
        <v>4</v>
      </c>
      <c r="AG58" s="41" t="str" cm="1">
        <f t="array" ref="AG58">_xlfn.IFS(
$AD58=15,"Not Started",
$AF58&lt;15,"In Progress",
$AF58=15,"Completed",
SUM(AD58:AF58)&gt;15,"Error"
)</f>
        <v>In Progress</v>
      </c>
    </row>
    <row r="59" spans="1:33" ht="13" x14ac:dyDescent="0.25">
      <c r="A59" s="256"/>
      <c r="B59" s="64" t="s">
        <v>1915</v>
      </c>
      <c r="C59" s="53" t="s">
        <v>6262</v>
      </c>
      <c r="D59" s="57" t="s">
        <v>6422</v>
      </c>
      <c r="E59" s="7" t="s">
        <v>43</v>
      </c>
      <c r="F59" s="7" t="s">
        <v>48</v>
      </c>
      <c r="G59" s="7" t="s">
        <v>7527</v>
      </c>
      <c r="H59" s="7" t="s">
        <v>7527</v>
      </c>
      <c r="I59" s="7" t="s">
        <v>7433</v>
      </c>
      <c r="J59" s="7" t="s">
        <v>6576</v>
      </c>
      <c r="K59" s="7">
        <v>10052830011</v>
      </c>
      <c r="L59" s="7"/>
      <c r="M59" s="32"/>
      <c r="N59" s="28" t="s">
        <v>9</v>
      </c>
      <c r="O59" s="28" t="s">
        <v>9</v>
      </c>
      <c r="P59" s="28" t="s">
        <v>9</v>
      </c>
      <c r="Q59" s="28" t="s">
        <v>9</v>
      </c>
      <c r="R59" s="28" t="s">
        <v>9</v>
      </c>
      <c r="S59" s="28" t="s">
        <v>9</v>
      </c>
      <c r="T59" s="28" t="s">
        <v>9</v>
      </c>
      <c r="U59" s="28" t="s">
        <v>9</v>
      </c>
      <c r="V59" s="28" t="s">
        <v>9</v>
      </c>
      <c r="W59" s="28" t="s">
        <v>9</v>
      </c>
      <c r="X59" s="28" t="s">
        <v>9</v>
      </c>
      <c r="Y59" s="28" t="s">
        <v>9</v>
      </c>
      <c r="Z59" s="28" t="s">
        <v>9</v>
      </c>
      <c r="AA59" s="28" t="s">
        <v>9</v>
      </c>
      <c r="AB59" s="28" t="s">
        <v>9</v>
      </c>
      <c r="AC59" s="28" t="s">
        <v>9</v>
      </c>
      <c r="AD59" s="24">
        <f t="shared" si="0"/>
        <v>15</v>
      </c>
      <c r="AE59" s="24">
        <f t="shared" si="1"/>
        <v>0</v>
      </c>
      <c r="AF59" s="24">
        <f t="shared" si="2"/>
        <v>0</v>
      </c>
      <c r="AG59" s="41" t="str" cm="1">
        <f t="array" ref="AG59">_xlfn.IFS(
$AD59=15,"Not Started",
$AF59&lt;15,"In Progress",
$AF59=15,"Completed",
SUM(AD59:AF59)&gt;15,"Error"
)</f>
        <v>Not Started</v>
      </c>
    </row>
    <row r="60" spans="1:33" ht="13" x14ac:dyDescent="0.25">
      <c r="A60" s="256"/>
      <c r="B60" s="63" t="s">
        <v>1916</v>
      </c>
      <c r="C60" s="53" t="s">
        <v>6263</v>
      </c>
      <c r="D60" s="57" t="s">
        <v>6423</v>
      </c>
      <c r="E60" s="7" t="s">
        <v>47</v>
      </c>
      <c r="F60" s="7" t="s">
        <v>48</v>
      </c>
      <c r="G60" s="7" t="s">
        <v>7527</v>
      </c>
      <c r="H60" s="7" t="s">
        <v>7527</v>
      </c>
      <c r="I60" s="7" t="s">
        <v>7434</v>
      </c>
      <c r="J60" s="7" t="s">
        <v>6577</v>
      </c>
      <c r="K60" s="7">
        <v>10052543602</v>
      </c>
      <c r="L60" s="7"/>
      <c r="M60" s="32"/>
      <c r="N60" s="28" t="s">
        <v>9</v>
      </c>
      <c r="O60" s="28" t="s">
        <v>9</v>
      </c>
      <c r="P60" s="28" t="s">
        <v>9</v>
      </c>
      <c r="Q60" s="28" t="s">
        <v>9</v>
      </c>
      <c r="R60" s="28" t="s">
        <v>9</v>
      </c>
      <c r="S60" s="28" t="s">
        <v>9</v>
      </c>
      <c r="T60" s="28" t="s">
        <v>9</v>
      </c>
      <c r="U60" s="28" t="s">
        <v>9</v>
      </c>
      <c r="V60" s="28" t="s">
        <v>9</v>
      </c>
      <c r="W60" s="28" t="s">
        <v>9</v>
      </c>
      <c r="X60" s="28" t="s">
        <v>9</v>
      </c>
      <c r="Y60" s="28" t="s">
        <v>9</v>
      </c>
      <c r="Z60" s="28" t="s">
        <v>9</v>
      </c>
      <c r="AA60" s="28" t="s">
        <v>9</v>
      </c>
      <c r="AB60" s="28" t="s">
        <v>9</v>
      </c>
      <c r="AC60" s="28" t="s">
        <v>9</v>
      </c>
      <c r="AD60" s="24">
        <f t="shared" si="0"/>
        <v>15</v>
      </c>
      <c r="AE60" s="24">
        <f t="shared" si="1"/>
        <v>0</v>
      </c>
      <c r="AF60" s="24">
        <f t="shared" si="2"/>
        <v>0</v>
      </c>
      <c r="AG60" s="41" t="str" cm="1">
        <f t="array" ref="AG60">_xlfn.IFS(
$AD60=15,"Not Started",
$AF60&lt;15,"In Progress",
$AF60=15,"Completed",
SUM(AD60:AF60)&gt;15,"Error"
)</f>
        <v>Not Started</v>
      </c>
    </row>
    <row r="61" spans="1:33" ht="13" x14ac:dyDescent="0.25">
      <c r="A61" s="256"/>
      <c r="B61" s="64" t="s">
        <v>1917</v>
      </c>
      <c r="C61" s="53" t="s">
        <v>6264</v>
      </c>
      <c r="D61" s="57" t="s">
        <v>6424</v>
      </c>
      <c r="E61" s="7" t="s">
        <v>43</v>
      </c>
      <c r="F61" s="7" t="s">
        <v>48</v>
      </c>
      <c r="G61" s="7" t="s">
        <v>7527</v>
      </c>
      <c r="H61" s="7" t="s">
        <v>7527</v>
      </c>
      <c r="I61" s="7" t="s">
        <v>7435</v>
      </c>
      <c r="J61" s="7" t="s">
        <v>6578</v>
      </c>
      <c r="K61" s="7">
        <v>10052696890</v>
      </c>
      <c r="L61" s="7"/>
      <c r="M61" s="32"/>
      <c r="N61" s="28" t="s">
        <v>9</v>
      </c>
      <c r="O61" s="28" t="s">
        <v>9</v>
      </c>
      <c r="P61" s="28" t="s">
        <v>9</v>
      </c>
      <c r="Q61" s="28" t="s">
        <v>9</v>
      </c>
      <c r="R61" s="28" t="s">
        <v>9</v>
      </c>
      <c r="S61" s="28" t="s">
        <v>9</v>
      </c>
      <c r="T61" s="28" t="s">
        <v>9</v>
      </c>
      <c r="U61" s="28" t="s">
        <v>9</v>
      </c>
      <c r="V61" s="28" t="s">
        <v>9</v>
      </c>
      <c r="W61" s="28" t="s">
        <v>9</v>
      </c>
      <c r="X61" s="28" t="s">
        <v>9</v>
      </c>
      <c r="Y61" s="28" t="s">
        <v>9</v>
      </c>
      <c r="Z61" s="28" t="s">
        <v>9</v>
      </c>
      <c r="AA61" s="28" t="s">
        <v>9</v>
      </c>
      <c r="AB61" s="28" t="s">
        <v>9</v>
      </c>
      <c r="AC61" s="28" t="s">
        <v>9</v>
      </c>
      <c r="AD61" s="24">
        <f t="shared" si="0"/>
        <v>15</v>
      </c>
      <c r="AE61" s="24">
        <f t="shared" si="1"/>
        <v>0</v>
      </c>
      <c r="AF61" s="24">
        <f t="shared" si="2"/>
        <v>0</v>
      </c>
      <c r="AG61" s="41" t="str" cm="1">
        <f t="array" ref="AG61">_xlfn.IFS(
$AD61=15,"Not Started",
$AF61&lt;15,"In Progress",
$AF61=15,"Completed",
SUM(AD61:AF61)&gt;15,"Error"
)</f>
        <v>Not Started</v>
      </c>
    </row>
    <row r="62" spans="1:33" ht="13" x14ac:dyDescent="0.25">
      <c r="A62" s="256"/>
      <c r="B62" s="63" t="s">
        <v>1918</v>
      </c>
      <c r="C62" s="53" t="s">
        <v>6265</v>
      </c>
      <c r="D62" s="57" t="s">
        <v>6425</v>
      </c>
      <c r="E62" s="7" t="s">
        <v>43</v>
      </c>
      <c r="F62" s="7" t="s">
        <v>48</v>
      </c>
      <c r="G62" s="7" t="s">
        <v>7527</v>
      </c>
      <c r="H62" s="7" t="s">
        <v>7527</v>
      </c>
      <c r="I62" s="7" t="s">
        <v>7436</v>
      </c>
      <c r="J62" s="7" t="s">
        <v>6579</v>
      </c>
      <c r="K62" s="7">
        <v>10086073407</v>
      </c>
      <c r="L62" s="7"/>
      <c r="M62" s="32"/>
      <c r="N62" s="28" t="s">
        <v>9</v>
      </c>
      <c r="O62" s="28" t="s">
        <v>9</v>
      </c>
      <c r="P62" s="28" t="s">
        <v>9</v>
      </c>
      <c r="Q62" s="28" t="s">
        <v>9</v>
      </c>
      <c r="R62" s="28" t="s">
        <v>9</v>
      </c>
      <c r="S62" s="28" t="s">
        <v>9</v>
      </c>
      <c r="T62" s="28" t="s">
        <v>9</v>
      </c>
      <c r="U62" s="28" t="s">
        <v>9</v>
      </c>
      <c r="V62" s="28" t="s">
        <v>9</v>
      </c>
      <c r="W62" s="28" t="s">
        <v>9</v>
      </c>
      <c r="X62" s="28" t="s">
        <v>9</v>
      </c>
      <c r="Y62" s="28" t="s">
        <v>9</v>
      </c>
      <c r="Z62" s="28" t="s">
        <v>9</v>
      </c>
      <c r="AA62" s="28" t="s">
        <v>9</v>
      </c>
      <c r="AB62" s="28" t="s">
        <v>9</v>
      </c>
      <c r="AC62" s="28" t="s">
        <v>9</v>
      </c>
      <c r="AD62" s="24">
        <f t="shared" si="0"/>
        <v>15</v>
      </c>
      <c r="AE62" s="24">
        <f t="shared" si="1"/>
        <v>0</v>
      </c>
      <c r="AF62" s="24">
        <f t="shared" si="2"/>
        <v>0</v>
      </c>
      <c r="AG62" s="41" t="str" cm="1">
        <f t="array" ref="AG62">_xlfn.IFS(
$AD62=15,"Not Started",
$AF62&lt;15,"In Progress",
$AF62=15,"Completed",
SUM(AD62:AF62)&gt;15,"Error"
)</f>
        <v>Not Started</v>
      </c>
    </row>
    <row r="63" spans="1:33" ht="13" x14ac:dyDescent="0.25">
      <c r="A63" s="256"/>
      <c r="B63" s="64" t="s">
        <v>1919</v>
      </c>
      <c r="C63" s="53" t="s">
        <v>6266</v>
      </c>
      <c r="D63" s="57" t="s">
        <v>6426</v>
      </c>
      <c r="E63" s="7" t="s">
        <v>43</v>
      </c>
      <c r="F63" s="7" t="s">
        <v>48</v>
      </c>
      <c r="G63" s="7" t="s">
        <v>7527</v>
      </c>
      <c r="H63" s="7" t="s">
        <v>7527</v>
      </c>
      <c r="I63" s="7" t="s">
        <v>7437</v>
      </c>
      <c r="J63" s="7" t="s">
        <v>6580</v>
      </c>
      <c r="K63" s="7">
        <v>10052985758</v>
      </c>
      <c r="L63" s="7"/>
      <c r="M63" s="32">
        <v>46109</v>
      </c>
      <c r="N63" s="28" t="s">
        <v>11</v>
      </c>
      <c r="O63" s="28" t="s">
        <v>11</v>
      </c>
      <c r="P63" s="28" t="s">
        <v>11</v>
      </c>
      <c r="Q63" s="28" t="s">
        <v>11</v>
      </c>
      <c r="R63" s="28" t="s">
        <v>9</v>
      </c>
      <c r="S63" s="28" t="s">
        <v>9</v>
      </c>
      <c r="T63" s="28" t="s">
        <v>9</v>
      </c>
      <c r="U63" s="28" t="s">
        <v>9</v>
      </c>
      <c r="V63" s="28" t="s">
        <v>9</v>
      </c>
      <c r="W63" s="28" t="s">
        <v>9</v>
      </c>
      <c r="X63" s="28" t="s">
        <v>9</v>
      </c>
      <c r="Y63" s="28" t="s">
        <v>9</v>
      </c>
      <c r="Z63" s="28" t="s">
        <v>9</v>
      </c>
      <c r="AA63" s="28" t="s">
        <v>9</v>
      </c>
      <c r="AB63" s="28" t="s">
        <v>9</v>
      </c>
      <c r="AC63" s="28" t="s">
        <v>9</v>
      </c>
      <c r="AD63" s="24">
        <f t="shared" si="0"/>
        <v>11</v>
      </c>
      <c r="AE63" s="24">
        <f t="shared" si="1"/>
        <v>0</v>
      </c>
      <c r="AF63" s="24">
        <f t="shared" si="2"/>
        <v>4</v>
      </c>
      <c r="AG63" s="41" t="str" cm="1">
        <f t="array" ref="AG63">_xlfn.IFS(
$AD63=15,"Not Started",
$AF63&lt;15,"In Progress",
$AF63=15,"Completed",
SUM(AD63:AF63)&gt;15,"Error"
)</f>
        <v>In Progress</v>
      </c>
    </row>
    <row r="64" spans="1:33" ht="13" x14ac:dyDescent="0.25">
      <c r="A64" s="256"/>
      <c r="B64" s="63" t="s">
        <v>1920</v>
      </c>
      <c r="C64" s="53" t="s">
        <v>6267</v>
      </c>
      <c r="D64" s="57" t="s">
        <v>6427</v>
      </c>
      <c r="E64" s="7" t="s">
        <v>51</v>
      </c>
      <c r="F64" s="7" t="s">
        <v>48</v>
      </c>
      <c r="G64" s="7" t="s">
        <v>7527</v>
      </c>
      <c r="H64" s="7" t="s">
        <v>7527</v>
      </c>
      <c r="I64" s="7" t="s">
        <v>7438</v>
      </c>
      <c r="J64" s="7" t="s">
        <v>6581</v>
      </c>
      <c r="K64" s="7">
        <v>10098811302</v>
      </c>
      <c r="L64" s="7"/>
      <c r="M64" s="32"/>
      <c r="N64" s="28" t="s">
        <v>9</v>
      </c>
      <c r="O64" s="28" t="s">
        <v>9</v>
      </c>
      <c r="P64" s="28" t="s">
        <v>9</v>
      </c>
      <c r="Q64" s="28" t="s">
        <v>9</v>
      </c>
      <c r="R64" s="28" t="s">
        <v>9</v>
      </c>
      <c r="S64" s="28" t="s">
        <v>9</v>
      </c>
      <c r="T64" s="28" t="s">
        <v>9</v>
      </c>
      <c r="U64" s="28" t="s">
        <v>9</v>
      </c>
      <c r="V64" s="28" t="s">
        <v>9</v>
      </c>
      <c r="W64" s="28" t="s">
        <v>9</v>
      </c>
      <c r="X64" s="28" t="s">
        <v>9</v>
      </c>
      <c r="Y64" s="28" t="s">
        <v>9</v>
      </c>
      <c r="Z64" s="28" t="s">
        <v>9</v>
      </c>
      <c r="AA64" s="28" t="s">
        <v>9</v>
      </c>
      <c r="AB64" s="28" t="s">
        <v>9</v>
      </c>
      <c r="AC64" s="28" t="s">
        <v>9</v>
      </c>
      <c r="AD64" s="24">
        <f t="shared" si="0"/>
        <v>15</v>
      </c>
      <c r="AE64" s="24">
        <f t="shared" si="1"/>
        <v>0</v>
      </c>
      <c r="AF64" s="24">
        <f t="shared" si="2"/>
        <v>0</v>
      </c>
      <c r="AG64" s="41" t="str" cm="1">
        <f t="array" ref="AG64">_xlfn.IFS(
$AD64=15,"Not Started",
$AF64&lt;15,"In Progress",
$AF64=15,"Completed",
SUM(AD64:AF64)&gt;15,"Error"
)</f>
        <v>Not Started</v>
      </c>
    </row>
    <row r="65" spans="1:33" ht="13" x14ac:dyDescent="0.25">
      <c r="A65" s="256"/>
      <c r="B65" s="64" t="s">
        <v>1921</v>
      </c>
      <c r="C65" s="53" t="s">
        <v>6268</v>
      </c>
      <c r="D65" s="57" t="s">
        <v>6428</v>
      </c>
      <c r="E65" s="7" t="s">
        <v>9672</v>
      </c>
      <c r="F65" s="7" t="s">
        <v>48</v>
      </c>
      <c r="G65" s="7" t="s">
        <v>7527</v>
      </c>
      <c r="H65" s="7" t="s">
        <v>7527</v>
      </c>
      <c r="I65" s="7" t="s">
        <v>7439</v>
      </c>
      <c r="J65" s="7" t="s">
        <v>6582</v>
      </c>
      <c r="K65" s="7">
        <v>10098808871</v>
      </c>
      <c r="L65" s="7"/>
      <c r="M65" s="32"/>
      <c r="N65" s="28" t="s">
        <v>9</v>
      </c>
      <c r="O65" s="28" t="s">
        <v>9</v>
      </c>
      <c r="P65" s="28" t="s">
        <v>9</v>
      </c>
      <c r="Q65" s="28" t="s">
        <v>9</v>
      </c>
      <c r="R65" s="28" t="s">
        <v>9</v>
      </c>
      <c r="S65" s="28" t="s">
        <v>9</v>
      </c>
      <c r="T65" s="28" t="s">
        <v>9</v>
      </c>
      <c r="U65" s="28" t="s">
        <v>9</v>
      </c>
      <c r="V65" s="28" t="s">
        <v>9</v>
      </c>
      <c r="W65" s="28" t="s">
        <v>9</v>
      </c>
      <c r="X65" s="28" t="s">
        <v>9</v>
      </c>
      <c r="Y65" s="28" t="s">
        <v>9</v>
      </c>
      <c r="Z65" s="28" t="s">
        <v>9</v>
      </c>
      <c r="AA65" s="28" t="s">
        <v>9</v>
      </c>
      <c r="AB65" s="28" t="s">
        <v>9</v>
      </c>
      <c r="AC65" s="28" t="s">
        <v>9</v>
      </c>
      <c r="AD65" s="24">
        <f t="shared" si="0"/>
        <v>15</v>
      </c>
      <c r="AE65" s="24">
        <f t="shared" si="1"/>
        <v>0</v>
      </c>
      <c r="AF65" s="24">
        <f t="shared" si="2"/>
        <v>0</v>
      </c>
      <c r="AG65" s="41" t="str" cm="1">
        <f t="array" ref="AG65">_xlfn.IFS(
$AD65=15,"Not Started",
$AF65&lt;15,"In Progress",
$AF65=15,"Completed",
SUM(AD65:AF65)&gt;15,"Error"
)</f>
        <v>Not Started</v>
      </c>
    </row>
    <row r="66" spans="1:33" ht="13" x14ac:dyDescent="0.25">
      <c r="A66" s="256"/>
      <c r="B66" s="63" t="s">
        <v>1922</v>
      </c>
      <c r="C66" s="53" t="s">
        <v>6269</v>
      </c>
      <c r="D66" s="57" t="s">
        <v>6429</v>
      </c>
      <c r="E66" s="7" t="s">
        <v>43</v>
      </c>
      <c r="F66" s="7" t="s">
        <v>44</v>
      </c>
      <c r="G66" s="7" t="s">
        <v>7527</v>
      </c>
      <c r="H66" s="7" t="s">
        <v>7527</v>
      </c>
      <c r="I66" s="7" t="s">
        <v>7440</v>
      </c>
      <c r="J66" s="7" t="s">
        <v>6583</v>
      </c>
      <c r="K66" s="7">
        <v>10053065625</v>
      </c>
      <c r="L66" s="7"/>
      <c r="M66" s="32">
        <v>46111</v>
      </c>
      <c r="N66" s="28" t="s">
        <v>11</v>
      </c>
      <c r="O66" s="28" t="s">
        <v>11</v>
      </c>
      <c r="P66" s="28" t="s">
        <v>11</v>
      </c>
      <c r="Q66" s="28" t="s">
        <v>11</v>
      </c>
      <c r="R66" s="28" t="s">
        <v>9</v>
      </c>
      <c r="S66" s="28" t="s">
        <v>9</v>
      </c>
      <c r="T66" s="28" t="s">
        <v>9</v>
      </c>
      <c r="U66" s="28" t="s">
        <v>9</v>
      </c>
      <c r="V66" s="28" t="s">
        <v>9</v>
      </c>
      <c r="W66" s="28" t="s">
        <v>9</v>
      </c>
      <c r="X66" s="28" t="s">
        <v>9</v>
      </c>
      <c r="Y66" s="28" t="s">
        <v>9</v>
      </c>
      <c r="Z66" s="28" t="s">
        <v>9</v>
      </c>
      <c r="AA66" s="28" t="s">
        <v>9</v>
      </c>
      <c r="AB66" s="28" t="s">
        <v>9</v>
      </c>
      <c r="AC66" s="28" t="s">
        <v>9</v>
      </c>
      <c r="AD66" s="24">
        <f t="shared" si="0"/>
        <v>11</v>
      </c>
      <c r="AE66" s="24">
        <f t="shared" si="1"/>
        <v>0</v>
      </c>
      <c r="AF66" s="24">
        <f t="shared" si="2"/>
        <v>4</v>
      </c>
      <c r="AG66" s="41" t="str" cm="1">
        <f t="array" ref="AG66">_xlfn.IFS(
$AD66=15,"Not Started",
$AF66&lt;15,"In Progress",
$AF66=15,"Completed",
SUM(AD66:AF66)&gt;15,"Error"
)</f>
        <v>In Progress</v>
      </c>
    </row>
    <row r="67" spans="1:33" ht="13" x14ac:dyDescent="0.25">
      <c r="A67" s="256"/>
      <c r="B67" s="64" t="s">
        <v>1923</v>
      </c>
      <c r="C67" s="53" t="s">
        <v>6270</v>
      </c>
      <c r="D67" s="57" t="s">
        <v>6430</v>
      </c>
      <c r="E67" s="7" t="s">
        <v>43</v>
      </c>
      <c r="F67" s="7" t="s">
        <v>44</v>
      </c>
      <c r="G67" s="7" t="s">
        <v>7527</v>
      </c>
      <c r="H67" s="7" t="s">
        <v>7527</v>
      </c>
      <c r="I67" s="7" t="s">
        <v>7441</v>
      </c>
      <c r="J67" s="7" t="s">
        <v>6584</v>
      </c>
      <c r="K67" s="7">
        <v>10053013191</v>
      </c>
      <c r="L67" s="7"/>
      <c r="M67" s="32">
        <v>46107</v>
      </c>
      <c r="N67" s="28" t="s">
        <v>11</v>
      </c>
      <c r="O67" s="28" t="s">
        <v>11</v>
      </c>
      <c r="P67" s="28" t="s">
        <v>11</v>
      </c>
      <c r="Q67" s="28" t="s">
        <v>11</v>
      </c>
      <c r="R67" s="28" t="s">
        <v>9</v>
      </c>
      <c r="S67" s="28" t="s">
        <v>9</v>
      </c>
      <c r="T67" s="28" t="s">
        <v>9</v>
      </c>
      <c r="U67" s="28" t="s">
        <v>9</v>
      </c>
      <c r="V67" s="28" t="s">
        <v>9</v>
      </c>
      <c r="W67" s="28" t="s">
        <v>9</v>
      </c>
      <c r="X67" s="28" t="s">
        <v>9</v>
      </c>
      <c r="Y67" s="28" t="s">
        <v>9</v>
      </c>
      <c r="Z67" s="28" t="s">
        <v>9</v>
      </c>
      <c r="AA67" s="28" t="s">
        <v>9</v>
      </c>
      <c r="AB67" s="28" t="s">
        <v>9</v>
      </c>
      <c r="AC67" s="28" t="s">
        <v>9</v>
      </c>
      <c r="AD67" s="24">
        <f t="shared" si="0"/>
        <v>11</v>
      </c>
      <c r="AE67" s="24">
        <f t="shared" si="1"/>
        <v>0</v>
      </c>
      <c r="AF67" s="24">
        <f t="shared" si="2"/>
        <v>4</v>
      </c>
      <c r="AG67" s="41" t="str" cm="1">
        <f t="array" ref="AG67">_xlfn.IFS(
$AD67=15,"Not Started",
$AF67&lt;15,"In Progress",
$AF67=15,"Completed",
SUM(AD67:AF67)&gt;15,"Error"
)</f>
        <v>In Progress</v>
      </c>
    </row>
    <row r="68" spans="1:33" ht="13" x14ac:dyDescent="0.25">
      <c r="A68" s="256"/>
      <c r="B68" s="63" t="s">
        <v>1924</v>
      </c>
      <c r="C68" s="53" t="s">
        <v>6271</v>
      </c>
      <c r="D68" s="57" t="s">
        <v>6431</v>
      </c>
      <c r="E68" s="7" t="s">
        <v>43</v>
      </c>
      <c r="F68" s="7" t="s">
        <v>44</v>
      </c>
      <c r="G68" s="7" t="s">
        <v>7527</v>
      </c>
      <c r="H68" s="7" t="s">
        <v>7527</v>
      </c>
      <c r="I68" s="7" t="s">
        <v>7442</v>
      </c>
      <c r="J68" s="7" t="s">
        <v>6585</v>
      </c>
      <c r="K68" s="7">
        <v>10052606103</v>
      </c>
      <c r="L68" s="7"/>
      <c r="M68" s="32">
        <v>46116</v>
      </c>
      <c r="N68" s="28" t="s">
        <v>11</v>
      </c>
      <c r="O68" s="28" t="s">
        <v>11</v>
      </c>
      <c r="P68" s="28" t="s">
        <v>11</v>
      </c>
      <c r="Q68" s="28" t="s">
        <v>11</v>
      </c>
      <c r="R68" s="28" t="s">
        <v>9</v>
      </c>
      <c r="S68" s="28" t="s">
        <v>9</v>
      </c>
      <c r="T68" s="28" t="s">
        <v>9</v>
      </c>
      <c r="U68" s="28" t="s">
        <v>9</v>
      </c>
      <c r="V68" s="28" t="s">
        <v>9</v>
      </c>
      <c r="W68" s="28" t="s">
        <v>9</v>
      </c>
      <c r="X68" s="28" t="s">
        <v>9</v>
      </c>
      <c r="Y68" s="28" t="s">
        <v>9</v>
      </c>
      <c r="Z68" s="28" t="s">
        <v>9</v>
      </c>
      <c r="AA68" s="28" t="s">
        <v>9</v>
      </c>
      <c r="AB68" s="28" t="s">
        <v>9</v>
      </c>
      <c r="AC68" s="28" t="s">
        <v>9</v>
      </c>
      <c r="AD68" s="24">
        <f t="shared" ref="AD68:AD131" si="3">COUNTIF(N68:AB68,$AD$2)</f>
        <v>11</v>
      </c>
      <c r="AE68" s="24">
        <f t="shared" ref="AE68:AE131" si="4">COUNTIF(N68:AB68,$AE$2)</f>
        <v>0</v>
      </c>
      <c r="AF68" s="24">
        <f t="shared" ref="AF68:AF131" si="5">COUNTIF(N68:AB68,$AF$2)</f>
        <v>4</v>
      </c>
      <c r="AG68" s="41" t="str" cm="1">
        <f t="array" ref="AG68">_xlfn.IFS(
$AD68=15,"Not Started",
$AF68&lt;15,"In Progress",
$AF68=15,"Completed",
SUM(AD68:AF68)&gt;15,"Error"
)</f>
        <v>In Progress</v>
      </c>
    </row>
    <row r="69" spans="1:33" ht="13" x14ac:dyDescent="0.25">
      <c r="A69" s="256"/>
      <c r="B69" s="64" t="s">
        <v>1925</v>
      </c>
      <c r="C69" s="53" t="s">
        <v>6272</v>
      </c>
      <c r="D69" s="57" t="s">
        <v>6432</v>
      </c>
      <c r="E69" s="7" t="s">
        <v>43</v>
      </c>
      <c r="F69" s="7" t="s">
        <v>44</v>
      </c>
      <c r="G69" s="7" t="s">
        <v>7527</v>
      </c>
      <c r="H69" s="7" t="s">
        <v>7527</v>
      </c>
      <c r="I69" s="7" t="s">
        <v>7443</v>
      </c>
      <c r="J69" s="7" t="s">
        <v>6586</v>
      </c>
      <c r="K69" s="7">
        <v>10053026298</v>
      </c>
      <c r="L69" s="7"/>
      <c r="M69" s="32">
        <v>46107</v>
      </c>
      <c r="N69" s="28" t="s">
        <v>11</v>
      </c>
      <c r="O69" s="28" t="s">
        <v>11</v>
      </c>
      <c r="P69" s="28" t="s">
        <v>11</v>
      </c>
      <c r="Q69" s="28" t="s">
        <v>11</v>
      </c>
      <c r="R69" s="28" t="s">
        <v>9</v>
      </c>
      <c r="S69" s="28" t="s">
        <v>9</v>
      </c>
      <c r="T69" s="28" t="s">
        <v>9</v>
      </c>
      <c r="U69" s="28" t="s">
        <v>9</v>
      </c>
      <c r="V69" s="28" t="s">
        <v>9</v>
      </c>
      <c r="W69" s="28" t="s">
        <v>9</v>
      </c>
      <c r="X69" s="28" t="s">
        <v>9</v>
      </c>
      <c r="Y69" s="28" t="s">
        <v>9</v>
      </c>
      <c r="Z69" s="28" t="s">
        <v>9</v>
      </c>
      <c r="AA69" s="28" t="s">
        <v>9</v>
      </c>
      <c r="AB69" s="28" t="s">
        <v>9</v>
      </c>
      <c r="AC69" s="28" t="s">
        <v>9</v>
      </c>
      <c r="AD69" s="24">
        <f t="shared" si="3"/>
        <v>11</v>
      </c>
      <c r="AE69" s="24">
        <f t="shared" si="4"/>
        <v>0</v>
      </c>
      <c r="AF69" s="24">
        <f t="shared" si="5"/>
        <v>4</v>
      </c>
      <c r="AG69" s="41" t="str" cm="1">
        <f t="array" ref="AG69">_xlfn.IFS(
$AD69=15,"Not Started",
$AF69&lt;15,"In Progress",
$AF69=15,"Completed",
SUM(AD69:AF69)&gt;15,"Error"
)</f>
        <v>In Progress</v>
      </c>
    </row>
    <row r="70" spans="1:33" ht="13" x14ac:dyDescent="0.25">
      <c r="A70" s="256"/>
      <c r="B70" s="63" t="s">
        <v>1926</v>
      </c>
      <c r="C70" s="53" t="s">
        <v>6273</v>
      </c>
      <c r="D70" s="57" t="s">
        <v>6433</v>
      </c>
      <c r="E70" s="7" t="s">
        <v>43</v>
      </c>
      <c r="F70" s="7" t="s">
        <v>44</v>
      </c>
      <c r="G70" s="7" t="s">
        <v>7527</v>
      </c>
      <c r="H70" s="7" t="s">
        <v>7527</v>
      </c>
      <c r="I70" s="7" t="s">
        <v>7444</v>
      </c>
      <c r="J70" s="7" t="s">
        <v>6587</v>
      </c>
      <c r="K70" s="7">
        <v>10053050346</v>
      </c>
      <c r="L70" s="7"/>
      <c r="M70" s="32"/>
      <c r="N70" s="28" t="s">
        <v>9</v>
      </c>
      <c r="O70" s="28" t="s">
        <v>9</v>
      </c>
      <c r="P70" s="28" t="s">
        <v>9</v>
      </c>
      <c r="Q70" s="28" t="s">
        <v>9</v>
      </c>
      <c r="R70" s="28" t="s">
        <v>9</v>
      </c>
      <c r="S70" s="28" t="s">
        <v>9</v>
      </c>
      <c r="T70" s="28" t="s">
        <v>9</v>
      </c>
      <c r="U70" s="28" t="s">
        <v>9</v>
      </c>
      <c r="V70" s="28" t="s">
        <v>9</v>
      </c>
      <c r="W70" s="28" t="s">
        <v>9</v>
      </c>
      <c r="X70" s="28" t="s">
        <v>9</v>
      </c>
      <c r="Y70" s="28" t="s">
        <v>9</v>
      </c>
      <c r="Z70" s="28" t="s">
        <v>9</v>
      </c>
      <c r="AA70" s="28" t="s">
        <v>9</v>
      </c>
      <c r="AB70" s="28" t="s">
        <v>9</v>
      </c>
      <c r="AC70" s="28" t="s">
        <v>9</v>
      </c>
      <c r="AD70" s="24">
        <f t="shared" si="3"/>
        <v>15</v>
      </c>
      <c r="AE70" s="24">
        <f t="shared" si="4"/>
        <v>0</v>
      </c>
      <c r="AF70" s="24">
        <f t="shared" si="5"/>
        <v>0</v>
      </c>
      <c r="AG70" s="41" t="str" cm="1">
        <f t="array" ref="AG70">_xlfn.IFS(
$AD70=15,"Not Started",
$AF70&lt;15,"In Progress",
$AF70=15,"Completed",
SUM(AD70:AF70)&gt;15,"Error"
)</f>
        <v>Not Started</v>
      </c>
    </row>
    <row r="71" spans="1:33" ht="13" x14ac:dyDescent="0.25">
      <c r="A71" s="256"/>
      <c r="B71" s="64" t="s">
        <v>1927</v>
      </c>
      <c r="C71" s="53" t="s">
        <v>6274</v>
      </c>
      <c r="D71" s="57" t="s">
        <v>6434</v>
      </c>
      <c r="E71" s="7" t="s">
        <v>43</v>
      </c>
      <c r="F71" s="7" t="s">
        <v>48</v>
      </c>
      <c r="G71" s="7" t="s">
        <v>7527</v>
      </c>
      <c r="H71" s="7" t="s">
        <v>7527</v>
      </c>
      <c r="I71" s="7" t="s">
        <v>7445</v>
      </c>
      <c r="J71" s="7" t="s">
        <v>6588</v>
      </c>
      <c r="K71" s="7">
        <v>10052951419</v>
      </c>
      <c r="L71" s="7"/>
      <c r="M71" s="32">
        <v>46097</v>
      </c>
      <c r="N71" s="28" t="s">
        <v>11</v>
      </c>
      <c r="O71" s="28" t="s">
        <v>11</v>
      </c>
      <c r="P71" s="28" t="s">
        <v>11</v>
      </c>
      <c r="Q71" s="28" t="s">
        <v>11</v>
      </c>
      <c r="R71" s="28" t="s">
        <v>9</v>
      </c>
      <c r="S71" s="28" t="s">
        <v>9</v>
      </c>
      <c r="T71" s="28" t="s">
        <v>9</v>
      </c>
      <c r="U71" s="28" t="s">
        <v>9</v>
      </c>
      <c r="V71" s="28" t="s">
        <v>9</v>
      </c>
      <c r="W71" s="28" t="s">
        <v>9</v>
      </c>
      <c r="X71" s="28" t="s">
        <v>9</v>
      </c>
      <c r="Y71" s="28" t="s">
        <v>9</v>
      </c>
      <c r="Z71" s="28" t="s">
        <v>9</v>
      </c>
      <c r="AA71" s="28" t="s">
        <v>9</v>
      </c>
      <c r="AB71" s="28" t="s">
        <v>9</v>
      </c>
      <c r="AC71" s="28" t="s">
        <v>9</v>
      </c>
      <c r="AD71" s="24">
        <f t="shared" si="3"/>
        <v>11</v>
      </c>
      <c r="AE71" s="24">
        <f t="shared" si="4"/>
        <v>0</v>
      </c>
      <c r="AF71" s="24">
        <f t="shared" si="5"/>
        <v>4</v>
      </c>
      <c r="AG71" s="41" t="str" cm="1">
        <f t="array" ref="AG71">_xlfn.IFS(
$AD71=15,"Not Started",
$AF71&lt;15,"In Progress",
$AF71=15,"Completed",
SUM(AD71:AF71)&gt;15,"Error"
)</f>
        <v>In Progress</v>
      </c>
    </row>
    <row r="72" spans="1:33" ht="13" x14ac:dyDescent="0.25">
      <c r="A72" s="256"/>
      <c r="B72" s="63" t="s">
        <v>1928</v>
      </c>
      <c r="C72" s="53" t="s">
        <v>6275</v>
      </c>
      <c r="D72" s="57" t="s">
        <v>6435</v>
      </c>
      <c r="E72" s="7" t="s">
        <v>43</v>
      </c>
      <c r="F72" s="7" t="s">
        <v>44</v>
      </c>
      <c r="G72" s="7" t="s">
        <v>7527</v>
      </c>
      <c r="H72" s="7" t="s">
        <v>7527</v>
      </c>
      <c r="I72" s="7" t="s">
        <v>7446</v>
      </c>
      <c r="J72" s="7" t="s">
        <v>6589</v>
      </c>
      <c r="K72" s="7">
        <v>10052759130</v>
      </c>
      <c r="L72" s="7"/>
      <c r="M72" s="32">
        <v>46137</v>
      </c>
      <c r="N72" s="28" t="s">
        <v>11</v>
      </c>
      <c r="O72" s="28" t="s">
        <v>11</v>
      </c>
      <c r="P72" s="28" t="s">
        <v>11</v>
      </c>
      <c r="Q72" s="28" t="s">
        <v>11</v>
      </c>
      <c r="R72" s="28" t="s">
        <v>9</v>
      </c>
      <c r="S72" s="28" t="s">
        <v>9</v>
      </c>
      <c r="T72" s="28" t="s">
        <v>9</v>
      </c>
      <c r="U72" s="28" t="s">
        <v>9</v>
      </c>
      <c r="V72" s="28" t="s">
        <v>9</v>
      </c>
      <c r="W72" s="28" t="s">
        <v>9</v>
      </c>
      <c r="X72" s="28" t="s">
        <v>9</v>
      </c>
      <c r="Y72" s="28" t="s">
        <v>9</v>
      </c>
      <c r="Z72" s="28" t="s">
        <v>9</v>
      </c>
      <c r="AA72" s="28" t="s">
        <v>9</v>
      </c>
      <c r="AB72" s="28" t="s">
        <v>9</v>
      </c>
      <c r="AC72" s="28" t="s">
        <v>9</v>
      </c>
      <c r="AD72" s="24">
        <f t="shared" si="3"/>
        <v>11</v>
      </c>
      <c r="AE72" s="24">
        <f t="shared" si="4"/>
        <v>0</v>
      </c>
      <c r="AF72" s="24">
        <f t="shared" si="5"/>
        <v>4</v>
      </c>
      <c r="AG72" s="41" t="str" cm="1">
        <f t="array" ref="AG72">_xlfn.IFS(
$AD72=15,"Not Started",
$AF72&lt;15,"In Progress",
$AF72=15,"Completed",
SUM(AD72:AF72)&gt;15,"Error"
)</f>
        <v>In Progress</v>
      </c>
    </row>
    <row r="73" spans="1:33" ht="13" x14ac:dyDescent="0.25">
      <c r="A73" s="256"/>
      <c r="B73" s="223" t="s">
        <v>1929</v>
      </c>
      <c r="C73" s="53" t="s">
        <v>6276</v>
      </c>
      <c r="D73" s="57" t="s">
        <v>6436</v>
      </c>
      <c r="E73" s="7" t="s">
        <v>51</v>
      </c>
      <c r="F73" s="7" t="s">
        <v>44</v>
      </c>
      <c r="G73" s="7" t="s">
        <v>7527</v>
      </c>
      <c r="H73" s="7" t="s">
        <v>7527</v>
      </c>
      <c r="I73" s="7" t="s">
        <v>7447</v>
      </c>
      <c r="J73" s="7" t="s">
        <v>6590</v>
      </c>
      <c r="K73" s="7">
        <v>10052690091</v>
      </c>
      <c r="L73" s="7"/>
      <c r="M73" s="32">
        <v>46140</v>
      </c>
      <c r="N73" s="28" t="s">
        <v>11</v>
      </c>
      <c r="O73" s="28" t="s">
        <v>11</v>
      </c>
      <c r="P73" s="28" t="s">
        <v>11</v>
      </c>
      <c r="Q73" s="28" t="s">
        <v>11</v>
      </c>
      <c r="R73" s="28" t="s">
        <v>9</v>
      </c>
      <c r="S73" s="28" t="s">
        <v>9</v>
      </c>
      <c r="T73" s="28" t="s">
        <v>9</v>
      </c>
      <c r="U73" s="28" t="s">
        <v>9</v>
      </c>
      <c r="V73" s="28" t="s">
        <v>9</v>
      </c>
      <c r="W73" s="28" t="s">
        <v>9</v>
      </c>
      <c r="X73" s="28" t="s">
        <v>9</v>
      </c>
      <c r="Y73" s="28" t="s">
        <v>9</v>
      </c>
      <c r="Z73" s="28" t="s">
        <v>9</v>
      </c>
      <c r="AA73" s="28" t="s">
        <v>9</v>
      </c>
      <c r="AB73" s="28" t="s">
        <v>9</v>
      </c>
      <c r="AC73" s="28" t="s">
        <v>9</v>
      </c>
      <c r="AD73" s="24">
        <f t="shared" si="3"/>
        <v>11</v>
      </c>
      <c r="AE73" s="24">
        <f t="shared" si="4"/>
        <v>0</v>
      </c>
      <c r="AF73" s="24">
        <f t="shared" si="5"/>
        <v>4</v>
      </c>
      <c r="AG73" s="41" t="str" cm="1">
        <f t="array" ref="AG73">_xlfn.IFS(
$AD73=15,"Not Started",
$AF73&lt;15,"In Progress",
$AF73=15,"Completed",
SUM(AD73:AF73)&gt;15,"Error"
)</f>
        <v>In Progress</v>
      </c>
    </row>
    <row r="74" spans="1:33" ht="13" x14ac:dyDescent="0.25">
      <c r="A74" s="256"/>
      <c r="B74" s="63" t="s">
        <v>1930</v>
      </c>
      <c r="C74" s="53" t="s">
        <v>6277</v>
      </c>
      <c r="D74" s="57" t="s">
        <v>6437</v>
      </c>
      <c r="E74" s="7" t="s">
        <v>43</v>
      </c>
      <c r="F74" s="7" t="s">
        <v>44</v>
      </c>
      <c r="G74" s="7" t="s">
        <v>7527</v>
      </c>
      <c r="H74" s="7" t="s">
        <v>7527</v>
      </c>
      <c r="I74" s="7" t="s">
        <v>7448</v>
      </c>
      <c r="J74" s="7" t="s">
        <v>6591</v>
      </c>
      <c r="K74" s="7">
        <v>10052455500</v>
      </c>
      <c r="L74" s="7"/>
      <c r="M74" s="32">
        <v>46127</v>
      </c>
      <c r="N74" s="28" t="s">
        <v>11</v>
      </c>
      <c r="O74" s="28" t="s">
        <v>11</v>
      </c>
      <c r="P74" s="28" t="s">
        <v>11</v>
      </c>
      <c r="Q74" s="28" t="s">
        <v>11</v>
      </c>
      <c r="R74" s="28" t="s">
        <v>9</v>
      </c>
      <c r="S74" s="28" t="s">
        <v>9</v>
      </c>
      <c r="T74" s="28" t="s">
        <v>9</v>
      </c>
      <c r="U74" s="28" t="s">
        <v>9</v>
      </c>
      <c r="V74" s="28" t="s">
        <v>9</v>
      </c>
      <c r="W74" s="28" t="s">
        <v>9</v>
      </c>
      <c r="X74" s="28" t="s">
        <v>9</v>
      </c>
      <c r="Y74" s="28" t="s">
        <v>9</v>
      </c>
      <c r="Z74" s="28" t="s">
        <v>9</v>
      </c>
      <c r="AA74" s="28" t="s">
        <v>9</v>
      </c>
      <c r="AB74" s="28" t="s">
        <v>9</v>
      </c>
      <c r="AC74" s="28" t="s">
        <v>9</v>
      </c>
      <c r="AD74" s="24">
        <f t="shared" si="3"/>
        <v>11</v>
      </c>
      <c r="AE74" s="24">
        <f t="shared" si="4"/>
        <v>0</v>
      </c>
      <c r="AF74" s="24">
        <f t="shared" si="5"/>
        <v>4</v>
      </c>
      <c r="AG74" s="41" t="str" cm="1">
        <f t="array" ref="AG74">_xlfn.IFS(
$AD74=15,"Not Started",
$AF74&lt;15,"In Progress",
$AF74=15,"Completed",
SUM(AD74:AF74)&gt;15,"Error"
)</f>
        <v>In Progress</v>
      </c>
    </row>
    <row r="75" spans="1:33" ht="13" x14ac:dyDescent="0.25">
      <c r="A75" s="256"/>
      <c r="B75" s="64" t="s">
        <v>1931</v>
      </c>
      <c r="C75" s="53" t="s">
        <v>6278</v>
      </c>
      <c r="D75" s="57" t="s">
        <v>6438</v>
      </c>
      <c r="E75" s="7" t="s">
        <v>52</v>
      </c>
      <c r="F75" s="7" t="s">
        <v>44</v>
      </c>
      <c r="G75" s="7" t="s">
        <v>7527</v>
      </c>
      <c r="H75" s="7" t="s">
        <v>7527</v>
      </c>
      <c r="I75" s="7" t="s">
        <v>7449</v>
      </c>
      <c r="J75" s="7" t="s">
        <v>6592</v>
      </c>
      <c r="K75" s="7">
        <v>10052991451</v>
      </c>
      <c r="L75" s="7"/>
      <c r="M75" s="32"/>
      <c r="N75" s="28" t="s">
        <v>9</v>
      </c>
      <c r="O75" s="28" t="s">
        <v>9</v>
      </c>
      <c r="P75" s="28" t="s">
        <v>9</v>
      </c>
      <c r="Q75" s="28" t="s">
        <v>9</v>
      </c>
      <c r="R75" s="28" t="s">
        <v>9</v>
      </c>
      <c r="S75" s="28" t="s">
        <v>9</v>
      </c>
      <c r="T75" s="28" t="s">
        <v>9</v>
      </c>
      <c r="U75" s="28" t="s">
        <v>9</v>
      </c>
      <c r="V75" s="28" t="s">
        <v>9</v>
      </c>
      <c r="W75" s="28" t="s">
        <v>9</v>
      </c>
      <c r="X75" s="28" t="s">
        <v>9</v>
      </c>
      <c r="Y75" s="28" t="s">
        <v>9</v>
      </c>
      <c r="Z75" s="28" t="s">
        <v>9</v>
      </c>
      <c r="AA75" s="28" t="s">
        <v>9</v>
      </c>
      <c r="AB75" s="28" t="s">
        <v>9</v>
      </c>
      <c r="AC75" s="28" t="s">
        <v>9</v>
      </c>
      <c r="AD75" s="24">
        <f t="shared" si="3"/>
        <v>15</v>
      </c>
      <c r="AE75" s="24">
        <f t="shared" si="4"/>
        <v>0</v>
      </c>
      <c r="AF75" s="24">
        <f t="shared" si="5"/>
        <v>0</v>
      </c>
      <c r="AG75" s="41" t="str" cm="1">
        <f t="array" ref="AG75">_xlfn.IFS(
$AD75=15,"Not Started",
$AF75&lt;15,"In Progress",
$AF75=15,"Completed",
SUM(AD75:AF75)&gt;15,"Error"
)</f>
        <v>Not Started</v>
      </c>
    </row>
    <row r="76" spans="1:33" ht="13" x14ac:dyDescent="0.25">
      <c r="A76" s="256"/>
      <c r="B76" s="63" t="s">
        <v>1932</v>
      </c>
      <c r="C76" s="53" t="s">
        <v>6279</v>
      </c>
      <c r="D76" s="57" t="s">
        <v>6439</v>
      </c>
      <c r="E76" s="7" t="s">
        <v>47</v>
      </c>
      <c r="F76" s="7" t="s">
        <v>44</v>
      </c>
      <c r="G76" s="7" t="s">
        <v>7527</v>
      </c>
      <c r="H76" s="7" t="s">
        <v>7527</v>
      </c>
      <c r="I76" s="7" t="s">
        <v>7450</v>
      </c>
      <c r="J76" s="7" t="s">
        <v>6593</v>
      </c>
      <c r="K76" s="7">
        <v>10053067432</v>
      </c>
      <c r="L76" s="7"/>
      <c r="M76" s="32"/>
      <c r="N76" s="28" t="s">
        <v>9</v>
      </c>
      <c r="O76" s="28" t="s">
        <v>9</v>
      </c>
      <c r="P76" s="28" t="s">
        <v>9</v>
      </c>
      <c r="Q76" s="28" t="s">
        <v>9</v>
      </c>
      <c r="R76" s="28" t="s">
        <v>9</v>
      </c>
      <c r="S76" s="28" t="s">
        <v>9</v>
      </c>
      <c r="T76" s="28" t="s">
        <v>9</v>
      </c>
      <c r="U76" s="28" t="s">
        <v>9</v>
      </c>
      <c r="V76" s="28" t="s">
        <v>9</v>
      </c>
      <c r="W76" s="28" t="s">
        <v>9</v>
      </c>
      <c r="X76" s="28" t="s">
        <v>9</v>
      </c>
      <c r="Y76" s="28" t="s">
        <v>9</v>
      </c>
      <c r="Z76" s="28" t="s">
        <v>9</v>
      </c>
      <c r="AA76" s="28" t="s">
        <v>9</v>
      </c>
      <c r="AB76" s="28" t="s">
        <v>9</v>
      </c>
      <c r="AC76" s="28" t="s">
        <v>9</v>
      </c>
      <c r="AD76" s="24">
        <f t="shared" si="3"/>
        <v>15</v>
      </c>
      <c r="AE76" s="24">
        <f t="shared" si="4"/>
        <v>0</v>
      </c>
      <c r="AF76" s="24">
        <f t="shared" si="5"/>
        <v>0</v>
      </c>
      <c r="AG76" s="41" t="str" cm="1">
        <f t="array" ref="AG76">_xlfn.IFS(
$AD76=15,"Not Started",
$AF76&lt;15,"In Progress",
$AF76=15,"Completed",
SUM(AD76:AF76)&gt;15,"Error"
)</f>
        <v>Not Started</v>
      </c>
    </row>
    <row r="77" spans="1:33" ht="13" x14ac:dyDescent="0.25">
      <c r="A77" s="256"/>
      <c r="B77" s="64" t="s">
        <v>1933</v>
      </c>
      <c r="C77" s="53" t="s">
        <v>6280</v>
      </c>
      <c r="D77" s="57" t="s">
        <v>6440</v>
      </c>
      <c r="E77" s="7" t="s">
        <v>47</v>
      </c>
      <c r="F77" s="7" t="s">
        <v>48</v>
      </c>
      <c r="G77" s="7" t="s">
        <v>7527</v>
      </c>
      <c r="H77" s="7" t="s">
        <v>7527</v>
      </c>
      <c r="I77" s="7" t="s">
        <v>7451</v>
      </c>
      <c r="J77" s="7" t="s">
        <v>6594</v>
      </c>
      <c r="K77" s="7">
        <v>10052914406</v>
      </c>
      <c r="L77" s="7"/>
      <c r="M77" s="32">
        <v>46132</v>
      </c>
      <c r="N77" s="28" t="s">
        <v>11</v>
      </c>
      <c r="O77" s="28" t="s">
        <v>11</v>
      </c>
      <c r="P77" s="28" t="s">
        <v>11</v>
      </c>
      <c r="Q77" s="28" t="s">
        <v>11</v>
      </c>
      <c r="R77" s="28" t="s">
        <v>9</v>
      </c>
      <c r="S77" s="28" t="s">
        <v>9</v>
      </c>
      <c r="T77" s="28" t="s">
        <v>9</v>
      </c>
      <c r="U77" s="28" t="s">
        <v>9</v>
      </c>
      <c r="V77" s="28" t="s">
        <v>9</v>
      </c>
      <c r="W77" s="28" t="s">
        <v>9</v>
      </c>
      <c r="X77" s="28" t="s">
        <v>9</v>
      </c>
      <c r="Y77" s="28" t="s">
        <v>9</v>
      </c>
      <c r="Z77" s="28" t="s">
        <v>9</v>
      </c>
      <c r="AA77" s="28" t="s">
        <v>9</v>
      </c>
      <c r="AB77" s="28" t="s">
        <v>9</v>
      </c>
      <c r="AC77" s="28" t="s">
        <v>9</v>
      </c>
      <c r="AD77" s="24">
        <f t="shared" si="3"/>
        <v>11</v>
      </c>
      <c r="AE77" s="24">
        <f t="shared" si="4"/>
        <v>0</v>
      </c>
      <c r="AF77" s="24">
        <f t="shared" si="5"/>
        <v>4</v>
      </c>
      <c r="AG77" s="41" t="str" cm="1">
        <f t="array" ref="AG77">_xlfn.IFS(
$AD77=15,"Not Started",
$AF77&lt;15,"In Progress",
$AF77=15,"Completed",
SUM(AD77:AF77)&gt;15,"Error"
)</f>
        <v>In Progress</v>
      </c>
    </row>
    <row r="78" spans="1:33" ht="13" x14ac:dyDescent="0.25">
      <c r="A78" s="256"/>
      <c r="B78" s="63" t="s">
        <v>1934</v>
      </c>
      <c r="C78" s="53" t="s">
        <v>6281</v>
      </c>
      <c r="D78" s="57" t="s">
        <v>6441</v>
      </c>
      <c r="E78" s="7" t="s">
        <v>51</v>
      </c>
      <c r="F78" s="7" t="s">
        <v>48</v>
      </c>
      <c r="G78" s="7" t="s">
        <v>7527</v>
      </c>
      <c r="H78" s="7" t="s">
        <v>7527</v>
      </c>
      <c r="I78" s="7" t="s">
        <v>7452</v>
      </c>
      <c r="J78" s="7" t="s">
        <v>6595</v>
      </c>
      <c r="K78" s="7">
        <v>10052504570</v>
      </c>
      <c r="L78" s="7"/>
      <c r="M78" s="32">
        <v>46132</v>
      </c>
      <c r="N78" s="28" t="s">
        <v>11</v>
      </c>
      <c r="O78" s="28" t="s">
        <v>11</v>
      </c>
      <c r="P78" s="28" t="s">
        <v>11</v>
      </c>
      <c r="Q78" s="28" t="s">
        <v>11</v>
      </c>
      <c r="R78" s="28" t="s">
        <v>9</v>
      </c>
      <c r="S78" s="28" t="s">
        <v>9</v>
      </c>
      <c r="T78" s="28" t="s">
        <v>9</v>
      </c>
      <c r="U78" s="28" t="s">
        <v>9</v>
      </c>
      <c r="V78" s="28" t="s">
        <v>9</v>
      </c>
      <c r="W78" s="28" t="s">
        <v>9</v>
      </c>
      <c r="X78" s="28" t="s">
        <v>9</v>
      </c>
      <c r="Y78" s="28" t="s">
        <v>9</v>
      </c>
      <c r="Z78" s="28" t="s">
        <v>9</v>
      </c>
      <c r="AA78" s="28" t="s">
        <v>9</v>
      </c>
      <c r="AB78" s="28" t="s">
        <v>9</v>
      </c>
      <c r="AC78" s="28" t="s">
        <v>9</v>
      </c>
      <c r="AD78" s="24">
        <f t="shared" si="3"/>
        <v>11</v>
      </c>
      <c r="AE78" s="24">
        <f t="shared" si="4"/>
        <v>0</v>
      </c>
      <c r="AF78" s="24">
        <f t="shared" si="5"/>
        <v>4</v>
      </c>
      <c r="AG78" s="41" t="str" cm="1">
        <f t="array" ref="AG78">_xlfn.IFS(
$AD78=15,"Not Started",
$AF78&lt;15,"In Progress",
$AF78=15,"Completed",
SUM(AD78:AF78)&gt;15,"Error"
)</f>
        <v>In Progress</v>
      </c>
    </row>
    <row r="79" spans="1:33" ht="13" x14ac:dyDescent="0.25">
      <c r="A79" s="256"/>
      <c r="B79" s="64" t="s">
        <v>1935</v>
      </c>
      <c r="C79" s="53" t="s">
        <v>6282</v>
      </c>
      <c r="D79" s="57" t="s">
        <v>6442</v>
      </c>
      <c r="E79" s="7" t="s">
        <v>47</v>
      </c>
      <c r="F79" s="7" t="s">
        <v>48</v>
      </c>
      <c r="G79" s="7" t="s">
        <v>7527</v>
      </c>
      <c r="H79" s="7" t="s">
        <v>7527</v>
      </c>
      <c r="I79" s="7" t="s">
        <v>7453</v>
      </c>
      <c r="J79" s="7" t="s">
        <v>6596</v>
      </c>
      <c r="K79" s="7">
        <v>10091698633</v>
      </c>
      <c r="L79" s="7"/>
      <c r="M79" s="32"/>
      <c r="N79" s="28" t="s">
        <v>9</v>
      </c>
      <c r="O79" s="28" t="s">
        <v>9</v>
      </c>
      <c r="P79" s="28" t="s">
        <v>9</v>
      </c>
      <c r="Q79" s="28" t="s">
        <v>9</v>
      </c>
      <c r="R79" s="28" t="s">
        <v>9</v>
      </c>
      <c r="S79" s="28" t="s">
        <v>9</v>
      </c>
      <c r="T79" s="28" t="s">
        <v>9</v>
      </c>
      <c r="U79" s="28" t="s">
        <v>9</v>
      </c>
      <c r="V79" s="28" t="s">
        <v>9</v>
      </c>
      <c r="W79" s="28" t="s">
        <v>9</v>
      </c>
      <c r="X79" s="28" t="s">
        <v>9</v>
      </c>
      <c r="Y79" s="28" t="s">
        <v>9</v>
      </c>
      <c r="Z79" s="28" t="s">
        <v>9</v>
      </c>
      <c r="AA79" s="28" t="s">
        <v>9</v>
      </c>
      <c r="AB79" s="28" t="s">
        <v>9</v>
      </c>
      <c r="AC79" s="28" t="s">
        <v>9</v>
      </c>
      <c r="AD79" s="24">
        <f t="shared" si="3"/>
        <v>15</v>
      </c>
      <c r="AE79" s="24">
        <f t="shared" si="4"/>
        <v>0</v>
      </c>
      <c r="AF79" s="24">
        <f t="shared" si="5"/>
        <v>0</v>
      </c>
      <c r="AG79" s="41" t="str" cm="1">
        <f t="array" ref="AG79">_xlfn.IFS(
$AD79=15,"Not Started",
$AF79&lt;15,"In Progress",
$AF79=15,"Completed",
SUM(AD79:AF79)&gt;15,"Error"
)</f>
        <v>Not Started</v>
      </c>
    </row>
    <row r="80" spans="1:33" ht="13" x14ac:dyDescent="0.25">
      <c r="A80" s="256"/>
      <c r="B80" s="63" t="s">
        <v>1936</v>
      </c>
      <c r="C80" s="53" t="s">
        <v>6283</v>
      </c>
      <c r="D80" s="57" t="s">
        <v>6443</v>
      </c>
      <c r="E80" s="7" t="s">
        <v>43</v>
      </c>
      <c r="F80" s="7" t="s">
        <v>48</v>
      </c>
      <c r="G80" s="7" t="s">
        <v>7527</v>
      </c>
      <c r="H80" s="7" t="s">
        <v>7527</v>
      </c>
      <c r="I80" s="7" t="s">
        <v>7454</v>
      </c>
      <c r="J80" s="7" t="s">
        <v>6597</v>
      </c>
      <c r="K80" s="7">
        <v>10053047841</v>
      </c>
      <c r="L80" s="7"/>
      <c r="M80" s="32">
        <v>46126</v>
      </c>
      <c r="N80" s="28" t="s">
        <v>11</v>
      </c>
      <c r="O80" s="28" t="s">
        <v>11</v>
      </c>
      <c r="P80" s="28" t="s">
        <v>11</v>
      </c>
      <c r="Q80" s="28" t="s">
        <v>11</v>
      </c>
      <c r="R80" s="28" t="s">
        <v>9</v>
      </c>
      <c r="S80" s="28" t="s">
        <v>9</v>
      </c>
      <c r="T80" s="28" t="s">
        <v>9</v>
      </c>
      <c r="U80" s="28" t="s">
        <v>9</v>
      </c>
      <c r="V80" s="28" t="s">
        <v>9</v>
      </c>
      <c r="W80" s="28" t="s">
        <v>9</v>
      </c>
      <c r="X80" s="28" t="s">
        <v>9</v>
      </c>
      <c r="Y80" s="28" t="s">
        <v>9</v>
      </c>
      <c r="Z80" s="28" t="s">
        <v>9</v>
      </c>
      <c r="AA80" s="28" t="s">
        <v>9</v>
      </c>
      <c r="AB80" s="28" t="s">
        <v>9</v>
      </c>
      <c r="AC80" s="28" t="s">
        <v>9</v>
      </c>
      <c r="AD80" s="24">
        <f t="shared" si="3"/>
        <v>11</v>
      </c>
      <c r="AE80" s="24">
        <f t="shared" si="4"/>
        <v>0</v>
      </c>
      <c r="AF80" s="24">
        <f t="shared" si="5"/>
        <v>4</v>
      </c>
      <c r="AG80" s="41" t="str" cm="1">
        <f t="array" ref="AG80">_xlfn.IFS(
$AD80=15,"Not Started",
$AF80&lt;15,"In Progress",
$AF80=15,"Completed",
SUM(AD80:AF80)&gt;15,"Error"
)</f>
        <v>In Progress</v>
      </c>
    </row>
    <row r="81" spans="1:33" ht="13" x14ac:dyDescent="0.25">
      <c r="A81" s="256"/>
      <c r="B81" s="64" t="s">
        <v>1937</v>
      </c>
      <c r="C81" s="53" t="s">
        <v>6284</v>
      </c>
      <c r="D81" s="57" t="s">
        <v>6444</v>
      </c>
      <c r="E81" s="7" t="s">
        <v>43</v>
      </c>
      <c r="F81" s="7" t="s">
        <v>48</v>
      </c>
      <c r="G81" s="7" t="s">
        <v>7527</v>
      </c>
      <c r="H81" s="7" t="s">
        <v>7527</v>
      </c>
      <c r="I81" s="7" t="s">
        <v>7455</v>
      </c>
      <c r="J81" s="7" t="s">
        <v>6598</v>
      </c>
      <c r="K81" s="7">
        <v>10052892981</v>
      </c>
      <c r="L81" s="7"/>
      <c r="M81" s="32"/>
      <c r="N81" s="28" t="s">
        <v>9</v>
      </c>
      <c r="O81" s="28" t="s">
        <v>9</v>
      </c>
      <c r="P81" s="28" t="s">
        <v>9</v>
      </c>
      <c r="Q81" s="28" t="s">
        <v>9</v>
      </c>
      <c r="R81" s="28" t="s">
        <v>9</v>
      </c>
      <c r="S81" s="28" t="s">
        <v>9</v>
      </c>
      <c r="T81" s="28" t="s">
        <v>9</v>
      </c>
      <c r="U81" s="28" t="s">
        <v>9</v>
      </c>
      <c r="V81" s="28" t="s">
        <v>9</v>
      </c>
      <c r="W81" s="28" t="s">
        <v>9</v>
      </c>
      <c r="X81" s="28" t="s">
        <v>9</v>
      </c>
      <c r="Y81" s="28" t="s">
        <v>9</v>
      </c>
      <c r="Z81" s="28" t="s">
        <v>9</v>
      </c>
      <c r="AA81" s="28" t="s">
        <v>9</v>
      </c>
      <c r="AB81" s="28" t="s">
        <v>9</v>
      </c>
      <c r="AC81" s="28" t="s">
        <v>9</v>
      </c>
      <c r="AD81" s="24">
        <f t="shared" si="3"/>
        <v>15</v>
      </c>
      <c r="AE81" s="24">
        <f t="shared" si="4"/>
        <v>0</v>
      </c>
      <c r="AF81" s="24">
        <f t="shared" si="5"/>
        <v>0</v>
      </c>
      <c r="AG81" s="41" t="str" cm="1">
        <f t="array" ref="AG81">_xlfn.IFS(
$AD81=15,"Not Started",
$AF81&lt;15,"In Progress",
$AF81=15,"Completed",
SUM(AD81:AF81)&gt;15,"Error"
)</f>
        <v>Not Started</v>
      </c>
    </row>
    <row r="82" spans="1:33" ht="13" x14ac:dyDescent="0.25">
      <c r="A82" s="256"/>
      <c r="B82" s="63" t="s">
        <v>1938</v>
      </c>
      <c r="C82" s="53" t="s">
        <v>6285</v>
      </c>
      <c r="D82" s="57" t="s">
        <v>6445</v>
      </c>
      <c r="E82" s="7" t="s">
        <v>51</v>
      </c>
      <c r="F82" s="7" t="s">
        <v>48</v>
      </c>
      <c r="G82" s="7" t="s">
        <v>7527</v>
      </c>
      <c r="H82" s="7" t="s">
        <v>7527</v>
      </c>
      <c r="I82" s="7" t="s">
        <v>7456</v>
      </c>
      <c r="J82" s="7" t="s">
        <v>6599</v>
      </c>
      <c r="K82" s="7">
        <v>10052739217</v>
      </c>
      <c r="L82" s="7"/>
      <c r="M82" s="32"/>
      <c r="N82" s="28" t="s">
        <v>9</v>
      </c>
      <c r="O82" s="28" t="s">
        <v>9</v>
      </c>
      <c r="P82" s="28" t="s">
        <v>9</v>
      </c>
      <c r="Q82" s="28" t="s">
        <v>9</v>
      </c>
      <c r="R82" s="28" t="s">
        <v>9</v>
      </c>
      <c r="S82" s="28" t="s">
        <v>9</v>
      </c>
      <c r="T82" s="28" t="s">
        <v>9</v>
      </c>
      <c r="U82" s="28" t="s">
        <v>9</v>
      </c>
      <c r="V82" s="28" t="s">
        <v>9</v>
      </c>
      <c r="W82" s="28" t="s">
        <v>9</v>
      </c>
      <c r="X82" s="28" t="s">
        <v>9</v>
      </c>
      <c r="Y82" s="28" t="s">
        <v>9</v>
      </c>
      <c r="Z82" s="28" t="s">
        <v>9</v>
      </c>
      <c r="AA82" s="28" t="s">
        <v>9</v>
      </c>
      <c r="AB82" s="28" t="s">
        <v>9</v>
      </c>
      <c r="AC82" s="28" t="s">
        <v>9</v>
      </c>
      <c r="AD82" s="24">
        <f t="shared" si="3"/>
        <v>15</v>
      </c>
      <c r="AE82" s="24">
        <f t="shared" si="4"/>
        <v>0</v>
      </c>
      <c r="AF82" s="24">
        <f t="shared" si="5"/>
        <v>0</v>
      </c>
      <c r="AG82" s="41" t="str" cm="1">
        <f t="array" ref="AG82">_xlfn.IFS(
$AD82=15,"Not Started",
$AF82&lt;15,"In Progress",
$AF82=15,"Completed",
SUM(AD82:AF82)&gt;15,"Error"
)</f>
        <v>Not Started</v>
      </c>
    </row>
    <row r="83" spans="1:33" ht="13" x14ac:dyDescent="0.25">
      <c r="A83" s="256"/>
      <c r="B83" s="64" t="s">
        <v>1939</v>
      </c>
      <c r="C83" s="53" t="s">
        <v>6286</v>
      </c>
      <c r="D83" s="57" t="s">
        <v>6446</v>
      </c>
      <c r="E83" s="7" t="s">
        <v>51</v>
      </c>
      <c r="F83" s="7" t="s">
        <v>48</v>
      </c>
      <c r="G83" s="7" t="s">
        <v>7527</v>
      </c>
      <c r="H83" s="7" t="s">
        <v>7527</v>
      </c>
      <c r="I83" s="7" t="s">
        <v>7457</v>
      </c>
      <c r="J83" s="7" t="s">
        <v>6600</v>
      </c>
      <c r="K83" s="7">
        <v>10052831635</v>
      </c>
      <c r="L83" s="7"/>
      <c r="M83" s="32">
        <v>46126</v>
      </c>
      <c r="N83" s="28" t="s">
        <v>11</v>
      </c>
      <c r="O83" s="28" t="s">
        <v>11</v>
      </c>
      <c r="P83" s="28" t="s">
        <v>11</v>
      </c>
      <c r="Q83" s="28" t="s">
        <v>11</v>
      </c>
      <c r="R83" s="28" t="s">
        <v>9</v>
      </c>
      <c r="S83" s="28" t="s">
        <v>9</v>
      </c>
      <c r="T83" s="28" t="s">
        <v>9</v>
      </c>
      <c r="U83" s="28" t="s">
        <v>9</v>
      </c>
      <c r="V83" s="28" t="s">
        <v>9</v>
      </c>
      <c r="W83" s="28" t="s">
        <v>9</v>
      </c>
      <c r="X83" s="28" t="s">
        <v>9</v>
      </c>
      <c r="Y83" s="28" t="s">
        <v>9</v>
      </c>
      <c r="Z83" s="28" t="s">
        <v>9</v>
      </c>
      <c r="AA83" s="28" t="s">
        <v>9</v>
      </c>
      <c r="AB83" s="28" t="s">
        <v>9</v>
      </c>
      <c r="AC83" s="28" t="s">
        <v>9</v>
      </c>
      <c r="AD83" s="24">
        <f t="shared" si="3"/>
        <v>11</v>
      </c>
      <c r="AE83" s="24">
        <f t="shared" si="4"/>
        <v>0</v>
      </c>
      <c r="AF83" s="24">
        <f t="shared" si="5"/>
        <v>4</v>
      </c>
      <c r="AG83" s="41" t="str" cm="1">
        <f t="array" ref="AG83">_xlfn.IFS(
$AD83=15,"Not Started",
$AF83&lt;15,"In Progress",
$AF83=15,"Completed",
SUM(AD83:AF83)&gt;15,"Error"
)</f>
        <v>In Progress</v>
      </c>
    </row>
    <row r="84" spans="1:33" ht="13" x14ac:dyDescent="0.25">
      <c r="A84" s="256"/>
      <c r="B84" s="63" t="s">
        <v>1940</v>
      </c>
      <c r="C84" s="53" t="s">
        <v>6287</v>
      </c>
      <c r="D84" s="57" t="s">
        <v>6447</v>
      </c>
      <c r="E84" s="7" t="s">
        <v>9672</v>
      </c>
      <c r="F84" s="7" t="s">
        <v>48</v>
      </c>
      <c r="G84" s="7" t="s">
        <v>7527</v>
      </c>
      <c r="H84" s="7" t="s">
        <v>7527</v>
      </c>
      <c r="I84" s="7" t="s">
        <v>7458</v>
      </c>
      <c r="J84" s="7" t="s">
        <v>6601</v>
      </c>
      <c r="K84" s="7">
        <v>10052913294</v>
      </c>
      <c r="L84" s="7"/>
      <c r="M84" s="32">
        <v>46145</v>
      </c>
      <c r="N84" s="28" t="s">
        <v>11</v>
      </c>
      <c r="O84" s="28" t="s">
        <v>11</v>
      </c>
      <c r="P84" s="28" t="s">
        <v>11</v>
      </c>
      <c r="Q84" s="28" t="s">
        <v>11</v>
      </c>
      <c r="R84" s="28" t="s">
        <v>9</v>
      </c>
      <c r="S84" s="28" t="s">
        <v>9</v>
      </c>
      <c r="T84" s="28" t="s">
        <v>9</v>
      </c>
      <c r="U84" s="28" t="s">
        <v>9</v>
      </c>
      <c r="V84" s="28" t="s">
        <v>9</v>
      </c>
      <c r="W84" s="28" t="s">
        <v>9</v>
      </c>
      <c r="X84" s="28" t="s">
        <v>9</v>
      </c>
      <c r="Y84" s="28" t="s">
        <v>9</v>
      </c>
      <c r="Z84" s="28" t="s">
        <v>9</v>
      </c>
      <c r="AA84" s="28" t="s">
        <v>9</v>
      </c>
      <c r="AB84" s="28" t="s">
        <v>9</v>
      </c>
      <c r="AC84" s="28" t="s">
        <v>9</v>
      </c>
      <c r="AD84" s="24">
        <f t="shared" si="3"/>
        <v>11</v>
      </c>
      <c r="AE84" s="24">
        <f t="shared" si="4"/>
        <v>0</v>
      </c>
      <c r="AF84" s="24">
        <f t="shared" si="5"/>
        <v>4</v>
      </c>
      <c r="AG84" s="41" t="str" cm="1">
        <f t="array" ref="AG84">_xlfn.IFS(
$AD84=15,"Not Started",
$AF84&lt;15,"In Progress",
$AF84=15,"Completed",
SUM(AD84:AF84)&gt;15,"Error"
)</f>
        <v>In Progress</v>
      </c>
    </row>
    <row r="85" spans="1:33" ht="13" x14ac:dyDescent="0.25">
      <c r="A85" s="256"/>
      <c r="B85" s="64" t="s">
        <v>1941</v>
      </c>
      <c r="C85" s="53" t="s">
        <v>6288</v>
      </c>
      <c r="D85" s="57" t="s">
        <v>6448</v>
      </c>
      <c r="E85" s="7" t="s">
        <v>51</v>
      </c>
      <c r="F85" s="7" t="s">
        <v>48</v>
      </c>
      <c r="G85" s="7" t="s">
        <v>7527</v>
      </c>
      <c r="H85" s="7" t="s">
        <v>7527</v>
      </c>
      <c r="I85" s="7" t="s">
        <v>7459</v>
      </c>
      <c r="J85" s="7" t="s">
        <v>6602</v>
      </c>
      <c r="K85" s="7">
        <v>10086616889</v>
      </c>
      <c r="L85" s="7"/>
      <c r="M85" s="32">
        <v>46146</v>
      </c>
      <c r="N85" s="28" t="s">
        <v>11</v>
      </c>
      <c r="O85" s="28" t="s">
        <v>11</v>
      </c>
      <c r="P85" s="28" t="s">
        <v>11</v>
      </c>
      <c r="Q85" s="28" t="s">
        <v>11</v>
      </c>
      <c r="R85" s="28" t="s">
        <v>9</v>
      </c>
      <c r="S85" s="28" t="s">
        <v>9</v>
      </c>
      <c r="T85" s="28" t="s">
        <v>9</v>
      </c>
      <c r="U85" s="28" t="s">
        <v>9</v>
      </c>
      <c r="V85" s="28" t="s">
        <v>9</v>
      </c>
      <c r="W85" s="28" t="s">
        <v>9</v>
      </c>
      <c r="X85" s="28" t="s">
        <v>9</v>
      </c>
      <c r="Y85" s="28" t="s">
        <v>9</v>
      </c>
      <c r="Z85" s="28" t="s">
        <v>9</v>
      </c>
      <c r="AA85" s="28" t="s">
        <v>9</v>
      </c>
      <c r="AB85" s="28" t="s">
        <v>9</v>
      </c>
      <c r="AC85" s="28" t="s">
        <v>9</v>
      </c>
      <c r="AD85" s="24">
        <f t="shared" si="3"/>
        <v>11</v>
      </c>
      <c r="AE85" s="24">
        <f t="shared" si="4"/>
        <v>0</v>
      </c>
      <c r="AF85" s="24">
        <f t="shared" si="5"/>
        <v>4</v>
      </c>
      <c r="AG85" s="41" t="str" cm="1">
        <f t="array" ref="AG85">_xlfn.IFS(
$AD85=15,"Not Started",
$AF85&lt;15,"In Progress",
$AF85=15,"Completed",
SUM(AD85:AF85)&gt;15,"Error"
)</f>
        <v>In Progress</v>
      </c>
    </row>
    <row r="86" spans="1:33" ht="13" x14ac:dyDescent="0.25">
      <c r="A86" s="256"/>
      <c r="B86" s="63" t="s">
        <v>1942</v>
      </c>
      <c r="C86" s="53" t="s">
        <v>6289</v>
      </c>
      <c r="D86" s="57" t="s">
        <v>6449</v>
      </c>
      <c r="E86" s="7" t="s">
        <v>9671</v>
      </c>
      <c r="F86" s="7" t="s">
        <v>44</v>
      </c>
      <c r="G86" s="7" t="s">
        <v>7527</v>
      </c>
      <c r="H86" s="7" t="s">
        <v>7527</v>
      </c>
      <c r="I86" s="7" t="s">
        <v>7460</v>
      </c>
      <c r="J86" s="7" t="s">
        <v>6603</v>
      </c>
      <c r="K86" s="7">
        <v>10052449100</v>
      </c>
      <c r="L86" s="7"/>
      <c r="M86" s="32"/>
      <c r="N86" s="28" t="s">
        <v>9</v>
      </c>
      <c r="O86" s="28" t="s">
        <v>9</v>
      </c>
      <c r="P86" s="28" t="s">
        <v>9</v>
      </c>
      <c r="Q86" s="28" t="s">
        <v>9</v>
      </c>
      <c r="R86" s="28" t="s">
        <v>9</v>
      </c>
      <c r="S86" s="28" t="s">
        <v>9</v>
      </c>
      <c r="T86" s="28" t="s">
        <v>9</v>
      </c>
      <c r="U86" s="28" t="s">
        <v>9</v>
      </c>
      <c r="V86" s="28" t="s">
        <v>9</v>
      </c>
      <c r="W86" s="28" t="s">
        <v>9</v>
      </c>
      <c r="X86" s="28" t="s">
        <v>9</v>
      </c>
      <c r="Y86" s="28" t="s">
        <v>9</v>
      </c>
      <c r="Z86" s="28" t="s">
        <v>9</v>
      </c>
      <c r="AA86" s="28" t="s">
        <v>9</v>
      </c>
      <c r="AB86" s="28" t="s">
        <v>9</v>
      </c>
      <c r="AC86" s="28" t="s">
        <v>9</v>
      </c>
      <c r="AD86" s="24">
        <f t="shared" si="3"/>
        <v>15</v>
      </c>
      <c r="AE86" s="24">
        <f t="shared" si="4"/>
        <v>0</v>
      </c>
      <c r="AF86" s="24">
        <f t="shared" si="5"/>
        <v>0</v>
      </c>
      <c r="AG86" s="41" t="str" cm="1">
        <f t="array" ref="AG86">_xlfn.IFS(
$AD86=15,"Not Started",
$AF86&lt;15,"In Progress",
$AF86=15,"Completed",
SUM(AD86:AF86)&gt;15,"Error"
)</f>
        <v>Not Started</v>
      </c>
    </row>
    <row r="87" spans="1:33" ht="13" x14ac:dyDescent="0.25">
      <c r="A87" s="256"/>
      <c r="B87" s="64" t="s">
        <v>1943</v>
      </c>
      <c r="C87" s="53" t="s">
        <v>6290</v>
      </c>
      <c r="D87" s="57" t="s">
        <v>6450</v>
      </c>
      <c r="E87" s="7" t="s">
        <v>47</v>
      </c>
      <c r="F87" s="7" t="s">
        <v>44</v>
      </c>
      <c r="G87" s="7" t="s">
        <v>7527</v>
      </c>
      <c r="H87" s="7" t="s">
        <v>7527</v>
      </c>
      <c r="I87" s="7" t="s">
        <v>7461</v>
      </c>
      <c r="J87" s="7" t="s">
        <v>6604</v>
      </c>
      <c r="K87" s="7">
        <v>10052452956</v>
      </c>
      <c r="L87" s="7"/>
      <c r="M87" s="32">
        <v>46146</v>
      </c>
      <c r="N87" s="28" t="s">
        <v>11</v>
      </c>
      <c r="O87" s="28" t="s">
        <v>11</v>
      </c>
      <c r="P87" s="28" t="s">
        <v>11</v>
      </c>
      <c r="Q87" s="28" t="s">
        <v>11</v>
      </c>
      <c r="R87" s="28" t="s">
        <v>9</v>
      </c>
      <c r="S87" s="28" t="s">
        <v>9</v>
      </c>
      <c r="T87" s="28" t="s">
        <v>9</v>
      </c>
      <c r="U87" s="28" t="s">
        <v>9</v>
      </c>
      <c r="V87" s="28" t="s">
        <v>9</v>
      </c>
      <c r="W87" s="28" t="s">
        <v>9</v>
      </c>
      <c r="X87" s="28" t="s">
        <v>9</v>
      </c>
      <c r="Y87" s="28" t="s">
        <v>9</v>
      </c>
      <c r="Z87" s="28" t="s">
        <v>9</v>
      </c>
      <c r="AA87" s="28" t="s">
        <v>9</v>
      </c>
      <c r="AB87" s="28" t="s">
        <v>9</v>
      </c>
      <c r="AC87" s="28" t="s">
        <v>9</v>
      </c>
      <c r="AD87" s="24">
        <f t="shared" si="3"/>
        <v>11</v>
      </c>
      <c r="AE87" s="24">
        <f t="shared" si="4"/>
        <v>0</v>
      </c>
      <c r="AF87" s="24">
        <f t="shared" si="5"/>
        <v>4</v>
      </c>
      <c r="AG87" s="41" t="str" cm="1">
        <f t="array" ref="AG87">_xlfn.IFS(
$AD87=15,"Not Started",
$AF87&lt;15,"In Progress",
$AF87=15,"Completed",
SUM(AD87:AF87)&gt;15,"Error"
)</f>
        <v>In Progress</v>
      </c>
    </row>
    <row r="88" spans="1:33" ht="26" x14ac:dyDescent="0.25">
      <c r="A88" s="256"/>
      <c r="B88" s="63" t="s">
        <v>1944</v>
      </c>
      <c r="C88" s="53" t="s">
        <v>6291</v>
      </c>
      <c r="D88" s="80" t="s">
        <v>10348</v>
      </c>
      <c r="E88" s="7" t="s">
        <v>47</v>
      </c>
      <c r="F88" s="7" t="s">
        <v>44</v>
      </c>
      <c r="G88" s="7" t="s">
        <v>7527</v>
      </c>
      <c r="H88" s="7" t="s">
        <v>7527</v>
      </c>
      <c r="I88" s="7" t="s">
        <v>7462</v>
      </c>
      <c r="J88" s="7" t="s">
        <v>6605</v>
      </c>
      <c r="K88" s="7">
        <v>10089848466</v>
      </c>
      <c r="L88" s="7"/>
      <c r="M88" s="32">
        <v>46144</v>
      </c>
      <c r="N88" s="28" t="s">
        <v>11</v>
      </c>
      <c r="O88" s="28" t="s">
        <v>11</v>
      </c>
      <c r="P88" s="28" t="s">
        <v>11</v>
      </c>
      <c r="Q88" s="28" t="s">
        <v>11</v>
      </c>
      <c r="R88" s="28" t="s">
        <v>9</v>
      </c>
      <c r="S88" s="28" t="s">
        <v>9</v>
      </c>
      <c r="T88" s="28" t="s">
        <v>9</v>
      </c>
      <c r="U88" s="28" t="s">
        <v>9</v>
      </c>
      <c r="V88" s="28" t="s">
        <v>9</v>
      </c>
      <c r="W88" s="28" t="s">
        <v>9</v>
      </c>
      <c r="X88" s="28" t="s">
        <v>9</v>
      </c>
      <c r="Y88" s="28" t="s">
        <v>9</v>
      </c>
      <c r="Z88" s="28" t="s">
        <v>9</v>
      </c>
      <c r="AA88" s="28" t="s">
        <v>9</v>
      </c>
      <c r="AB88" s="28" t="s">
        <v>9</v>
      </c>
      <c r="AC88" s="28" t="s">
        <v>9</v>
      </c>
      <c r="AD88" s="24">
        <f t="shared" si="3"/>
        <v>11</v>
      </c>
      <c r="AE88" s="24">
        <f t="shared" si="4"/>
        <v>0</v>
      </c>
      <c r="AF88" s="24">
        <f t="shared" si="5"/>
        <v>4</v>
      </c>
      <c r="AG88" s="41" t="str" cm="1">
        <f t="array" ref="AG88">_xlfn.IFS(
$AD88=15,"Not Started",
$AF88&lt;15,"In Progress",
$AF88=15,"Completed",
SUM(AD88:AF88)&gt;15,"Error"
)</f>
        <v>In Progress</v>
      </c>
    </row>
    <row r="89" spans="1:33" ht="13" x14ac:dyDescent="0.25">
      <c r="A89" s="256"/>
      <c r="B89" s="64" t="s">
        <v>1945</v>
      </c>
      <c r="C89" s="53" t="s">
        <v>6292</v>
      </c>
      <c r="D89" s="57" t="s">
        <v>6451</v>
      </c>
      <c r="E89" s="7" t="s">
        <v>47</v>
      </c>
      <c r="F89" s="7" t="s">
        <v>48</v>
      </c>
      <c r="G89" s="7" t="s">
        <v>7527</v>
      </c>
      <c r="H89" s="7" t="s">
        <v>7527</v>
      </c>
      <c r="I89" s="7" t="s">
        <v>7463</v>
      </c>
      <c r="J89" s="7" t="s">
        <v>6606</v>
      </c>
      <c r="K89" s="7">
        <v>10052452366</v>
      </c>
      <c r="L89" s="7"/>
      <c r="M89" s="32">
        <v>46138</v>
      </c>
      <c r="N89" s="28" t="s">
        <v>11</v>
      </c>
      <c r="O89" s="28" t="s">
        <v>11</v>
      </c>
      <c r="P89" s="28" t="s">
        <v>11</v>
      </c>
      <c r="Q89" s="28" t="s">
        <v>11</v>
      </c>
      <c r="R89" s="28" t="s">
        <v>9</v>
      </c>
      <c r="S89" s="28" t="s">
        <v>9</v>
      </c>
      <c r="T89" s="28" t="s">
        <v>9</v>
      </c>
      <c r="U89" s="28" t="s">
        <v>9</v>
      </c>
      <c r="V89" s="28" t="s">
        <v>9</v>
      </c>
      <c r="W89" s="28" t="s">
        <v>9</v>
      </c>
      <c r="X89" s="28" t="s">
        <v>9</v>
      </c>
      <c r="Y89" s="28" t="s">
        <v>9</v>
      </c>
      <c r="Z89" s="28" t="s">
        <v>9</v>
      </c>
      <c r="AA89" s="28" t="s">
        <v>9</v>
      </c>
      <c r="AB89" s="28" t="s">
        <v>9</v>
      </c>
      <c r="AC89" s="28" t="s">
        <v>9</v>
      </c>
      <c r="AD89" s="24">
        <f t="shared" si="3"/>
        <v>11</v>
      </c>
      <c r="AE89" s="24">
        <f t="shared" si="4"/>
        <v>0</v>
      </c>
      <c r="AF89" s="24">
        <f t="shared" si="5"/>
        <v>4</v>
      </c>
      <c r="AG89" s="41" t="str" cm="1">
        <f t="array" ref="AG89">_xlfn.IFS(
$AD89=15,"Not Started",
$AF89&lt;15,"In Progress",
$AF89=15,"Completed",
SUM(AD89:AF89)&gt;15,"Error"
)</f>
        <v>In Progress</v>
      </c>
    </row>
    <row r="90" spans="1:33" ht="13" x14ac:dyDescent="0.25">
      <c r="A90" s="256"/>
      <c r="B90" s="63" t="s">
        <v>1946</v>
      </c>
      <c r="C90" s="53" t="s">
        <v>6293</v>
      </c>
      <c r="D90" s="57" t="s">
        <v>6452</v>
      </c>
      <c r="E90" s="7" t="s">
        <v>47</v>
      </c>
      <c r="F90" s="7" t="s">
        <v>48</v>
      </c>
      <c r="G90" s="7" t="s">
        <v>7527</v>
      </c>
      <c r="H90" s="7" t="s">
        <v>7527</v>
      </c>
      <c r="I90" s="7" t="s">
        <v>7464</v>
      </c>
      <c r="J90" s="7" t="s">
        <v>6607</v>
      </c>
      <c r="K90" s="7">
        <v>10084394039</v>
      </c>
      <c r="L90" s="7"/>
      <c r="M90" s="32">
        <v>46142</v>
      </c>
      <c r="N90" s="28" t="s">
        <v>11</v>
      </c>
      <c r="O90" s="28" t="s">
        <v>11</v>
      </c>
      <c r="P90" s="28" t="s">
        <v>11</v>
      </c>
      <c r="Q90" s="28" t="s">
        <v>11</v>
      </c>
      <c r="R90" s="28" t="s">
        <v>9</v>
      </c>
      <c r="S90" s="28" t="s">
        <v>9</v>
      </c>
      <c r="T90" s="28" t="s">
        <v>9</v>
      </c>
      <c r="U90" s="28" t="s">
        <v>9</v>
      </c>
      <c r="V90" s="28" t="s">
        <v>9</v>
      </c>
      <c r="W90" s="28" t="s">
        <v>9</v>
      </c>
      <c r="X90" s="28" t="s">
        <v>9</v>
      </c>
      <c r="Y90" s="28" t="s">
        <v>9</v>
      </c>
      <c r="Z90" s="28" t="s">
        <v>9</v>
      </c>
      <c r="AA90" s="28" t="s">
        <v>9</v>
      </c>
      <c r="AB90" s="28" t="s">
        <v>9</v>
      </c>
      <c r="AC90" s="28" t="s">
        <v>9</v>
      </c>
      <c r="AD90" s="24">
        <f t="shared" si="3"/>
        <v>11</v>
      </c>
      <c r="AE90" s="24">
        <f t="shared" si="4"/>
        <v>0</v>
      </c>
      <c r="AF90" s="24">
        <f t="shared" si="5"/>
        <v>4</v>
      </c>
      <c r="AG90" s="41" t="str" cm="1">
        <f t="array" ref="AG90">_xlfn.IFS(
$AD90=15,"Not Started",
$AF90&lt;15,"In Progress",
$AF90=15,"Completed",
SUM(AD90:AF90)&gt;15,"Error"
)</f>
        <v>In Progress</v>
      </c>
    </row>
    <row r="91" spans="1:33" ht="13" x14ac:dyDescent="0.25">
      <c r="A91" s="256"/>
      <c r="B91" s="64" t="s">
        <v>1947</v>
      </c>
      <c r="C91" s="53" t="s">
        <v>6294</v>
      </c>
      <c r="D91" s="57" t="s">
        <v>6453</v>
      </c>
      <c r="E91" s="7" t="s">
        <v>9672</v>
      </c>
      <c r="F91" s="7" t="s">
        <v>48</v>
      </c>
      <c r="G91" s="7" t="s">
        <v>7527</v>
      </c>
      <c r="H91" s="7" t="s">
        <v>7527</v>
      </c>
      <c r="I91" s="7" t="s">
        <v>7465</v>
      </c>
      <c r="J91" s="7" t="s">
        <v>6608</v>
      </c>
      <c r="K91" s="7">
        <v>10052992529</v>
      </c>
      <c r="L91" s="7"/>
      <c r="M91" s="32"/>
      <c r="N91" s="28" t="s">
        <v>9</v>
      </c>
      <c r="O91" s="28" t="s">
        <v>9</v>
      </c>
      <c r="P91" s="28" t="s">
        <v>9</v>
      </c>
      <c r="Q91" s="28" t="s">
        <v>9</v>
      </c>
      <c r="R91" s="28" t="s">
        <v>9</v>
      </c>
      <c r="S91" s="28" t="s">
        <v>9</v>
      </c>
      <c r="T91" s="28" t="s">
        <v>9</v>
      </c>
      <c r="U91" s="28" t="s">
        <v>9</v>
      </c>
      <c r="V91" s="28" t="s">
        <v>9</v>
      </c>
      <c r="W91" s="28" t="s">
        <v>9</v>
      </c>
      <c r="X91" s="28" t="s">
        <v>9</v>
      </c>
      <c r="Y91" s="28" t="s">
        <v>9</v>
      </c>
      <c r="Z91" s="28" t="s">
        <v>9</v>
      </c>
      <c r="AA91" s="28" t="s">
        <v>9</v>
      </c>
      <c r="AB91" s="28" t="s">
        <v>9</v>
      </c>
      <c r="AC91" s="28" t="s">
        <v>9</v>
      </c>
      <c r="AD91" s="24">
        <f t="shared" si="3"/>
        <v>15</v>
      </c>
      <c r="AE91" s="24">
        <f t="shared" si="4"/>
        <v>0</v>
      </c>
      <c r="AF91" s="24">
        <f t="shared" si="5"/>
        <v>0</v>
      </c>
      <c r="AG91" s="41" t="str" cm="1">
        <f t="array" ref="AG91">_xlfn.IFS(
$AD91=15,"Not Started",
$AF91&lt;15,"In Progress",
$AF91=15,"Completed",
SUM(AD91:AF91)&gt;15,"Error"
)</f>
        <v>Not Started</v>
      </c>
    </row>
    <row r="92" spans="1:33" ht="13" x14ac:dyDescent="0.25">
      <c r="A92" s="256"/>
      <c r="B92" s="63" t="s">
        <v>1948</v>
      </c>
      <c r="C92" s="53" t="s">
        <v>6295</v>
      </c>
      <c r="D92" s="57" t="s">
        <v>6454</v>
      </c>
      <c r="E92" s="7" t="s">
        <v>43</v>
      </c>
      <c r="F92" s="7" t="s">
        <v>48</v>
      </c>
      <c r="G92" s="7" t="s">
        <v>7527</v>
      </c>
      <c r="H92" s="7" t="s">
        <v>7527</v>
      </c>
      <c r="I92" s="7" t="s">
        <v>7466</v>
      </c>
      <c r="J92" s="7" t="s">
        <v>6609</v>
      </c>
      <c r="K92" s="7">
        <v>10104460245</v>
      </c>
      <c r="L92" s="7"/>
      <c r="M92" s="32"/>
      <c r="N92" s="28" t="s">
        <v>9</v>
      </c>
      <c r="O92" s="28" t="s">
        <v>9</v>
      </c>
      <c r="P92" s="28" t="s">
        <v>9</v>
      </c>
      <c r="Q92" s="28" t="s">
        <v>9</v>
      </c>
      <c r="R92" s="28" t="s">
        <v>9</v>
      </c>
      <c r="S92" s="28" t="s">
        <v>9</v>
      </c>
      <c r="T92" s="28" t="s">
        <v>9</v>
      </c>
      <c r="U92" s="28" t="s">
        <v>9</v>
      </c>
      <c r="V92" s="28" t="s">
        <v>9</v>
      </c>
      <c r="W92" s="28" t="s">
        <v>9</v>
      </c>
      <c r="X92" s="28" t="s">
        <v>9</v>
      </c>
      <c r="Y92" s="28" t="s">
        <v>9</v>
      </c>
      <c r="Z92" s="28" t="s">
        <v>9</v>
      </c>
      <c r="AA92" s="28" t="s">
        <v>9</v>
      </c>
      <c r="AB92" s="28" t="s">
        <v>9</v>
      </c>
      <c r="AC92" s="28" t="s">
        <v>9</v>
      </c>
      <c r="AD92" s="24">
        <f t="shared" si="3"/>
        <v>15</v>
      </c>
      <c r="AE92" s="24">
        <f t="shared" si="4"/>
        <v>0</v>
      </c>
      <c r="AF92" s="24">
        <f t="shared" si="5"/>
        <v>0</v>
      </c>
      <c r="AG92" s="41" t="str" cm="1">
        <f t="array" ref="AG92">_xlfn.IFS(
$AD92=15,"Not Started",
$AF92&lt;15,"In Progress",
$AF92=15,"Completed",
SUM(AD92:AF92)&gt;15,"Error"
)</f>
        <v>Not Started</v>
      </c>
    </row>
    <row r="93" spans="1:33" ht="13" x14ac:dyDescent="0.25">
      <c r="A93" s="256"/>
      <c r="B93" s="64" t="s">
        <v>1949</v>
      </c>
      <c r="C93" s="53" t="s">
        <v>6296</v>
      </c>
      <c r="D93" s="57" t="s">
        <v>6455</v>
      </c>
      <c r="E93" s="7" t="s">
        <v>47</v>
      </c>
      <c r="F93" s="7" t="s">
        <v>48</v>
      </c>
      <c r="G93" s="7" t="s">
        <v>7527</v>
      </c>
      <c r="H93" s="7" t="s">
        <v>7527</v>
      </c>
      <c r="I93" s="7" t="s">
        <v>7467</v>
      </c>
      <c r="J93" s="7" t="s">
        <v>6610</v>
      </c>
      <c r="K93" s="7">
        <v>10098628050</v>
      </c>
      <c r="L93" s="7"/>
      <c r="M93" s="32"/>
      <c r="N93" s="28" t="s">
        <v>9</v>
      </c>
      <c r="O93" s="28" t="s">
        <v>9</v>
      </c>
      <c r="P93" s="28" t="s">
        <v>9</v>
      </c>
      <c r="Q93" s="28" t="s">
        <v>9</v>
      </c>
      <c r="R93" s="28" t="s">
        <v>9</v>
      </c>
      <c r="S93" s="28" t="s">
        <v>9</v>
      </c>
      <c r="T93" s="28" t="s">
        <v>9</v>
      </c>
      <c r="U93" s="28" t="s">
        <v>9</v>
      </c>
      <c r="V93" s="28" t="s">
        <v>9</v>
      </c>
      <c r="W93" s="28" t="s">
        <v>9</v>
      </c>
      <c r="X93" s="28" t="s">
        <v>9</v>
      </c>
      <c r="Y93" s="28" t="s">
        <v>9</v>
      </c>
      <c r="Z93" s="28" t="s">
        <v>9</v>
      </c>
      <c r="AA93" s="28" t="s">
        <v>9</v>
      </c>
      <c r="AB93" s="28" t="s">
        <v>9</v>
      </c>
      <c r="AC93" s="28" t="s">
        <v>9</v>
      </c>
      <c r="AD93" s="24">
        <f t="shared" si="3"/>
        <v>15</v>
      </c>
      <c r="AE93" s="24">
        <f t="shared" si="4"/>
        <v>0</v>
      </c>
      <c r="AF93" s="24">
        <f t="shared" si="5"/>
        <v>0</v>
      </c>
      <c r="AG93" s="41" t="str" cm="1">
        <f t="array" ref="AG93">_xlfn.IFS(
$AD93=15,"Not Started",
$AF93&lt;15,"In Progress",
$AF93=15,"Completed",
SUM(AD93:AF93)&gt;15,"Error"
)</f>
        <v>Not Started</v>
      </c>
    </row>
    <row r="94" spans="1:33" ht="13" x14ac:dyDescent="0.25">
      <c r="A94" s="256"/>
      <c r="B94" s="63" t="s">
        <v>1950</v>
      </c>
      <c r="C94" s="53" t="s">
        <v>6297</v>
      </c>
      <c r="D94" s="57" t="s">
        <v>6456</v>
      </c>
      <c r="E94" s="7" t="s">
        <v>43</v>
      </c>
      <c r="F94" s="7" t="s">
        <v>44</v>
      </c>
      <c r="G94" s="7" t="s">
        <v>7527</v>
      </c>
      <c r="H94" s="7" t="s">
        <v>7527</v>
      </c>
      <c r="I94" s="7" t="s">
        <v>7468</v>
      </c>
      <c r="J94" s="7" t="s">
        <v>6611</v>
      </c>
      <c r="K94" s="7">
        <v>10053050490</v>
      </c>
      <c r="L94" s="7"/>
      <c r="M94" s="32">
        <v>46139</v>
      </c>
      <c r="N94" s="28" t="s">
        <v>11</v>
      </c>
      <c r="O94" s="28" t="s">
        <v>11</v>
      </c>
      <c r="P94" s="28" t="s">
        <v>11</v>
      </c>
      <c r="Q94" s="28" t="s">
        <v>11</v>
      </c>
      <c r="R94" s="28" t="s">
        <v>9</v>
      </c>
      <c r="S94" s="28" t="s">
        <v>9</v>
      </c>
      <c r="T94" s="28" t="s">
        <v>9</v>
      </c>
      <c r="U94" s="28" t="s">
        <v>9</v>
      </c>
      <c r="V94" s="28" t="s">
        <v>9</v>
      </c>
      <c r="W94" s="28" t="s">
        <v>9</v>
      </c>
      <c r="X94" s="28" t="s">
        <v>9</v>
      </c>
      <c r="Y94" s="28" t="s">
        <v>9</v>
      </c>
      <c r="Z94" s="28" t="s">
        <v>9</v>
      </c>
      <c r="AA94" s="28" t="s">
        <v>9</v>
      </c>
      <c r="AB94" s="28" t="s">
        <v>9</v>
      </c>
      <c r="AC94" s="28" t="s">
        <v>9</v>
      </c>
      <c r="AD94" s="24">
        <f t="shared" si="3"/>
        <v>11</v>
      </c>
      <c r="AE94" s="24">
        <f t="shared" si="4"/>
        <v>0</v>
      </c>
      <c r="AF94" s="24">
        <f t="shared" si="5"/>
        <v>4</v>
      </c>
      <c r="AG94" s="41" t="str" cm="1">
        <f t="array" ref="AG94">_xlfn.IFS(
$AD94=15,"Not Started",
$AF94&lt;15,"In Progress",
$AF94=15,"Completed",
SUM(AD94:AF94)&gt;15,"Error"
)</f>
        <v>In Progress</v>
      </c>
    </row>
    <row r="95" spans="1:33" ht="13" x14ac:dyDescent="0.25">
      <c r="A95" s="256"/>
      <c r="B95" s="64" t="s">
        <v>1951</v>
      </c>
      <c r="C95" s="53" t="s">
        <v>6298</v>
      </c>
      <c r="D95" s="57" t="s">
        <v>6457</v>
      </c>
      <c r="E95" s="7" t="s">
        <v>47</v>
      </c>
      <c r="F95" s="7" t="s">
        <v>44</v>
      </c>
      <c r="G95" s="7" t="s">
        <v>7527</v>
      </c>
      <c r="H95" s="7" t="s">
        <v>7527</v>
      </c>
      <c r="I95" s="7" t="s">
        <v>7469</v>
      </c>
      <c r="J95" s="7" t="s">
        <v>6612</v>
      </c>
      <c r="K95" s="7">
        <v>10052577899</v>
      </c>
      <c r="L95" s="7"/>
      <c r="M95" s="32">
        <v>46138</v>
      </c>
      <c r="N95" s="28" t="s">
        <v>11</v>
      </c>
      <c r="O95" s="28" t="s">
        <v>11</v>
      </c>
      <c r="P95" s="28" t="s">
        <v>11</v>
      </c>
      <c r="Q95" s="28" t="s">
        <v>11</v>
      </c>
      <c r="R95" s="28" t="s">
        <v>9</v>
      </c>
      <c r="S95" s="28" t="s">
        <v>9</v>
      </c>
      <c r="T95" s="28" t="s">
        <v>9</v>
      </c>
      <c r="U95" s="28" t="s">
        <v>9</v>
      </c>
      <c r="V95" s="28" t="s">
        <v>9</v>
      </c>
      <c r="W95" s="28" t="s">
        <v>9</v>
      </c>
      <c r="X95" s="28" t="s">
        <v>9</v>
      </c>
      <c r="Y95" s="28" t="s">
        <v>9</v>
      </c>
      <c r="Z95" s="28" t="s">
        <v>9</v>
      </c>
      <c r="AA95" s="28" t="s">
        <v>9</v>
      </c>
      <c r="AB95" s="28" t="s">
        <v>9</v>
      </c>
      <c r="AC95" s="28" t="s">
        <v>9</v>
      </c>
      <c r="AD95" s="24">
        <f t="shared" si="3"/>
        <v>11</v>
      </c>
      <c r="AE95" s="24">
        <f t="shared" si="4"/>
        <v>0</v>
      </c>
      <c r="AF95" s="24">
        <f t="shared" si="5"/>
        <v>4</v>
      </c>
      <c r="AG95" s="41" t="str" cm="1">
        <f t="array" ref="AG95">_xlfn.IFS(
$AD95=15,"Not Started",
$AF95&lt;15,"In Progress",
$AF95=15,"Completed",
SUM(AD95:AF95)&gt;15,"Error"
)</f>
        <v>In Progress</v>
      </c>
    </row>
    <row r="96" spans="1:33" ht="13" x14ac:dyDescent="0.25">
      <c r="A96" s="256"/>
      <c r="B96" s="63" t="s">
        <v>1952</v>
      </c>
      <c r="C96" s="53" t="s">
        <v>6299</v>
      </c>
      <c r="D96" s="57" t="s">
        <v>6458</v>
      </c>
      <c r="E96" s="7" t="s">
        <v>47</v>
      </c>
      <c r="F96" s="7" t="s">
        <v>44</v>
      </c>
      <c r="G96" s="7" t="s">
        <v>7527</v>
      </c>
      <c r="H96" s="7" t="s">
        <v>7527</v>
      </c>
      <c r="I96" s="7" t="s">
        <v>7470</v>
      </c>
      <c r="J96" s="7" t="s">
        <v>6613</v>
      </c>
      <c r="K96" s="7">
        <v>10052811599</v>
      </c>
      <c r="L96" s="7"/>
      <c r="M96" s="32"/>
      <c r="N96" s="28" t="s">
        <v>9</v>
      </c>
      <c r="O96" s="28" t="s">
        <v>9</v>
      </c>
      <c r="P96" s="28" t="s">
        <v>9</v>
      </c>
      <c r="Q96" s="28" t="s">
        <v>9</v>
      </c>
      <c r="R96" s="28" t="s">
        <v>9</v>
      </c>
      <c r="S96" s="28" t="s">
        <v>9</v>
      </c>
      <c r="T96" s="28" t="s">
        <v>9</v>
      </c>
      <c r="U96" s="28" t="s">
        <v>9</v>
      </c>
      <c r="V96" s="28" t="s">
        <v>9</v>
      </c>
      <c r="W96" s="28" t="s">
        <v>9</v>
      </c>
      <c r="X96" s="28" t="s">
        <v>9</v>
      </c>
      <c r="Y96" s="28" t="s">
        <v>9</v>
      </c>
      <c r="Z96" s="28" t="s">
        <v>9</v>
      </c>
      <c r="AA96" s="28" t="s">
        <v>9</v>
      </c>
      <c r="AB96" s="28" t="s">
        <v>9</v>
      </c>
      <c r="AC96" s="28" t="s">
        <v>9</v>
      </c>
      <c r="AD96" s="24">
        <f t="shared" si="3"/>
        <v>15</v>
      </c>
      <c r="AE96" s="24">
        <f t="shared" si="4"/>
        <v>0</v>
      </c>
      <c r="AF96" s="24">
        <f t="shared" si="5"/>
        <v>0</v>
      </c>
      <c r="AG96" s="41" t="str" cm="1">
        <f t="array" ref="AG96">_xlfn.IFS(
$AD96=15,"Not Started",
$AF96&lt;15,"In Progress",
$AF96=15,"Completed",
SUM(AD96:AF96)&gt;15,"Error"
)</f>
        <v>Not Started</v>
      </c>
    </row>
    <row r="97" spans="1:33" ht="13" x14ac:dyDescent="0.25">
      <c r="A97" s="256"/>
      <c r="B97" s="64" t="s">
        <v>1953</v>
      </c>
      <c r="C97" s="53" t="s">
        <v>6300</v>
      </c>
      <c r="D97" s="57" t="s">
        <v>6459</v>
      </c>
      <c r="E97" s="7" t="s">
        <v>47</v>
      </c>
      <c r="F97" s="7" t="s">
        <v>44</v>
      </c>
      <c r="G97" s="7" t="s">
        <v>7527</v>
      </c>
      <c r="H97" s="7" t="s">
        <v>7527</v>
      </c>
      <c r="I97" s="7" t="s">
        <v>7471</v>
      </c>
      <c r="J97" s="7" t="s">
        <v>6614</v>
      </c>
      <c r="K97" s="7">
        <v>10052780859</v>
      </c>
      <c r="L97" s="7"/>
      <c r="M97" s="32">
        <v>46137</v>
      </c>
      <c r="N97" s="28" t="s">
        <v>11</v>
      </c>
      <c r="O97" s="28" t="s">
        <v>11</v>
      </c>
      <c r="P97" s="28" t="s">
        <v>11</v>
      </c>
      <c r="Q97" s="28" t="s">
        <v>11</v>
      </c>
      <c r="R97" s="28" t="s">
        <v>9</v>
      </c>
      <c r="S97" s="28" t="s">
        <v>9</v>
      </c>
      <c r="T97" s="28" t="s">
        <v>9</v>
      </c>
      <c r="U97" s="28" t="s">
        <v>9</v>
      </c>
      <c r="V97" s="28" t="s">
        <v>9</v>
      </c>
      <c r="W97" s="28" t="s">
        <v>9</v>
      </c>
      <c r="X97" s="28" t="s">
        <v>9</v>
      </c>
      <c r="Y97" s="28" t="s">
        <v>9</v>
      </c>
      <c r="Z97" s="28" t="s">
        <v>9</v>
      </c>
      <c r="AA97" s="28" t="s">
        <v>9</v>
      </c>
      <c r="AB97" s="28" t="s">
        <v>9</v>
      </c>
      <c r="AC97" s="28" t="s">
        <v>9</v>
      </c>
      <c r="AD97" s="24">
        <f t="shared" si="3"/>
        <v>11</v>
      </c>
      <c r="AE97" s="24">
        <f t="shared" si="4"/>
        <v>0</v>
      </c>
      <c r="AF97" s="24">
        <f t="shared" si="5"/>
        <v>4</v>
      </c>
      <c r="AG97" s="41" t="str" cm="1">
        <f t="array" ref="AG97">_xlfn.IFS(
$AD97=15,"Not Started",
$AF97&lt;15,"In Progress",
$AF97=15,"Completed",
SUM(AD97:AF97)&gt;15,"Error"
)</f>
        <v>In Progress</v>
      </c>
    </row>
    <row r="98" spans="1:33" ht="13" x14ac:dyDescent="0.25">
      <c r="A98" s="256"/>
      <c r="B98" s="63" t="s">
        <v>1954</v>
      </c>
      <c r="C98" s="53" t="s">
        <v>6301</v>
      </c>
      <c r="D98" s="57" t="s">
        <v>6460</v>
      </c>
      <c r="E98" s="7" t="s">
        <v>47</v>
      </c>
      <c r="F98" s="7" t="s">
        <v>44</v>
      </c>
      <c r="G98" s="7" t="s">
        <v>7527</v>
      </c>
      <c r="H98" s="7" t="s">
        <v>7527</v>
      </c>
      <c r="I98" s="7" t="s">
        <v>7472</v>
      </c>
      <c r="J98" s="7" t="s">
        <v>6615</v>
      </c>
      <c r="K98" s="7">
        <v>10052493387</v>
      </c>
      <c r="L98" s="7"/>
      <c r="M98" s="32"/>
      <c r="N98" s="28" t="s">
        <v>9</v>
      </c>
      <c r="O98" s="28" t="s">
        <v>9</v>
      </c>
      <c r="P98" s="28" t="s">
        <v>9</v>
      </c>
      <c r="Q98" s="28" t="s">
        <v>9</v>
      </c>
      <c r="R98" s="28" t="s">
        <v>9</v>
      </c>
      <c r="S98" s="28" t="s">
        <v>9</v>
      </c>
      <c r="T98" s="28" t="s">
        <v>9</v>
      </c>
      <c r="U98" s="28" t="s">
        <v>9</v>
      </c>
      <c r="V98" s="28" t="s">
        <v>9</v>
      </c>
      <c r="W98" s="28" t="s">
        <v>9</v>
      </c>
      <c r="X98" s="28" t="s">
        <v>9</v>
      </c>
      <c r="Y98" s="28" t="s">
        <v>9</v>
      </c>
      <c r="Z98" s="28" t="s">
        <v>9</v>
      </c>
      <c r="AA98" s="28" t="s">
        <v>9</v>
      </c>
      <c r="AB98" s="28" t="s">
        <v>9</v>
      </c>
      <c r="AC98" s="28" t="s">
        <v>9</v>
      </c>
      <c r="AD98" s="24">
        <f t="shared" si="3"/>
        <v>15</v>
      </c>
      <c r="AE98" s="24">
        <f t="shared" si="4"/>
        <v>0</v>
      </c>
      <c r="AF98" s="24">
        <f t="shared" si="5"/>
        <v>0</v>
      </c>
      <c r="AG98" s="41" t="str" cm="1">
        <f t="array" ref="AG98">_xlfn.IFS(
$AD98=15,"Not Started",
$AF98&lt;15,"In Progress",
$AF98=15,"Completed",
SUM(AD98:AF98)&gt;15,"Error"
)</f>
        <v>Not Started</v>
      </c>
    </row>
    <row r="99" spans="1:33" ht="26" x14ac:dyDescent="0.25">
      <c r="A99" s="256"/>
      <c r="B99" s="64" t="s">
        <v>1955</v>
      </c>
      <c r="C99" s="79" t="s">
        <v>10356</v>
      </c>
      <c r="D99" s="80" t="s">
        <v>10349</v>
      </c>
      <c r="E99" s="7" t="s">
        <v>47</v>
      </c>
      <c r="F99" s="7" t="s">
        <v>44</v>
      </c>
      <c r="G99" s="7" t="s">
        <v>7527</v>
      </c>
      <c r="H99" s="7" t="s">
        <v>7527</v>
      </c>
      <c r="I99" s="7" t="s">
        <v>7473</v>
      </c>
      <c r="J99" s="7" t="s">
        <v>6616</v>
      </c>
      <c r="K99" s="7">
        <v>10053050355</v>
      </c>
      <c r="L99" s="7"/>
      <c r="M99" s="32">
        <v>46139</v>
      </c>
      <c r="N99" s="28" t="s">
        <v>11</v>
      </c>
      <c r="O99" s="28" t="s">
        <v>11</v>
      </c>
      <c r="P99" s="28" t="s">
        <v>11</v>
      </c>
      <c r="Q99" s="28" t="s">
        <v>11</v>
      </c>
      <c r="R99" s="28" t="s">
        <v>9</v>
      </c>
      <c r="S99" s="28" t="s">
        <v>9</v>
      </c>
      <c r="T99" s="28" t="s">
        <v>9</v>
      </c>
      <c r="U99" s="28" t="s">
        <v>9</v>
      </c>
      <c r="V99" s="28" t="s">
        <v>9</v>
      </c>
      <c r="W99" s="28" t="s">
        <v>9</v>
      </c>
      <c r="X99" s="28" t="s">
        <v>9</v>
      </c>
      <c r="Y99" s="28" t="s">
        <v>9</v>
      </c>
      <c r="Z99" s="28" t="s">
        <v>9</v>
      </c>
      <c r="AA99" s="28" t="s">
        <v>9</v>
      </c>
      <c r="AB99" s="28" t="s">
        <v>9</v>
      </c>
      <c r="AC99" s="28" t="s">
        <v>9</v>
      </c>
      <c r="AD99" s="24">
        <f t="shared" si="3"/>
        <v>11</v>
      </c>
      <c r="AE99" s="24">
        <f t="shared" si="4"/>
        <v>0</v>
      </c>
      <c r="AF99" s="24">
        <f t="shared" si="5"/>
        <v>4</v>
      </c>
      <c r="AG99" s="41" t="str" cm="1">
        <f t="array" ref="AG99">_xlfn.IFS(
$AD99=15,"Not Started",
$AF99&lt;15,"In Progress",
$AF99=15,"Completed",
SUM(AD99:AF99)&gt;15,"Error"
)</f>
        <v>In Progress</v>
      </c>
    </row>
    <row r="100" spans="1:33" ht="13" x14ac:dyDescent="0.25">
      <c r="A100" s="256"/>
      <c r="B100" s="63" t="s">
        <v>1956</v>
      </c>
      <c r="C100" s="53" t="s">
        <v>6302</v>
      </c>
      <c r="D100" s="57" t="s">
        <v>6461</v>
      </c>
      <c r="E100" s="7" t="s">
        <v>43</v>
      </c>
      <c r="F100" s="7" t="s">
        <v>44</v>
      </c>
      <c r="G100" s="7" t="s">
        <v>7527</v>
      </c>
      <c r="H100" s="7" t="s">
        <v>7527</v>
      </c>
      <c r="I100" s="7" t="s">
        <v>7474</v>
      </c>
      <c r="J100" s="7" t="s">
        <v>6617</v>
      </c>
      <c r="K100" s="7">
        <v>10089507583</v>
      </c>
      <c r="L100" s="7"/>
      <c r="M100" s="32"/>
      <c r="N100" s="28" t="s">
        <v>9</v>
      </c>
      <c r="O100" s="28" t="s">
        <v>9</v>
      </c>
      <c r="P100" s="28" t="s">
        <v>9</v>
      </c>
      <c r="Q100" s="28" t="s">
        <v>9</v>
      </c>
      <c r="R100" s="28" t="s">
        <v>9</v>
      </c>
      <c r="S100" s="28" t="s">
        <v>9</v>
      </c>
      <c r="T100" s="28" t="s">
        <v>9</v>
      </c>
      <c r="U100" s="28" t="s">
        <v>9</v>
      </c>
      <c r="V100" s="28" t="s">
        <v>9</v>
      </c>
      <c r="W100" s="28" t="s">
        <v>9</v>
      </c>
      <c r="X100" s="28" t="s">
        <v>9</v>
      </c>
      <c r="Y100" s="28" t="s">
        <v>9</v>
      </c>
      <c r="Z100" s="28" t="s">
        <v>9</v>
      </c>
      <c r="AA100" s="28" t="s">
        <v>9</v>
      </c>
      <c r="AB100" s="28" t="s">
        <v>9</v>
      </c>
      <c r="AC100" s="28" t="s">
        <v>9</v>
      </c>
      <c r="AD100" s="24">
        <f t="shared" si="3"/>
        <v>15</v>
      </c>
      <c r="AE100" s="24">
        <f t="shared" si="4"/>
        <v>0</v>
      </c>
      <c r="AF100" s="24">
        <f t="shared" si="5"/>
        <v>0</v>
      </c>
      <c r="AG100" s="41" t="str" cm="1">
        <f t="array" ref="AG100">_xlfn.IFS(
$AD100=15,"Not Started",
$AF100&lt;15,"In Progress",
$AF100=15,"Completed",
SUM(AD100:AF100)&gt;15,"Error"
)</f>
        <v>Not Started</v>
      </c>
    </row>
    <row r="101" spans="1:33" ht="13" x14ac:dyDescent="0.25">
      <c r="A101" s="256"/>
      <c r="B101" s="64" t="s">
        <v>1957</v>
      </c>
      <c r="C101" s="53" t="s">
        <v>6303</v>
      </c>
      <c r="D101" s="57" t="s">
        <v>6462</v>
      </c>
      <c r="E101" s="7" t="s">
        <v>51</v>
      </c>
      <c r="F101" s="7" t="s">
        <v>44</v>
      </c>
      <c r="G101" s="7" t="s">
        <v>7527</v>
      </c>
      <c r="H101" s="7" t="s">
        <v>7527</v>
      </c>
      <c r="I101" s="7" t="s">
        <v>7475</v>
      </c>
      <c r="J101" s="7" t="s">
        <v>6618</v>
      </c>
      <c r="K101" s="7">
        <v>10086129020</v>
      </c>
      <c r="L101" s="7"/>
      <c r="M101" s="32"/>
      <c r="N101" s="28" t="s">
        <v>9</v>
      </c>
      <c r="O101" s="28" t="s">
        <v>9</v>
      </c>
      <c r="P101" s="28" t="s">
        <v>9</v>
      </c>
      <c r="Q101" s="28" t="s">
        <v>9</v>
      </c>
      <c r="R101" s="28" t="s">
        <v>9</v>
      </c>
      <c r="S101" s="28" t="s">
        <v>9</v>
      </c>
      <c r="T101" s="28" t="s">
        <v>9</v>
      </c>
      <c r="U101" s="28" t="s">
        <v>9</v>
      </c>
      <c r="V101" s="28" t="s">
        <v>9</v>
      </c>
      <c r="W101" s="28" t="s">
        <v>9</v>
      </c>
      <c r="X101" s="28" t="s">
        <v>9</v>
      </c>
      <c r="Y101" s="28" t="s">
        <v>9</v>
      </c>
      <c r="Z101" s="28" t="s">
        <v>9</v>
      </c>
      <c r="AA101" s="28" t="s">
        <v>9</v>
      </c>
      <c r="AB101" s="28" t="s">
        <v>9</v>
      </c>
      <c r="AC101" s="28" t="s">
        <v>9</v>
      </c>
      <c r="AD101" s="24">
        <f t="shared" si="3"/>
        <v>15</v>
      </c>
      <c r="AE101" s="24">
        <f t="shared" si="4"/>
        <v>0</v>
      </c>
      <c r="AF101" s="24">
        <f t="shared" si="5"/>
        <v>0</v>
      </c>
      <c r="AG101" s="41" t="str" cm="1">
        <f t="array" ref="AG101">_xlfn.IFS(
$AD101=15,"Not Started",
$AF101&lt;15,"In Progress",
$AF101=15,"Completed",
SUM(AD101:AF101)&gt;15,"Error"
)</f>
        <v>Not Started</v>
      </c>
    </row>
    <row r="102" spans="1:33" ht="26" x14ac:dyDescent="0.25">
      <c r="A102" s="256"/>
      <c r="B102" s="63" t="s">
        <v>1958</v>
      </c>
      <c r="C102" s="53" t="s">
        <v>6304</v>
      </c>
      <c r="D102" s="80" t="s">
        <v>10350</v>
      </c>
      <c r="E102" s="7" t="s">
        <v>9672</v>
      </c>
      <c r="F102" s="7" t="s">
        <v>48</v>
      </c>
      <c r="G102" s="7" t="s">
        <v>7527</v>
      </c>
      <c r="H102" s="7" t="s">
        <v>7527</v>
      </c>
      <c r="I102" s="7" t="s">
        <v>7476</v>
      </c>
      <c r="J102" s="7" t="s">
        <v>6619</v>
      </c>
      <c r="K102" s="7">
        <v>10052968318</v>
      </c>
      <c r="L102" s="7"/>
      <c r="M102" s="32"/>
      <c r="N102" s="28" t="s">
        <v>9</v>
      </c>
      <c r="O102" s="28" t="s">
        <v>9</v>
      </c>
      <c r="P102" s="28" t="s">
        <v>9</v>
      </c>
      <c r="Q102" s="28" t="s">
        <v>9</v>
      </c>
      <c r="R102" s="28" t="s">
        <v>9</v>
      </c>
      <c r="S102" s="28" t="s">
        <v>9</v>
      </c>
      <c r="T102" s="28" t="s">
        <v>9</v>
      </c>
      <c r="U102" s="28" t="s">
        <v>9</v>
      </c>
      <c r="V102" s="28" t="s">
        <v>9</v>
      </c>
      <c r="W102" s="28" t="s">
        <v>9</v>
      </c>
      <c r="X102" s="28" t="s">
        <v>9</v>
      </c>
      <c r="Y102" s="28" t="s">
        <v>9</v>
      </c>
      <c r="Z102" s="28" t="s">
        <v>9</v>
      </c>
      <c r="AA102" s="28" t="s">
        <v>9</v>
      </c>
      <c r="AB102" s="28" t="s">
        <v>9</v>
      </c>
      <c r="AC102" s="28" t="s">
        <v>9</v>
      </c>
      <c r="AD102" s="24">
        <f t="shared" si="3"/>
        <v>15</v>
      </c>
      <c r="AE102" s="24">
        <f t="shared" si="4"/>
        <v>0</v>
      </c>
      <c r="AF102" s="24">
        <f t="shared" si="5"/>
        <v>0</v>
      </c>
      <c r="AG102" s="41" t="str" cm="1">
        <f t="array" ref="AG102">_xlfn.IFS(
$AD102=15,"Not Started",
$AF102&lt;15,"In Progress",
$AF102=15,"Completed",
SUM(AD102:AF102)&gt;15,"Error"
)</f>
        <v>Not Started</v>
      </c>
    </row>
    <row r="103" spans="1:33" ht="26" x14ac:dyDescent="0.25">
      <c r="A103" s="256"/>
      <c r="B103" s="64" t="s">
        <v>1959</v>
      </c>
      <c r="C103" s="79" t="s">
        <v>10355</v>
      </c>
      <c r="D103" s="80" t="s">
        <v>10351</v>
      </c>
      <c r="E103" s="7" t="s">
        <v>9672</v>
      </c>
      <c r="F103" s="7" t="s">
        <v>48</v>
      </c>
      <c r="G103" s="7" t="s">
        <v>7527</v>
      </c>
      <c r="H103" s="7" t="s">
        <v>7527</v>
      </c>
      <c r="I103" s="7" t="s">
        <v>7477</v>
      </c>
      <c r="J103" s="7" t="s">
        <v>6620</v>
      </c>
      <c r="K103" s="7">
        <v>10084996072</v>
      </c>
      <c r="L103" s="7"/>
      <c r="M103" s="32"/>
      <c r="N103" s="28" t="s">
        <v>9</v>
      </c>
      <c r="O103" s="28" t="s">
        <v>9</v>
      </c>
      <c r="P103" s="28" t="s">
        <v>9</v>
      </c>
      <c r="Q103" s="28" t="s">
        <v>9</v>
      </c>
      <c r="R103" s="28" t="s">
        <v>9</v>
      </c>
      <c r="S103" s="28" t="s">
        <v>9</v>
      </c>
      <c r="T103" s="28" t="s">
        <v>9</v>
      </c>
      <c r="U103" s="28" t="s">
        <v>9</v>
      </c>
      <c r="V103" s="28" t="s">
        <v>9</v>
      </c>
      <c r="W103" s="28" t="s">
        <v>9</v>
      </c>
      <c r="X103" s="28" t="s">
        <v>9</v>
      </c>
      <c r="Y103" s="28" t="s">
        <v>9</v>
      </c>
      <c r="Z103" s="28" t="s">
        <v>9</v>
      </c>
      <c r="AA103" s="28" t="s">
        <v>9</v>
      </c>
      <c r="AB103" s="28" t="s">
        <v>9</v>
      </c>
      <c r="AC103" s="28" t="s">
        <v>9</v>
      </c>
      <c r="AD103" s="24">
        <f t="shared" si="3"/>
        <v>15</v>
      </c>
      <c r="AE103" s="24">
        <f t="shared" si="4"/>
        <v>0</v>
      </c>
      <c r="AF103" s="24">
        <f t="shared" si="5"/>
        <v>0</v>
      </c>
      <c r="AG103" s="41" t="str" cm="1">
        <f t="array" ref="AG103">_xlfn.IFS(
$AD103=15,"Not Started",
$AF103&lt;15,"In Progress",
$AF103=15,"Completed",
SUM(AD103:AF103)&gt;15,"Error"
)</f>
        <v>Not Started</v>
      </c>
    </row>
    <row r="104" spans="1:33" ht="13" x14ac:dyDescent="0.25">
      <c r="A104" s="256"/>
      <c r="B104" s="63" t="s">
        <v>1960</v>
      </c>
      <c r="C104" s="53" t="s">
        <v>6305</v>
      </c>
      <c r="D104" s="57" t="s">
        <v>6463</v>
      </c>
      <c r="E104" s="7" t="s">
        <v>47</v>
      </c>
      <c r="F104" s="7" t="s">
        <v>48</v>
      </c>
      <c r="G104" s="7" t="s">
        <v>7527</v>
      </c>
      <c r="H104" s="7" t="s">
        <v>7527</v>
      </c>
      <c r="I104" s="7" t="s">
        <v>7478</v>
      </c>
      <c r="J104" s="7" t="s">
        <v>6621</v>
      </c>
      <c r="K104" s="7">
        <v>10052723361</v>
      </c>
      <c r="L104" s="7"/>
      <c r="M104" s="32">
        <v>46141</v>
      </c>
      <c r="N104" s="28" t="s">
        <v>11</v>
      </c>
      <c r="O104" s="28" t="s">
        <v>11</v>
      </c>
      <c r="P104" s="28" t="s">
        <v>11</v>
      </c>
      <c r="Q104" s="28" t="s">
        <v>11</v>
      </c>
      <c r="R104" s="28" t="s">
        <v>9</v>
      </c>
      <c r="S104" s="28" t="s">
        <v>9</v>
      </c>
      <c r="T104" s="28" t="s">
        <v>9</v>
      </c>
      <c r="U104" s="28" t="s">
        <v>9</v>
      </c>
      <c r="V104" s="28" t="s">
        <v>9</v>
      </c>
      <c r="W104" s="28" t="s">
        <v>9</v>
      </c>
      <c r="X104" s="28" t="s">
        <v>9</v>
      </c>
      <c r="Y104" s="28" t="s">
        <v>9</v>
      </c>
      <c r="Z104" s="28" t="s">
        <v>9</v>
      </c>
      <c r="AA104" s="28" t="s">
        <v>9</v>
      </c>
      <c r="AB104" s="28" t="s">
        <v>9</v>
      </c>
      <c r="AC104" s="28" t="s">
        <v>9</v>
      </c>
      <c r="AD104" s="24">
        <f t="shared" si="3"/>
        <v>11</v>
      </c>
      <c r="AE104" s="24">
        <f t="shared" si="4"/>
        <v>0</v>
      </c>
      <c r="AF104" s="24">
        <f t="shared" si="5"/>
        <v>4</v>
      </c>
      <c r="AG104" s="41" t="str" cm="1">
        <f t="array" ref="AG104">_xlfn.IFS(
$AD104=15,"Not Started",
$AF104&lt;15,"In Progress",
$AF104=15,"Completed",
SUM(AD104:AF104)&gt;15,"Error"
)</f>
        <v>In Progress</v>
      </c>
    </row>
    <row r="105" spans="1:33" ht="13" x14ac:dyDescent="0.25">
      <c r="A105" s="256"/>
      <c r="B105" s="223" t="s">
        <v>1961</v>
      </c>
      <c r="C105" s="53" t="s">
        <v>6306</v>
      </c>
      <c r="D105" s="57" t="s">
        <v>6464</v>
      </c>
      <c r="E105" s="7" t="s">
        <v>9672</v>
      </c>
      <c r="F105" s="7" t="s">
        <v>48</v>
      </c>
      <c r="G105" s="7" t="s">
        <v>7527</v>
      </c>
      <c r="H105" s="7" t="s">
        <v>7527</v>
      </c>
      <c r="I105" s="7" t="s">
        <v>7479</v>
      </c>
      <c r="J105" s="7" t="s">
        <v>6622</v>
      </c>
      <c r="K105" s="7">
        <v>10084992064</v>
      </c>
      <c r="L105" s="7"/>
      <c r="M105" s="32">
        <v>46140</v>
      </c>
      <c r="N105" s="28" t="s">
        <v>11</v>
      </c>
      <c r="O105" s="28" t="s">
        <v>11</v>
      </c>
      <c r="P105" s="28" t="s">
        <v>11</v>
      </c>
      <c r="Q105" s="28" t="s">
        <v>11</v>
      </c>
      <c r="R105" s="28" t="s">
        <v>9</v>
      </c>
      <c r="S105" s="28" t="s">
        <v>9</v>
      </c>
      <c r="T105" s="28" t="s">
        <v>9</v>
      </c>
      <c r="U105" s="28" t="s">
        <v>9</v>
      </c>
      <c r="V105" s="28" t="s">
        <v>9</v>
      </c>
      <c r="W105" s="28" t="s">
        <v>9</v>
      </c>
      <c r="X105" s="28" t="s">
        <v>9</v>
      </c>
      <c r="Y105" s="28" t="s">
        <v>9</v>
      </c>
      <c r="Z105" s="28" t="s">
        <v>9</v>
      </c>
      <c r="AA105" s="28" t="s">
        <v>9</v>
      </c>
      <c r="AB105" s="28" t="s">
        <v>9</v>
      </c>
      <c r="AC105" s="28" t="s">
        <v>9</v>
      </c>
      <c r="AD105" s="24">
        <f t="shared" si="3"/>
        <v>11</v>
      </c>
      <c r="AE105" s="24">
        <f t="shared" si="4"/>
        <v>0</v>
      </c>
      <c r="AF105" s="24">
        <f t="shared" si="5"/>
        <v>4</v>
      </c>
      <c r="AG105" s="41" t="str" cm="1">
        <f t="array" ref="AG105">_xlfn.IFS(
$AD105=15,"Not Started",
$AF105&lt;15,"In Progress",
$AF105=15,"Completed",
SUM(AD105:AF105)&gt;15,"Error"
)</f>
        <v>In Progress</v>
      </c>
    </row>
    <row r="106" spans="1:33" ht="13" x14ac:dyDescent="0.25">
      <c r="A106" s="256"/>
      <c r="B106" s="63" t="s">
        <v>1962</v>
      </c>
      <c r="C106" s="53" t="s">
        <v>6307</v>
      </c>
      <c r="D106" s="57" t="s">
        <v>6465</v>
      </c>
      <c r="E106" s="7" t="s">
        <v>43</v>
      </c>
      <c r="F106" s="7" t="s">
        <v>48</v>
      </c>
      <c r="G106" s="7" t="s">
        <v>7527</v>
      </c>
      <c r="H106" s="7" t="s">
        <v>7527</v>
      </c>
      <c r="I106" s="7" t="s">
        <v>7480</v>
      </c>
      <c r="J106" s="7" t="s">
        <v>6623</v>
      </c>
      <c r="K106" s="7">
        <v>10052656277</v>
      </c>
      <c r="L106" s="7"/>
      <c r="M106" s="32"/>
      <c r="N106" s="28" t="s">
        <v>9</v>
      </c>
      <c r="O106" s="28" t="s">
        <v>9</v>
      </c>
      <c r="P106" s="28" t="s">
        <v>9</v>
      </c>
      <c r="Q106" s="28" t="s">
        <v>9</v>
      </c>
      <c r="R106" s="28" t="s">
        <v>9</v>
      </c>
      <c r="S106" s="28" t="s">
        <v>9</v>
      </c>
      <c r="T106" s="28" t="s">
        <v>9</v>
      </c>
      <c r="U106" s="28" t="s">
        <v>9</v>
      </c>
      <c r="V106" s="28" t="s">
        <v>9</v>
      </c>
      <c r="W106" s="28" t="s">
        <v>9</v>
      </c>
      <c r="X106" s="28" t="s">
        <v>9</v>
      </c>
      <c r="Y106" s="28" t="s">
        <v>9</v>
      </c>
      <c r="Z106" s="28" t="s">
        <v>9</v>
      </c>
      <c r="AA106" s="28" t="s">
        <v>9</v>
      </c>
      <c r="AB106" s="28" t="s">
        <v>9</v>
      </c>
      <c r="AC106" s="28" t="s">
        <v>9</v>
      </c>
      <c r="AD106" s="24">
        <f t="shared" si="3"/>
        <v>15</v>
      </c>
      <c r="AE106" s="24">
        <f t="shared" si="4"/>
        <v>0</v>
      </c>
      <c r="AF106" s="24">
        <f t="shared" si="5"/>
        <v>0</v>
      </c>
      <c r="AG106" s="41" t="str" cm="1">
        <f t="array" ref="AG106">_xlfn.IFS(
$AD106=15,"Not Started",
$AF106&lt;15,"In Progress",
$AF106=15,"Completed",
SUM(AD106:AF106)&gt;15,"Error"
)</f>
        <v>Not Started</v>
      </c>
    </row>
    <row r="107" spans="1:33" ht="13" x14ac:dyDescent="0.25">
      <c r="A107" s="256"/>
      <c r="B107" s="64" t="s">
        <v>1963</v>
      </c>
      <c r="C107" s="53" t="s">
        <v>6308</v>
      </c>
      <c r="D107" s="57" t="s">
        <v>6466</v>
      </c>
      <c r="E107" s="7" t="s">
        <v>9672</v>
      </c>
      <c r="F107" s="7" t="s">
        <v>44</v>
      </c>
      <c r="G107" s="7" t="s">
        <v>7527</v>
      </c>
      <c r="H107" s="7" t="s">
        <v>7527</v>
      </c>
      <c r="I107" s="7" t="s">
        <v>7481</v>
      </c>
      <c r="J107" s="7" t="s">
        <v>6624</v>
      </c>
      <c r="K107" s="7">
        <v>10104460218</v>
      </c>
      <c r="L107" s="7"/>
      <c r="M107" s="32"/>
      <c r="N107" s="28" t="s">
        <v>9</v>
      </c>
      <c r="O107" s="28" t="s">
        <v>9</v>
      </c>
      <c r="P107" s="28" t="s">
        <v>9</v>
      </c>
      <c r="Q107" s="28" t="s">
        <v>9</v>
      </c>
      <c r="R107" s="28" t="s">
        <v>9</v>
      </c>
      <c r="S107" s="28" t="s">
        <v>9</v>
      </c>
      <c r="T107" s="28" t="s">
        <v>9</v>
      </c>
      <c r="U107" s="28" t="s">
        <v>9</v>
      </c>
      <c r="V107" s="28" t="s">
        <v>9</v>
      </c>
      <c r="W107" s="28" t="s">
        <v>9</v>
      </c>
      <c r="X107" s="28" t="s">
        <v>9</v>
      </c>
      <c r="Y107" s="28" t="s">
        <v>9</v>
      </c>
      <c r="Z107" s="28" t="s">
        <v>9</v>
      </c>
      <c r="AA107" s="28" t="s">
        <v>9</v>
      </c>
      <c r="AB107" s="28" t="s">
        <v>9</v>
      </c>
      <c r="AC107" s="28" t="s">
        <v>9</v>
      </c>
      <c r="AD107" s="24">
        <f t="shared" si="3"/>
        <v>15</v>
      </c>
      <c r="AE107" s="24">
        <f t="shared" si="4"/>
        <v>0</v>
      </c>
      <c r="AF107" s="24">
        <f t="shared" si="5"/>
        <v>0</v>
      </c>
      <c r="AG107" s="41" t="str" cm="1">
        <f t="array" ref="AG107">_xlfn.IFS(
$AD107=15,"Not Started",
$AF107&lt;15,"In Progress",
$AF107=15,"Completed",
SUM(AD107:AF107)&gt;15,"Error"
)</f>
        <v>Not Started</v>
      </c>
    </row>
    <row r="108" spans="1:33" ht="13" x14ac:dyDescent="0.25">
      <c r="A108" s="256"/>
      <c r="B108" s="63" t="s">
        <v>1964</v>
      </c>
      <c r="C108" s="53" t="s">
        <v>6309</v>
      </c>
      <c r="D108" s="57" t="s">
        <v>6467</v>
      </c>
      <c r="E108" s="7" t="s">
        <v>51</v>
      </c>
      <c r="F108" s="7" t="s">
        <v>48</v>
      </c>
      <c r="G108" s="7" t="s">
        <v>7527</v>
      </c>
      <c r="H108" s="7" t="s">
        <v>7527</v>
      </c>
      <c r="I108" s="7" t="s">
        <v>7482</v>
      </c>
      <c r="J108" s="7" t="s">
        <v>6625</v>
      </c>
      <c r="K108" s="7">
        <v>10052485133</v>
      </c>
      <c r="L108" s="7"/>
      <c r="M108" s="32"/>
      <c r="N108" s="28" t="s">
        <v>9</v>
      </c>
      <c r="O108" s="28" t="s">
        <v>9</v>
      </c>
      <c r="P108" s="28" t="s">
        <v>9</v>
      </c>
      <c r="Q108" s="28" t="s">
        <v>9</v>
      </c>
      <c r="R108" s="28" t="s">
        <v>9</v>
      </c>
      <c r="S108" s="28" t="s">
        <v>9</v>
      </c>
      <c r="T108" s="28" t="s">
        <v>9</v>
      </c>
      <c r="U108" s="28" t="s">
        <v>9</v>
      </c>
      <c r="V108" s="28" t="s">
        <v>9</v>
      </c>
      <c r="W108" s="28" t="s">
        <v>9</v>
      </c>
      <c r="X108" s="28" t="s">
        <v>9</v>
      </c>
      <c r="Y108" s="28" t="s">
        <v>9</v>
      </c>
      <c r="Z108" s="28" t="s">
        <v>9</v>
      </c>
      <c r="AA108" s="28" t="s">
        <v>9</v>
      </c>
      <c r="AB108" s="28" t="s">
        <v>9</v>
      </c>
      <c r="AC108" s="28" t="s">
        <v>9</v>
      </c>
      <c r="AD108" s="24">
        <f t="shared" si="3"/>
        <v>15</v>
      </c>
      <c r="AE108" s="24">
        <f t="shared" si="4"/>
        <v>0</v>
      </c>
      <c r="AF108" s="24">
        <f t="shared" si="5"/>
        <v>0</v>
      </c>
      <c r="AG108" s="41" t="str" cm="1">
        <f t="array" ref="AG108">_xlfn.IFS(
$AD108=15,"Not Started",
$AF108&lt;15,"In Progress",
$AF108=15,"Completed",
SUM(AD108:AF108)&gt;15,"Error"
)</f>
        <v>Not Started</v>
      </c>
    </row>
    <row r="109" spans="1:33" ht="13" x14ac:dyDescent="0.25">
      <c r="A109" s="256"/>
      <c r="B109" s="64" t="s">
        <v>1965</v>
      </c>
      <c r="C109" s="53" t="s">
        <v>6310</v>
      </c>
      <c r="D109" s="57" t="s">
        <v>6468</v>
      </c>
      <c r="E109" s="7" t="s">
        <v>51</v>
      </c>
      <c r="F109" s="7" t="s">
        <v>48</v>
      </c>
      <c r="G109" s="7" t="s">
        <v>7527</v>
      </c>
      <c r="H109" s="7" t="s">
        <v>7527</v>
      </c>
      <c r="I109" s="7" t="s">
        <v>7483</v>
      </c>
      <c r="J109" s="7" t="s">
        <v>6626</v>
      </c>
      <c r="K109" s="7">
        <v>10052866953</v>
      </c>
      <c r="L109" s="7"/>
      <c r="M109" s="32"/>
      <c r="N109" s="28" t="s">
        <v>9</v>
      </c>
      <c r="O109" s="28" t="s">
        <v>9</v>
      </c>
      <c r="P109" s="28" t="s">
        <v>9</v>
      </c>
      <c r="Q109" s="28" t="s">
        <v>9</v>
      </c>
      <c r="R109" s="28" t="s">
        <v>9</v>
      </c>
      <c r="S109" s="28" t="s">
        <v>9</v>
      </c>
      <c r="T109" s="28" t="s">
        <v>9</v>
      </c>
      <c r="U109" s="28" t="s">
        <v>9</v>
      </c>
      <c r="V109" s="28" t="s">
        <v>9</v>
      </c>
      <c r="W109" s="28" t="s">
        <v>9</v>
      </c>
      <c r="X109" s="28" t="s">
        <v>9</v>
      </c>
      <c r="Y109" s="28" t="s">
        <v>9</v>
      </c>
      <c r="Z109" s="28" t="s">
        <v>9</v>
      </c>
      <c r="AA109" s="28" t="s">
        <v>9</v>
      </c>
      <c r="AB109" s="28" t="s">
        <v>9</v>
      </c>
      <c r="AC109" s="28" t="s">
        <v>9</v>
      </c>
      <c r="AD109" s="24">
        <f t="shared" si="3"/>
        <v>15</v>
      </c>
      <c r="AE109" s="24">
        <f t="shared" si="4"/>
        <v>0</v>
      </c>
      <c r="AF109" s="24">
        <f t="shared" si="5"/>
        <v>0</v>
      </c>
      <c r="AG109" s="41" t="str" cm="1">
        <f t="array" ref="AG109">_xlfn.IFS(
$AD109=15,"Not Started",
$AF109&lt;15,"In Progress",
$AF109=15,"Completed",
SUM(AD109:AF109)&gt;15,"Error"
)</f>
        <v>Not Started</v>
      </c>
    </row>
    <row r="110" spans="1:33" ht="13" x14ac:dyDescent="0.25">
      <c r="A110" s="256"/>
      <c r="B110" s="63" t="s">
        <v>1966</v>
      </c>
      <c r="C110" s="53" t="s">
        <v>6311</v>
      </c>
      <c r="D110" s="57" t="s">
        <v>6469</v>
      </c>
      <c r="E110" s="7" t="s">
        <v>43</v>
      </c>
      <c r="F110" s="7" t="s">
        <v>48</v>
      </c>
      <c r="G110" s="7" t="s">
        <v>7527</v>
      </c>
      <c r="H110" s="7" t="s">
        <v>7527</v>
      </c>
      <c r="I110" s="7" t="s">
        <v>7484</v>
      </c>
      <c r="J110" s="7" t="s">
        <v>6627</v>
      </c>
      <c r="K110" s="7">
        <v>10052454871</v>
      </c>
      <c r="L110" s="7"/>
      <c r="M110" s="32"/>
      <c r="N110" s="28" t="s">
        <v>9</v>
      </c>
      <c r="O110" s="28" t="s">
        <v>9</v>
      </c>
      <c r="P110" s="28" t="s">
        <v>9</v>
      </c>
      <c r="Q110" s="28" t="s">
        <v>9</v>
      </c>
      <c r="R110" s="28" t="s">
        <v>9</v>
      </c>
      <c r="S110" s="28" t="s">
        <v>9</v>
      </c>
      <c r="T110" s="28" t="s">
        <v>9</v>
      </c>
      <c r="U110" s="28" t="s">
        <v>9</v>
      </c>
      <c r="V110" s="28" t="s">
        <v>9</v>
      </c>
      <c r="W110" s="28" t="s">
        <v>9</v>
      </c>
      <c r="X110" s="28" t="s">
        <v>9</v>
      </c>
      <c r="Y110" s="28" t="s">
        <v>9</v>
      </c>
      <c r="Z110" s="28" t="s">
        <v>9</v>
      </c>
      <c r="AA110" s="28" t="s">
        <v>9</v>
      </c>
      <c r="AB110" s="28" t="s">
        <v>9</v>
      </c>
      <c r="AC110" s="28" t="s">
        <v>9</v>
      </c>
      <c r="AD110" s="24">
        <f t="shared" si="3"/>
        <v>15</v>
      </c>
      <c r="AE110" s="24">
        <f t="shared" si="4"/>
        <v>0</v>
      </c>
      <c r="AF110" s="24">
        <f t="shared" si="5"/>
        <v>0</v>
      </c>
      <c r="AG110" s="41" t="str" cm="1">
        <f t="array" ref="AG110">_xlfn.IFS(
$AD110=15,"Not Started",
$AF110&lt;15,"In Progress",
$AF110=15,"Completed",
SUM(AD110:AF110)&gt;15,"Error"
)</f>
        <v>Not Started</v>
      </c>
    </row>
    <row r="111" spans="1:33" ht="13" x14ac:dyDescent="0.25">
      <c r="A111" s="256"/>
      <c r="B111" s="64" t="s">
        <v>1967</v>
      </c>
      <c r="C111" s="53" t="s">
        <v>6312</v>
      </c>
      <c r="D111" s="57" t="s">
        <v>6470</v>
      </c>
      <c r="E111" s="7" t="s">
        <v>51</v>
      </c>
      <c r="F111" s="7" t="s">
        <v>48</v>
      </c>
      <c r="G111" s="7" t="s">
        <v>7527</v>
      </c>
      <c r="H111" s="7" t="s">
        <v>7527</v>
      </c>
      <c r="I111" s="7" t="s">
        <v>7485</v>
      </c>
      <c r="J111" s="7" t="s">
        <v>6628</v>
      </c>
      <c r="K111" s="7">
        <v>10052719303</v>
      </c>
      <c r="L111" s="7"/>
      <c r="M111" s="32"/>
      <c r="N111" s="28" t="s">
        <v>9</v>
      </c>
      <c r="O111" s="28" t="s">
        <v>9</v>
      </c>
      <c r="P111" s="28" t="s">
        <v>9</v>
      </c>
      <c r="Q111" s="28" t="s">
        <v>9</v>
      </c>
      <c r="R111" s="28" t="s">
        <v>9</v>
      </c>
      <c r="S111" s="28" t="s">
        <v>9</v>
      </c>
      <c r="T111" s="28" t="s">
        <v>9</v>
      </c>
      <c r="U111" s="28" t="s">
        <v>9</v>
      </c>
      <c r="V111" s="28" t="s">
        <v>9</v>
      </c>
      <c r="W111" s="28" t="s">
        <v>9</v>
      </c>
      <c r="X111" s="28" t="s">
        <v>9</v>
      </c>
      <c r="Y111" s="28" t="s">
        <v>9</v>
      </c>
      <c r="Z111" s="28" t="s">
        <v>9</v>
      </c>
      <c r="AA111" s="28" t="s">
        <v>9</v>
      </c>
      <c r="AB111" s="28" t="s">
        <v>9</v>
      </c>
      <c r="AC111" s="28" t="s">
        <v>9</v>
      </c>
      <c r="AD111" s="24">
        <f t="shared" si="3"/>
        <v>15</v>
      </c>
      <c r="AE111" s="24">
        <f t="shared" si="4"/>
        <v>0</v>
      </c>
      <c r="AF111" s="24">
        <f t="shared" si="5"/>
        <v>0</v>
      </c>
      <c r="AG111" s="41" t="str" cm="1">
        <f t="array" ref="AG111">_xlfn.IFS(
$AD111=15,"Not Started",
$AF111&lt;15,"In Progress",
$AF111=15,"Completed",
SUM(AD111:AF111)&gt;15,"Error"
)</f>
        <v>Not Started</v>
      </c>
    </row>
    <row r="112" spans="1:33" ht="13" x14ac:dyDescent="0.25">
      <c r="A112" s="256"/>
      <c r="B112" s="63" t="s">
        <v>1968</v>
      </c>
      <c r="C112" s="53" t="s">
        <v>6313</v>
      </c>
      <c r="D112" s="57" t="s">
        <v>6471</v>
      </c>
      <c r="E112" s="7" t="s">
        <v>9672</v>
      </c>
      <c r="F112" s="7" t="s">
        <v>44</v>
      </c>
      <c r="G112" s="7" t="s">
        <v>7527</v>
      </c>
      <c r="H112" s="7" t="s">
        <v>7527</v>
      </c>
      <c r="I112" s="7" t="s">
        <v>7486</v>
      </c>
      <c r="J112" s="7" t="s">
        <v>6629</v>
      </c>
      <c r="K112" s="7">
        <v>10052689106</v>
      </c>
      <c r="L112" s="7"/>
      <c r="M112" s="32"/>
      <c r="N112" s="28" t="s">
        <v>9</v>
      </c>
      <c r="O112" s="28" t="s">
        <v>9</v>
      </c>
      <c r="P112" s="28" t="s">
        <v>9</v>
      </c>
      <c r="Q112" s="28" t="s">
        <v>9</v>
      </c>
      <c r="R112" s="28" t="s">
        <v>9</v>
      </c>
      <c r="S112" s="28" t="s">
        <v>9</v>
      </c>
      <c r="T112" s="28" t="s">
        <v>9</v>
      </c>
      <c r="U112" s="28" t="s">
        <v>9</v>
      </c>
      <c r="V112" s="28" t="s">
        <v>9</v>
      </c>
      <c r="W112" s="28" t="s">
        <v>9</v>
      </c>
      <c r="X112" s="28" t="s">
        <v>9</v>
      </c>
      <c r="Y112" s="28" t="s">
        <v>9</v>
      </c>
      <c r="Z112" s="28" t="s">
        <v>9</v>
      </c>
      <c r="AA112" s="28" t="s">
        <v>9</v>
      </c>
      <c r="AB112" s="28" t="s">
        <v>9</v>
      </c>
      <c r="AC112" s="28" t="s">
        <v>9</v>
      </c>
      <c r="AD112" s="24">
        <f t="shared" si="3"/>
        <v>15</v>
      </c>
      <c r="AE112" s="24">
        <f t="shared" si="4"/>
        <v>0</v>
      </c>
      <c r="AF112" s="24">
        <f t="shared" si="5"/>
        <v>0</v>
      </c>
      <c r="AG112" s="41" t="str" cm="1">
        <f t="array" ref="AG112">_xlfn.IFS(
$AD112=15,"Not Started",
$AF112&lt;15,"In Progress",
$AF112=15,"Completed",
SUM(AD112:AF112)&gt;15,"Error"
)</f>
        <v>Not Started</v>
      </c>
    </row>
    <row r="113" spans="1:33" ht="13" x14ac:dyDescent="0.25">
      <c r="A113" s="256"/>
      <c r="B113" s="64" t="s">
        <v>1969</v>
      </c>
      <c r="C113" s="53" t="s">
        <v>6314</v>
      </c>
      <c r="D113" s="57" t="s">
        <v>6472</v>
      </c>
      <c r="E113" s="7" t="s">
        <v>51</v>
      </c>
      <c r="F113" s="7" t="s">
        <v>48</v>
      </c>
      <c r="G113" s="7" t="s">
        <v>7527</v>
      </c>
      <c r="H113" s="7" t="s">
        <v>7527</v>
      </c>
      <c r="I113" s="7" t="s">
        <v>7487</v>
      </c>
      <c r="J113" s="7" t="s">
        <v>6630</v>
      </c>
      <c r="K113" s="7">
        <v>10053072728</v>
      </c>
      <c r="L113" s="7"/>
      <c r="M113" s="32"/>
      <c r="N113" s="28" t="s">
        <v>9</v>
      </c>
      <c r="O113" s="28" t="s">
        <v>9</v>
      </c>
      <c r="P113" s="28" t="s">
        <v>9</v>
      </c>
      <c r="Q113" s="28" t="s">
        <v>9</v>
      </c>
      <c r="R113" s="28" t="s">
        <v>9</v>
      </c>
      <c r="S113" s="28" t="s">
        <v>9</v>
      </c>
      <c r="T113" s="28" t="s">
        <v>9</v>
      </c>
      <c r="U113" s="28" t="s">
        <v>9</v>
      </c>
      <c r="V113" s="28" t="s">
        <v>9</v>
      </c>
      <c r="W113" s="28" t="s">
        <v>9</v>
      </c>
      <c r="X113" s="28" t="s">
        <v>9</v>
      </c>
      <c r="Y113" s="28" t="s">
        <v>9</v>
      </c>
      <c r="Z113" s="28" t="s">
        <v>9</v>
      </c>
      <c r="AA113" s="28" t="s">
        <v>9</v>
      </c>
      <c r="AB113" s="28" t="s">
        <v>9</v>
      </c>
      <c r="AC113" s="28" t="s">
        <v>9</v>
      </c>
      <c r="AD113" s="24">
        <f t="shared" si="3"/>
        <v>15</v>
      </c>
      <c r="AE113" s="24">
        <f t="shared" si="4"/>
        <v>0</v>
      </c>
      <c r="AF113" s="24">
        <f t="shared" si="5"/>
        <v>0</v>
      </c>
      <c r="AG113" s="41" t="str" cm="1">
        <f t="array" ref="AG113">_xlfn.IFS(
$AD113=15,"Not Started",
$AF113&lt;15,"In Progress",
$AF113=15,"Completed",
SUM(AD113:AF113)&gt;15,"Error"
)</f>
        <v>Not Started</v>
      </c>
    </row>
    <row r="114" spans="1:33" ht="13" x14ac:dyDescent="0.25">
      <c r="A114" s="256"/>
      <c r="B114" s="63" t="s">
        <v>1970</v>
      </c>
      <c r="C114" s="53" t="s">
        <v>6315</v>
      </c>
      <c r="D114" s="57" t="s">
        <v>6473</v>
      </c>
      <c r="E114" s="7" t="s">
        <v>43</v>
      </c>
      <c r="F114" s="7" t="s">
        <v>48</v>
      </c>
      <c r="G114" s="7" t="s">
        <v>7527</v>
      </c>
      <c r="H114" s="7" t="s">
        <v>7527</v>
      </c>
      <c r="I114" s="7" t="s">
        <v>7488</v>
      </c>
      <c r="J114" s="7" t="s">
        <v>6631</v>
      </c>
      <c r="K114" s="7">
        <v>10052966467</v>
      </c>
      <c r="L114" s="7"/>
      <c r="M114" s="32">
        <v>46130</v>
      </c>
      <c r="N114" s="28" t="s">
        <v>11</v>
      </c>
      <c r="O114" s="28" t="s">
        <v>11</v>
      </c>
      <c r="P114" s="28" t="s">
        <v>11</v>
      </c>
      <c r="Q114" s="28" t="s">
        <v>11</v>
      </c>
      <c r="R114" s="28" t="s">
        <v>9</v>
      </c>
      <c r="S114" s="28" t="s">
        <v>9</v>
      </c>
      <c r="T114" s="28" t="s">
        <v>9</v>
      </c>
      <c r="U114" s="28" t="s">
        <v>9</v>
      </c>
      <c r="V114" s="28" t="s">
        <v>9</v>
      </c>
      <c r="W114" s="28" t="s">
        <v>9</v>
      </c>
      <c r="X114" s="28" t="s">
        <v>9</v>
      </c>
      <c r="Y114" s="28" t="s">
        <v>9</v>
      </c>
      <c r="Z114" s="28" t="s">
        <v>9</v>
      </c>
      <c r="AA114" s="28" t="s">
        <v>9</v>
      </c>
      <c r="AB114" s="28" t="s">
        <v>9</v>
      </c>
      <c r="AC114" s="28" t="s">
        <v>9</v>
      </c>
      <c r="AD114" s="24">
        <f t="shared" si="3"/>
        <v>11</v>
      </c>
      <c r="AE114" s="24">
        <f t="shared" si="4"/>
        <v>0</v>
      </c>
      <c r="AF114" s="24">
        <f t="shared" si="5"/>
        <v>4</v>
      </c>
      <c r="AG114" s="41" t="str" cm="1">
        <f t="array" ref="AG114">_xlfn.IFS(
$AD114=15,"Not Started",
$AF114&lt;15,"In Progress",
$AF114=15,"Completed",
SUM(AD114:AF114)&gt;15,"Error"
)</f>
        <v>In Progress</v>
      </c>
    </row>
    <row r="115" spans="1:33" ht="13" x14ac:dyDescent="0.25">
      <c r="A115" s="256"/>
      <c r="B115" s="64" t="s">
        <v>1971</v>
      </c>
      <c r="C115" s="53" t="s">
        <v>6316</v>
      </c>
      <c r="D115" s="57" t="s">
        <v>6474</v>
      </c>
      <c r="E115" s="7" t="s">
        <v>43</v>
      </c>
      <c r="F115" s="7" t="s">
        <v>48</v>
      </c>
      <c r="G115" s="7" t="s">
        <v>7527</v>
      </c>
      <c r="H115" s="7" t="s">
        <v>7527</v>
      </c>
      <c r="I115" s="7" t="s">
        <v>7489</v>
      </c>
      <c r="J115" s="7" t="s">
        <v>6632</v>
      </c>
      <c r="K115" s="7">
        <v>10052966592</v>
      </c>
      <c r="L115" s="7"/>
      <c r="M115" s="32">
        <v>46130</v>
      </c>
      <c r="N115" s="28" t="s">
        <v>11</v>
      </c>
      <c r="O115" s="28" t="s">
        <v>11</v>
      </c>
      <c r="P115" s="28" t="s">
        <v>11</v>
      </c>
      <c r="Q115" s="28" t="s">
        <v>11</v>
      </c>
      <c r="R115" s="28" t="s">
        <v>9</v>
      </c>
      <c r="S115" s="28" t="s">
        <v>9</v>
      </c>
      <c r="T115" s="28" t="s">
        <v>9</v>
      </c>
      <c r="U115" s="28" t="s">
        <v>9</v>
      </c>
      <c r="V115" s="28" t="s">
        <v>9</v>
      </c>
      <c r="W115" s="28" t="s">
        <v>9</v>
      </c>
      <c r="X115" s="28" t="s">
        <v>9</v>
      </c>
      <c r="Y115" s="28" t="s">
        <v>9</v>
      </c>
      <c r="Z115" s="28" t="s">
        <v>9</v>
      </c>
      <c r="AA115" s="28" t="s">
        <v>9</v>
      </c>
      <c r="AB115" s="28" t="s">
        <v>9</v>
      </c>
      <c r="AC115" s="28" t="s">
        <v>9</v>
      </c>
      <c r="AD115" s="24">
        <f t="shared" si="3"/>
        <v>11</v>
      </c>
      <c r="AE115" s="24">
        <f t="shared" si="4"/>
        <v>0</v>
      </c>
      <c r="AF115" s="24">
        <f t="shared" si="5"/>
        <v>4</v>
      </c>
      <c r="AG115" s="41" t="str" cm="1">
        <f t="array" ref="AG115">_xlfn.IFS(
$AD115=15,"Not Started",
$AF115&lt;15,"In Progress",
$AF115=15,"Completed",
SUM(AD115:AF115)&gt;15,"Error"
)</f>
        <v>In Progress</v>
      </c>
    </row>
    <row r="116" spans="1:33" ht="13" x14ac:dyDescent="0.25">
      <c r="A116" s="256"/>
      <c r="B116" s="63" t="s">
        <v>1972</v>
      </c>
      <c r="C116" s="53" t="s">
        <v>6317</v>
      </c>
      <c r="D116" s="57" t="s">
        <v>6475</v>
      </c>
      <c r="E116" s="7" t="s">
        <v>9672</v>
      </c>
      <c r="F116" s="7" t="s">
        <v>48</v>
      </c>
      <c r="G116" s="7" t="s">
        <v>7527</v>
      </c>
      <c r="H116" s="7" t="s">
        <v>7527</v>
      </c>
      <c r="I116" s="7" t="s">
        <v>7490</v>
      </c>
      <c r="J116" s="7" t="s">
        <v>6633</v>
      </c>
      <c r="K116" s="7">
        <v>10082636097</v>
      </c>
      <c r="L116" s="7"/>
      <c r="M116" s="32">
        <v>46131</v>
      </c>
      <c r="N116" s="28" t="s">
        <v>11</v>
      </c>
      <c r="O116" s="28" t="s">
        <v>11</v>
      </c>
      <c r="P116" s="28" t="s">
        <v>11</v>
      </c>
      <c r="Q116" s="28" t="s">
        <v>11</v>
      </c>
      <c r="R116" s="28" t="s">
        <v>9</v>
      </c>
      <c r="S116" s="28" t="s">
        <v>9</v>
      </c>
      <c r="T116" s="28" t="s">
        <v>9</v>
      </c>
      <c r="U116" s="28" t="s">
        <v>9</v>
      </c>
      <c r="V116" s="28" t="s">
        <v>9</v>
      </c>
      <c r="W116" s="28" t="s">
        <v>9</v>
      </c>
      <c r="X116" s="28" t="s">
        <v>9</v>
      </c>
      <c r="Y116" s="28" t="s">
        <v>9</v>
      </c>
      <c r="Z116" s="28" t="s">
        <v>9</v>
      </c>
      <c r="AA116" s="28" t="s">
        <v>9</v>
      </c>
      <c r="AB116" s="28" t="s">
        <v>9</v>
      </c>
      <c r="AC116" s="28" t="s">
        <v>9</v>
      </c>
      <c r="AD116" s="24">
        <f t="shared" si="3"/>
        <v>11</v>
      </c>
      <c r="AE116" s="24">
        <f t="shared" si="4"/>
        <v>0</v>
      </c>
      <c r="AF116" s="24">
        <f t="shared" si="5"/>
        <v>4</v>
      </c>
      <c r="AG116" s="41" t="str" cm="1">
        <f t="array" ref="AG116">_xlfn.IFS(
$AD116=15,"Not Started",
$AF116&lt;15,"In Progress",
$AF116=15,"Completed",
SUM(AD116:AF116)&gt;15,"Error"
)</f>
        <v>In Progress</v>
      </c>
    </row>
    <row r="117" spans="1:33" ht="13" x14ac:dyDescent="0.25">
      <c r="A117" s="256"/>
      <c r="B117" s="64" t="s">
        <v>1973</v>
      </c>
      <c r="C117" s="53" t="s">
        <v>6318</v>
      </c>
      <c r="D117" s="57" t="s">
        <v>6476</v>
      </c>
      <c r="E117" s="7" t="s">
        <v>43</v>
      </c>
      <c r="F117" s="7" t="s">
        <v>48</v>
      </c>
      <c r="G117" s="7" t="s">
        <v>7527</v>
      </c>
      <c r="H117" s="7" t="s">
        <v>7527</v>
      </c>
      <c r="I117" s="7" t="s">
        <v>7491</v>
      </c>
      <c r="J117" s="7" t="s">
        <v>6634</v>
      </c>
      <c r="K117" s="7">
        <v>10052966313</v>
      </c>
      <c r="L117" s="7"/>
      <c r="M117" s="32">
        <v>46131</v>
      </c>
      <c r="N117" s="28" t="s">
        <v>11</v>
      </c>
      <c r="O117" s="28" t="s">
        <v>11</v>
      </c>
      <c r="P117" s="28" t="s">
        <v>11</v>
      </c>
      <c r="Q117" s="28" t="s">
        <v>11</v>
      </c>
      <c r="R117" s="28" t="s">
        <v>9</v>
      </c>
      <c r="S117" s="28" t="s">
        <v>9</v>
      </c>
      <c r="T117" s="28" t="s">
        <v>9</v>
      </c>
      <c r="U117" s="28" t="s">
        <v>9</v>
      </c>
      <c r="V117" s="28" t="s">
        <v>9</v>
      </c>
      <c r="W117" s="28" t="s">
        <v>9</v>
      </c>
      <c r="X117" s="28" t="s">
        <v>9</v>
      </c>
      <c r="Y117" s="28" t="s">
        <v>9</v>
      </c>
      <c r="Z117" s="28" t="s">
        <v>9</v>
      </c>
      <c r="AA117" s="28" t="s">
        <v>9</v>
      </c>
      <c r="AB117" s="28" t="s">
        <v>9</v>
      </c>
      <c r="AC117" s="28" t="s">
        <v>9</v>
      </c>
      <c r="AD117" s="24">
        <f t="shared" si="3"/>
        <v>11</v>
      </c>
      <c r="AE117" s="24">
        <f t="shared" si="4"/>
        <v>0</v>
      </c>
      <c r="AF117" s="24">
        <f t="shared" si="5"/>
        <v>4</v>
      </c>
      <c r="AG117" s="41" t="str" cm="1">
        <f t="array" ref="AG117">_xlfn.IFS(
$AD117=15,"Not Started",
$AF117&lt;15,"In Progress",
$AF117=15,"Completed",
SUM(AD117:AF117)&gt;15,"Error"
)</f>
        <v>In Progress</v>
      </c>
    </row>
    <row r="118" spans="1:33" ht="13" x14ac:dyDescent="0.25">
      <c r="A118" s="256"/>
      <c r="B118" s="63" t="s">
        <v>1974</v>
      </c>
      <c r="C118" s="53" t="s">
        <v>6319</v>
      </c>
      <c r="D118" s="57" t="s">
        <v>6477</v>
      </c>
      <c r="E118" s="7" t="s">
        <v>9672</v>
      </c>
      <c r="F118" s="7" t="s">
        <v>48</v>
      </c>
      <c r="G118" s="7" t="s">
        <v>7527</v>
      </c>
      <c r="H118" s="7" t="s">
        <v>7527</v>
      </c>
      <c r="I118" s="7" t="s">
        <v>7492</v>
      </c>
      <c r="J118" s="7" t="s">
        <v>6635</v>
      </c>
      <c r="K118" s="7">
        <v>10052871247</v>
      </c>
      <c r="L118" s="7"/>
      <c r="M118" s="32"/>
      <c r="N118" s="28" t="s">
        <v>9</v>
      </c>
      <c r="O118" s="28" t="s">
        <v>9</v>
      </c>
      <c r="P118" s="28" t="s">
        <v>9</v>
      </c>
      <c r="Q118" s="28" t="s">
        <v>9</v>
      </c>
      <c r="R118" s="28" t="s">
        <v>9</v>
      </c>
      <c r="S118" s="28" t="s">
        <v>9</v>
      </c>
      <c r="T118" s="28" t="s">
        <v>9</v>
      </c>
      <c r="U118" s="28" t="s">
        <v>9</v>
      </c>
      <c r="V118" s="28" t="s">
        <v>9</v>
      </c>
      <c r="W118" s="28" t="s">
        <v>9</v>
      </c>
      <c r="X118" s="28" t="s">
        <v>9</v>
      </c>
      <c r="Y118" s="28" t="s">
        <v>9</v>
      </c>
      <c r="Z118" s="28" t="s">
        <v>9</v>
      </c>
      <c r="AA118" s="28" t="s">
        <v>9</v>
      </c>
      <c r="AB118" s="28" t="s">
        <v>9</v>
      </c>
      <c r="AC118" s="28" t="s">
        <v>9</v>
      </c>
      <c r="AD118" s="24">
        <f t="shared" si="3"/>
        <v>15</v>
      </c>
      <c r="AE118" s="24">
        <f t="shared" si="4"/>
        <v>0</v>
      </c>
      <c r="AF118" s="24">
        <f t="shared" si="5"/>
        <v>0</v>
      </c>
      <c r="AG118" s="41" t="str" cm="1">
        <f t="array" ref="AG118">_xlfn.IFS(
$AD118=15,"Not Started",
$AF118&lt;15,"In Progress",
$AF118=15,"Completed",
SUM(AD118:AF118)&gt;15,"Error"
)</f>
        <v>Not Started</v>
      </c>
    </row>
    <row r="119" spans="1:33" ht="13" x14ac:dyDescent="0.25">
      <c r="A119" s="256"/>
      <c r="B119" s="64" t="s">
        <v>1975</v>
      </c>
      <c r="C119" s="53" t="s">
        <v>6320</v>
      </c>
      <c r="D119" s="57" t="s">
        <v>6478</v>
      </c>
      <c r="E119" s="7" t="s">
        <v>43</v>
      </c>
      <c r="F119" s="7" t="s">
        <v>48</v>
      </c>
      <c r="G119" s="7" t="s">
        <v>7527</v>
      </c>
      <c r="H119" s="7" t="s">
        <v>7527</v>
      </c>
      <c r="I119" s="7" t="s">
        <v>7493</v>
      </c>
      <c r="J119" s="7" t="s">
        <v>6636</v>
      </c>
      <c r="K119" s="7">
        <v>10053065634</v>
      </c>
      <c r="L119" s="7"/>
      <c r="M119" s="32"/>
      <c r="N119" s="28" t="s">
        <v>9</v>
      </c>
      <c r="O119" s="28" t="s">
        <v>9</v>
      </c>
      <c r="P119" s="28" t="s">
        <v>9</v>
      </c>
      <c r="Q119" s="28" t="s">
        <v>9</v>
      </c>
      <c r="R119" s="28" t="s">
        <v>9</v>
      </c>
      <c r="S119" s="28" t="s">
        <v>9</v>
      </c>
      <c r="T119" s="28" t="s">
        <v>9</v>
      </c>
      <c r="U119" s="28" t="s">
        <v>9</v>
      </c>
      <c r="V119" s="28" t="s">
        <v>9</v>
      </c>
      <c r="W119" s="28" t="s">
        <v>9</v>
      </c>
      <c r="X119" s="28" t="s">
        <v>9</v>
      </c>
      <c r="Y119" s="28" t="s">
        <v>9</v>
      </c>
      <c r="Z119" s="28" t="s">
        <v>9</v>
      </c>
      <c r="AA119" s="28" t="s">
        <v>9</v>
      </c>
      <c r="AB119" s="28" t="s">
        <v>9</v>
      </c>
      <c r="AC119" s="28" t="s">
        <v>9</v>
      </c>
      <c r="AD119" s="24">
        <f t="shared" si="3"/>
        <v>15</v>
      </c>
      <c r="AE119" s="24">
        <f t="shared" si="4"/>
        <v>0</v>
      </c>
      <c r="AF119" s="24">
        <f t="shared" si="5"/>
        <v>0</v>
      </c>
      <c r="AG119" s="41" t="str" cm="1">
        <f t="array" ref="AG119">_xlfn.IFS(
$AD119=15,"Not Started",
$AF119&lt;15,"In Progress",
$AF119=15,"Completed",
SUM(AD119:AF119)&gt;15,"Error"
)</f>
        <v>Not Started</v>
      </c>
    </row>
    <row r="120" spans="1:33" ht="13" x14ac:dyDescent="0.25">
      <c r="A120" s="256"/>
      <c r="B120" s="63" t="s">
        <v>1976</v>
      </c>
      <c r="C120" s="53" t="s">
        <v>6321</v>
      </c>
      <c r="D120" s="57" t="s">
        <v>6479</v>
      </c>
      <c r="E120" s="7" t="s">
        <v>9672</v>
      </c>
      <c r="F120" s="7" t="s">
        <v>48</v>
      </c>
      <c r="G120" s="7" t="s">
        <v>7527</v>
      </c>
      <c r="H120" s="7" t="s">
        <v>7527</v>
      </c>
      <c r="I120" s="7" t="s">
        <v>7494</v>
      </c>
      <c r="J120" s="7" t="s">
        <v>6637</v>
      </c>
      <c r="K120" s="7">
        <v>10053072263</v>
      </c>
      <c r="L120" s="7"/>
      <c r="M120" s="32"/>
      <c r="N120" s="28" t="s">
        <v>9</v>
      </c>
      <c r="O120" s="28" t="s">
        <v>9</v>
      </c>
      <c r="P120" s="28" t="s">
        <v>9</v>
      </c>
      <c r="Q120" s="28" t="s">
        <v>9</v>
      </c>
      <c r="R120" s="28" t="s">
        <v>9</v>
      </c>
      <c r="S120" s="28" t="s">
        <v>9</v>
      </c>
      <c r="T120" s="28" t="s">
        <v>9</v>
      </c>
      <c r="U120" s="28" t="s">
        <v>9</v>
      </c>
      <c r="V120" s="28" t="s">
        <v>9</v>
      </c>
      <c r="W120" s="28" t="s">
        <v>9</v>
      </c>
      <c r="X120" s="28" t="s">
        <v>9</v>
      </c>
      <c r="Y120" s="28" t="s">
        <v>9</v>
      </c>
      <c r="Z120" s="28" t="s">
        <v>9</v>
      </c>
      <c r="AA120" s="28" t="s">
        <v>9</v>
      </c>
      <c r="AB120" s="28" t="s">
        <v>9</v>
      </c>
      <c r="AC120" s="28" t="s">
        <v>9</v>
      </c>
      <c r="AD120" s="24">
        <f t="shared" si="3"/>
        <v>15</v>
      </c>
      <c r="AE120" s="24">
        <f t="shared" si="4"/>
        <v>0</v>
      </c>
      <c r="AF120" s="24">
        <f t="shared" si="5"/>
        <v>0</v>
      </c>
      <c r="AG120" s="41" t="str" cm="1">
        <f t="array" ref="AG120">_xlfn.IFS(
$AD120=15,"Not Started",
$AF120&lt;15,"In Progress",
$AF120=15,"Completed",
SUM(AD120:AF120)&gt;15,"Error"
)</f>
        <v>Not Started</v>
      </c>
    </row>
    <row r="121" spans="1:33" ht="13" x14ac:dyDescent="0.25">
      <c r="A121" s="256"/>
      <c r="B121" s="64" t="s">
        <v>1977</v>
      </c>
      <c r="C121" s="53" t="s">
        <v>6322</v>
      </c>
      <c r="D121" s="57" t="s">
        <v>6480</v>
      </c>
      <c r="E121" s="7" t="s">
        <v>9672</v>
      </c>
      <c r="F121" s="7" t="s">
        <v>48</v>
      </c>
      <c r="G121" s="7" t="s">
        <v>7527</v>
      </c>
      <c r="H121" s="7" t="s">
        <v>7527</v>
      </c>
      <c r="I121" s="7" t="s">
        <v>7495</v>
      </c>
      <c r="J121" s="7" t="s">
        <v>6638</v>
      </c>
      <c r="K121" s="7">
        <v>10053067011</v>
      </c>
      <c r="L121" s="7"/>
      <c r="M121" s="32"/>
      <c r="N121" s="28" t="s">
        <v>9</v>
      </c>
      <c r="O121" s="28" t="s">
        <v>9</v>
      </c>
      <c r="P121" s="28" t="s">
        <v>9</v>
      </c>
      <c r="Q121" s="28" t="s">
        <v>9</v>
      </c>
      <c r="R121" s="28" t="s">
        <v>9</v>
      </c>
      <c r="S121" s="28" t="s">
        <v>9</v>
      </c>
      <c r="T121" s="28" t="s">
        <v>9</v>
      </c>
      <c r="U121" s="28" t="s">
        <v>9</v>
      </c>
      <c r="V121" s="28" t="s">
        <v>9</v>
      </c>
      <c r="W121" s="28" t="s">
        <v>9</v>
      </c>
      <c r="X121" s="28" t="s">
        <v>9</v>
      </c>
      <c r="Y121" s="28" t="s">
        <v>9</v>
      </c>
      <c r="Z121" s="28" t="s">
        <v>9</v>
      </c>
      <c r="AA121" s="28" t="s">
        <v>9</v>
      </c>
      <c r="AB121" s="28" t="s">
        <v>9</v>
      </c>
      <c r="AC121" s="28" t="s">
        <v>9</v>
      </c>
      <c r="AD121" s="24">
        <f t="shared" si="3"/>
        <v>15</v>
      </c>
      <c r="AE121" s="24">
        <f t="shared" si="4"/>
        <v>0</v>
      </c>
      <c r="AF121" s="24">
        <f t="shared" si="5"/>
        <v>0</v>
      </c>
      <c r="AG121" s="41" t="str" cm="1">
        <f t="array" ref="AG121">_xlfn.IFS(
$AD121=15,"Not Started",
$AF121&lt;15,"In Progress",
$AF121=15,"Completed",
SUM(AD121:AF121)&gt;15,"Error"
)</f>
        <v>Not Started</v>
      </c>
    </row>
    <row r="122" spans="1:33" ht="13" x14ac:dyDescent="0.25">
      <c r="A122" s="256"/>
      <c r="B122" s="63" t="s">
        <v>1978</v>
      </c>
      <c r="C122" s="53" t="s">
        <v>6323</v>
      </c>
      <c r="D122" s="57" t="s">
        <v>6481</v>
      </c>
      <c r="E122" s="7" t="s">
        <v>43</v>
      </c>
      <c r="F122" s="7" t="s">
        <v>44</v>
      </c>
      <c r="G122" s="7" t="s">
        <v>7527</v>
      </c>
      <c r="H122" s="7" t="s">
        <v>7527</v>
      </c>
      <c r="I122" s="7" t="s">
        <v>7495</v>
      </c>
      <c r="J122" s="7" t="s">
        <v>6639</v>
      </c>
      <c r="K122" s="7">
        <v>10052697341</v>
      </c>
      <c r="L122" s="7"/>
      <c r="M122" s="32"/>
      <c r="N122" s="28" t="s">
        <v>9</v>
      </c>
      <c r="O122" s="28" t="s">
        <v>9</v>
      </c>
      <c r="P122" s="28" t="s">
        <v>9</v>
      </c>
      <c r="Q122" s="28" t="s">
        <v>9</v>
      </c>
      <c r="R122" s="28" t="s">
        <v>9</v>
      </c>
      <c r="S122" s="28" t="s">
        <v>9</v>
      </c>
      <c r="T122" s="28" t="s">
        <v>9</v>
      </c>
      <c r="U122" s="28" t="s">
        <v>9</v>
      </c>
      <c r="V122" s="28" t="s">
        <v>9</v>
      </c>
      <c r="W122" s="28" t="s">
        <v>9</v>
      </c>
      <c r="X122" s="28" t="s">
        <v>9</v>
      </c>
      <c r="Y122" s="28" t="s">
        <v>9</v>
      </c>
      <c r="Z122" s="28" t="s">
        <v>9</v>
      </c>
      <c r="AA122" s="28" t="s">
        <v>9</v>
      </c>
      <c r="AB122" s="28" t="s">
        <v>9</v>
      </c>
      <c r="AC122" s="28" t="s">
        <v>9</v>
      </c>
      <c r="AD122" s="24">
        <f t="shared" si="3"/>
        <v>15</v>
      </c>
      <c r="AE122" s="24">
        <f t="shared" si="4"/>
        <v>0</v>
      </c>
      <c r="AF122" s="24">
        <f t="shared" si="5"/>
        <v>0</v>
      </c>
      <c r="AG122" s="41" t="str" cm="1">
        <f t="array" ref="AG122">_xlfn.IFS(
$AD122=15,"Not Started",
$AF122&lt;15,"In Progress",
$AF122=15,"Completed",
SUM(AD122:AF122)&gt;15,"Error"
)</f>
        <v>Not Started</v>
      </c>
    </row>
    <row r="123" spans="1:33" ht="26" x14ac:dyDescent="0.25">
      <c r="A123" s="256"/>
      <c r="B123" s="64" t="s">
        <v>1979</v>
      </c>
      <c r="C123" s="53" t="s">
        <v>6324</v>
      </c>
      <c r="D123" s="80" t="s">
        <v>10354</v>
      </c>
      <c r="E123" s="7" t="s">
        <v>47</v>
      </c>
      <c r="F123" s="7" t="s">
        <v>48</v>
      </c>
      <c r="G123" s="7" t="s">
        <v>7527</v>
      </c>
      <c r="H123" s="7" t="s">
        <v>7527</v>
      </c>
      <c r="I123" s="7" t="s">
        <v>7496</v>
      </c>
      <c r="J123" s="7" t="s">
        <v>6640</v>
      </c>
      <c r="K123" s="7">
        <v>10052571821</v>
      </c>
      <c r="L123" s="7"/>
      <c r="M123" s="32"/>
      <c r="N123" s="28" t="s">
        <v>9</v>
      </c>
      <c r="O123" s="28" t="s">
        <v>9</v>
      </c>
      <c r="P123" s="28" t="s">
        <v>9</v>
      </c>
      <c r="Q123" s="28" t="s">
        <v>9</v>
      </c>
      <c r="R123" s="28" t="s">
        <v>9</v>
      </c>
      <c r="S123" s="28" t="s">
        <v>9</v>
      </c>
      <c r="T123" s="28" t="s">
        <v>9</v>
      </c>
      <c r="U123" s="28" t="s">
        <v>9</v>
      </c>
      <c r="V123" s="28" t="s">
        <v>9</v>
      </c>
      <c r="W123" s="28" t="s">
        <v>9</v>
      </c>
      <c r="X123" s="28" t="s">
        <v>9</v>
      </c>
      <c r="Y123" s="28" t="s">
        <v>9</v>
      </c>
      <c r="Z123" s="28" t="s">
        <v>9</v>
      </c>
      <c r="AA123" s="28" t="s">
        <v>9</v>
      </c>
      <c r="AB123" s="28" t="s">
        <v>9</v>
      </c>
      <c r="AC123" s="28" t="s">
        <v>9</v>
      </c>
      <c r="AD123" s="24">
        <f t="shared" si="3"/>
        <v>15</v>
      </c>
      <c r="AE123" s="24">
        <f t="shared" si="4"/>
        <v>0</v>
      </c>
      <c r="AF123" s="24">
        <f t="shared" si="5"/>
        <v>0</v>
      </c>
      <c r="AG123" s="41" t="str" cm="1">
        <f t="array" ref="AG123">_xlfn.IFS(
$AD123=15,"Not Started",
$AF123&lt;15,"In Progress",
$AF123=15,"Completed",
SUM(AD123:AF123)&gt;15,"Error"
)</f>
        <v>Not Started</v>
      </c>
    </row>
    <row r="124" spans="1:33" ht="13" x14ac:dyDescent="0.25">
      <c r="A124" s="256"/>
      <c r="B124" s="63" t="s">
        <v>1980</v>
      </c>
      <c r="C124" s="53" t="s">
        <v>6325</v>
      </c>
      <c r="D124" s="57" t="s">
        <v>6482</v>
      </c>
      <c r="E124" s="7" t="s">
        <v>47</v>
      </c>
      <c r="F124" s="7" t="s">
        <v>44</v>
      </c>
      <c r="G124" s="7" t="s">
        <v>7527</v>
      </c>
      <c r="H124" s="7" t="s">
        <v>7527</v>
      </c>
      <c r="I124" s="7" t="s">
        <v>7497</v>
      </c>
      <c r="J124" s="7" t="s">
        <v>6641</v>
      </c>
      <c r="K124" s="7">
        <v>10052659152</v>
      </c>
      <c r="L124" s="7"/>
      <c r="M124" s="32"/>
      <c r="N124" s="28" t="s">
        <v>9</v>
      </c>
      <c r="O124" s="28" t="s">
        <v>9</v>
      </c>
      <c r="P124" s="28" t="s">
        <v>9</v>
      </c>
      <c r="Q124" s="28" t="s">
        <v>9</v>
      </c>
      <c r="R124" s="28" t="s">
        <v>9</v>
      </c>
      <c r="S124" s="28" t="s">
        <v>9</v>
      </c>
      <c r="T124" s="28" t="s">
        <v>9</v>
      </c>
      <c r="U124" s="28" t="s">
        <v>9</v>
      </c>
      <c r="V124" s="28" t="s">
        <v>9</v>
      </c>
      <c r="W124" s="28" t="s">
        <v>9</v>
      </c>
      <c r="X124" s="28" t="s">
        <v>9</v>
      </c>
      <c r="Y124" s="28" t="s">
        <v>9</v>
      </c>
      <c r="Z124" s="28" t="s">
        <v>9</v>
      </c>
      <c r="AA124" s="28" t="s">
        <v>9</v>
      </c>
      <c r="AB124" s="28" t="s">
        <v>9</v>
      </c>
      <c r="AC124" s="28" t="s">
        <v>9</v>
      </c>
      <c r="AD124" s="24">
        <f t="shared" si="3"/>
        <v>15</v>
      </c>
      <c r="AE124" s="24">
        <f t="shared" si="4"/>
        <v>0</v>
      </c>
      <c r="AF124" s="24">
        <f t="shared" si="5"/>
        <v>0</v>
      </c>
      <c r="AG124" s="41" t="str" cm="1">
        <f t="array" ref="AG124">_xlfn.IFS(
$AD124=15,"Not Started",
$AF124&lt;15,"In Progress",
$AF124=15,"Completed",
SUM(AD124:AF124)&gt;15,"Error"
)</f>
        <v>Not Started</v>
      </c>
    </row>
    <row r="125" spans="1:33" ht="13" x14ac:dyDescent="0.25">
      <c r="A125" s="256"/>
      <c r="B125" s="64" t="s">
        <v>1981</v>
      </c>
      <c r="C125" s="53" t="s">
        <v>6326</v>
      </c>
      <c r="D125" s="57" t="s">
        <v>6483</v>
      </c>
      <c r="E125" s="7" t="s">
        <v>43</v>
      </c>
      <c r="F125" s="7" t="s">
        <v>44</v>
      </c>
      <c r="G125" s="7" t="s">
        <v>7527</v>
      </c>
      <c r="H125" s="7" t="s">
        <v>7527</v>
      </c>
      <c r="I125" s="7" t="s">
        <v>7498</v>
      </c>
      <c r="J125" s="7" t="s">
        <v>6642</v>
      </c>
      <c r="K125" s="7">
        <v>10052948039</v>
      </c>
      <c r="L125" s="7"/>
      <c r="M125" s="32"/>
      <c r="N125" s="28" t="s">
        <v>9</v>
      </c>
      <c r="O125" s="28" t="s">
        <v>9</v>
      </c>
      <c r="P125" s="28" t="s">
        <v>9</v>
      </c>
      <c r="Q125" s="28" t="s">
        <v>9</v>
      </c>
      <c r="R125" s="28" t="s">
        <v>9</v>
      </c>
      <c r="S125" s="28" t="s">
        <v>9</v>
      </c>
      <c r="T125" s="28" t="s">
        <v>9</v>
      </c>
      <c r="U125" s="28" t="s">
        <v>9</v>
      </c>
      <c r="V125" s="28" t="s">
        <v>9</v>
      </c>
      <c r="W125" s="28" t="s">
        <v>9</v>
      </c>
      <c r="X125" s="28" t="s">
        <v>9</v>
      </c>
      <c r="Y125" s="28" t="s">
        <v>9</v>
      </c>
      <c r="Z125" s="28" t="s">
        <v>9</v>
      </c>
      <c r="AA125" s="28" t="s">
        <v>9</v>
      </c>
      <c r="AB125" s="28" t="s">
        <v>9</v>
      </c>
      <c r="AC125" s="28" t="s">
        <v>9</v>
      </c>
      <c r="AD125" s="24">
        <f t="shared" si="3"/>
        <v>15</v>
      </c>
      <c r="AE125" s="24">
        <f t="shared" si="4"/>
        <v>0</v>
      </c>
      <c r="AF125" s="24">
        <f t="shared" si="5"/>
        <v>0</v>
      </c>
      <c r="AG125" s="41" t="str" cm="1">
        <f t="array" ref="AG125">_xlfn.IFS(
$AD125=15,"Not Started",
$AF125&lt;15,"In Progress",
$AF125=15,"Completed",
SUM(AD125:AF125)&gt;15,"Error"
)</f>
        <v>Not Started</v>
      </c>
    </row>
    <row r="126" spans="1:33" ht="13" x14ac:dyDescent="0.25">
      <c r="A126" s="256"/>
      <c r="B126" s="63" t="s">
        <v>1982</v>
      </c>
      <c r="C126" s="53" t="s">
        <v>6327</v>
      </c>
      <c r="D126" s="57" t="s">
        <v>6484</v>
      </c>
      <c r="E126" s="7" t="s">
        <v>51</v>
      </c>
      <c r="F126" s="7" t="s">
        <v>44</v>
      </c>
      <c r="G126" s="7" t="s">
        <v>7527</v>
      </c>
      <c r="H126" s="7" t="s">
        <v>7527</v>
      </c>
      <c r="I126" s="7" t="s">
        <v>7499</v>
      </c>
      <c r="J126" s="7" t="s">
        <v>6643</v>
      </c>
      <c r="K126" s="7">
        <v>10052871686</v>
      </c>
      <c r="L126" s="7"/>
      <c r="M126" s="32"/>
      <c r="N126" s="28" t="s">
        <v>9</v>
      </c>
      <c r="O126" s="28" t="s">
        <v>9</v>
      </c>
      <c r="P126" s="28" t="s">
        <v>9</v>
      </c>
      <c r="Q126" s="28" t="s">
        <v>9</v>
      </c>
      <c r="R126" s="28" t="s">
        <v>9</v>
      </c>
      <c r="S126" s="28" t="s">
        <v>9</v>
      </c>
      <c r="T126" s="28" t="s">
        <v>9</v>
      </c>
      <c r="U126" s="28" t="s">
        <v>9</v>
      </c>
      <c r="V126" s="28" t="s">
        <v>9</v>
      </c>
      <c r="W126" s="28" t="s">
        <v>9</v>
      </c>
      <c r="X126" s="28" t="s">
        <v>9</v>
      </c>
      <c r="Y126" s="28" t="s">
        <v>9</v>
      </c>
      <c r="Z126" s="28" t="s">
        <v>9</v>
      </c>
      <c r="AA126" s="28" t="s">
        <v>9</v>
      </c>
      <c r="AB126" s="28" t="s">
        <v>9</v>
      </c>
      <c r="AC126" s="28" t="s">
        <v>9</v>
      </c>
      <c r="AD126" s="24">
        <f t="shared" si="3"/>
        <v>15</v>
      </c>
      <c r="AE126" s="24">
        <f t="shared" si="4"/>
        <v>0</v>
      </c>
      <c r="AF126" s="24">
        <f t="shared" si="5"/>
        <v>0</v>
      </c>
      <c r="AG126" s="41" t="str" cm="1">
        <f t="array" ref="AG126">_xlfn.IFS(
$AD126=15,"Not Started",
$AF126&lt;15,"In Progress",
$AF126=15,"Completed",
SUM(AD126:AF126)&gt;15,"Error"
)</f>
        <v>Not Started</v>
      </c>
    </row>
    <row r="127" spans="1:33" ht="13" x14ac:dyDescent="0.25">
      <c r="A127" s="256"/>
      <c r="B127" s="64" t="s">
        <v>1983</v>
      </c>
      <c r="C127" s="53" t="s">
        <v>6328</v>
      </c>
      <c r="D127" s="57" t="s">
        <v>6485</v>
      </c>
      <c r="E127" s="7" t="s">
        <v>43</v>
      </c>
      <c r="F127" s="7" t="s">
        <v>44</v>
      </c>
      <c r="G127" s="7" t="s">
        <v>7527</v>
      </c>
      <c r="H127" s="7" t="s">
        <v>7527</v>
      </c>
      <c r="I127" s="7" t="s">
        <v>7500</v>
      </c>
      <c r="J127" s="7" t="s">
        <v>6644</v>
      </c>
      <c r="K127" s="7">
        <v>10053086330</v>
      </c>
      <c r="L127" s="7"/>
      <c r="M127" s="32"/>
      <c r="N127" s="28" t="s">
        <v>9</v>
      </c>
      <c r="O127" s="28" t="s">
        <v>9</v>
      </c>
      <c r="P127" s="28" t="s">
        <v>9</v>
      </c>
      <c r="Q127" s="28" t="s">
        <v>9</v>
      </c>
      <c r="R127" s="28" t="s">
        <v>9</v>
      </c>
      <c r="S127" s="28" t="s">
        <v>9</v>
      </c>
      <c r="T127" s="28" t="s">
        <v>9</v>
      </c>
      <c r="U127" s="28" t="s">
        <v>9</v>
      </c>
      <c r="V127" s="28" t="s">
        <v>9</v>
      </c>
      <c r="W127" s="28" t="s">
        <v>9</v>
      </c>
      <c r="X127" s="28" t="s">
        <v>9</v>
      </c>
      <c r="Y127" s="28" t="s">
        <v>9</v>
      </c>
      <c r="Z127" s="28" t="s">
        <v>9</v>
      </c>
      <c r="AA127" s="28" t="s">
        <v>9</v>
      </c>
      <c r="AB127" s="28" t="s">
        <v>9</v>
      </c>
      <c r="AC127" s="28" t="s">
        <v>9</v>
      </c>
      <c r="AD127" s="24">
        <f t="shared" si="3"/>
        <v>15</v>
      </c>
      <c r="AE127" s="24">
        <f t="shared" si="4"/>
        <v>0</v>
      </c>
      <c r="AF127" s="24">
        <f t="shared" si="5"/>
        <v>0</v>
      </c>
      <c r="AG127" s="41" t="str" cm="1">
        <f t="array" ref="AG127">_xlfn.IFS(
$AD127=15,"Not Started",
$AF127&lt;15,"In Progress",
$AF127=15,"Completed",
SUM(AD127:AF127)&gt;15,"Error"
)</f>
        <v>Not Started</v>
      </c>
    </row>
    <row r="128" spans="1:33" ht="13" x14ac:dyDescent="0.25">
      <c r="A128" s="256"/>
      <c r="B128" s="63" t="s">
        <v>1984</v>
      </c>
      <c r="C128" s="53" t="s">
        <v>6329</v>
      </c>
      <c r="D128" s="57" t="s">
        <v>6486</v>
      </c>
      <c r="E128" s="7" t="s">
        <v>47</v>
      </c>
      <c r="F128" s="7" t="s">
        <v>44</v>
      </c>
      <c r="G128" s="7" t="s">
        <v>7527</v>
      </c>
      <c r="H128" s="7" t="s">
        <v>7527</v>
      </c>
      <c r="I128" s="7" t="s">
        <v>7501</v>
      </c>
      <c r="J128" s="7" t="s">
        <v>6645</v>
      </c>
      <c r="K128" s="7">
        <v>10052698651</v>
      </c>
      <c r="L128" s="7"/>
      <c r="M128" s="32"/>
      <c r="N128" s="28" t="s">
        <v>9</v>
      </c>
      <c r="O128" s="28" t="s">
        <v>9</v>
      </c>
      <c r="P128" s="28" t="s">
        <v>9</v>
      </c>
      <c r="Q128" s="28" t="s">
        <v>9</v>
      </c>
      <c r="R128" s="28" t="s">
        <v>9</v>
      </c>
      <c r="S128" s="28" t="s">
        <v>9</v>
      </c>
      <c r="T128" s="28" t="s">
        <v>9</v>
      </c>
      <c r="U128" s="28" t="s">
        <v>9</v>
      </c>
      <c r="V128" s="28" t="s">
        <v>9</v>
      </c>
      <c r="W128" s="28" t="s">
        <v>9</v>
      </c>
      <c r="X128" s="28" t="s">
        <v>9</v>
      </c>
      <c r="Y128" s="28" t="s">
        <v>9</v>
      </c>
      <c r="Z128" s="28" t="s">
        <v>9</v>
      </c>
      <c r="AA128" s="28" t="s">
        <v>9</v>
      </c>
      <c r="AB128" s="28" t="s">
        <v>9</v>
      </c>
      <c r="AC128" s="28" t="s">
        <v>9</v>
      </c>
      <c r="AD128" s="24">
        <f t="shared" si="3"/>
        <v>15</v>
      </c>
      <c r="AE128" s="24">
        <f t="shared" si="4"/>
        <v>0</v>
      </c>
      <c r="AF128" s="24">
        <f t="shared" si="5"/>
        <v>0</v>
      </c>
      <c r="AG128" s="41" t="str" cm="1">
        <f t="array" ref="AG128">_xlfn.IFS(
$AD128=15,"Not Started",
$AF128&lt;15,"In Progress",
$AF128=15,"Completed",
SUM(AD128:AF128)&gt;15,"Error"
)</f>
        <v>Not Started</v>
      </c>
    </row>
    <row r="129" spans="1:33" ht="13" x14ac:dyDescent="0.25">
      <c r="A129" s="256"/>
      <c r="B129" s="64" t="s">
        <v>1985</v>
      </c>
      <c r="C129" s="53" t="s">
        <v>6330</v>
      </c>
      <c r="D129" s="57" t="s">
        <v>6487</v>
      </c>
      <c r="E129" s="7" t="s">
        <v>43</v>
      </c>
      <c r="F129" s="7" t="s">
        <v>44</v>
      </c>
      <c r="G129" s="7" t="s">
        <v>7527</v>
      </c>
      <c r="H129" s="7" t="s">
        <v>7527</v>
      </c>
      <c r="I129" s="7" t="s">
        <v>7502</v>
      </c>
      <c r="J129" s="7" t="s">
        <v>6646</v>
      </c>
      <c r="K129" s="7">
        <v>10089085519</v>
      </c>
      <c r="L129" s="7"/>
      <c r="M129" s="32"/>
      <c r="N129" s="28" t="s">
        <v>9</v>
      </c>
      <c r="O129" s="28" t="s">
        <v>9</v>
      </c>
      <c r="P129" s="28" t="s">
        <v>9</v>
      </c>
      <c r="Q129" s="28" t="s">
        <v>9</v>
      </c>
      <c r="R129" s="28" t="s">
        <v>9</v>
      </c>
      <c r="S129" s="28" t="s">
        <v>9</v>
      </c>
      <c r="T129" s="28" t="s">
        <v>9</v>
      </c>
      <c r="U129" s="28" t="s">
        <v>9</v>
      </c>
      <c r="V129" s="28" t="s">
        <v>9</v>
      </c>
      <c r="W129" s="28" t="s">
        <v>9</v>
      </c>
      <c r="X129" s="28" t="s">
        <v>9</v>
      </c>
      <c r="Y129" s="28" t="s">
        <v>9</v>
      </c>
      <c r="Z129" s="28" t="s">
        <v>9</v>
      </c>
      <c r="AA129" s="28" t="s">
        <v>9</v>
      </c>
      <c r="AB129" s="28" t="s">
        <v>9</v>
      </c>
      <c r="AC129" s="28" t="s">
        <v>9</v>
      </c>
      <c r="AD129" s="24">
        <f t="shared" si="3"/>
        <v>15</v>
      </c>
      <c r="AE129" s="24">
        <f t="shared" si="4"/>
        <v>0</v>
      </c>
      <c r="AF129" s="24">
        <f t="shared" si="5"/>
        <v>0</v>
      </c>
      <c r="AG129" s="41" t="str" cm="1">
        <f t="array" ref="AG129">_xlfn.IFS(
$AD129=15,"Not Started",
$AF129&lt;15,"In Progress",
$AF129=15,"Completed",
SUM(AD129:AF129)&gt;15,"Error"
)</f>
        <v>Not Started</v>
      </c>
    </row>
    <row r="130" spans="1:33" ht="13" x14ac:dyDescent="0.25">
      <c r="A130" s="256"/>
      <c r="B130" s="63" t="s">
        <v>1986</v>
      </c>
      <c r="C130" s="53" t="s">
        <v>6331</v>
      </c>
      <c r="D130" s="57" t="s">
        <v>6488</v>
      </c>
      <c r="E130" s="7" t="s">
        <v>47</v>
      </c>
      <c r="F130" s="7" t="s">
        <v>44</v>
      </c>
      <c r="G130" s="7" t="s">
        <v>7527</v>
      </c>
      <c r="H130" s="7" t="s">
        <v>7527</v>
      </c>
      <c r="I130" s="7" t="s">
        <v>7503</v>
      </c>
      <c r="J130" s="7" t="s">
        <v>6647</v>
      </c>
      <c r="K130" s="7">
        <v>10086390718</v>
      </c>
      <c r="L130" s="7"/>
      <c r="M130" s="32">
        <v>46141</v>
      </c>
      <c r="N130" s="28" t="s">
        <v>11</v>
      </c>
      <c r="O130" s="28" t="s">
        <v>11</v>
      </c>
      <c r="P130" s="28" t="s">
        <v>11</v>
      </c>
      <c r="Q130" s="28" t="s">
        <v>11</v>
      </c>
      <c r="R130" s="28" t="s">
        <v>9</v>
      </c>
      <c r="S130" s="28" t="s">
        <v>9</v>
      </c>
      <c r="T130" s="28" t="s">
        <v>9</v>
      </c>
      <c r="U130" s="28" t="s">
        <v>9</v>
      </c>
      <c r="V130" s="28" t="s">
        <v>9</v>
      </c>
      <c r="W130" s="28" t="s">
        <v>9</v>
      </c>
      <c r="X130" s="28" t="s">
        <v>9</v>
      </c>
      <c r="Y130" s="28" t="s">
        <v>9</v>
      </c>
      <c r="Z130" s="28" t="s">
        <v>9</v>
      </c>
      <c r="AA130" s="28" t="s">
        <v>9</v>
      </c>
      <c r="AB130" s="28" t="s">
        <v>9</v>
      </c>
      <c r="AC130" s="28" t="s">
        <v>9</v>
      </c>
      <c r="AD130" s="24">
        <f t="shared" si="3"/>
        <v>11</v>
      </c>
      <c r="AE130" s="24">
        <f t="shared" si="4"/>
        <v>0</v>
      </c>
      <c r="AF130" s="24">
        <f t="shared" si="5"/>
        <v>4</v>
      </c>
      <c r="AG130" s="41" t="str" cm="1">
        <f t="array" ref="AG130">_xlfn.IFS(
$AD130=15,"Not Started",
$AF130&lt;15,"In Progress",
$AF130=15,"Completed",
SUM(AD130:AF130)&gt;15,"Error"
)</f>
        <v>In Progress</v>
      </c>
    </row>
    <row r="131" spans="1:33" ht="13" x14ac:dyDescent="0.25">
      <c r="A131" s="256"/>
      <c r="B131" s="64" t="s">
        <v>1987</v>
      </c>
      <c r="C131" s="53" t="s">
        <v>6332</v>
      </c>
      <c r="D131" s="57" t="s">
        <v>6489</v>
      </c>
      <c r="E131" s="7" t="s">
        <v>43</v>
      </c>
      <c r="F131" s="7" t="s">
        <v>48</v>
      </c>
      <c r="G131" s="7" t="s">
        <v>7527</v>
      </c>
      <c r="H131" s="7" t="s">
        <v>7527</v>
      </c>
      <c r="I131" s="7" t="s">
        <v>7504</v>
      </c>
      <c r="J131" s="7" t="s">
        <v>6648</v>
      </c>
      <c r="K131" s="7">
        <v>10053087927</v>
      </c>
      <c r="L131" s="7"/>
      <c r="M131" s="32"/>
      <c r="N131" s="28" t="s">
        <v>9</v>
      </c>
      <c r="O131" s="28" t="s">
        <v>9</v>
      </c>
      <c r="P131" s="28" t="s">
        <v>9</v>
      </c>
      <c r="Q131" s="28" t="s">
        <v>9</v>
      </c>
      <c r="R131" s="28" t="s">
        <v>9</v>
      </c>
      <c r="S131" s="28" t="s">
        <v>9</v>
      </c>
      <c r="T131" s="28" t="s">
        <v>9</v>
      </c>
      <c r="U131" s="28" t="s">
        <v>9</v>
      </c>
      <c r="V131" s="28" t="s">
        <v>9</v>
      </c>
      <c r="W131" s="28" t="s">
        <v>9</v>
      </c>
      <c r="X131" s="28" t="s">
        <v>9</v>
      </c>
      <c r="Y131" s="28" t="s">
        <v>9</v>
      </c>
      <c r="Z131" s="28" t="s">
        <v>9</v>
      </c>
      <c r="AA131" s="28" t="s">
        <v>9</v>
      </c>
      <c r="AB131" s="28" t="s">
        <v>9</v>
      </c>
      <c r="AC131" s="28" t="s">
        <v>9</v>
      </c>
      <c r="AD131" s="24">
        <f t="shared" si="3"/>
        <v>15</v>
      </c>
      <c r="AE131" s="24">
        <f t="shared" si="4"/>
        <v>0</v>
      </c>
      <c r="AF131" s="24">
        <f t="shared" si="5"/>
        <v>0</v>
      </c>
      <c r="AG131" s="41" t="str" cm="1">
        <f t="array" ref="AG131">_xlfn.IFS(
$AD131=15,"Not Started",
$AF131&lt;15,"In Progress",
$AF131=15,"Completed",
SUM(AD131:AF131)&gt;15,"Error"
)</f>
        <v>Not Started</v>
      </c>
    </row>
    <row r="132" spans="1:33" ht="13" x14ac:dyDescent="0.25">
      <c r="A132" s="256"/>
      <c r="B132" s="63" t="s">
        <v>1988</v>
      </c>
      <c r="C132" s="53" t="s">
        <v>6333</v>
      </c>
      <c r="D132" s="57" t="s">
        <v>6490</v>
      </c>
      <c r="E132" s="7" t="s">
        <v>43</v>
      </c>
      <c r="F132" s="7" t="s">
        <v>44</v>
      </c>
      <c r="G132" s="7" t="s">
        <v>7527</v>
      </c>
      <c r="H132" s="7" t="s">
        <v>7527</v>
      </c>
      <c r="I132" s="7" t="s">
        <v>7505</v>
      </c>
      <c r="J132" s="7" t="s">
        <v>6649</v>
      </c>
      <c r="K132" s="7">
        <v>10088904168</v>
      </c>
      <c r="L132" s="7"/>
      <c r="M132" s="32"/>
      <c r="N132" s="28" t="s">
        <v>9</v>
      </c>
      <c r="O132" s="28" t="s">
        <v>9</v>
      </c>
      <c r="P132" s="28" t="s">
        <v>9</v>
      </c>
      <c r="Q132" s="28" t="s">
        <v>9</v>
      </c>
      <c r="R132" s="28" t="s">
        <v>9</v>
      </c>
      <c r="S132" s="28" t="s">
        <v>9</v>
      </c>
      <c r="T132" s="28" t="s">
        <v>9</v>
      </c>
      <c r="U132" s="28" t="s">
        <v>9</v>
      </c>
      <c r="V132" s="28" t="s">
        <v>9</v>
      </c>
      <c r="W132" s="28" t="s">
        <v>9</v>
      </c>
      <c r="X132" s="28" t="s">
        <v>9</v>
      </c>
      <c r="Y132" s="28" t="s">
        <v>9</v>
      </c>
      <c r="Z132" s="28" t="s">
        <v>9</v>
      </c>
      <c r="AA132" s="28" t="s">
        <v>9</v>
      </c>
      <c r="AB132" s="28" t="s">
        <v>9</v>
      </c>
      <c r="AC132" s="28" t="s">
        <v>9</v>
      </c>
      <c r="AD132" s="24">
        <f t="shared" ref="AD132:AD195" si="6">COUNTIF(N132:AB132,$AD$2)</f>
        <v>15</v>
      </c>
      <c r="AE132" s="24">
        <f t="shared" ref="AE132:AE195" si="7">COUNTIF(N132:AB132,$AE$2)</f>
        <v>0</v>
      </c>
      <c r="AF132" s="24">
        <f t="shared" ref="AF132:AF195" si="8">COUNTIF(N132:AB132,$AF$2)</f>
        <v>0</v>
      </c>
      <c r="AG132" s="41" t="str" cm="1">
        <f t="array" ref="AG132">_xlfn.IFS(
$AD132=15,"Not Started",
$AF132&lt;15,"In Progress",
$AF132=15,"Completed",
SUM(AD132:AF132)&gt;15,"Error"
)</f>
        <v>Not Started</v>
      </c>
    </row>
    <row r="133" spans="1:33" ht="13" x14ac:dyDescent="0.25">
      <c r="A133" s="256"/>
      <c r="B133" s="64" t="s">
        <v>1989</v>
      </c>
      <c r="C133" s="53" t="s">
        <v>6334</v>
      </c>
      <c r="D133" s="57" t="s">
        <v>6491</v>
      </c>
      <c r="E133" s="7" t="s">
        <v>51</v>
      </c>
      <c r="F133" s="7" t="s">
        <v>44</v>
      </c>
      <c r="G133" s="7" t="s">
        <v>7527</v>
      </c>
      <c r="H133" s="7" t="s">
        <v>7527</v>
      </c>
      <c r="I133" s="7" t="s">
        <v>7506</v>
      </c>
      <c r="J133" s="7" t="s">
        <v>6650</v>
      </c>
      <c r="K133" s="7">
        <v>10090506168</v>
      </c>
      <c r="L133" s="7"/>
      <c r="M133" s="32"/>
      <c r="N133" s="28" t="s">
        <v>9</v>
      </c>
      <c r="O133" s="28" t="s">
        <v>9</v>
      </c>
      <c r="P133" s="28" t="s">
        <v>9</v>
      </c>
      <c r="Q133" s="28" t="s">
        <v>9</v>
      </c>
      <c r="R133" s="28" t="s">
        <v>9</v>
      </c>
      <c r="S133" s="28" t="s">
        <v>9</v>
      </c>
      <c r="T133" s="28" t="s">
        <v>9</v>
      </c>
      <c r="U133" s="28" t="s">
        <v>9</v>
      </c>
      <c r="V133" s="28" t="s">
        <v>9</v>
      </c>
      <c r="W133" s="28" t="s">
        <v>9</v>
      </c>
      <c r="X133" s="28" t="s">
        <v>9</v>
      </c>
      <c r="Y133" s="28" t="s">
        <v>9</v>
      </c>
      <c r="Z133" s="28" t="s">
        <v>9</v>
      </c>
      <c r="AA133" s="28" t="s">
        <v>9</v>
      </c>
      <c r="AB133" s="28" t="s">
        <v>9</v>
      </c>
      <c r="AC133" s="28" t="s">
        <v>9</v>
      </c>
      <c r="AD133" s="24">
        <f t="shared" si="6"/>
        <v>15</v>
      </c>
      <c r="AE133" s="24">
        <f t="shared" si="7"/>
        <v>0</v>
      </c>
      <c r="AF133" s="24">
        <f t="shared" si="8"/>
        <v>0</v>
      </c>
      <c r="AG133" s="41" t="str" cm="1">
        <f t="array" ref="AG133">_xlfn.IFS(
$AD133=15,"Not Started",
$AF133&lt;15,"In Progress",
$AF133=15,"Completed",
SUM(AD133:AF133)&gt;15,"Error"
)</f>
        <v>Not Started</v>
      </c>
    </row>
    <row r="134" spans="1:33" ht="13" x14ac:dyDescent="0.25">
      <c r="A134" s="256"/>
      <c r="B134" s="63" t="s">
        <v>1990</v>
      </c>
      <c r="C134" s="53" t="s">
        <v>6335</v>
      </c>
      <c r="D134" s="57" t="s">
        <v>6492</v>
      </c>
      <c r="E134" s="7" t="s">
        <v>43</v>
      </c>
      <c r="F134" s="7" t="s">
        <v>44</v>
      </c>
      <c r="G134" s="7" t="s">
        <v>7527</v>
      </c>
      <c r="H134" s="7" t="s">
        <v>7527</v>
      </c>
      <c r="I134" s="7" t="s">
        <v>7507</v>
      </c>
      <c r="J134" s="7" t="s">
        <v>6651</v>
      </c>
      <c r="K134" s="7">
        <v>10089849230</v>
      </c>
      <c r="L134" s="7"/>
      <c r="M134" s="32"/>
      <c r="N134" s="28" t="s">
        <v>9</v>
      </c>
      <c r="O134" s="28" t="s">
        <v>9</v>
      </c>
      <c r="P134" s="28" t="s">
        <v>9</v>
      </c>
      <c r="Q134" s="28" t="s">
        <v>9</v>
      </c>
      <c r="R134" s="28" t="s">
        <v>9</v>
      </c>
      <c r="S134" s="28" t="s">
        <v>9</v>
      </c>
      <c r="T134" s="28" t="s">
        <v>9</v>
      </c>
      <c r="U134" s="28" t="s">
        <v>9</v>
      </c>
      <c r="V134" s="28" t="s">
        <v>9</v>
      </c>
      <c r="W134" s="28" t="s">
        <v>9</v>
      </c>
      <c r="X134" s="28" t="s">
        <v>9</v>
      </c>
      <c r="Y134" s="28" t="s">
        <v>9</v>
      </c>
      <c r="Z134" s="28" t="s">
        <v>9</v>
      </c>
      <c r="AA134" s="28" t="s">
        <v>9</v>
      </c>
      <c r="AB134" s="28" t="s">
        <v>9</v>
      </c>
      <c r="AC134" s="28" t="s">
        <v>9</v>
      </c>
      <c r="AD134" s="24">
        <f t="shared" si="6"/>
        <v>15</v>
      </c>
      <c r="AE134" s="24">
        <f t="shared" si="7"/>
        <v>0</v>
      </c>
      <c r="AF134" s="24">
        <f t="shared" si="8"/>
        <v>0</v>
      </c>
      <c r="AG134" s="41" t="str" cm="1">
        <f t="array" ref="AG134">_xlfn.IFS(
$AD134=15,"Not Started",
$AF134&lt;15,"In Progress",
$AF134=15,"Completed",
SUM(AD134:AF134)&gt;15,"Error"
)</f>
        <v>Not Started</v>
      </c>
    </row>
    <row r="135" spans="1:33" ht="13" x14ac:dyDescent="0.25">
      <c r="A135" s="256"/>
      <c r="B135" s="64" t="s">
        <v>1991</v>
      </c>
      <c r="C135" s="53" t="s">
        <v>6336</v>
      </c>
      <c r="D135" s="57" t="s">
        <v>6493</v>
      </c>
      <c r="E135" s="7" t="s">
        <v>43</v>
      </c>
      <c r="F135" s="7" t="s">
        <v>44</v>
      </c>
      <c r="G135" s="7" t="s">
        <v>7527</v>
      </c>
      <c r="H135" s="7" t="s">
        <v>7527</v>
      </c>
      <c r="I135" s="7" t="s">
        <v>7508</v>
      </c>
      <c r="J135" s="7" t="s">
        <v>6652</v>
      </c>
      <c r="K135" s="7">
        <v>10089779565</v>
      </c>
      <c r="L135" s="7"/>
      <c r="M135" s="32"/>
      <c r="N135" s="28" t="s">
        <v>9</v>
      </c>
      <c r="O135" s="28" t="s">
        <v>9</v>
      </c>
      <c r="P135" s="28" t="s">
        <v>9</v>
      </c>
      <c r="Q135" s="28" t="s">
        <v>9</v>
      </c>
      <c r="R135" s="28" t="s">
        <v>9</v>
      </c>
      <c r="S135" s="28" t="s">
        <v>9</v>
      </c>
      <c r="T135" s="28" t="s">
        <v>9</v>
      </c>
      <c r="U135" s="28" t="s">
        <v>9</v>
      </c>
      <c r="V135" s="28" t="s">
        <v>9</v>
      </c>
      <c r="W135" s="28" t="s">
        <v>9</v>
      </c>
      <c r="X135" s="28" t="s">
        <v>9</v>
      </c>
      <c r="Y135" s="28" t="s">
        <v>9</v>
      </c>
      <c r="Z135" s="28" t="s">
        <v>9</v>
      </c>
      <c r="AA135" s="28" t="s">
        <v>9</v>
      </c>
      <c r="AB135" s="28" t="s">
        <v>9</v>
      </c>
      <c r="AC135" s="28" t="s">
        <v>9</v>
      </c>
      <c r="AD135" s="24">
        <f t="shared" si="6"/>
        <v>15</v>
      </c>
      <c r="AE135" s="24">
        <f t="shared" si="7"/>
        <v>0</v>
      </c>
      <c r="AF135" s="24">
        <f t="shared" si="8"/>
        <v>0</v>
      </c>
      <c r="AG135" s="41" t="str" cm="1">
        <f t="array" ref="AG135">_xlfn.IFS(
$AD135=15,"Not Started",
$AF135&lt;15,"In Progress",
$AF135=15,"Completed",
SUM(AD135:AF135)&gt;15,"Error"
)</f>
        <v>Not Started</v>
      </c>
    </row>
    <row r="136" spans="1:33" ht="13" x14ac:dyDescent="0.25">
      <c r="A136" s="256"/>
      <c r="B136" s="63" t="s">
        <v>1992</v>
      </c>
      <c r="C136" s="53" t="s">
        <v>6337</v>
      </c>
      <c r="D136" s="57" t="s">
        <v>6494</v>
      </c>
      <c r="E136" s="7" t="s">
        <v>43</v>
      </c>
      <c r="F136" s="7" t="s">
        <v>44</v>
      </c>
      <c r="G136" s="7" t="s">
        <v>7527</v>
      </c>
      <c r="H136" s="7" t="s">
        <v>7527</v>
      </c>
      <c r="I136" s="7" t="s">
        <v>7509</v>
      </c>
      <c r="J136" s="7" t="s">
        <v>6653</v>
      </c>
      <c r="K136" s="7">
        <v>10052502154</v>
      </c>
      <c r="L136" s="7"/>
      <c r="M136" s="32"/>
      <c r="N136" s="28" t="s">
        <v>9</v>
      </c>
      <c r="O136" s="28" t="s">
        <v>9</v>
      </c>
      <c r="P136" s="28" t="s">
        <v>9</v>
      </c>
      <c r="Q136" s="28" t="s">
        <v>9</v>
      </c>
      <c r="R136" s="28" t="s">
        <v>9</v>
      </c>
      <c r="S136" s="28" t="s">
        <v>9</v>
      </c>
      <c r="T136" s="28" t="s">
        <v>9</v>
      </c>
      <c r="U136" s="28" t="s">
        <v>9</v>
      </c>
      <c r="V136" s="28" t="s">
        <v>9</v>
      </c>
      <c r="W136" s="28" t="s">
        <v>9</v>
      </c>
      <c r="X136" s="28" t="s">
        <v>9</v>
      </c>
      <c r="Y136" s="28" t="s">
        <v>9</v>
      </c>
      <c r="Z136" s="28" t="s">
        <v>9</v>
      </c>
      <c r="AA136" s="28" t="s">
        <v>9</v>
      </c>
      <c r="AB136" s="28" t="s">
        <v>9</v>
      </c>
      <c r="AC136" s="28" t="s">
        <v>9</v>
      </c>
      <c r="AD136" s="24">
        <f t="shared" si="6"/>
        <v>15</v>
      </c>
      <c r="AE136" s="24">
        <f t="shared" si="7"/>
        <v>0</v>
      </c>
      <c r="AF136" s="24">
        <f t="shared" si="8"/>
        <v>0</v>
      </c>
      <c r="AG136" s="41" t="str" cm="1">
        <f t="array" ref="AG136">_xlfn.IFS(
$AD136=15,"Not Started",
$AF136&lt;15,"In Progress",
$AF136=15,"Completed",
SUM(AD136:AF136)&gt;15,"Error"
)</f>
        <v>Not Started</v>
      </c>
    </row>
    <row r="137" spans="1:33" ht="13" x14ac:dyDescent="0.25">
      <c r="A137" s="256"/>
      <c r="B137" s="64" t="s">
        <v>1993</v>
      </c>
      <c r="C137" s="53" t="s">
        <v>6338</v>
      </c>
      <c r="D137" s="57" t="s">
        <v>6478</v>
      </c>
      <c r="E137" s="7" t="s">
        <v>43</v>
      </c>
      <c r="F137" s="7" t="s">
        <v>44</v>
      </c>
      <c r="G137" s="7" t="s">
        <v>7527</v>
      </c>
      <c r="H137" s="7" t="s">
        <v>7527</v>
      </c>
      <c r="I137" s="7" t="s">
        <v>7510</v>
      </c>
      <c r="J137" s="7" t="s">
        <v>6654</v>
      </c>
      <c r="K137" s="7">
        <v>30130649753</v>
      </c>
      <c r="L137" s="7"/>
      <c r="M137" s="32"/>
      <c r="N137" s="28" t="s">
        <v>9</v>
      </c>
      <c r="O137" s="28" t="s">
        <v>9</v>
      </c>
      <c r="P137" s="28" t="s">
        <v>9</v>
      </c>
      <c r="Q137" s="28" t="s">
        <v>9</v>
      </c>
      <c r="R137" s="28" t="s">
        <v>9</v>
      </c>
      <c r="S137" s="28" t="s">
        <v>9</v>
      </c>
      <c r="T137" s="28" t="s">
        <v>9</v>
      </c>
      <c r="U137" s="28" t="s">
        <v>9</v>
      </c>
      <c r="V137" s="28" t="s">
        <v>9</v>
      </c>
      <c r="W137" s="28" t="s">
        <v>9</v>
      </c>
      <c r="X137" s="28" t="s">
        <v>9</v>
      </c>
      <c r="Y137" s="28" t="s">
        <v>9</v>
      </c>
      <c r="Z137" s="28" t="s">
        <v>9</v>
      </c>
      <c r="AA137" s="28" t="s">
        <v>9</v>
      </c>
      <c r="AB137" s="28" t="s">
        <v>9</v>
      </c>
      <c r="AC137" s="28" t="s">
        <v>9</v>
      </c>
      <c r="AD137" s="24">
        <f t="shared" si="6"/>
        <v>15</v>
      </c>
      <c r="AE137" s="24">
        <f t="shared" si="7"/>
        <v>0</v>
      </c>
      <c r="AF137" s="24">
        <f t="shared" si="8"/>
        <v>0</v>
      </c>
      <c r="AG137" s="41" t="str" cm="1">
        <f t="array" ref="AG137">_xlfn.IFS(
$AD137=15,"Not Started",
$AF137&lt;15,"In Progress",
$AF137=15,"Completed",
SUM(AD137:AF137)&gt;15,"Error"
)</f>
        <v>Not Started</v>
      </c>
    </row>
    <row r="138" spans="1:33" ht="13" x14ac:dyDescent="0.25">
      <c r="A138" s="256"/>
      <c r="B138" s="63" t="s">
        <v>1994</v>
      </c>
      <c r="C138" s="53" t="s">
        <v>6339</v>
      </c>
      <c r="D138" s="57" t="s">
        <v>6495</v>
      </c>
      <c r="E138" s="7" t="s">
        <v>43</v>
      </c>
      <c r="F138" s="7" t="s">
        <v>44</v>
      </c>
      <c r="G138" s="7" t="s">
        <v>7527</v>
      </c>
      <c r="H138" s="7" t="s">
        <v>7527</v>
      </c>
      <c r="I138" s="7" t="s">
        <v>7511</v>
      </c>
      <c r="J138" s="7" t="s">
        <v>6655</v>
      </c>
      <c r="K138" s="7">
        <v>10085784791</v>
      </c>
      <c r="L138" s="7"/>
      <c r="M138" s="32"/>
      <c r="N138" s="28" t="s">
        <v>9</v>
      </c>
      <c r="O138" s="28" t="s">
        <v>9</v>
      </c>
      <c r="P138" s="28" t="s">
        <v>9</v>
      </c>
      <c r="Q138" s="28" t="s">
        <v>9</v>
      </c>
      <c r="R138" s="28" t="s">
        <v>9</v>
      </c>
      <c r="S138" s="28" t="s">
        <v>9</v>
      </c>
      <c r="T138" s="28" t="s">
        <v>9</v>
      </c>
      <c r="U138" s="28" t="s">
        <v>9</v>
      </c>
      <c r="V138" s="28" t="s">
        <v>9</v>
      </c>
      <c r="W138" s="28" t="s">
        <v>9</v>
      </c>
      <c r="X138" s="28" t="s">
        <v>9</v>
      </c>
      <c r="Y138" s="28" t="s">
        <v>9</v>
      </c>
      <c r="Z138" s="28" t="s">
        <v>9</v>
      </c>
      <c r="AA138" s="28" t="s">
        <v>9</v>
      </c>
      <c r="AB138" s="28" t="s">
        <v>9</v>
      </c>
      <c r="AC138" s="28" t="s">
        <v>9</v>
      </c>
      <c r="AD138" s="24">
        <f t="shared" si="6"/>
        <v>15</v>
      </c>
      <c r="AE138" s="24">
        <f t="shared" si="7"/>
        <v>0</v>
      </c>
      <c r="AF138" s="24">
        <f t="shared" si="8"/>
        <v>0</v>
      </c>
      <c r="AG138" s="41" t="str" cm="1">
        <f t="array" ref="AG138">_xlfn.IFS(
$AD138=15,"Not Started",
$AF138&lt;15,"In Progress",
$AF138=15,"Completed",
SUM(AD138:AF138)&gt;15,"Error"
)</f>
        <v>Not Started</v>
      </c>
    </row>
    <row r="139" spans="1:33" ht="13" x14ac:dyDescent="0.25">
      <c r="A139" s="256"/>
      <c r="B139" s="64" t="s">
        <v>1995</v>
      </c>
      <c r="C139" s="53" t="s">
        <v>6340</v>
      </c>
      <c r="D139" s="57" t="s">
        <v>6496</v>
      </c>
      <c r="E139" s="7" t="s">
        <v>43</v>
      </c>
      <c r="F139" s="7" t="s">
        <v>44</v>
      </c>
      <c r="G139" s="7" t="s">
        <v>7527</v>
      </c>
      <c r="H139" s="7" t="s">
        <v>7527</v>
      </c>
      <c r="I139" s="7" t="s">
        <v>7512</v>
      </c>
      <c r="J139" s="7" t="s">
        <v>6656</v>
      </c>
      <c r="K139" s="7">
        <v>10052947873</v>
      </c>
      <c r="L139" s="7"/>
      <c r="M139" s="32"/>
      <c r="N139" s="28" t="s">
        <v>9</v>
      </c>
      <c r="O139" s="28" t="s">
        <v>9</v>
      </c>
      <c r="P139" s="28" t="s">
        <v>9</v>
      </c>
      <c r="Q139" s="28" t="s">
        <v>9</v>
      </c>
      <c r="R139" s="28" t="s">
        <v>9</v>
      </c>
      <c r="S139" s="28" t="s">
        <v>9</v>
      </c>
      <c r="T139" s="28" t="s">
        <v>9</v>
      </c>
      <c r="U139" s="28" t="s">
        <v>9</v>
      </c>
      <c r="V139" s="28" t="s">
        <v>9</v>
      </c>
      <c r="W139" s="28" t="s">
        <v>9</v>
      </c>
      <c r="X139" s="28" t="s">
        <v>9</v>
      </c>
      <c r="Y139" s="28" t="s">
        <v>9</v>
      </c>
      <c r="Z139" s="28" t="s">
        <v>9</v>
      </c>
      <c r="AA139" s="28" t="s">
        <v>9</v>
      </c>
      <c r="AB139" s="28" t="s">
        <v>9</v>
      </c>
      <c r="AC139" s="28" t="s">
        <v>9</v>
      </c>
      <c r="AD139" s="24">
        <f t="shared" si="6"/>
        <v>15</v>
      </c>
      <c r="AE139" s="24">
        <f t="shared" si="7"/>
        <v>0</v>
      </c>
      <c r="AF139" s="24">
        <f t="shared" si="8"/>
        <v>0</v>
      </c>
      <c r="AG139" s="41" t="str" cm="1">
        <f t="array" ref="AG139">_xlfn.IFS(
$AD139=15,"Not Started",
$AF139&lt;15,"In Progress",
$AF139=15,"Completed",
SUM(AD139:AF139)&gt;15,"Error"
)</f>
        <v>Not Started</v>
      </c>
    </row>
    <row r="140" spans="1:33" ht="13" x14ac:dyDescent="0.25">
      <c r="A140" s="256"/>
      <c r="B140" s="63" t="s">
        <v>1996</v>
      </c>
      <c r="C140" s="53" t="s">
        <v>6341</v>
      </c>
      <c r="D140" s="57" t="s">
        <v>6497</v>
      </c>
      <c r="E140" s="7" t="s">
        <v>43</v>
      </c>
      <c r="F140" s="7" t="s">
        <v>44</v>
      </c>
      <c r="G140" s="7" t="s">
        <v>7527</v>
      </c>
      <c r="H140" s="7" t="s">
        <v>7527</v>
      </c>
      <c r="I140" s="7" t="s">
        <v>7513</v>
      </c>
      <c r="J140" s="7" t="s">
        <v>6657</v>
      </c>
      <c r="K140" s="7">
        <v>10052914371</v>
      </c>
      <c r="L140" s="7"/>
      <c r="M140" s="32"/>
      <c r="N140" s="28" t="s">
        <v>9</v>
      </c>
      <c r="O140" s="28" t="s">
        <v>9</v>
      </c>
      <c r="P140" s="28" t="s">
        <v>9</v>
      </c>
      <c r="Q140" s="28" t="s">
        <v>9</v>
      </c>
      <c r="R140" s="28" t="s">
        <v>9</v>
      </c>
      <c r="S140" s="28" t="s">
        <v>9</v>
      </c>
      <c r="T140" s="28" t="s">
        <v>9</v>
      </c>
      <c r="U140" s="28" t="s">
        <v>9</v>
      </c>
      <c r="V140" s="28" t="s">
        <v>9</v>
      </c>
      <c r="W140" s="28" t="s">
        <v>9</v>
      </c>
      <c r="X140" s="28" t="s">
        <v>9</v>
      </c>
      <c r="Y140" s="28" t="s">
        <v>9</v>
      </c>
      <c r="Z140" s="28" t="s">
        <v>9</v>
      </c>
      <c r="AA140" s="28" t="s">
        <v>9</v>
      </c>
      <c r="AB140" s="28" t="s">
        <v>9</v>
      </c>
      <c r="AC140" s="28" t="s">
        <v>9</v>
      </c>
      <c r="AD140" s="24">
        <f t="shared" si="6"/>
        <v>15</v>
      </c>
      <c r="AE140" s="24">
        <f t="shared" si="7"/>
        <v>0</v>
      </c>
      <c r="AF140" s="24">
        <f t="shared" si="8"/>
        <v>0</v>
      </c>
      <c r="AG140" s="41" t="str" cm="1">
        <f t="array" ref="AG140">_xlfn.IFS(
$AD140=15,"Not Started",
$AF140&lt;15,"In Progress",
$AF140=15,"Completed",
SUM(AD140:AF140)&gt;15,"Error"
)</f>
        <v>Not Started</v>
      </c>
    </row>
    <row r="141" spans="1:33" ht="13" x14ac:dyDescent="0.25">
      <c r="A141" s="256"/>
      <c r="B141" s="64" t="s">
        <v>1997</v>
      </c>
      <c r="C141" s="53" t="s">
        <v>6342</v>
      </c>
      <c r="D141" s="57" t="s">
        <v>3726</v>
      </c>
      <c r="E141" s="7" t="s">
        <v>51</v>
      </c>
      <c r="F141" s="7" t="s">
        <v>48</v>
      </c>
      <c r="G141" s="7" t="s">
        <v>7527</v>
      </c>
      <c r="H141" s="7" t="s">
        <v>7527</v>
      </c>
      <c r="I141" s="7" t="s">
        <v>7514</v>
      </c>
      <c r="J141" s="7" t="s">
        <v>6658</v>
      </c>
      <c r="K141" s="7">
        <v>10052989461</v>
      </c>
      <c r="L141" s="7"/>
      <c r="M141" s="32">
        <v>46113</v>
      </c>
      <c r="N141" s="28" t="s">
        <v>11</v>
      </c>
      <c r="O141" s="28" t="s">
        <v>11</v>
      </c>
      <c r="P141" s="28" t="s">
        <v>11</v>
      </c>
      <c r="Q141" s="28" t="s">
        <v>11</v>
      </c>
      <c r="R141" s="28" t="s">
        <v>9</v>
      </c>
      <c r="S141" s="28" t="s">
        <v>9</v>
      </c>
      <c r="T141" s="28" t="s">
        <v>9</v>
      </c>
      <c r="U141" s="28" t="s">
        <v>9</v>
      </c>
      <c r="V141" s="28" t="s">
        <v>9</v>
      </c>
      <c r="W141" s="28" t="s">
        <v>9</v>
      </c>
      <c r="X141" s="28" t="s">
        <v>9</v>
      </c>
      <c r="Y141" s="28" t="s">
        <v>9</v>
      </c>
      <c r="Z141" s="28" t="s">
        <v>9</v>
      </c>
      <c r="AA141" s="28" t="s">
        <v>9</v>
      </c>
      <c r="AB141" s="28" t="s">
        <v>9</v>
      </c>
      <c r="AC141" s="28" t="s">
        <v>9</v>
      </c>
      <c r="AD141" s="24">
        <f t="shared" si="6"/>
        <v>11</v>
      </c>
      <c r="AE141" s="24">
        <f t="shared" si="7"/>
        <v>0</v>
      </c>
      <c r="AF141" s="24">
        <f t="shared" si="8"/>
        <v>4</v>
      </c>
      <c r="AG141" s="41" t="str" cm="1">
        <f t="array" ref="AG141">_xlfn.IFS(
$AD141=15,"Not Started",
$AF141&lt;15,"In Progress",
$AF141=15,"Completed",
SUM(AD141:AF141)&gt;15,"Error"
)</f>
        <v>In Progress</v>
      </c>
    </row>
    <row r="142" spans="1:33" ht="13" x14ac:dyDescent="0.25">
      <c r="A142" s="256"/>
      <c r="B142" s="63" t="s">
        <v>1998</v>
      </c>
      <c r="C142" s="53" t="s">
        <v>6343</v>
      </c>
      <c r="D142" s="57" t="s">
        <v>6498</v>
      </c>
      <c r="E142" s="7" t="s">
        <v>43</v>
      </c>
      <c r="F142" s="7" t="s">
        <v>48</v>
      </c>
      <c r="G142" s="7" t="s">
        <v>7527</v>
      </c>
      <c r="H142" s="7" t="s">
        <v>7527</v>
      </c>
      <c r="I142" s="7" t="s">
        <v>7515</v>
      </c>
      <c r="J142" s="7" t="s">
        <v>6659</v>
      </c>
      <c r="K142" s="7">
        <v>10052989069</v>
      </c>
      <c r="L142" s="7"/>
      <c r="M142" s="32">
        <v>46112</v>
      </c>
      <c r="N142" s="28" t="s">
        <v>11</v>
      </c>
      <c r="O142" s="28" t="s">
        <v>11</v>
      </c>
      <c r="P142" s="28" t="s">
        <v>11</v>
      </c>
      <c r="Q142" s="28" t="s">
        <v>11</v>
      </c>
      <c r="R142" s="28" t="s">
        <v>9</v>
      </c>
      <c r="S142" s="28" t="s">
        <v>9</v>
      </c>
      <c r="T142" s="28" t="s">
        <v>9</v>
      </c>
      <c r="U142" s="28" t="s">
        <v>9</v>
      </c>
      <c r="V142" s="28" t="s">
        <v>9</v>
      </c>
      <c r="W142" s="28" t="s">
        <v>9</v>
      </c>
      <c r="X142" s="28" t="s">
        <v>9</v>
      </c>
      <c r="Y142" s="28" t="s">
        <v>9</v>
      </c>
      <c r="Z142" s="28" t="s">
        <v>9</v>
      </c>
      <c r="AA142" s="28" t="s">
        <v>9</v>
      </c>
      <c r="AB142" s="28" t="s">
        <v>9</v>
      </c>
      <c r="AC142" s="28" t="s">
        <v>9</v>
      </c>
      <c r="AD142" s="24">
        <f t="shared" si="6"/>
        <v>11</v>
      </c>
      <c r="AE142" s="24">
        <f t="shared" si="7"/>
        <v>0</v>
      </c>
      <c r="AF142" s="24">
        <f t="shared" si="8"/>
        <v>4</v>
      </c>
      <c r="AG142" s="41" t="str" cm="1">
        <f t="array" ref="AG142">_xlfn.IFS(
$AD142=15,"Not Started",
$AF142&lt;15,"In Progress",
$AF142=15,"Completed",
SUM(AD142:AF142)&gt;15,"Error"
)</f>
        <v>In Progress</v>
      </c>
    </row>
    <row r="143" spans="1:33" ht="13" x14ac:dyDescent="0.25">
      <c r="A143" s="256"/>
      <c r="B143" s="64" t="s">
        <v>1999</v>
      </c>
      <c r="C143" s="53" t="s">
        <v>6344</v>
      </c>
      <c r="D143" s="57" t="s">
        <v>6499</v>
      </c>
      <c r="E143" s="7" t="s">
        <v>43</v>
      </c>
      <c r="F143" s="7" t="s">
        <v>48</v>
      </c>
      <c r="G143" s="7" t="s">
        <v>7527</v>
      </c>
      <c r="H143" s="7" t="s">
        <v>7527</v>
      </c>
      <c r="I143" s="7" t="s">
        <v>7516</v>
      </c>
      <c r="J143" s="7" t="s">
        <v>6660</v>
      </c>
      <c r="K143" s="7">
        <v>10052989354</v>
      </c>
      <c r="L143" s="7"/>
      <c r="M143" s="32">
        <v>46110</v>
      </c>
      <c r="N143" s="28" t="s">
        <v>11</v>
      </c>
      <c r="O143" s="28" t="s">
        <v>11</v>
      </c>
      <c r="P143" s="28" t="s">
        <v>11</v>
      </c>
      <c r="Q143" s="28" t="s">
        <v>11</v>
      </c>
      <c r="R143" s="28" t="s">
        <v>9</v>
      </c>
      <c r="S143" s="28" t="s">
        <v>9</v>
      </c>
      <c r="T143" s="28" t="s">
        <v>9</v>
      </c>
      <c r="U143" s="28" t="s">
        <v>9</v>
      </c>
      <c r="V143" s="28" t="s">
        <v>9</v>
      </c>
      <c r="W143" s="28" t="s">
        <v>9</v>
      </c>
      <c r="X143" s="28" t="s">
        <v>9</v>
      </c>
      <c r="Y143" s="28" t="s">
        <v>9</v>
      </c>
      <c r="Z143" s="28" t="s">
        <v>9</v>
      </c>
      <c r="AA143" s="28" t="s">
        <v>9</v>
      </c>
      <c r="AB143" s="28" t="s">
        <v>9</v>
      </c>
      <c r="AC143" s="28" t="s">
        <v>9</v>
      </c>
      <c r="AD143" s="24">
        <f t="shared" si="6"/>
        <v>11</v>
      </c>
      <c r="AE143" s="24">
        <f t="shared" si="7"/>
        <v>0</v>
      </c>
      <c r="AF143" s="24">
        <f t="shared" si="8"/>
        <v>4</v>
      </c>
      <c r="AG143" s="41" t="str" cm="1">
        <f t="array" ref="AG143">_xlfn.IFS(
$AD143=15,"Not Started",
$AF143&lt;15,"In Progress",
$AF143=15,"Completed",
SUM(AD143:AF143)&gt;15,"Error"
)</f>
        <v>In Progress</v>
      </c>
    </row>
    <row r="144" spans="1:33" ht="13" x14ac:dyDescent="0.25">
      <c r="A144" s="256"/>
      <c r="B144" s="63" t="s">
        <v>2000</v>
      </c>
      <c r="C144" s="53" t="s">
        <v>6345</v>
      </c>
      <c r="D144" s="57" t="s">
        <v>6500</v>
      </c>
      <c r="E144" s="7" t="s">
        <v>43</v>
      </c>
      <c r="F144" s="7" t="s">
        <v>48</v>
      </c>
      <c r="G144" s="7" t="s">
        <v>7527</v>
      </c>
      <c r="H144" s="7" t="s">
        <v>7527</v>
      </c>
      <c r="I144" s="7" t="s">
        <v>7517</v>
      </c>
      <c r="J144" s="7" t="s">
        <v>6661</v>
      </c>
      <c r="K144" s="7">
        <v>30062691521</v>
      </c>
      <c r="L144" s="7"/>
      <c r="M144" s="32">
        <v>46113</v>
      </c>
      <c r="N144" s="28" t="s">
        <v>11</v>
      </c>
      <c r="O144" s="28" t="s">
        <v>11</v>
      </c>
      <c r="P144" s="28" t="s">
        <v>11</v>
      </c>
      <c r="Q144" s="28" t="s">
        <v>11</v>
      </c>
      <c r="R144" s="28" t="s">
        <v>9</v>
      </c>
      <c r="S144" s="28" t="s">
        <v>9</v>
      </c>
      <c r="T144" s="28" t="s">
        <v>9</v>
      </c>
      <c r="U144" s="28" t="s">
        <v>9</v>
      </c>
      <c r="V144" s="28" t="s">
        <v>9</v>
      </c>
      <c r="W144" s="28" t="s">
        <v>9</v>
      </c>
      <c r="X144" s="28" t="s">
        <v>9</v>
      </c>
      <c r="Y144" s="28" t="s">
        <v>9</v>
      </c>
      <c r="Z144" s="28" t="s">
        <v>9</v>
      </c>
      <c r="AA144" s="28" t="s">
        <v>9</v>
      </c>
      <c r="AB144" s="28" t="s">
        <v>9</v>
      </c>
      <c r="AC144" s="28" t="s">
        <v>9</v>
      </c>
      <c r="AD144" s="24">
        <f t="shared" si="6"/>
        <v>11</v>
      </c>
      <c r="AE144" s="24">
        <f t="shared" si="7"/>
        <v>0</v>
      </c>
      <c r="AF144" s="24">
        <f t="shared" si="8"/>
        <v>4</v>
      </c>
      <c r="AG144" s="41" t="str" cm="1">
        <f t="array" ref="AG144">_xlfn.IFS(
$AD144=15,"Not Started",
$AF144&lt;15,"In Progress",
$AF144=15,"Completed",
SUM(AD144:AF144)&gt;15,"Error"
)</f>
        <v>In Progress</v>
      </c>
    </row>
    <row r="145" spans="1:33" ht="13" x14ac:dyDescent="0.25">
      <c r="A145" s="256"/>
      <c r="B145" s="64" t="s">
        <v>2001</v>
      </c>
      <c r="C145" s="53" t="s">
        <v>6346</v>
      </c>
      <c r="D145" s="57" t="s">
        <v>6501</v>
      </c>
      <c r="E145" s="7" t="s">
        <v>43</v>
      </c>
      <c r="F145" s="7" t="s">
        <v>48</v>
      </c>
      <c r="G145" s="7" t="s">
        <v>7527</v>
      </c>
      <c r="H145" s="7" t="s">
        <v>7527</v>
      </c>
      <c r="I145" s="7" t="s">
        <v>7518</v>
      </c>
      <c r="J145" s="7" t="s">
        <v>6662</v>
      </c>
      <c r="K145" s="7">
        <v>10053076610</v>
      </c>
      <c r="L145" s="7"/>
      <c r="M145" s="32">
        <v>46112</v>
      </c>
      <c r="N145" s="28" t="s">
        <v>11</v>
      </c>
      <c r="O145" s="28" t="s">
        <v>11</v>
      </c>
      <c r="P145" s="28" t="s">
        <v>11</v>
      </c>
      <c r="Q145" s="28" t="s">
        <v>11</v>
      </c>
      <c r="R145" s="28" t="s">
        <v>9</v>
      </c>
      <c r="S145" s="28" t="s">
        <v>9</v>
      </c>
      <c r="T145" s="28" t="s">
        <v>9</v>
      </c>
      <c r="U145" s="28" t="s">
        <v>9</v>
      </c>
      <c r="V145" s="28" t="s">
        <v>9</v>
      </c>
      <c r="W145" s="28" t="s">
        <v>9</v>
      </c>
      <c r="X145" s="28" t="s">
        <v>9</v>
      </c>
      <c r="Y145" s="28" t="s">
        <v>9</v>
      </c>
      <c r="Z145" s="28" t="s">
        <v>9</v>
      </c>
      <c r="AA145" s="28" t="s">
        <v>9</v>
      </c>
      <c r="AB145" s="28" t="s">
        <v>9</v>
      </c>
      <c r="AC145" s="28" t="s">
        <v>9</v>
      </c>
      <c r="AD145" s="24">
        <f t="shared" si="6"/>
        <v>11</v>
      </c>
      <c r="AE145" s="24">
        <f t="shared" si="7"/>
        <v>0</v>
      </c>
      <c r="AF145" s="24">
        <f t="shared" si="8"/>
        <v>4</v>
      </c>
      <c r="AG145" s="41" t="str" cm="1">
        <f t="array" ref="AG145">_xlfn.IFS(
$AD145=15,"Not Started",
$AF145&lt;15,"In Progress",
$AF145=15,"Completed",
SUM(AD145:AF145)&gt;15,"Error"
)</f>
        <v>In Progress</v>
      </c>
    </row>
    <row r="146" spans="1:33" ht="13" x14ac:dyDescent="0.25">
      <c r="A146" s="256"/>
      <c r="B146" s="63" t="s">
        <v>2002</v>
      </c>
      <c r="C146" s="53" t="s">
        <v>6347</v>
      </c>
      <c r="D146" s="57" t="s">
        <v>6502</v>
      </c>
      <c r="E146" s="7" t="s">
        <v>43</v>
      </c>
      <c r="F146" s="7" t="s">
        <v>48</v>
      </c>
      <c r="G146" s="7" t="s">
        <v>7527</v>
      </c>
      <c r="H146" s="7" t="s">
        <v>7527</v>
      </c>
      <c r="I146" s="7" t="s">
        <v>7519</v>
      </c>
      <c r="J146" s="7" t="s">
        <v>6663</v>
      </c>
      <c r="K146" s="7">
        <v>10052908721</v>
      </c>
      <c r="L146" s="7"/>
      <c r="M146" s="32">
        <v>46110</v>
      </c>
      <c r="N146" s="28" t="s">
        <v>11</v>
      </c>
      <c r="O146" s="28" t="s">
        <v>11</v>
      </c>
      <c r="P146" s="28" t="s">
        <v>11</v>
      </c>
      <c r="Q146" s="28" t="s">
        <v>11</v>
      </c>
      <c r="R146" s="28" t="s">
        <v>9</v>
      </c>
      <c r="S146" s="28" t="s">
        <v>9</v>
      </c>
      <c r="T146" s="28" t="s">
        <v>9</v>
      </c>
      <c r="U146" s="28" t="s">
        <v>9</v>
      </c>
      <c r="V146" s="28" t="s">
        <v>9</v>
      </c>
      <c r="W146" s="28" t="s">
        <v>9</v>
      </c>
      <c r="X146" s="28" t="s">
        <v>9</v>
      </c>
      <c r="Y146" s="28" t="s">
        <v>9</v>
      </c>
      <c r="Z146" s="28" t="s">
        <v>9</v>
      </c>
      <c r="AA146" s="28" t="s">
        <v>9</v>
      </c>
      <c r="AB146" s="28" t="s">
        <v>9</v>
      </c>
      <c r="AC146" s="28" t="s">
        <v>9</v>
      </c>
      <c r="AD146" s="24">
        <f t="shared" si="6"/>
        <v>11</v>
      </c>
      <c r="AE146" s="24">
        <f t="shared" si="7"/>
        <v>0</v>
      </c>
      <c r="AF146" s="24">
        <f t="shared" si="8"/>
        <v>4</v>
      </c>
      <c r="AG146" s="41" t="str" cm="1">
        <f t="array" ref="AG146">_xlfn.IFS(
$AD146=15,"Not Started",
$AF146&lt;15,"In Progress",
$AF146=15,"Completed",
SUM(AD146:AF146)&gt;15,"Error"
)</f>
        <v>In Progress</v>
      </c>
    </row>
    <row r="147" spans="1:33" ht="26" x14ac:dyDescent="0.25">
      <c r="A147" s="256"/>
      <c r="B147" s="64" t="s">
        <v>2003</v>
      </c>
      <c r="C147" s="79" t="s">
        <v>10357</v>
      </c>
      <c r="D147" s="80" t="s">
        <v>10352</v>
      </c>
      <c r="E147" s="7" t="s">
        <v>43</v>
      </c>
      <c r="F147" s="7" t="s">
        <v>44</v>
      </c>
      <c r="G147" s="7" t="s">
        <v>7527</v>
      </c>
      <c r="H147" s="7" t="s">
        <v>7527</v>
      </c>
      <c r="I147" s="7" t="s">
        <v>7520</v>
      </c>
      <c r="J147" s="7" t="s">
        <v>6664</v>
      </c>
      <c r="K147" s="7">
        <v>10086885439</v>
      </c>
      <c r="L147" s="7"/>
      <c r="M147" s="32">
        <v>46114</v>
      </c>
      <c r="N147" s="28" t="s">
        <v>11</v>
      </c>
      <c r="O147" s="28" t="s">
        <v>11</v>
      </c>
      <c r="P147" s="28" t="s">
        <v>11</v>
      </c>
      <c r="Q147" s="28" t="s">
        <v>11</v>
      </c>
      <c r="R147" s="28" t="s">
        <v>9</v>
      </c>
      <c r="S147" s="28" t="s">
        <v>9</v>
      </c>
      <c r="T147" s="28" t="s">
        <v>9</v>
      </c>
      <c r="U147" s="28" t="s">
        <v>9</v>
      </c>
      <c r="V147" s="28" t="s">
        <v>9</v>
      </c>
      <c r="W147" s="28" t="s">
        <v>9</v>
      </c>
      <c r="X147" s="28" t="s">
        <v>9</v>
      </c>
      <c r="Y147" s="28" t="s">
        <v>9</v>
      </c>
      <c r="Z147" s="28" t="s">
        <v>9</v>
      </c>
      <c r="AA147" s="28" t="s">
        <v>9</v>
      </c>
      <c r="AB147" s="28" t="s">
        <v>9</v>
      </c>
      <c r="AC147" s="28" t="s">
        <v>9</v>
      </c>
      <c r="AD147" s="24">
        <f t="shared" si="6"/>
        <v>11</v>
      </c>
      <c r="AE147" s="24">
        <f t="shared" si="7"/>
        <v>0</v>
      </c>
      <c r="AF147" s="24">
        <f t="shared" si="8"/>
        <v>4</v>
      </c>
      <c r="AG147" s="41" t="str" cm="1">
        <f t="array" ref="AG147">_xlfn.IFS(
$AD147=15,"Not Started",
$AF147&lt;15,"In Progress",
$AF147=15,"Completed",
SUM(AD147:AF147)&gt;15,"Error"
)</f>
        <v>In Progress</v>
      </c>
    </row>
    <row r="148" spans="1:33" ht="13" x14ac:dyDescent="0.25">
      <c r="A148" s="256"/>
      <c r="B148" s="63" t="s">
        <v>2004</v>
      </c>
      <c r="C148" s="53" t="s">
        <v>6348</v>
      </c>
      <c r="D148" s="57" t="s">
        <v>6503</v>
      </c>
      <c r="E148" s="7" t="s">
        <v>51</v>
      </c>
      <c r="F148" s="7" t="s">
        <v>44</v>
      </c>
      <c r="G148" s="7" t="s">
        <v>7527</v>
      </c>
      <c r="H148" s="7" t="s">
        <v>7527</v>
      </c>
      <c r="I148" s="7" t="s">
        <v>7521</v>
      </c>
      <c r="J148" s="7" t="s">
        <v>6665</v>
      </c>
      <c r="K148" s="7">
        <v>10053049944</v>
      </c>
      <c r="L148" s="7"/>
      <c r="M148" s="32">
        <v>46147</v>
      </c>
      <c r="N148" s="28" t="s">
        <v>11</v>
      </c>
      <c r="O148" s="28" t="s">
        <v>11</v>
      </c>
      <c r="P148" s="28" t="s">
        <v>11</v>
      </c>
      <c r="Q148" s="28" t="s">
        <v>11</v>
      </c>
      <c r="R148" s="28" t="s">
        <v>9</v>
      </c>
      <c r="S148" s="28" t="s">
        <v>9</v>
      </c>
      <c r="T148" s="28" t="s">
        <v>9</v>
      </c>
      <c r="U148" s="28" t="s">
        <v>9</v>
      </c>
      <c r="V148" s="28" t="s">
        <v>9</v>
      </c>
      <c r="W148" s="28" t="s">
        <v>9</v>
      </c>
      <c r="X148" s="28" t="s">
        <v>9</v>
      </c>
      <c r="Y148" s="28" t="s">
        <v>9</v>
      </c>
      <c r="Z148" s="28" t="s">
        <v>9</v>
      </c>
      <c r="AA148" s="28" t="s">
        <v>9</v>
      </c>
      <c r="AB148" s="28" t="s">
        <v>9</v>
      </c>
      <c r="AC148" s="28" t="s">
        <v>9</v>
      </c>
      <c r="AD148" s="24">
        <f t="shared" si="6"/>
        <v>11</v>
      </c>
      <c r="AE148" s="24">
        <f t="shared" si="7"/>
        <v>0</v>
      </c>
      <c r="AF148" s="24">
        <f t="shared" si="8"/>
        <v>4</v>
      </c>
      <c r="AG148" s="41" t="str" cm="1">
        <f t="array" ref="AG148">_xlfn.IFS(
$AD148=15,"Not Started",
$AF148&lt;15,"In Progress",
$AF148=15,"Completed",
SUM(AD148:AF148)&gt;15,"Error"
)</f>
        <v>In Progress</v>
      </c>
    </row>
    <row r="149" spans="1:33" ht="26" x14ac:dyDescent="0.25">
      <c r="A149" s="256"/>
      <c r="B149" s="64" t="s">
        <v>2005</v>
      </c>
      <c r="C149" s="53" t="s">
        <v>6349</v>
      </c>
      <c r="D149" s="80" t="s">
        <v>10353</v>
      </c>
      <c r="E149" s="7" t="s">
        <v>43</v>
      </c>
      <c r="F149" s="7" t="s">
        <v>44</v>
      </c>
      <c r="G149" s="7" t="s">
        <v>7527</v>
      </c>
      <c r="H149" s="7" t="s">
        <v>7527</v>
      </c>
      <c r="I149" s="7" t="s">
        <v>7522</v>
      </c>
      <c r="J149" s="7" t="s">
        <v>6666</v>
      </c>
      <c r="K149" s="7">
        <v>10095203215</v>
      </c>
      <c r="L149" s="7"/>
      <c r="M149" s="32">
        <v>46114</v>
      </c>
      <c r="N149" s="28" t="s">
        <v>11</v>
      </c>
      <c r="O149" s="28" t="s">
        <v>11</v>
      </c>
      <c r="P149" s="28" t="s">
        <v>11</v>
      </c>
      <c r="Q149" s="28" t="s">
        <v>11</v>
      </c>
      <c r="R149" s="28" t="s">
        <v>9</v>
      </c>
      <c r="S149" s="28" t="s">
        <v>9</v>
      </c>
      <c r="T149" s="28" t="s">
        <v>9</v>
      </c>
      <c r="U149" s="28" t="s">
        <v>9</v>
      </c>
      <c r="V149" s="28" t="s">
        <v>9</v>
      </c>
      <c r="W149" s="28" t="s">
        <v>9</v>
      </c>
      <c r="X149" s="28" t="s">
        <v>9</v>
      </c>
      <c r="Y149" s="28" t="s">
        <v>9</v>
      </c>
      <c r="Z149" s="28" t="s">
        <v>9</v>
      </c>
      <c r="AA149" s="28" t="s">
        <v>9</v>
      </c>
      <c r="AB149" s="28" t="s">
        <v>9</v>
      </c>
      <c r="AC149" s="28" t="s">
        <v>9</v>
      </c>
      <c r="AD149" s="24">
        <f t="shared" si="6"/>
        <v>11</v>
      </c>
      <c r="AE149" s="24">
        <f t="shared" si="7"/>
        <v>0</v>
      </c>
      <c r="AF149" s="24">
        <f t="shared" si="8"/>
        <v>4</v>
      </c>
      <c r="AG149" s="41" t="str" cm="1">
        <f t="array" ref="AG149">_xlfn.IFS(
$AD149=15,"Not Started",
$AF149&lt;15,"In Progress",
$AF149=15,"Completed",
SUM(AD149:AF149)&gt;15,"Error"
)</f>
        <v>In Progress</v>
      </c>
    </row>
    <row r="150" spans="1:33" ht="13" x14ac:dyDescent="0.25">
      <c r="A150" s="256"/>
      <c r="B150" s="63" t="s">
        <v>2006</v>
      </c>
      <c r="C150" s="53" t="s">
        <v>6350</v>
      </c>
      <c r="D150" s="57" t="s">
        <v>6504</v>
      </c>
      <c r="E150" s="7" t="s">
        <v>51</v>
      </c>
      <c r="F150" s="7" t="s">
        <v>44</v>
      </c>
      <c r="G150" s="7" t="s">
        <v>7527</v>
      </c>
      <c r="H150" s="7" t="s">
        <v>7527</v>
      </c>
      <c r="I150" s="7" t="s">
        <v>7523</v>
      </c>
      <c r="J150" s="7" t="s">
        <v>6667</v>
      </c>
      <c r="K150" s="7">
        <v>10052796797</v>
      </c>
      <c r="L150" s="7"/>
      <c r="M150" s="32">
        <v>46116</v>
      </c>
      <c r="N150" s="28" t="s">
        <v>11</v>
      </c>
      <c r="O150" s="28" t="s">
        <v>11</v>
      </c>
      <c r="P150" s="28" t="s">
        <v>11</v>
      </c>
      <c r="Q150" s="28" t="s">
        <v>11</v>
      </c>
      <c r="R150" s="28" t="s">
        <v>9</v>
      </c>
      <c r="S150" s="28" t="s">
        <v>9</v>
      </c>
      <c r="T150" s="28" t="s">
        <v>9</v>
      </c>
      <c r="U150" s="28" t="s">
        <v>9</v>
      </c>
      <c r="V150" s="28" t="s">
        <v>9</v>
      </c>
      <c r="W150" s="28" t="s">
        <v>9</v>
      </c>
      <c r="X150" s="28" t="s">
        <v>9</v>
      </c>
      <c r="Y150" s="28" t="s">
        <v>9</v>
      </c>
      <c r="Z150" s="28" t="s">
        <v>9</v>
      </c>
      <c r="AA150" s="28" t="s">
        <v>9</v>
      </c>
      <c r="AB150" s="28" t="s">
        <v>9</v>
      </c>
      <c r="AC150" s="28" t="s">
        <v>9</v>
      </c>
      <c r="AD150" s="24">
        <f t="shared" si="6"/>
        <v>11</v>
      </c>
      <c r="AE150" s="24">
        <f t="shared" si="7"/>
        <v>0</v>
      </c>
      <c r="AF150" s="24">
        <f t="shared" si="8"/>
        <v>4</v>
      </c>
      <c r="AG150" s="41" t="str" cm="1">
        <f t="array" ref="AG150">_xlfn.IFS(
$AD150=15,"Not Started",
$AF150&lt;15,"In Progress",
$AF150=15,"Completed",
SUM(AD150:AF150)&gt;15,"Error"
)</f>
        <v>In Progress</v>
      </c>
    </row>
    <row r="151" spans="1:33" ht="13" x14ac:dyDescent="0.25">
      <c r="A151" s="256"/>
      <c r="B151" s="64" t="s">
        <v>2007</v>
      </c>
      <c r="C151" s="53" t="s">
        <v>6351</v>
      </c>
      <c r="D151" s="57" t="s">
        <v>6505</v>
      </c>
      <c r="E151" s="7" t="s">
        <v>51</v>
      </c>
      <c r="F151" s="7" t="s">
        <v>44</v>
      </c>
      <c r="G151" s="7" t="s">
        <v>7527</v>
      </c>
      <c r="H151" s="7" t="s">
        <v>7527</v>
      </c>
      <c r="I151" s="7" t="s">
        <v>7524</v>
      </c>
      <c r="J151" s="7" t="s">
        <v>6668</v>
      </c>
      <c r="K151" s="7">
        <v>10053065751</v>
      </c>
      <c r="L151" s="7"/>
      <c r="M151" s="32">
        <v>46111</v>
      </c>
      <c r="N151" s="28" t="s">
        <v>11</v>
      </c>
      <c r="O151" s="28" t="s">
        <v>11</v>
      </c>
      <c r="P151" s="28" t="s">
        <v>11</v>
      </c>
      <c r="Q151" s="28" t="s">
        <v>11</v>
      </c>
      <c r="R151" s="28" t="s">
        <v>9</v>
      </c>
      <c r="S151" s="28" t="s">
        <v>9</v>
      </c>
      <c r="T151" s="28" t="s">
        <v>9</v>
      </c>
      <c r="U151" s="28" t="s">
        <v>9</v>
      </c>
      <c r="V151" s="28" t="s">
        <v>9</v>
      </c>
      <c r="W151" s="28" t="s">
        <v>9</v>
      </c>
      <c r="X151" s="28" t="s">
        <v>9</v>
      </c>
      <c r="Y151" s="28" t="s">
        <v>9</v>
      </c>
      <c r="Z151" s="28" t="s">
        <v>9</v>
      </c>
      <c r="AA151" s="28" t="s">
        <v>9</v>
      </c>
      <c r="AB151" s="28" t="s">
        <v>9</v>
      </c>
      <c r="AC151" s="28" t="s">
        <v>9</v>
      </c>
      <c r="AD151" s="24">
        <f t="shared" si="6"/>
        <v>11</v>
      </c>
      <c r="AE151" s="24">
        <f t="shared" si="7"/>
        <v>0</v>
      </c>
      <c r="AF151" s="24">
        <f t="shared" si="8"/>
        <v>4</v>
      </c>
      <c r="AG151" s="41" t="str" cm="1">
        <f t="array" ref="AG151">_xlfn.IFS(
$AD151=15,"Not Started",
$AF151&lt;15,"In Progress",
$AF151=15,"Completed",
SUM(AD151:AF151)&gt;15,"Error"
)</f>
        <v>In Progress</v>
      </c>
    </row>
    <row r="152" spans="1:33" ht="13" x14ac:dyDescent="0.25">
      <c r="A152" s="256"/>
      <c r="B152" s="63" t="s">
        <v>2008</v>
      </c>
      <c r="C152" s="53" t="s">
        <v>6352</v>
      </c>
      <c r="D152" s="57" t="s">
        <v>6506</v>
      </c>
      <c r="E152" s="7" t="s">
        <v>43</v>
      </c>
      <c r="F152" s="7" t="s">
        <v>44</v>
      </c>
      <c r="G152" s="7" t="s">
        <v>7527</v>
      </c>
      <c r="H152" s="7" t="s">
        <v>7527</v>
      </c>
      <c r="I152" s="7" t="s">
        <v>7525</v>
      </c>
      <c r="J152" s="7" t="s">
        <v>6669</v>
      </c>
      <c r="K152" s="7">
        <v>10052990239</v>
      </c>
      <c r="L152" s="7"/>
      <c r="M152" s="32"/>
      <c r="N152" s="28" t="s">
        <v>9</v>
      </c>
      <c r="O152" s="28" t="s">
        <v>9</v>
      </c>
      <c r="P152" s="28" t="s">
        <v>9</v>
      </c>
      <c r="Q152" s="28" t="s">
        <v>9</v>
      </c>
      <c r="R152" s="28" t="s">
        <v>9</v>
      </c>
      <c r="S152" s="28" t="s">
        <v>9</v>
      </c>
      <c r="T152" s="28" t="s">
        <v>9</v>
      </c>
      <c r="U152" s="28" t="s">
        <v>9</v>
      </c>
      <c r="V152" s="28" t="s">
        <v>9</v>
      </c>
      <c r="W152" s="28" t="s">
        <v>9</v>
      </c>
      <c r="X152" s="28" t="s">
        <v>9</v>
      </c>
      <c r="Y152" s="28" t="s">
        <v>9</v>
      </c>
      <c r="Z152" s="28" t="s">
        <v>9</v>
      </c>
      <c r="AA152" s="28" t="s">
        <v>9</v>
      </c>
      <c r="AB152" s="28" t="s">
        <v>9</v>
      </c>
      <c r="AC152" s="28" t="s">
        <v>9</v>
      </c>
      <c r="AD152" s="24">
        <f t="shared" si="6"/>
        <v>15</v>
      </c>
      <c r="AE152" s="24">
        <f t="shared" si="7"/>
        <v>0</v>
      </c>
      <c r="AF152" s="24">
        <f t="shared" si="8"/>
        <v>0</v>
      </c>
      <c r="AG152" s="41" t="str" cm="1">
        <f t="array" ref="AG152">_xlfn.IFS(
$AD152=15,"Not Started",
$AF152&lt;15,"In Progress",
$AF152=15,"Completed",
SUM(AD152:AF152)&gt;15,"Error"
)</f>
        <v>Not Started</v>
      </c>
    </row>
    <row r="153" spans="1:33" ht="13" x14ac:dyDescent="0.25">
      <c r="A153" s="256"/>
      <c r="B153" s="64" t="s">
        <v>2009</v>
      </c>
      <c r="C153" s="53" t="s">
        <v>6353</v>
      </c>
      <c r="D153" s="57" t="s">
        <v>6507</v>
      </c>
      <c r="E153" s="7" t="s">
        <v>43</v>
      </c>
      <c r="F153" s="7" t="s">
        <v>44</v>
      </c>
      <c r="G153" s="7" t="s">
        <v>7527</v>
      </c>
      <c r="H153" s="7" t="s">
        <v>7527</v>
      </c>
      <c r="I153" s="7" t="s">
        <v>7526</v>
      </c>
      <c r="J153" s="7" t="s">
        <v>6670</v>
      </c>
      <c r="K153" s="7">
        <v>10090524630</v>
      </c>
      <c r="L153" s="7"/>
      <c r="M153" s="32">
        <v>46145</v>
      </c>
      <c r="N153" s="28" t="s">
        <v>11</v>
      </c>
      <c r="O153" s="28" t="s">
        <v>11</v>
      </c>
      <c r="P153" s="28" t="s">
        <v>11</v>
      </c>
      <c r="Q153" s="28" t="s">
        <v>11</v>
      </c>
      <c r="R153" s="28" t="s">
        <v>9</v>
      </c>
      <c r="S153" s="28" t="s">
        <v>9</v>
      </c>
      <c r="T153" s="28" t="s">
        <v>9</v>
      </c>
      <c r="U153" s="28" t="s">
        <v>9</v>
      </c>
      <c r="V153" s="28" t="s">
        <v>9</v>
      </c>
      <c r="W153" s="28" t="s">
        <v>9</v>
      </c>
      <c r="X153" s="28" t="s">
        <v>9</v>
      </c>
      <c r="Y153" s="28" t="s">
        <v>9</v>
      </c>
      <c r="Z153" s="28" t="s">
        <v>9</v>
      </c>
      <c r="AA153" s="28" t="s">
        <v>9</v>
      </c>
      <c r="AB153" s="28" t="s">
        <v>9</v>
      </c>
      <c r="AC153" s="28" t="s">
        <v>9</v>
      </c>
      <c r="AD153" s="24">
        <f t="shared" si="6"/>
        <v>11</v>
      </c>
      <c r="AE153" s="24">
        <f t="shared" si="7"/>
        <v>0</v>
      </c>
      <c r="AF153" s="24">
        <f t="shared" si="8"/>
        <v>4</v>
      </c>
      <c r="AG153" s="41" t="str" cm="1">
        <f t="array" ref="AG153">_xlfn.IFS(
$AD153=15,"Not Started",
$AF153&lt;15,"In Progress",
$AF153=15,"Completed",
SUM(AD153:AF153)&gt;15,"Error"
)</f>
        <v>In Progress</v>
      </c>
    </row>
    <row r="154" spans="1:33" ht="13" x14ac:dyDescent="0.25">
      <c r="A154" s="256"/>
      <c r="B154" s="63" t="s">
        <v>2010</v>
      </c>
      <c r="C154" s="53" t="s">
        <v>6354</v>
      </c>
      <c r="D154" s="57" t="s">
        <v>6508</v>
      </c>
      <c r="E154" s="7" t="s">
        <v>9672</v>
      </c>
      <c r="F154" s="7" t="s">
        <v>44</v>
      </c>
      <c r="G154" s="7" t="s">
        <v>7527</v>
      </c>
      <c r="H154" s="7" t="s">
        <v>7527</v>
      </c>
      <c r="I154" s="7" t="s">
        <v>11153</v>
      </c>
      <c r="J154" s="7" t="s">
        <v>6671</v>
      </c>
      <c r="K154" s="7" t="s">
        <v>6672</v>
      </c>
      <c r="L154" s="7"/>
      <c r="M154" s="32"/>
      <c r="N154" s="28" t="s">
        <v>9</v>
      </c>
      <c r="O154" s="28" t="s">
        <v>9</v>
      </c>
      <c r="P154" s="28" t="s">
        <v>9</v>
      </c>
      <c r="Q154" s="28" t="s">
        <v>9</v>
      </c>
      <c r="R154" s="28" t="s">
        <v>9</v>
      </c>
      <c r="S154" s="28" t="s">
        <v>9</v>
      </c>
      <c r="T154" s="28" t="s">
        <v>9</v>
      </c>
      <c r="U154" s="28" t="s">
        <v>9</v>
      </c>
      <c r="V154" s="28" t="s">
        <v>9</v>
      </c>
      <c r="W154" s="28" t="s">
        <v>9</v>
      </c>
      <c r="X154" s="28" t="s">
        <v>9</v>
      </c>
      <c r="Y154" s="28" t="s">
        <v>9</v>
      </c>
      <c r="Z154" s="28" t="s">
        <v>9</v>
      </c>
      <c r="AA154" s="28" t="s">
        <v>9</v>
      </c>
      <c r="AB154" s="28" t="s">
        <v>9</v>
      </c>
      <c r="AC154" s="28" t="s">
        <v>9</v>
      </c>
      <c r="AD154" s="24">
        <f t="shared" si="6"/>
        <v>15</v>
      </c>
      <c r="AE154" s="24">
        <f t="shared" si="7"/>
        <v>0</v>
      </c>
      <c r="AF154" s="24">
        <f t="shared" si="8"/>
        <v>0</v>
      </c>
      <c r="AG154" s="41" t="str" cm="1">
        <f t="array" ref="AG154">_xlfn.IFS(
$AD154=15,"Not Started",
$AF154&lt;15,"In Progress",
$AF154=15,"Completed",
SUM(AD154:AF154)&gt;15,"Error"
)</f>
        <v>Not Started</v>
      </c>
    </row>
    <row r="155" spans="1:33" ht="13" x14ac:dyDescent="0.25">
      <c r="A155" s="256"/>
      <c r="B155" s="64" t="s">
        <v>2011</v>
      </c>
      <c r="C155" s="53" t="s">
        <v>6355</v>
      </c>
      <c r="D155" s="57" t="s">
        <v>6509</v>
      </c>
      <c r="E155" s="7" t="s">
        <v>47</v>
      </c>
      <c r="F155" s="7" t="s">
        <v>44</v>
      </c>
      <c r="G155" s="7" t="s">
        <v>7527</v>
      </c>
      <c r="H155" s="7" t="s">
        <v>7527</v>
      </c>
      <c r="I155" s="7" t="s">
        <v>7429</v>
      </c>
      <c r="J155" s="7" t="s">
        <v>6673</v>
      </c>
      <c r="K155" s="7" t="s">
        <v>6674</v>
      </c>
      <c r="L155" s="7"/>
      <c r="M155" s="32"/>
      <c r="N155" s="28" t="s">
        <v>9</v>
      </c>
      <c r="O155" s="28" t="s">
        <v>9</v>
      </c>
      <c r="P155" s="28" t="s">
        <v>9</v>
      </c>
      <c r="Q155" s="28" t="s">
        <v>9</v>
      </c>
      <c r="R155" s="28" t="s">
        <v>9</v>
      </c>
      <c r="S155" s="28" t="s">
        <v>9</v>
      </c>
      <c r="T155" s="28" t="s">
        <v>9</v>
      </c>
      <c r="U155" s="28" t="s">
        <v>9</v>
      </c>
      <c r="V155" s="28" t="s">
        <v>9</v>
      </c>
      <c r="W155" s="28" t="s">
        <v>9</v>
      </c>
      <c r="X155" s="28" t="s">
        <v>9</v>
      </c>
      <c r="Y155" s="28" t="s">
        <v>9</v>
      </c>
      <c r="Z155" s="28" t="s">
        <v>9</v>
      </c>
      <c r="AA155" s="28" t="s">
        <v>9</v>
      </c>
      <c r="AB155" s="28" t="s">
        <v>9</v>
      </c>
      <c r="AC155" s="28" t="s">
        <v>9</v>
      </c>
      <c r="AD155" s="24">
        <f t="shared" si="6"/>
        <v>15</v>
      </c>
      <c r="AE155" s="24">
        <f t="shared" si="7"/>
        <v>0</v>
      </c>
      <c r="AF155" s="24">
        <f t="shared" si="8"/>
        <v>0</v>
      </c>
      <c r="AG155" s="41" t="str" cm="1">
        <f t="array" ref="AG155">_xlfn.IFS(
$AD155=15,"Not Started",
$AF155&lt;15,"In Progress",
$AF155=15,"Completed",
SUM(AD155:AF155)&gt;15,"Error"
)</f>
        <v>Not Started</v>
      </c>
    </row>
    <row r="156" spans="1:33" ht="13" x14ac:dyDescent="0.25">
      <c r="A156" s="256"/>
      <c r="B156" s="63" t="s">
        <v>2012</v>
      </c>
      <c r="C156" s="53" t="s">
        <v>6356</v>
      </c>
      <c r="D156" s="57" t="s">
        <v>6510</v>
      </c>
      <c r="E156" s="7" t="s">
        <v>43</v>
      </c>
      <c r="F156" s="7" t="s">
        <v>44</v>
      </c>
      <c r="G156" s="7" t="s">
        <v>7527</v>
      </c>
      <c r="H156" s="7" t="s">
        <v>7527</v>
      </c>
      <c r="I156" s="7" t="s">
        <v>11142</v>
      </c>
      <c r="J156" s="7" t="s">
        <v>6675</v>
      </c>
      <c r="K156" s="7" t="s">
        <v>6676</v>
      </c>
      <c r="L156" s="7"/>
      <c r="M156" s="32"/>
      <c r="N156" s="28" t="s">
        <v>9</v>
      </c>
      <c r="O156" s="28" t="s">
        <v>9</v>
      </c>
      <c r="P156" s="28" t="s">
        <v>9</v>
      </c>
      <c r="Q156" s="28" t="s">
        <v>9</v>
      </c>
      <c r="R156" s="28" t="s">
        <v>9</v>
      </c>
      <c r="S156" s="28" t="s">
        <v>9</v>
      </c>
      <c r="T156" s="28" t="s">
        <v>9</v>
      </c>
      <c r="U156" s="28" t="s">
        <v>9</v>
      </c>
      <c r="V156" s="28" t="s">
        <v>9</v>
      </c>
      <c r="W156" s="28" t="s">
        <v>9</v>
      </c>
      <c r="X156" s="28" t="s">
        <v>9</v>
      </c>
      <c r="Y156" s="28" t="s">
        <v>9</v>
      </c>
      <c r="Z156" s="28" t="s">
        <v>9</v>
      </c>
      <c r="AA156" s="28" t="s">
        <v>9</v>
      </c>
      <c r="AB156" s="28" t="s">
        <v>9</v>
      </c>
      <c r="AC156" s="28" t="s">
        <v>9</v>
      </c>
      <c r="AD156" s="24">
        <f t="shared" si="6"/>
        <v>15</v>
      </c>
      <c r="AE156" s="24">
        <f t="shared" si="7"/>
        <v>0</v>
      </c>
      <c r="AF156" s="24">
        <f t="shared" si="8"/>
        <v>0</v>
      </c>
      <c r="AG156" s="41" t="str" cm="1">
        <f t="array" ref="AG156">_xlfn.IFS(
$AD156=15,"Not Started",
$AF156&lt;15,"In Progress",
$AF156=15,"Completed",
SUM(AD156:AF156)&gt;15,"Error"
)</f>
        <v>Not Started</v>
      </c>
    </row>
    <row r="157" spans="1:33" ht="13" x14ac:dyDescent="0.25">
      <c r="A157" s="256"/>
      <c r="B157" s="64" t="s">
        <v>2013</v>
      </c>
      <c r="C157" s="53" t="s">
        <v>6357</v>
      </c>
      <c r="D157" s="57" t="s">
        <v>6511</v>
      </c>
      <c r="E157" s="7" t="s">
        <v>47</v>
      </c>
      <c r="F157" s="7" t="s">
        <v>44</v>
      </c>
      <c r="G157" s="7" t="s">
        <v>7527</v>
      </c>
      <c r="H157" s="7" t="s">
        <v>7527</v>
      </c>
      <c r="I157" s="7" t="s">
        <v>11143</v>
      </c>
      <c r="J157" s="7" t="s">
        <v>6677</v>
      </c>
      <c r="K157" s="7" t="s">
        <v>6678</v>
      </c>
      <c r="L157" s="7"/>
      <c r="M157" s="32"/>
      <c r="N157" s="28" t="s">
        <v>9</v>
      </c>
      <c r="O157" s="28" t="s">
        <v>9</v>
      </c>
      <c r="P157" s="28" t="s">
        <v>9</v>
      </c>
      <c r="Q157" s="28" t="s">
        <v>9</v>
      </c>
      <c r="R157" s="28" t="s">
        <v>9</v>
      </c>
      <c r="S157" s="28" t="s">
        <v>9</v>
      </c>
      <c r="T157" s="28" t="s">
        <v>9</v>
      </c>
      <c r="U157" s="28" t="s">
        <v>9</v>
      </c>
      <c r="V157" s="28" t="s">
        <v>9</v>
      </c>
      <c r="W157" s="28" t="s">
        <v>9</v>
      </c>
      <c r="X157" s="28" t="s">
        <v>9</v>
      </c>
      <c r="Y157" s="28" t="s">
        <v>9</v>
      </c>
      <c r="Z157" s="28" t="s">
        <v>9</v>
      </c>
      <c r="AA157" s="28" t="s">
        <v>9</v>
      </c>
      <c r="AB157" s="28" t="s">
        <v>9</v>
      </c>
      <c r="AC157" s="28" t="s">
        <v>9</v>
      </c>
      <c r="AD157" s="24">
        <f t="shared" si="6"/>
        <v>15</v>
      </c>
      <c r="AE157" s="24">
        <f t="shared" si="7"/>
        <v>0</v>
      </c>
      <c r="AF157" s="24">
        <f t="shared" si="8"/>
        <v>0</v>
      </c>
      <c r="AG157" s="41" t="str" cm="1">
        <f t="array" ref="AG157">_xlfn.IFS(
$AD157=15,"Not Started",
$AF157&lt;15,"In Progress",
$AF157=15,"Completed",
SUM(AD157:AF157)&gt;15,"Error"
)</f>
        <v>Not Started</v>
      </c>
    </row>
    <row r="158" spans="1:33" ht="13" x14ac:dyDescent="0.25">
      <c r="A158" s="256"/>
      <c r="B158" s="63" t="s">
        <v>2014</v>
      </c>
      <c r="C158" s="53" t="s">
        <v>6358</v>
      </c>
      <c r="D158" s="57" t="s">
        <v>6512</v>
      </c>
      <c r="E158" s="7" t="s">
        <v>47</v>
      </c>
      <c r="F158" s="7" t="s">
        <v>44</v>
      </c>
      <c r="G158" s="7" t="s">
        <v>7527</v>
      </c>
      <c r="H158" s="7" t="s">
        <v>7527</v>
      </c>
      <c r="I158" s="7" t="s">
        <v>11144</v>
      </c>
      <c r="J158" s="7" t="s">
        <v>6666</v>
      </c>
      <c r="K158" s="7" t="s">
        <v>6679</v>
      </c>
      <c r="L158" s="7"/>
      <c r="M158" s="32"/>
      <c r="N158" s="28" t="s">
        <v>9</v>
      </c>
      <c r="O158" s="28" t="s">
        <v>9</v>
      </c>
      <c r="P158" s="28" t="s">
        <v>9</v>
      </c>
      <c r="Q158" s="28" t="s">
        <v>9</v>
      </c>
      <c r="R158" s="28" t="s">
        <v>9</v>
      </c>
      <c r="S158" s="28" t="s">
        <v>9</v>
      </c>
      <c r="T158" s="28" t="s">
        <v>9</v>
      </c>
      <c r="U158" s="28" t="s">
        <v>9</v>
      </c>
      <c r="V158" s="28" t="s">
        <v>9</v>
      </c>
      <c r="W158" s="28" t="s">
        <v>9</v>
      </c>
      <c r="X158" s="28" t="s">
        <v>9</v>
      </c>
      <c r="Y158" s="28" t="s">
        <v>9</v>
      </c>
      <c r="Z158" s="28" t="s">
        <v>9</v>
      </c>
      <c r="AA158" s="28" t="s">
        <v>9</v>
      </c>
      <c r="AB158" s="28" t="s">
        <v>9</v>
      </c>
      <c r="AC158" s="28" t="s">
        <v>9</v>
      </c>
      <c r="AD158" s="24">
        <f t="shared" si="6"/>
        <v>15</v>
      </c>
      <c r="AE158" s="24">
        <f t="shared" si="7"/>
        <v>0</v>
      </c>
      <c r="AF158" s="24">
        <f t="shared" si="8"/>
        <v>0</v>
      </c>
      <c r="AG158" s="41" t="str" cm="1">
        <f t="array" ref="AG158">_xlfn.IFS(
$AD158=15,"Not Started",
$AF158&lt;15,"In Progress",
$AF158=15,"Completed",
SUM(AD158:AF158)&gt;15,"Error"
)</f>
        <v>Not Started</v>
      </c>
    </row>
    <row r="159" spans="1:33" ht="13" x14ac:dyDescent="0.25">
      <c r="A159" s="256"/>
      <c r="B159" s="64" t="s">
        <v>2015</v>
      </c>
      <c r="C159" s="53" t="s">
        <v>6359</v>
      </c>
      <c r="D159" s="57" t="s">
        <v>6513</v>
      </c>
      <c r="E159" s="7" t="s">
        <v>47</v>
      </c>
      <c r="F159" s="7" t="s">
        <v>44</v>
      </c>
      <c r="G159" s="7" t="s">
        <v>7527</v>
      </c>
      <c r="H159" s="7" t="s">
        <v>7527</v>
      </c>
      <c r="I159" s="7" t="s">
        <v>11145</v>
      </c>
      <c r="J159" s="7" t="s">
        <v>6560</v>
      </c>
      <c r="K159" s="7" t="s">
        <v>6680</v>
      </c>
      <c r="L159" s="7"/>
      <c r="M159" s="32"/>
      <c r="N159" s="28" t="s">
        <v>9</v>
      </c>
      <c r="O159" s="28" t="s">
        <v>9</v>
      </c>
      <c r="P159" s="28" t="s">
        <v>9</v>
      </c>
      <c r="Q159" s="28" t="s">
        <v>9</v>
      </c>
      <c r="R159" s="28" t="s">
        <v>9</v>
      </c>
      <c r="S159" s="28" t="s">
        <v>9</v>
      </c>
      <c r="T159" s="28" t="s">
        <v>9</v>
      </c>
      <c r="U159" s="28" t="s">
        <v>9</v>
      </c>
      <c r="V159" s="28" t="s">
        <v>9</v>
      </c>
      <c r="W159" s="28" t="s">
        <v>9</v>
      </c>
      <c r="X159" s="28" t="s">
        <v>9</v>
      </c>
      <c r="Y159" s="28" t="s">
        <v>9</v>
      </c>
      <c r="Z159" s="28" t="s">
        <v>9</v>
      </c>
      <c r="AA159" s="28" t="s">
        <v>9</v>
      </c>
      <c r="AB159" s="28" t="s">
        <v>9</v>
      </c>
      <c r="AC159" s="28" t="s">
        <v>9</v>
      </c>
      <c r="AD159" s="24">
        <f t="shared" si="6"/>
        <v>15</v>
      </c>
      <c r="AE159" s="24">
        <f t="shared" si="7"/>
        <v>0</v>
      </c>
      <c r="AF159" s="24">
        <f t="shared" si="8"/>
        <v>0</v>
      </c>
      <c r="AG159" s="41" t="str" cm="1">
        <f t="array" ref="AG159">_xlfn.IFS(
$AD159=15,"Not Started",
$AF159&lt;15,"In Progress",
$AF159=15,"Completed",
SUM(AD159:AF159)&gt;15,"Error"
)</f>
        <v>Not Started</v>
      </c>
    </row>
    <row r="160" spans="1:33" ht="13" x14ac:dyDescent="0.25">
      <c r="A160" s="256"/>
      <c r="B160" s="63" t="s">
        <v>2016</v>
      </c>
      <c r="C160" s="53" t="s">
        <v>6360</v>
      </c>
      <c r="D160" s="57" t="s">
        <v>6514</v>
      </c>
      <c r="E160" s="7" t="s">
        <v>43</v>
      </c>
      <c r="F160" s="7" t="s">
        <v>44</v>
      </c>
      <c r="G160" s="7" t="s">
        <v>7527</v>
      </c>
      <c r="H160" s="7" t="s">
        <v>7527</v>
      </c>
      <c r="I160" s="7" t="s">
        <v>11146</v>
      </c>
      <c r="J160" s="7" t="s">
        <v>6681</v>
      </c>
      <c r="K160" s="7" t="s">
        <v>6682</v>
      </c>
      <c r="L160" s="7"/>
      <c r="M160" s="32"/>
      <c r="N160" s="28" t="s">
        <v>9</v>
      </c>
      <c r="O160" s="28" t="s">
        <v>9</v>
      </c>
      <c r="P160" s="28" t="s">
        <v>9</v>
      </c>
      <c r="Q160" s="28" t="s">
        <v>9</v>
      </c>
      <c r="R160" s="28" t="s">
        <v>9</v>
      </c>
      <c r="S160" s="28" t="s">
        <v>9</v>
      </c>
      <c r="T160" s="28" t="s">
        <v>9</v>
      </c>
      <c r="U160" s="28" t="s">
        <v>9</v>
      </c>
      <c r="V160" s="28" t="s">
        <v>9</v>
      </c>
      <c r="W160" s="28" t="s">
        <v>9</v>
      </c>
      <c r="X160" s="28" t="s">
        <v>9</v>
      </c>
      <c r="Y160" s="28" t="s">
        <v>9</v>
      </c>
      <c r="Z160" s="28" t="s">
        <v>9</v>
      </c>
      <c r="AA160" s="28" t="s">
        <v>9</v>
      </c>
      <c r="AB160" s="28" t="s">
        <v>9</v>
      </c>
      <c r="AC160" s="28" t="s">
        <v>9</v>
      </c>
      <c r="AD160" s="24">
        <f t="shared" si="6"/>
        <v>15</v>
      </c>
      <c r="AE160" s="24">
        <f t="shared" si="7"/>
        <v>0</v>
      </c>
      <c r="AF160" s="24">
        <f t="shared" si="8"/>
        <v>0</v>
      </c>
      <c r="AG160" s="41" t="str" cm="1">
        <f t="array" ref="AG160">_xlfn.IFS(
$AD160=15,"Not Started",
$AF160&lt;15,"In Progress",
$AF160=15,"Completed",
SUM(AD160:AF160)&gt;15,"Error"
)</f>
        <v>Not Started</v>
      </c>
    </row>
    <row r="161" spans="1:33" ht="13" x14ac:dyDescent="0.25">
      <c r="A161" s="256"/>
      <c r="B161" s="64" t="s">
        <v>2017</v>
      </c>
      <c r="C161" s="53" t="s">
        <v>6361</v>
      </c>
      <c r="D161" s="57" t="s">
        <v>6515</v>
      </c>
      <c r="E161" s="7" t="s">
        <v>47</v>
      </c>
      <c r="F161" s="7" t="s">
        <v>44</v>
      </c>
      <c r="G161" s="7" t="s">
        <v>7527</v>
      </c>
      <c r="H161" s="7" t="s">
        <v>7527</v>
      </c>
      <c r="I161" s="7" t="s">
        <v>11147</v>
      </c>
      <c r="J161" s="7" t="s">
        <v>6683</v>
      </c>
      <c r="K161" s="7" t="s">
        <v>6684</v>
      </c>
      <c r="L161" s="7"/>
      <c r="M161" s="32"/>
      <c r="N161" s="28" t="s">
        <v>9</v>
      </c>
      <c r="O161" s="28" t="s">
        <v>9</v>
      </c>
      <c r="P161" s="28" t="s">
        <v>9</v>
      </c>
      <c r="Q161" s="28" t="s">
        <v>9</v>
      </c>
      <c r="R161" s="28" t="s">
        <v>9</v>
      </c>
      <c r="S161" s="28" t="s">
        <v>9</v>
      </c>
      <c r="T161" s="28" t="s">
        <v>9</v>
      </c>
      <c r="U161" s="28" t="s">
        <v>9</v>
      </c>
      <c r="V161" s="28" t="s">
        <v>9</v>
      </c>
      <c r="W161" s="28" t="s">
        <v>9</v>
      </c>
      <c r="X161" s="28" t="s">
        <v>9</v>
      </c>
      <c r="Y161" s="28" t="s">
        <v>9</v>
      </c>
      <c r="Z161" s="28" t="s">
        <v>9</v>
      </c>
      <c r="AA161" s="28" t="s">
        <v>9</v>
      </c>
      <c r="AB161" s="28" t="s">
        <v>9</v>
      </c>
      <c r="AC161" s="28" t="s">
        <v>9</v>
      </c>
      <c r="AD161" s="24">
        <f t="shared" si="6"/>
        <v>15</v>
      </c>
      <c r="AE161" s="24">
        <f t="shared" si="7"/>
        <v>0</v>
      </c>
      <c r="AF161" s="24">
        <f t="shared" si="8"/>
        <v>0</v>
      </c>
      <c r="AG161" s="41" t="str" cm="1">
        <f t="array" ref="AG161">_xlfn.IFS(
$AD161=15,"Not Started",
$AF161&lt;15,"In Progress",
$AF161=15,"Completed",
SUM(AD161:AF161)&gt;15,"Error"
)</f>
        <v>Not Started</v>
      </c>
    </row>
    <row r="162" spans="1:33" ht="13" x14ac:dyDescent="0.25">
      <c r="A162" s="256"/>
      <c r="B162" s="63" t="s">
        <v>2018</v>
      </c>
      <c r="C162" s="53" t="s">
        <v>6362</v>
      </c>
      <c r="D162" s="57" t="s">
        <v>6516</v>
      </c>
      <c r="E162" s="7" t="s">
        <v>47</v>
      </c>
      <c r="F162" s="7" t="s">
        <v>44</v>
      </c>
      <c r="G162" s="7" t="s">
        <v>7527</v>
      </c>
      <c r="H162" s="7" t="s">
        <v>7527</v>
      </c>
      <c r="I162" s="7" t="s">
        <v>11148</v>
      </c>
      <c r="J162" s="7" t="s">
        <v>6685</v>
      </c>
      <c r="K162" s="7" t="s">
        <v>6686</v>
      </c>
      <c r="L162" s="7"/>
      <c r="M162" s="32"/>
      <c r="N162" s="28" t="s">
        <v>9</v>
      </c>
      <c r="O162" s="28" t="s">
        <v>9</v>
      </c>
      <c r="P162" s="28" t="s">
        <v>9</v>
      </c>
      <c r="Q162" s="28" t="s">
        <v>9</v>
      </c>
      <c r="R162" s="28" t="s">
        <v>9</v>
      </c>
      <c r="S162" s="28" t="s">
        <v>9</v>
      </c>
      <c r="T162" s="28" t="s">
        <v>9</v>
      </c>
      <c r="U162" s="28" t="s">
        <v>9</v>
      </c>
      <c r="V162" s="28" t="s">
        <v>9</v>
      </c>
      <c r="W162" s="28" t="s">
        <v>9</v>
      </c>
      <c r="X162" s="28" t="s">
        <v>9</v>
      </c>
      <c r="Y162" s="28" t="s">
        <v>9</v>
      </c>
      <c r="Z162" s="28" t="s">
        <v>9</v>
      </c>
      <c r="AA162" s="28" t="s">
        <v>9</v>
      </c>
      <c r="AB162" s="28" t="s">
        <v>9</v>
      </c>
      <c r="AC162" s="28" t="s">
        <v>9</v>
      </c>
      <c r="AD162" s="24">
        <f t="shared" si="6"/>
        <v>15</v>
      </c>
      <c r="AE162" s="24">
        <f t="shared" si="7"/>
        <v>0</v>
      </c>
      <c r="AF162" s="24">
        <f t="shared" si="8"/>
        <v>0</v>
      </c>
      <c r="AG162" s="41" t="str" cm="1">
        <f t="array" ref="AG162">_xlfn.IFS(
$AD162=15,"Not Started",
$AF162&lt;15,"In Progress",
$AF162=15,"Completed",
SUM(AD162:AF162)&gt;15,"Error"
)</f>
        <v>Not Started</v>
      </c>
    </row>
    <row r="163" spans="1:33" ht="13" x14ac:dyDescent="0.25">
      <c r="A163" s="256"/>
      <c r="B163" s="64" t="s">
        <v>2019</v>
      </c>
      <c r="C163" s="53" t="s">
        <v>6363</v>
      </c>
      <c r="D163" s="57" t="s">
        <v>6517</v>
      </c>
      <c r="E163" s="7" t="s">
        <v>43</v>
      </c>
      <c r="F163" s="7" t="s">
        <v>48</v>
      </c>
      <c r="G163" s="7" t="s">
        <v>7527</v>
      </c>
      <c r="H163" s="7" t="s">
        <v>7527</v>
      </c>
      <c r="I163" s="7" t="s">
        <v>11149</v>
      </c>
      <c r="J163" s="7" t="s">
        <v>6687</v>
      </c>
      <c r="K163" s="7" t="s">
        <v>6688</v>
      </c>
      <c r="L163" s="7"/>
      <c r="M163" s="32"/>
      <c r="N163" s="28" t="s">
        <v>9</v>
      </c>
      <c r="O163" s="28" t="s">
        <v>9</v>
      </c>
      <c r="P163" s="28" t="s">
        <v>9</v>
      </c>
      <c r="Q163" s="28" t="s">
        <v>9</v>
      </c>
      <c r="R163" s="28" t="s">
        <v>9</v>
      </c>
      <c r="S163" s="28" t="s">
        <v>9</v>
      </c>
      <c r="T163" s="28" t="s">
        <v>9</v>
      </c>
      <c r="U163" s="28" t="s">
        <v>9</v>
      </c>
      <c r="V163" s="28" t="s">
        <v>9</v>
      </c>
      <c r="W163" s="28" t="s">
        <v>9</v>
      </c>
      <c r="X163" s="28" t="s">
        <v>9</v>
      </c>
      <c r="Y163" s="28" t="s">
        <v>9</v>
      </c>
      <c r="Z163" s="28" t="s">
        <v>9</v>
      </c>
      <c r="AA163" s="28" t="s">
        <v>9</v>
      </c>
      <c r="AB163" s="28" t="s">
        <v>9</v>
      </c>
      <c r="AC163" s="28" t="s">
        <v>9</v>
      </c>
      <c r="AD163" s="24">
        <f t="shared" si="6"/>
        <v>15</v>
      </c>
      <c r="AE163" s="24">
        <f t="shared" si="7"/>
        <v>0</v>
      </c>
      <c r="AF163" s="24">
        <f t="shared" si="8"/>
        <v>0</v>
      </c>
      <c r="AG163" s="41" t="str" cm="1">
        <f t="array" ref="AG163">_xlfn.IFS(
$AD163=15,"Not Started",
$AF163&lt;15,"In Progress",
$AF163=15,"Completed",
SUM(AD163:AF163)&gt;15,"Error"
)</f>
        <v>Not Started</v>
      </c>
    </row>
    <row r="164" spans="1:33" ht="13" x14ac:dyDescent="0.25">
      <c r="A164" s="256"/>
      <c r="B164" s="63" t="s">
        <v>2020</v>
      </c>
      <c r="C164" s="53" t="s">
        <v>6364</v>
      </c>
      <c r="D164" s="57" t="s">
        <v>6518</v>
      </c>
      <c r="E164" s="7" t="s">
        <v>43</v>
      </c>
      <c r="F164" s="7" t="s">
        <v>44</v>
      </c>
      <c r="G164" s="7" t="s">
        <v>7527</v>
      </c>
      <c r="H164" s="7" t="s">
        <v>7527</v>
      </c>
      <c r="I164" s="7" t="s">
        <v>11150</v>
      </c>
      <c r="J164" s="7" t="s">
        <v>6689</v>
      </c>
      <c r="K164" s="7" t="s">
        <v>6690</v>
      </c>
      <c r="L164" s="7"/>
      <c r="M164" s="32"/>
      <c r="N164" s="28" t="s">
        <v>9</v>
      </c>
      <c r="O164" s="28" t="s">
        <v>9</v>
      </c>
      <c r="P164" s="28" t="s">
        <v>9</v>
      </c>
      <c r="Q164" s="28" t="s">
        <v>9</v>
      </c>
      <c r="R164" s="28" t="s">
        <v>9</v>
      </c>
      <c r="S164" s="28" t="s">
        <v>9</v>
      </c>
      <c r="T164" s="28" t="s">
        <v>9</v>
      </c>
      <c r="U164" s="28" t="s">
        <v>9</v>
      </c>
      <c r="V164" s="28" t="s">
        <v>9</v>
      </c>
      <c r="W164" s="28" t="s">
        <v>9</v>
      </c>
      <c r="X164" s="28" t="s">
        <v>9</v>
      </c>
      <c r="Y164" s="28" t="s">
        <v>9</v>
      </c>
      <c r="Z164" s="28" t="s">
        <v>9</v>
      </c>
      <c r="AA164" s="28" t="s">
        <v>9</v>
      </c>
      <c r="AB164" s="28" t="s">
        <v>9</v>
      </c>
      <c r="AC164" s="28" t="s">
        <v>9</v>
      </c>
      <c r="AD164" s="24">
        <f t="shared" si="6"/>
        <v>15</v>
      </c>
      <c r="AE164" s="24">
        <f t="shared" si="7"/>
        <v>0</v>
      </c>
      <c r="AF164" s="24">
        <f t="shared" si="8"/>
        <v>0</v>
      </c>
      <c r="AG164" s="41" t="str" cm="1">
        <f t="array" ref="AG164">_xlfn.IFS(
$AD164=15,"Not Started",
$AF164&lt;15,"In Progress",
$AF164=15,"Completed",
SUM(AD164:AF164)&gt;15,"Error"
)</f>
        <v>Not Started</v>
      </c>
    </row>
    <row r="165" spans="1:33" ht="13" x14ac:dyDescent="0.25">
      <c r="A165" s="256"/>
      <c r="B165" s="64" t="s">
        <v>2021</v>
      </c>
      <c r="C165" s="53" t="s">
        <v>6365</v>
      </c>
      <c r="D165" s="57" t="s">
        <v>6519</v>
      </c>
      <c r="E165" s="7" t="s">
        <v>43</v>
      </c>
      <c r="F165" s="7" t="s">
        <v>44</v>
      </c>
      <c r="G165" s="7" t="s">
        <v>7527</v>
      </c>
      <c r="H165" s="7" t="s">
        <v>7527</v>
      </c>
      <c r="I165" s="7" t="s">
        <v>11151</v>
      </c>
      <c r="J165" s="7" t="s">
        <v>6691</v>
      </c>
      <c r="K165" s="7" t="s">
        <v>6692</v>
      </c>
      <c r="L165" s="7"/>
      <c r="M165" s="32"/>
      <c r="N165" s="28" t="s">
        <v>9</v>
      </c>
      <c r="O165" s="28" t="s">
        <v>9</v>
      </c>
      <c r="P165" s="28" t="s">
        <v>9</v>
      </c>
      <c r="Q165" s="28" t="s">
        <v>9</v>
      </c>
      <c r="R165" s="28" t="s">
        <v>9</v>
      </c>
      <c r="S165" s="28" t="s">
        <v>9</v>
      </c>
      <c r="T165" s="28" t="s">
        <v>9</v>
      </c>
      <c r="U165" s="28" t="s">
        <v>9</v>
      </c>
      <c r="V165" s="28" t="s">
        <v>9</v>
      </c>
      <c r="W165" s="28" t="s">
        <v>9</v>
      </c>
      <c r="X165" s="28" t="s">
        <v>9</v>
      </c>
      <c r="Y165" s="28" t="s">
        <v>9</v>
      </c>
      <c r="Z165" s="28" t="s">
        <v>9</v>
      </c>
      <c r="AA165" s="28" t="s">
        <v>9</v>
      </c>
      <c r="AB165" s="28" t="s">
        <v>9</v>
      </c>
      <c r="AC165" s="28" t="s">
        <v>9</v>
      </c>
      <c r="AD165" s="24">
        <f t="shared" si="6"/>
        <v>15</v>
      </c>
      <c r="AE165" s="24">
        <f t="shared" si="7"/>
        <v>0</v>
      </c>
      <c r="AF165" s="24">
        <f t="shared" si="8"/>
        <v>0</v>
      </c>
      <c r="AG165" s="41" t="str" cm="1">
        <f t="array" ref="AG165">_xlfn.IFS(
$AD165=15,"Not Started",
$AF165&lt;15,"In Progress",
$AF165=15,"Completed",
SUM(AD165:AF165)&gt;15,"Error"
)</f>
        <v>Not Started</v>
      </c>
    </row>
    <row r="166" spans="1:33" ht="13" x14ac:dyDescent="0.25">
      <c r="A166" s="256"/>
      <c r="B166" s="63" t="s">
        <v>2022</v>
      </c>
      <c r="C166" s="53" t="s">
        <v>6366</v>
      </c>
      <c r="D166" s="57" t="s">
        <v>6520</v>
      </c>
      <c r="E166" s="7" t="s">
        <v>51</v>
      </c>
      <c r="F166" s="7" t="s">
        <v>48</v>
      </c>
      <c r="G166" s="7" t="s">
        <v>7527</v>
      </c>
      <c r="H166" s="7" t="s">
        <v>7527</v>
      </c>
      <c r="I166" s="7" t="s">
        <v>11152</v>
      </c>
      <c r="J166" s="7" t="s">
        <v>6693</v>
      </c>
      <c r="K166" s="7" t="s">
        <v>6694</v>
      </c>
      <c r="L166" s="7"/>
      <c r="M166" s="32"/>
      <c r="N166" s="28" t="s">
        <v>9</v>
      </c>
      <c r="O166" s="28" t="s">
        <v>9</v>
      </c>
      <c r="P166" s="28" t="s">
        <v>9</v>
      </c>
      <c r="Q166" s="28" t="s">
        <v>9</v>
      </c>
      <c r="R166" s="28" t="s">
        <v>9</v>
      </c>
      <c r="S166" s="28" t="s">
        <v>9</v>
      </c>
      <c r="T166" s="28" t="s">
        <v>9</v>
      </c>
      <c r="U166" s="28" t="s">
        <v>9</v>
      </c>
      <c r="V166" s="28" t="s">
        <v>9</v>
      </c>
      <c r="W166" s="28" t="s">
        <v>9</v>
      </c>
      <c r="X166" s="28" t="s">
        <v>9</v>
      </c>
      <c r="Y166" s="28" t="s">
        <v>9</v>
      </c>
      <c r="Z166" s="28" t="s">
        <v>9</v>
      </c>
      <c r="AA166" s="28" t="s">
        <v>9</v>
      </c>
      <c r="AB166" s="28" t="s">
        <v>9</v>
      </c>
      <c r="AC166" s="28" t="s">
        <v>9</v>
      </c>
      <c r="AD166" s="24">
        <f t="shared" si="6"/>
        <v>15</v>
      </c>
      <c r="AE166" s="24">
        <f t="shared" si="7"/>
        <v>0</v>
      </c>
      <c r="AF166" s="24">
        <f t="shared" si="8"/>
        <v>0</v>
      </c>
      <c r="AG166" s="41" t="str" cm="1">
        <f t="array" ref="AG166">_xlfn.IFS(
$AD166=15,"Not Started",
$AF166&lt;15,"In Progress",
$AF166=15,"Completed",
SUM(AD166:AF166)&gt;15,"Error"
)</f>
        <v>Not Started</v>
      </c>
    </row>
    <row r="167" spans="1:33" ht="13" x14ac:dyDescent="0.25">
      <c r="A167" s="256"/>
      <c r="B167" s="64" t="s">
        <v>2023</v>
      </c>
      <c r="C167" s="53" t="s">
        <v>11062</v>
      </c>
      <c r="D167" s="57" t="s">
        <v>11063</v>
      </c>
      <c r="E167" s="7" t="s">
        <v>43</v>
      </c>
      <c r="F167" s="7" t="s">
        <v>44</v>
      </c>
      <c r="G167" s="7" t="s">
        <v>7527</v>
      </c>
      <c r="H167" s="7" t="s">
        <v>7527</v>
      </c>
      <c r="I167" s="7" t="s">
        <v>11064</v>
      </c>
      <c r="J167" s="7" t="s">
        <v>11065</v>
      </c>
      <c r="K167" s="7">
        <v>10052953039</v>
      </c>
      <c r="M167" s="32"/>
      <c r="N167" s="28" t="s">
        <v>9</v>
      </c>
      <c r="O167" s="28" t="s">
        <v>9</v>
      </c>
      <c r="P167" s="28" t="s">
        <v>9</v>
      </c>
      <c r="Q167" s="28" t="s">
        <v>9</v>
      </c>
      <c r="R167" s="28" t="s">
        <v>9</v>
      </c>
      <c r="S167" s="28" t="s">
        <v>9</v>
      </c>
      <c r="T167" s="28" t="s">
        <v>9</v>
      </c>
      <c r="U167" s="28" t="s">
        <v>9</v>
      </c>
      <c r="V167" s="28" t="s">
        <v>9</v>
      </c>
      <c r="W167" s="28" t="s">
        <v>9</v>
      </c>
      <c r="X167" s="28" t="s">
        <v>9</v>
      </c>
      <c r="Y167" s="28" t="s">
        <v>9</v>
      </c>
      <c r="Z167" s="28" t="s">
        <v>9</v>
      </c>
      <c r="AA167" s="28" t="s">
        <v>9</v>
      </c>
      <c r="AB167" s="28" t="s">
        <v>9</v>
      </c>
      <c r="AC167" s="28" t="s">
        <v>9</v>
      </c>
      <c r="AD167" s="103">
        <f t="shared" si="6"/>
        <v>15</v>
      </c>
      <c r="AE167" s="103">
        <f t="shared" si="7"/>
        <v>0</v>
      </c>
      <c r="AF167" s="103">
        <f t="shared" si="8"/>
        <v>0</v>
      </c>
      <c r="AG167" s="41" t="str" cm="1">
        <f t="array" ref="AG167">_xlfn.IFS(
$AD167=15,"Not Started",
$AF167&lt;15,"In Progress",
$AF167=15,"Completed",
SUM(AD167:AF167)&gt;15,"Error"
)</f>
        <v>Not Started</v>
      </c>
    </row>
    <row r="168" spans="1:33" ht="13" x14ac:dyDescent="0.25">
      <c r="A168" s="256"/>
      <c r="B168" s="63" t="s">
        <v>2024</v>
      </c>
      <c r="C168" s="53" t="s">
        <v>6271</v>
      </c>
      <c r="D168" s="57" t="s">
        <v>6431</v>
      </c>
      <c r="E168" s="7" t="s">
        <v>43</v>
      </c>
      <c r="F168" s="7" t="s">
        <v>44</v>
      </c>
      <c r="G168" s="7" t="s">
        <v>7527</v>
      </c>
      <c r="H168" s="7" t="s">
        <v>7527</v>
      </c>
      <c r="I168" s="7" t="s">
        <v>10757</v>
      </c>
      <c r="J168" s="7" t="s">
        <v>6585</v>
      </c>
      <c r="K168" s="7">
        <v>10052606103</v>
      </c>
      <c r="L168" s="7"/>
      <c r="M168" s="32"/>
      <c r="N168" s="28" t="s">
        <v>9</v>
      </c>
      <c r="O168" s="28" t="s">
        <v>9</v>
      </c>
      <c r="P168" s="28" t="s">
        <v>9</v>
      </c>
      <c r="Q168" s="28" t="s">
        <v>9</v>
      </c>
      <c r="R168" s="28" t="s">
        <v>9</v>
      </c>
      <c r="S168" s="28" t="s">
        <v>9</v>
      </c>
      <c r="T168" s="28" t="s">
        <v>9</v>
      </c>
      <c r="U168" s="28" t="s">
        <v>9</v>
      </c>
      <c r="V168" s="28" t="s">
        <v>9</v>
      </c>
      <c r="W168" s="28" t="s">
        <v>9</v>
      </c>
      <c r="X168" s="28" t="s">
        <v>9</v>
      </c>
      <c r="Y168" s="28" t="s">
        <v>9</v>
      </c>
      <c r="Z168" s="28" t="s">
        <v>9</v>
      </c>
      <c r="AA168" s="28" t="s">
        <v>9</v>
      </c>
      <c r="AB168" s="28" t="s">
        <v>9</v>
      </c>
      <c r="AC168" s="28" t="s">
        <v>9</v>
      </c>
      <c r="AD168" s="103">
        <f t="shared" si="6"/>
        <v>15</v>
      </c>
      <c r="AE168" s="103">
        <f t="shared" si="7"/>
        <v>0</v>
      </c>
      <c r="AF168" s="103">
        <f t="shared" si="8"/>
        <v>0</v>
      </c>
      <c r="AG168" s="41" t="str" cm="1">
        <f t="array" ref="AG168">_xlfn.IFS(
$AD168=15,"Not Started",
$AF168&lt;15,"In Progress",
$AF168=15,"Completed",
SUM(AD168:AF168)&gt;15,"Error"
)</f>
        <v>Not Started</v>
      </c>
    </row>
    <row r="169" spans="1:33" ht="13" x14ac:dyDescent="0.25">
      <c r="A169" s="256"/>
      <c r="B169" s="64" t="s">
        <v>2025</v>
      </c>
      <c r="C169" s="53" t="s">
        <v>11066</v>
      </c>
      <c r="D169" s="57" t="s">
        <v>11067</v>
      </c>
      <c r="E169" s="7"/>
      <c r="F169" s="7"/>
      <c r="G169" s="7" t="s">
        <v>7527</v>
      </c>
      <c r="H169" s="7" t="s">
        <v>7527</v>
      </c>
      <c r="I169" s="7" t="s">
        <v>11068</v>
      </c>
      <c r="J169" s="7" t="s">
        <v>11069</v>
      </c>
      <c r="K169" s="7">
        <v>10052801449</v>
      </c>
      <c r="M169" s="32"/>
      <c r="N169" s="28" t="s">
        <v>9</v>
      </c>
      <c r="O169" s="28" t="s">
        <v>9</v>
      </c>
      <c r="P169" s="28" t="s">
        <v>9</v>
      </c>
      <c r="Q169" s="28" t="s">
        <v>9</v>
      </c>
      <c r="R169" s="28" t="s">
        <v>9</v>
      </c>
      <c r="S169" s="28" t="s">
        <v>9</v>
      </c>
      <c r="T169" s="28" t="s">
        <v>9</v>
      </c>
      <c r="U169" s="28" t="s">
        <v>9</v>
      </c>
      <c r="V169" s="28" t="s">
        <v>9</v>
      </c>
      <c r="W169" s="28" t="s">
        <v>9</v>
      </c>
      <c r="X169" s="28" t="s">
        <v>9</v>
      </c>
      <c r="Y169" s="28" t="s">
        <v>9</v>
      </c>
      <c r="Z169" s="28" t="s">
        <v>9</v>
      </c>
      <c r="AA169" s="28" t="s">
        <v>9</v>
      </c>
      <c r="AB169" s="28" t="s">
        <v>9</v>
      </c>
      <c r="AC169" s="28" t="s">
        <v>9</v>
      </c>
      <c r="AD169" s="103">
        <f t="shared" si="6"/>
        <v>15</v>
      </c>
      <c r="AE169" s="103">
        <f t="shared" si="7"/>
        <v>0</v>
      </c>
      <c r="AF169" s="103">
        <f t="shared" si="8"/>
        <v>0</v>
      </c>
      <c r="AG169" s="41" t="str" cm="1">
        <f t="array" ref="AG169">_xlfn.IFS(
$AD169=15,"Not Started",
$AF169&lt;15,"In Progress",
$AF169=15,"Completed",
SUM(AD169:AF169)&gt;15,"Error"
)</f>
        <v>Not Started</v>
      </c>
    </row>
    <row r="170" spans="1:33" ht="13" x14ac:dyDescent="0.25">
      <c r="A170" s="256"/>
      <c r="B170" s="63" t="s">
        <v>2026</v>
      </c>
      <c r="C170" s="53" t="s">
        <v>11070</v>
      </c>
      <c r="D170" s="57" t="s">
        <v>11071</v>
      </c>
      <c r="E170" s="7" t="s">
        <v>51</v>
      </c>
      <c r="F170" s="7" t="s">
        <v>44</v>
      </c>
      <c r="G170" s="7" t="s">
        <v>7527</v>
      </c>
      <c r="H170" s="7" t="s">
        <v>7527</v>
      </c>
      <c r="I170" s="7" t="s">
        <v>11072</v>
      </c>
      <c r="J170" s="7" t="s">
        <v>11073</v>
      </c>
      <c r="K170" s="7">
        <v>10053050239</v>
      </c>
      <c r="M170" s="32"/>
      <c r="N170" s="28" t="s">
        <v>9</v>
      </c>
      <c r="O170" s="28" t="s">
        <v>9</v>
      </c>
      <c r="P170" s="28" t="s">
        <v>9</v>
      </c>
      <c r="Q170" s="28" t="s">
        <v>9</v>
      </c>
      <c r="R170" s="28" t="s">
        <v>9</v>
      </c>
      <c r="S170" s="28" t="s">
        <v>9</v>
      </c>
      <c r="T170" s="28" t="s">
        <v>9</v>
      </c>
      <c r="U170" s="28" t="s">
        <v>9</v>
      </c>
      <c r="V170" s="28" t="s">
        <v>9</v>
      </c>
      <c r="W170" s="28" t="s">
        <v>9</v>
      </c>
      <c r="X170" s="28" t="s">
        <v>9</v>
      </c>
      <c r="Y170" s="28" t="s">
        <v>9</v>
      </c>
      <c r="Z170" s="28" t="s">
        <v>9</v>
      </c>
      <c r="AA170" s="28" t="s">
        <v>9</v>
      </c>
      <c r="AB170" s="28" t="s">
        <v>9</v>
      </c>
      <c r="AC170" s="28" t="s">
        <v>9</v>
      </c>
      <c r="AD170" s="103">
        <f t="shared" si="6"/>
        <v>15</v>
      </c>
      <c r="AE170" s="103">
        <f t="shared" si="7"/>
        <v>0</v>
      </c>
      <c r="AF170" s="103">
        <f t="shared" si="8"/>
        <v>0</v>
      </c>
      <c r="AG170" s="41" t="str" cm="1">
        <f t="array" ref="AG170">_xlfn.IFS(
$AD170=15,"Not Started",
$AF170&lt;15,"In Progress",
$AF170=15,"Completed",
SUM(AD170:AF170)&gt;15,"Error"
)</f>
        <v>Not Started</v>
      </c>
    </row>
    <row r="171" spans="1:33" ht="13" x14ac:dyDescent="0.25">
      <c r="A171" s="256"/>
      <c r="B171" s="64" t="s">
        <v>2027</v>
      </c>
      <c r="C171" s="53" t="s">
        <v>11074</v>
      </c>
      <c r="D171" s="57" t="s">
        <v>11075</v>
      </c>
      <c r="E171" s="7" t="s">
        <v>43</v>
      </c>
      <c r="F171" s="7"/>
      <c r="G171" s="7" t="s">
        <v>7527</v>
      </c>
      <c r="H171" s="7" t="s">
        <v>7527</v>
      </c>
      <c r="I171" s="7" t="s">
        <v>11076</v>
      </c>
      <c r="J171" s="7" t="s">
        <v>11077</v>
      </c>
      <c r="K171" s="7">
        <v>10089945989</v>
      </c>
      <c r="M171" s="32"/>
      <c r="N171" s="28" t="s">
        <v>9</v>
      </c>
      <c r="O171" s="28" t="s">
        <v>9</v>
      </c>
      <c r="P171" s="28" t="s">
        <v>9</v>
      </c>
      <c r="Q171" s="28" t="s">
        <v>9</v>
      </c>
      <c r="R171" s="28" t="s">
        <v>9</v>
      </c>
      <c r="S171" s="28" t="s">
        <v>9</v>
      </c>
      <c r="T171" s="28" t="s">
        <v>9</v>
      </c>
      <c r="U171" s="28" t="s">
        <v>9</v>
      </c>
      <c r="V171" s="28" t="s">
        <v>9</v>
      </c>
      <c r="W171" s="28" t="s">
        <v>9</v>
      </c>
      <c r="X171" s="28" t="s">
        <v>9</v>
      </c>
      <c r="Y171" s="28" t="s">
        <v>9</v>
      </c>
      <c r="Z171" s="28" t="s">
        <v>9</v>
      </c>
      <c r="AA171" s="28" t="s">
        <v>9</v>
      </c>
      <c r="AB171" s="28" t="s">
        <v>9</v>
      </c>
      <c r="AC171" s="28" t="s">
        <v>9</v>
      </c>
      <c r="AD171" s="103">
        <f t="shared" si="6"/>
        <v>15</v>
      </c>
      <c r="AE171" s="103">
        <f t="shared" si="7"/>
        <v>0</v>
      </c>
      <c r="AF171" s="103">
        <f t="shared" si="8"/>
        <v>0</v>
      </c>
      <c r="AG171" s="41" t="str" cm="1">
        <f t="array" ref="AG171">_xlfn.IFS(
$AD171=15,"Not Started",
$AF171&lt;15,"In Progress",
$AF171=15,"Completed",
SUM(AD171:AF171)&gt;15,"Error"
)</f>
        <v>Not Started</v>
      </c>
    </row>
    <row r="172" spans="1:33" ht="13" x14ac:dyDescent="0.25">
      <c r="A172" s="256"/>
      <c r="B172" s="63" t="s">
        <v>2028</v>
      </c>
      <c r="C172" s="53" t="s">
        <v>11078</v>
      </c>
      <c r="D172" s="57" t="s">
        <v>11079</v>
      </c>
      <c r="E172" s="7" t="s">
        <v>47</v>
      </c>
      <c r="F172" s="7" t="s">
        <v>44</v>
      </c>
      <c r="G172" s="7" t="s">
        <v>7527</v>
      </c>
      <c r="H172" s="7" t="s">
        <v>7527</v>
      </c>
      <c r="I172" s="7" t="s">
        <v>11080</v>
      </c>
      <c r="J172" s="7" t="s">
        <v>11081</v>
      </c>
      <c r="K172" s="7">
        <v>10085677226</v>
      </c>
      <c r="M172" s="32"/>
      <c r="N172" s="28" t="s">
        <v>9</v>
      </c>
      <c r="O172" s="28" t="s">
        <v>9</v>
      </c>
      <c r="P172" s="28" t="s">
        <v>9</v>
      </c>
      <c r="Q172" s="28" t="s">
        <v>9</v>
      </c>
      <c r="R172" s="28" t="s">
        <v>9</v>
      </c>
      <c r="S172" s="28" t="s">
        <v>9</v>
      </c>
      <c r="T172" s="28" t="s">
        <v>9</v>
      </c>
      <c r="U172" s="28" t="s">
        <v>9</v>
      </c>
      <c r="V172" s="28" t="s">
        <v>9</v>
      </c>
      <c r="W172" s="28" t="s">
        <v>9</v>
      </c>
      <c r="X172" s="28" t="s">
        <v>9</v>
      </c>
      <c r="Y172" s="28" t="s">
        <v>9</v>
      </c>
      <c r="Z172" s="28" t="s">
        <v>9</v>
      </c>
      <c r="AA172" s="28" t="s">
        <v>9</v>
      </c>
      <c r="AB172" s="28" t="s">
        <v>9</v>
      </c>
      <c r="AC172" s="28" t="s">
        <v>9</v>
      </c>
      <c r="AD172" s="103">
        <f t="shared" si="6"/>
        <v>15</v>
      </c>
      <c r="AE172" s="103">
        <f t="shared" si="7"/>
        <v>0</v>
      </c>
      <c r="AF172" s="103">
        <f t="shared" si="8"/>
        <v>0</v>
      </c>
      <c r="AG172" s="41" t="str" cm="1">
        <f t="array" ref="AG172">_xlfn.IFS(
$AD172=15,"Not Started",
$AF172&lt;15,"In Progress",
$AF172=15,"Completed",
SUM(AD172:AF172)&gt;15,"Error"
)</f>
        <v>Not Started</v>
      </c>
    </row>
    <row r="173" spans="1:33" ht="13" x14ac:dyDescent="0.25">
      <c r="A173" s="256"/>
      <c r="B173" s="64" t="s">
        <v>2029</v>
      </c>
      <c r="C173" s="53" t="s">
        <v>11082</v>
      </c>
      <c r="D173" s="57" t="s">
        <v>11083</v>
      </c>
      <c r="E173" s="7" t="s">
        <v>43</v>
      </c>
      <c r="F173" s="7"/>
      <c r="G173" s="7" t="s">
        <v>7527</v>
      </c>
      <c r="H173" s="7" t="s">
        <v>7527</v>
      </c>
      <c r="I173" s="7" t="s">
        <v>11084</v>
      </c>
      <c r="J173" s="7" t="s">
        <v>11085</v>
      </c>
      <c r="K173" s="7">
        <v>10089967529</v>
      </c>
      <c r="M173" s="32"/>
      <c r="N173" s="28" t="s">
        <v>9</v>
      </c>
      <c r="O173" s="28" t="s">
        <v>9</v>
      </c>
      <c r="P173" s="28" t="s">
        <v>9</v>
      </c>
      <c r="Q173" s="28" t="s">
        <v>9</v>
      </c>
      <c r="R173" s="28" t="s">
        <v>9</v>
      </c>
      <c r="S173" s="28" t="s">
        <v>9</v>
      </c>
      <c r="T173" s="28" t="s">
        <v>9</v>
      </c>
      <c r="U173" s="28" t="s">
        <v>9</v>
      </c>
      <c r="V173" s="28" t="s">
        <v>9</v>
      </c>
      <c r="W173" s="28" t="s">
        <v>9</v>
      </c>
      <c r="X173" s="28" t="s">
        <v>9</v>
      </c>
      <c r="Y173" s="28" t="s">
        <v>9</v>
      </c>
      <c r="Z173" s="28" t="s">
        <v>9</v>
      </c>
      <c r="AA173" s="28" t="s">
        <v>9</v>
      </c>
      <c r="AB173" s="28" t="s">
        <v>9</v>
      </c>
      <c r="AC173" s="28" t="s">
        <v>9</v>
      </c>
      <c r="AD173" s="103">
        <f t="shared" si="6"/>
        <v>15</v>
      </c>
      <c r="AE173" s="103">
        <f t="shared" si="7"/>
        <v>0</v>
      </c>
      <c r="AF173" s="103">
        <f t="shared" si="8"/>
        <v>0</v>
      </c>
      <c r="AG173" s="41" t="str" cm="1">
        <f t="array" ref="AG173">_xlfn.IFS(
$AD173=15,"Not Started",
$AF173&lt;15,"In Progress",
$AF173=15,"Completed",
SUM(AD173:AF173)&gt;15,"Error"
)</f>
        <v>Not Started</v>
      </c>
    </row>
    <row r="174" spans="1:33" ht="13" x14ac:dyDescent="0.25">
      <c r="A174" s="256"/>
      <c r="B174" s="63" t="s">
        <v>2030</v>
      </c>
      <c r="C174" s="53" t="s">
        <v>11086</v>
      </c>
      <c r="D174" s="57" t="s">
        <v>11087</v>
      </c>
      <c r="E174" s="7" t="s">
        <v>43</v>
      </c>
      <c r="F174" s="7"/>
      <c r="G174" s="7" t="s">
        <v>7527</v>
      </c>
      <c r="H174" s="7" t="s">
        <v>7527</v>
      </c>
      <c r="I174" s="7" t="s">
        <v>11088</v>
      </c>
      <c r="J174" s="7" t="s">
        <v>11089</v>
      </c>
      <c r="K174" s="7">
        <v>10087366421</v>
      </c>
      <c r="M174" s="32"/>
      <c r="N174" s="28" t="s">
        <v>9</v>
      </c>
      <c r="O174" s="28" t="s">
        <v>9</v>
      </c>
      <c r="P174" s="28" t="s">
        <v>9</v>
      </c>
      <c r="Q174" s="28" t="s">
        <v>9</v>
      </c>
      <c r="R174" s="28" t="s">
        <v>9</v>
      </c>
      <c r="S174" s="28" t="s">
        <v>9</v>
      </c>
      <c r="T174" s="28" t="s">
        <v>9</v>
      </c>
      <c r="U174" s="28" t="s">
        <v>9</v>
      </c>
      <c r="V174" s="28" t="s">
        <v>9</v>
      </c>
      <c r="W174" s="28" t="s">
        <v>9</v>
      </c>
      <c r="X174" s="28" t="s">
        <v>9</v>
      </c>
      <c r="Y174" s="28" t="s">
        <v>9</v>
      </c>
      <c r="Z174" s="28" t="s">
        <v>9</v>
      </c>
      <c r="AA174" s="28" t="s">
        <v>9</v>
      </c>
      <c r="AB174" s="28" t="s">
        <v>9</v>
      </c>
      <c r="AC174" s="28" t="s">
        <v>9</v>
      </c>
      <c r="AD174" s="103">
        <f t="shared" si="6"/>
        <v>15</v>
      </c>
      <c r="AE174" s="103">
        <f t="shared" si="7"/>
        <v>0</v>
      </c>
      <c r="AF174" s="103">
        <f t="shared" si="8"/>
        <v>0</v>
      </c>
      <c r="AG174" s="41" t="str" cm="1">
        <f t="array" ref="AG174">_xlfn.IFS(
$AD174=15,"Not Started",
$AF174&lt;15,"In Progress",
$AF174=15,"Completed",
SUM(AD174:AF174)&gt;15,"Error"
)</f>
        <v>Not Started</v>
      </c>
    </row>
    <row r="175" spans="1:33" ht="13" x14ac:dyDescent="0.25">
      <c r="A175" s="256"/>
      <c r="B175" s="64" t="s">
        <v>2031</v>
      </c>
      <c r="C175" s="53" t="s">
        <v>11090</v>
      </c>
      <c r="D175" s="57" t="s">
        <v>11091</v>
      </c>
      <c r="E175" s="7"/>
      <c r="F175" s="7"/>
      <c r="G175" s="7" t="s">
        <v>7527</v>
      </c>
      <c r="H175" s="7" t="s">
        <v>7527</v>
      </c>
      <c r="I175" s="7" t="s">
        <v>11092</v>
      </c>
      <c r="J175" s="7" t="s">
        <v>11093</v>
      </c>
      <c r="K175" s="7">
        <v>10052825244</v>
      </c>
      <c r="M175" s="32"/>
      <c r="N175" s="28" t="s">
        <v>9</v>
      </c>
      <c r="O175" s="28" t="s">
        <v>9</v>
      </c>
      <c r="P175" s="28" t="s">
        <v>9</v>
      </c>
      <c r="Q175" s="28" t="s">
        <v>9</v>
      </c>
      <c r="R175" s="28" t="s">
        <v>9</v>
      </c>
      <c r="S175" s="28" t="s">
        <v>9</v>
      </c>
      <c r="T175" s="28" t="s">
        <v>9</v>
      </c>
      <c r="U175" s="28" t="s">
        <v>9</v>
      </c>
      <c r="V175" s="28" t="s">
        <v>9</v>
      </c>
      <c r="W175" s="28" t="s">
        <v>9</v>
      </c>
      <c r="X175" s="28" t="s">
        <v>9</v>
      </c>
      <c r="Y175" s="28" t="s">
        <v>9</v>
      </c>
      <c r="Z175" s="28" t="s">
        <v>9</v>
      </c>
      <c r="AA175" s="28" t="s">
        <v>9</v>
      </c>
      <c r="AB175" s="28" t="s">
        <v>9</v>
      </c>
      <c r="AC175" s="28" t="s">
        <v>9</v>
      </c>
      <c r="AD175" s="103">
        <f t="shared" si="6"/>
        <v>15</v>
      </c>
      <c r="AE175" s="103">
        <f t="shared" si="7"/>
        <v>0</v>
      </c>
      <c r="AF175" s="103">
        <f t="shared" si="8"/>
        <v>0</v>
      </c>
      <c r="AG175" s="41" t="str" cm="1">
        <f t="array" ref="AG175">_xlfn.IFS(
$AD175=15,"Not Started",
$AF175&lt;15,"In Progress",
$AF175=15,"Completed",
SUM(AD175:AF175)&gt;15,"Error"
)</f>
        <v>Not Started</v>
      </c>
    </row>
    <row r="176" spans="1:33" ht="13" x14ac:dyDescent="0.25">
      <c r="A176" s="256"/>
      <c r="B176" s="63" t="s">
        <v>2032</v>
      </c>
      <c r="C176" s="53" t="s">
        <v>11094</v>
      </c>
      <c r="D176" s="57" t="s">
        <v>11095</v>
      </c>
      <c r="E176" s="7"/>
      <c r="F176" s="7"/>
      <c r="G176" s="7" t="s">
        <v>7527</v>
      </c>
      <c r="H176" s="7" t="s">
        <v>7527</v>
      </c>
      <c r="I176" s="7" t="s">
        <v>11096</v>
      </c>
      <c r="J176" s="7" t="s">
        <v>11097</v>
      </c>
      <c r="K176" s="7">
        <v>10097361911</v>
      </c>
      <c r="M176" s="32"/>
      <c r="N176" s="28" t="s">
        <v>9</v>
      </c>
      <c r="O176" s="28" t="s">
        <v>9</v>
      </c>
      <c r="P176" s="28" t="s">
        <v>9</v>
      </c>
      <c r="Q176" s="28" t="s">
        <v>9</v>
      </c>
      <c r="R176" s="28" t="s">
        <v>9</v>
      </c>
      <c r="S176" s="28" t="s">
        <v>9</v>
      </c>
      <c r="T176" s="28" t="s">
        <v>9</v>
      </c>
      <c r="U176" s="28" t="s">
        <v>9</v>
      </c>
      <c r="V176" s="28" t="s">
        <v>9</v>
      </c>
      <c r="W176" s="28" t="s">
        <v>9</v>
      </c>
      <c r="X176" s="28" t="s">
        <v>9</v>
      </c>
      <c r="Y176" s="28" t="s">
        <v>9</v>
      </c>
      <c r="Z176" s="28" t="s">
        <v>9</v>
      </c>
      <c r="AA176" s="28" t="s">
        <v>9</v>
      </c>
      <c r="AB176" s="28" t="s">
        <v>9</v>
      </c>
      <c r="AC176" s="28" t="s">
        <v>9</v>
      </c>
      <c r="AD176" s="103">
        <f t="shared" si="6"/>
        <v>15</v>
      </c>
      <c r="AE176" s="103">
        <f t="shared" si="7"/>
        <v>0</v>
      </c>
      <c r="AF176" s="103">
        <f t="shared" si="8"/>
        <v>0</v>
      </c>
      <c r="AG176" s="41" t="str" cm="1">
        <f t="array" ref="AG176">_xlfn.IFS(
$AD176=15,"Not Started",
$AF176&lt;15,"In Progress",
$AF176=15,"Completed",
SUM(AD176:AF176)&gt;15,"Error"
)</f>
        <v>Not Started</v>
      </c>
    </row>
    <row r="177" spans="1:33" ht="13" x14ac:dyDescent="0.25">
      <c r="A177" s="256"/>
      <c r="B177" s="64" t="s">
        <v>2033</v>
      </c>
      <c r="C177" s="53" t="s">
        <v>11098</v>
      </c>
      <c r="D177" s="57" t="s">
        <v>11099</v>
      </c>
      <c r="E177" s="7" t="s">
        <v>43</v>
      </c>
      <c r="F177" s="7"/>
      <c r="G177" s="7" t="s">
        <v>7527</v>
      </c>
      <c r="H177" s="7" t="s">
        <v>7527</v>
      </c>
      <c r="I177" s="7" t="s">
        <v>11100</v>
      </c>
      <c r="J177" s="7" t="s">
        <v>11101</v>
      </c>
      <c r="K177" s="7">
        <v>10090292651</v>
      </c>
      <c r="M177" s="32"/>
      <c r="N177" s="28" t="s">
        <v>9</v>
      </c>
      <c r="O177" s="28" t="s">
        <v>9</v>
      </c>
      <c r="P177" s="28" t="s">
        <v>9</v>
      </c>
      <c r="Q177" s="28" t="s">
        <v>9</v>
      </c>
      <c r="R177" s="28" t="s">
        <v>9</v>
      </c>
      <c r="S177" s="28" t="s">
        <v>9</v>
      </c>
      <c r="T177" s="28" t="s">
        <v>9</v>
      </c>
      <c r="U177" s="28" t="s">
        <v>9</v>
      </c>
      <c r="V177" s="28" t="s">
        <v>9</v>
      </c>
      <c r="W177" s="28" t="s">
        <v>9</v>
      </c>
      <c r="X177" s="28" t="s">
        <v>9</v>
      </c>
      <c r="Y177" s="28" t="s">
        <v>9</v>
      </c>
      <c r="Z177" s="28" t="s">
        <v>9</v>
      </c>
      <c r="AA177" s="28" t="s">
        <v>9</v>
      </c>
      <c r="AB177" s="28" t="s">
        <v>9</v>
      </c>
      <c r="AC177" s="28" t="s">
        <v>9</v>
      </c>
      <c r="AD177" s="103">
        <f t="shared" si="6"/>
        <v>15</v>
      </c>
      <c r="AE177" s="103">
        <f t="shared" si="7"/>
        <v>0</v>
      </c>
      <c r="AF177" s="103">
        <f t="shared" si="8"/>
        <v>0</v>
      </c>
      <c r="AG177" s="41" t="str" cm="1">
        <f t="array" ref="AG177">_xlfn.IFS(
$AD177=15,"Not Started",
$AF177&lt;15,"In Progress",
$AF177=15,"Completed",
SUM(AD177:AF177)&gt;15,"Error"
)</f>
        <v>Not Started</v>
      </c>
    </row>
    <row r="178" spans="1:33" ht="13" x14ac:dyDescent="0.25">
      <c r="A178" s="256"/>
      <c r="B178" s="63" t="s">
        <v>2034</v>
      </c>
      <c r="C178" s="53" t="s">
        <v>11102</v>
      </c>
      <c r="D178" s="57" t="s">
        <v>11103</v>
      </c>
      <c r="E178" s="7" t="s">
        <v>43</v>
      </c>
      <c r="F178" s="7"/>
      <c r="G178" s="7" t="s">
        <v>7527</v>
      </c>
      <c r="H178" s="7" t="s">
        <v>7527</v>
      </c>
      <c r="I178" s="7" t="s">
        <v>11104</v>
      </c>
      <c r="J178" s="7" t="s">
        <v>11105</v>
      </c>
      <c r="K178" s="7">
        <v>10052865571</v>
      </c>
      <c r="M178" s="32"/>
      <c r="N178" s="28" t="s">
        <v>9</v>
      </c>
      <c r="O178" s="28" t="s">
        <v>9</v>
      </c>
      <c r="P178" s="28" t="s">
        <v>9</v>
      </c>
      <c r="Q178" s="28" t="s">
        <v>9</v>
      </c>
      <c r="R178" s="28" t="s">
        <v>9</v>
      </c>
      <c r="S178" s="28" t="s">
        <v>9</v>
      </c>
      <c r="T178" s="28" t="s">
        <v>9</v>
      </c>
      <c r="U178" s="28" t="s">
        <v>9</v>
      </c>
      <c r="V178" s="28" t="s">
        <v>9</v>
      </c>
      <c r="W178" s="28" t="s">
        <v>9</v>
      </c>
      <c r="X178" s="28" t="s">
        <v>9</v>
      </c>
      <c r="Y178" s="28" t="s">
        <v>9</v>
      </c>
      <c r="Z178" s="28" t="s">
        <v>9</v>
      </c>
      <c r="AA178" s="28" t="s">
        <v>9</v>
      </c>
      <c r="AB178" s="28" t="s">
        <v>9</v>
      </c>
      <c r="AC178" s="28" t="s">
        <v>9</v>
      </c>
      <c r="AD178" s="103">
        <f t="shared" si="6"/>
        <v>15</v>
      </c>
      <c r="AE178" s="103">
        <f t="shared" si="7"/>
        <v>0</v>
      </c>
      <c r="AF178" s="103">
        <f t="shared" si="8"/>
        <v>0</v>
      </c>
      <c r="AG178" s="41" t="str" cm="1">
        <f t="array" ref="AG178">_xlfn.IFS(
$AD178=15,"Not Started",
$AF178&lt;15,"In Progress",
$AF178=15,"Completed",
SUM(AD178:AF178)&gt;15,"Error"
)</f>
        <v>Not Started</v>
      </c>
    </row>
    <row r="179" spans="1:33" ht="13" x14ac:dyDescent="0.25">
      <c r="A179" s="256"/>
      <c r="B179" s="64" t="s">
        <v>2035</v>
      </c>
      <c r="C179" s="53" t="s">
        <v>11106</v>
      </c>
      <c r="D179" s="57" t="s">
        <v>11107</v>
      </c>
      <c r="E179" s="7" t="s">
        <v>43</v>
      </c>
      <c r="F179" s="7"/>
      <c r="G179" s="7" t="s">
        <v>7527</v>
      </c>
      <c r="H179" s="7" t="s">
        <v>7527</v>
      </c>
      <c r="I179" s="7" t="s">
        <v>11108</v>
      </c>
      <c r="J179" s="7" t="s">
        <v>11109</v>
      </c>
      <c r="K179" s="7">
        <v>10091555434</v>
      </c>
      <c r="M179" s="32"/>
      <c r="N179" s="28" t="s">
        <v>9</v>
      </c>
      <c r="O179" s="28" t="s">
        <v>9</v>
      </c>
      <c r="P179" s="28" t="s">
        <v>9</v>
      </c>
      <c r="Q179" s="28" t="s">
        <v>9</v>
      </c>
      <c r="R179" s="28" t="s">
        <v>9</v>
      </c>
      <c r="S179" s="28" t="s">
        <v>9</v>
      </c>
      <c r="T179" s="28" t="s">
        <v>9</v>
      </c>
      <c r="U179" s="28" t="s">
        <v>9</v>
      </c>
      <c r="V179" s="28" t="s">
        <v>9</v>
      </c>
      <c r="W179" s="28" t="s">
        <v>9</v>
      </c>
      <c r="X179" s="28" t="s">
        <v>9</v>
      </c>
      <c r="Y179" s="28" t="s">
        <v>9</v>
      </c>
      <c r="Z179" s="28" t="s">
        <v>9</v>
      </c>
      <c r="AA179" s="28" t="s">
        <v>9</v>
      </c>
      <c r="AB179" s="28" t="s">
        <v>9</v>
      </c>
      <c r="AC179" s="28" t="s">
        <v>9</v>
      </c>
      <c r="AD179" s="103">
        <f t="shared" si="6"/>
        <v>15</v>
      </c>
      <c r="AE179" s="103">
        <f t="shared" si="7"/>
        <v>0</v>
      </c>
      <c r="AF179" s="103">
        <f t="shared" si="8"/>
        <v>0</v>
      </c>
      <c r="AG179" s="41" t="str" cm="1">
        <f t="array" ref="AG179">_xlfn.IFS(
$AD179=15,"Not Started",
$AF179&lt;15,"In Progress",
$AF179=15,"Completed",
SUM(AD179:AF179)&gt;15,"Error"
)</f>
        <v>Not Started</v>
      </c>
    </row>
    <row r="180" spans="1:33" ht="13" x14ac:dyDescent="0.25">
      <c r="A180" s="256"/>
      <c r="B180" s="63" t="s">
        <v>2036</v>
      </c>
      <c r="C180" s="53" t="s">
        <v>11110</v>
      </c>
      <c r="D180" s="57" t="s">
        <v>11111</v>
      </c>
      <c r="E180" s="7" t="s">
        <v>51</v>
      </c>
      <c r="F180" s="7"/>
      <c r="G180" s="7" t="s">
        <v>7527</v>
      </c>
      <c r="H180" s="7" t="s">
        <v>7527</v>
      </c>
      <c r="I180" s="7" t="s">
        <v>11112</v>
      </c>
      <c r="J180" s="7" t="s">
        <v>11113</v>
      </c>
      <c r="K180" s="7">
        <v>10091700482</v>
      </c>
      <c r="M180" s="32"/>
      <c r="N180" s="28" t="s">
        <v>9</v>
      </c>
      <c r="O180" s="28" t="s">
        <v>9</v>
      </c>
      <c r="P180" s="28" t="s">
        <v>9</v>
      </c>
      <c r="Q180" s="28" t="s">
        <v>9</v>
      </c>
      <c r="R180" s="28" t="s">
        <v>9</v>
      </c>
      <c r="S180" s="28" t="s">
        <v>9</v>
      </c>
      <c r="T180" s="28" t="s">
        <v>9</v>
      </c>
      <c r="U180" s="28" t="s">
        <v>9</v>
      </c>
      <c r="V180" s="28" t="s">
        <v>9</v>
      </c>
      <c r="W180" s="28" t="s">
        <v>9</v>
      </c>
      <c r="X180" s="28" t="s">
        <v>9</v>
      </c>
      <c r="Y180" s="28" t="s">
        <v>9</v>
      </c>
      <c r="Z180" s="28" t="s">
        <v>9</v>
      </c>
      <c r="AA180" s="28" t="s">
        <v>9</v>
      </c>
      <c r="AB180" s="28" t="s">
        <v>9</v>
      </c>
      <c r="AC180" s="28" t="s">
        <v>9</v>
      </c>
      <c r="AD180" s="103">
        <f t="shared" si="6"/>
        <v>15</v>
      </c>
      <c r="AE180" s="103">
        <f t="shared" si="7"/>
        <v>0</v>
      </c>
      <c r="AF180" s="103">
        <f t="shared" si="8"/>
        <v>0</v>
      </c>
      <c r="AG180" s="41" t="str" cm="1">
        <f t="array" ref="AG180">_xlfn.IFS(
$AD180=15,"Not Started",
$AF180&lt;15,"In Progress",
$AF180=15,"Completed",
SUM(AD180:AF180)&gt;15,"Error"
)</f>
        <v>Not Started</v>
      </c>
    </row>
    <row r="181" spans="1:33" ht="13" x14ac:dyDescent="0.25">
      <c r="A181" s="256"/>
      <c r="B181" s="64" t="s">
        <v>2037</v>
      </c>
      <c r="C181" s="53" t="s">
        <v>11114</v>
      </c>
      <c r="D181" s="57" t="s">
        <v>11115</v>
      </c>
      <c r="E181" s="7" t="s">
        <v>43</v>
      </c>
      <c r="F181" s="7"/>
      <c r="G181" s="7" t="s">
        <v>7527</v>
      </c>
      <c r="H181" s="7" t="s">
        <v>7527</v>
      </c>
      <c r="I181" s="7" t="s">
        <v>11116</v>
      </c>
      <c r="J181" s="7" t="s">
        <v>11117</v>
      </c>
      <c r="K181" s="7">
        <v>10052535119</v>
      </c>
      <c r="M181" s="32"/>
      <c r="N181" s="28" t="s">
        <v>9</v>
      </c>
      <c r="O181" s="28" t="s">
        <v>9</v>
      </c>
      <c r="P181" s="28" t="s">
        <v>9</v>
      </c>
      <c r="Q181" s="28" t="s">
        <v>9</v>
      </c>
      <c r="R181" s="28" t="s">
        <v>9</v>
      </c>
      <c r="S181" s="28" t="s">
        <v>9</v>
      </c>
      <c r="T181" s="28" t="s">
        <v>9</v>
      </c>
      <c r="U181" s="28" t="s">
        <v>9</v>
      </c>
      <c r="V181" s="28" t="s">
        <v>9</v>
      </c>
      <c r="W181" s="28" t="s">
        <v>9</v>
      </c>
      <c r="X181" s="28" t="s">
        <v>9</v>
      </c>
      <c r="Y181" s="28" t="s">
        <v>9</v>
      </c>
      <c r="Z181" s="28" t="s">
        <v>9</v>
      </c>
      <c r="AA181" s="28" t="s">
        <v>9</v>
      </c>
      <c r="AB181" s="28" t="s">
        <v>9</v>
      </c>
      <c r="AC181" s="28" t="s">
        <v>9</v>
      </c>
      <c r="AD181" s="103">
        <f t="shared" si="6"/>
        <v>15</v>
      </c>
      <c r="AE181" s="103">
        <f t="shared" si="7"/>
        <v>0</v>
      </c>
      <c r="AF181" s="103">
        <f t="shared" si="8"/>
        <v>0</v>
      </c>
      <c r="AG181" s="41" t="str" cm="1">
        <f t="array" ref="AG181">_xlfn.IFS(
$AD181=15,"Not Started",
$AF181&lt;15,"In Progress",
$AF181=15,"Completed",
SUM(AD181:AF181)&gt;15,"Error"
)</f>
        <v>Not Started</v>
      </c>
    </row>
    <row r="182" spans="1:33" ht="13" x14ac:dyDescent="0.25">
      <c r="A182" s="256"/>
      <c r="B182" s="63" t="s">
        <v>2038</v>
      </c>
      <c r="C182" s="53" t="s">
        <v>11118</v>
      </c>
      <c r="D182" s="57" t="s">
        <v>11119</v>
      </c>
      <c r="E182" s="7" t="s">
        <v>43</v>
      </c>
      <c r="F182" s="7"/>
      <c r="G182" s="7" t="s">
        <v>7527</v>
      </c>
      <c r="H182" s="7" t="s">
        <v>7527</v>
      </c>
      <c r="I182" s="7" t="s">
        <v>11120</v>
      </c>
      <c r="J182" s="7" t="s">
        <v>11121</v>
      </c>
      <c r="K182" s="7">
        <v>10052537866</v>
      </c>
      <c r="M182" s="32"/>
      <c r="N182" s="28" t="s">
        <v>9</v>
      </c>
      <c r="O182" s="28" t="s">
        <v>9</v>
      </c>
      <c r="P182" s="28" t="s">
        <v>9</v>
      </c>
      <c r="Q182" s="28" t="s">
        <v>9</v>
      </c>
      <c r="R182" s="28" t="s">
        <v>9</v>
      </c>
      <c r="S182" s="28" t="s">
        <v>9</v>
      </c>
      <c r="T182" s="28" t="s">
        <v>9</v>
      </c>
      <c r="U182" s="28" t="s">
        <v>9</v>
      </c>
      <c r="V182" s="28" t="s">
        <v>9</v>
      </c>
      <c r="W182" s="28" t="s">
        <v>9</v>
      </c>
      <c r="X182" s="28" t="s">
        <v>9</v>
      </c>
      <c r="Y182" s="28" t="s">
        <v>9</v>
      </c>
      <c r="Z182" s="28" t="s">
        <v>9</v>
      </c>
      <c r="AA182" s="28" t="s">
        <v>9</v>
      </c>
      <c r="AB182" s="28" t="s">
        <v>9</v>
      </c>
      <c r="AC182" s="28" t="s">
        <v>9</v>
      </c>
      <c r="AD182" s="103">
        <f t="shared" si="6"/>
        <v>15</v>
      </c>
      <c r="AE182" s="103">
        <f t="shared" si="7"/>
        <v>0</v>
      </c>
      <c r="AF182" s="103">
        <f t="shared" si="8"/>
        <v>0</v>
      </c>
      <c r="AG182" s="41" t="str" cm="1">
        <f t="array" ref="AG182">_xlfn.IFS(
$AD182=15,"Not Started",
$AF182&lt;15,"In Progress",
$AF182=15,"Completed",
SUM(AD182:AF182)&gt;15,"Error"
)</f>
        <v>Not Started</v>
      </c>
    </row>
    <row r="183" spans="1:33" ht="13" x14ac:dyDescent="0.25">
      <c r="A183" s="256"/>
      <c r="B183" s="64" t="s">
        <v>2039</v>
      </c>
      <c r="C183" s="53" t="s">
        <v>11122</v>
      </c>
      <c r="D183" s="57" t="s">
        <v>11123</v>
      </c>
      <c r="E183" s="7" t="s">
        <v>43</v>
      </c>
      <c r="F183" s="7"/>
      <c r="G183" s="7" t="s">
        <v>7527</v>
      </c>
      <c r="H183" s="7" t="s">
        <v>7527</v>
      </c>
      <c r="I183" s="7" t="s">
        <v>11124</v>
      </c>
      <c r="J183" s="7" t="s">
        <v>11125</v>
      </c>
      <c r="K183" s="7">
        <v>10052945162</v>
      </c>
      <c r="M183" s="32"/>
      <c r="N183" s="28" t="s">
        <v>9</v>
      </c>
      <c r="O183" s="28" t="s">
        <v>9</v>
      </c>
      <c r="P183" s="28" t="s">
        <v>9</v>
      </c>
      <c r="Q183" s="28" t="s">
        <v>9</v>
      </c>
      <c r="R183" s="28" t="s">
        <v>9</v>
      </c>
      <c r="S183" s="28" t="s">
        <v>9</v>
      </c>
      <c r="T183" s="28" t="s">
        <v>9</v>
      </c>
      <c r="U183" s="28" t="s">
        <v>9</v>
      </c>
      <c r="V183" s="28" t="s">
        <v>9</v>
      </c>
      <c r="W183" s="28" t="s">
        <v>9</v>
      </c>
      <c r="X183" s="28" t="s">
        <v>9</v>
      </c>
      <c r="Y183" s="28" t="s">
        <v>9</v>
      </c>
      <c r="Z183" s="28" t="s">
        <v>9</v>
      </c>
      <c r="AA183" s="28" t="s">
        <v>9</v>
      </c>
      <c r="AB183" s="28" t="s">
        <v>9</v>
      </c>
      <c r="AC183" s="28" t="s">
        <v>9</v>
      </c>
      <c r="AD183" s="103">
        <f t="shared" si="6"/>
        <v>15</v>
      </c>
      <c r="AE183" s="103">
        <f t="shared" si="7"/>
        <v>0</v>
      </c>
      <c r="AF183" s="103">
        <f t="shared" si="8"/>
        <v>0</v>
      </c>
      <c r="AG183" s="41" t="str" cm="1">
        <f t="array" ref="AG183">_xlfn.IFS(
$AD183=15,"Not Started",
$AF183&lt;15,"In Progress",
$AF183=15,"Completed",
SUM(AD183:AF183)&gt;15,"Error"
)</f>
        <v>Not Started</v>
      </c>
    </row>
    <row r="184" spans="1:33" ht="13" x14ac:dyDescent="0.25">
      <c r="A184" s="256"/>
      <c r="B184" s="63" t="s">
        <v>2040</v>
      </c>
      <c r="C184" s="53" t="s">
        <v>11126</v>
      </c>
      <c r="D184" s="57" t="s">
        <v>11127</v>
      </c>
      <c r="E184" s="7" t="s">
        <v>43</v>
      </c>
      <c r="F184" s="7"/>
      <c r="G184" s="7" t="s">
        <v>7527</v>
      </c>
      <c r="H184" s="7" t="s">
        <v>7527</v>
      </c>
      <c r="I184" s="7" t="s">
        <v>11128</v>
      </c>
      <c r="J184" s="7" t="s">
        <v>11129</v>
      </c>
      <c r="K184" s="7">
        <v>10053031912</v>
      </c>
      <c r="M184" s="32"/>
      <c r="N184" s="28" t="s">
        <v>9</v>
      </c>
      <c r="O184" s="28" t="s">
        <v>9</v>
      </c>
      <c r="P184" s="28" t="s">
        <v>9</v>
      </c>
      <c r="Q184" s="28" t="s">
        <v>9</v>
      </c>
      <c r="R184" s="28" t="s">
        <v>9</v>
      </c>
      <c r="S184" s="28" t="s">
        <v>9</v>
      </c>
      <c r="T184" s="28" t="s">
        <v>9</v>
      </c>
      <c r="U184" s="28" t="s">
        <v>9</v>
      </c>
      <c r="V184" s="28" t="s">
        <v>9</v>
      </c>
      <c r="W184" s="28" t="s">
        <v>9</v>
      </c>
      <c r="X184" s="28" t="s">
        <v>9</v>
      </c>
      <c r="Y184" s="28" t="s">
        <v>9</v>
      </c>
      <c r="Z184" s="28" t="s">
        <v>9</v>
      </c>
      <c r="AA184" s="28" t="s">
        <v>9</v>
      </c>
      <c r="AB184" s="28" t="s">
        <v>9</v>
      </c>
      <c r="AC184" s="28" t="s">
        <v>9</v>
      </c>
      <c r="AD184" s="103">
        <f t="shared" si="6"/>
        <v>15</v>
      </c>
      <c r="AE184" s="103">
        <f t="shared" si="7"/>
        <v>0</v>
      </c>
      <c r="AF184" s="103">
        <f t="shared" si="8"/>
        <v>0</v>
      </c>
      <c r="AG184" s="41" t="str" cm="1">
        <f t="array" ref="AG184">_xlfn.IFS(
$AD184=15,"Not Started",
$AF184&lt;15,"In Progress",
$AF184=15,"Completed",
SUM(AD184:AF184)&gt;15,"Error"
)</f>
        <v>Not Started</v>
      </c>
    </row>
    <row r="185" spans="1:33" ht="13" x14ac:dyDescent="0.25">
      <c r="A185" s="256"/>
      <c r="B185" s="64" t="s">
        <v>2041</v>
      </c>
      <c r="C185" s="53" t="s">
        <v>11130</v>
      </c>
      <c r="D185" s="57" t="s">
        <v>11131</v>
      </c>
      <c r="E185" s="7" t="s">
        <v>51</v>
      </c>
      <c r="F185" s="7"/>
      <c r="G185" s="7" t="s">
        <v>7527</v>
      </c>
      <c r="H185" s="7" t="s">
        <v>7527</v>
      </c>
      <c r="I185" s="7" t="s">
        <v>11132</v>
      </c>
      <c r="J185" s="7" t="s">
        <v>11133</v>
      </c>
      <c r="K185" s="7">
        <v>10049073308</v>
      </c>
      <c r="M185" s="32"/>
      <c r="N185" s="28" t="s">
        <v>9</v>
      </c>
      <c r="O185" s="28" t="s">
        <v>9</v>
      </c>
      <c r="P185" s="28" t="s">
        <v>9</v>
      </c>
      <c r="Q185" s="28" t="s">
        <v>9</v>
      </c>
      <c r="R185" s="28" t="s">
        <v>9</v>
      </c>
      <c r="S185" s="28" t="s">
        <v>9</v>
      </c>
      <c r="T185" s="28" t="s">
        <v>9</v>
      </c>
      <c r="U185" s="28" t="s">
        <v>9</v>
      </c>
      <c r="V185" s="28" t="s">
        <v>9</v>
      </c>
      <c r="W185" s="28" t="s">
        <v>9</v>
      </c>
      <c r="X185" s="28" t="s">
        <v>9</v>
      </c>
      <c r="Y185" s="28" t="s">
        <v>9</v>
      </c>
      <c r="Z185" s="28" t="s">
        <v>9</v>
      </c>
      <c r="AA185" s="28" t="s">
        <v>9</v>
      </c>
      <c r="AB185" s="28" t="s">
        <v>9</v>
      </c>
      <c r="AC185" s="28" t="s">
        <v>9</v>
      </c>
      <c r="AD185" s="103">
        <f t="shared" si="6"/>
        <v>15</v>
      </c>
      <c r="AE185" s="103">
        <f t="shared" si="7"/>
        <v>0</v>
      </c>
      <c r="AF185" s="103">
        <f t="shared" si="8"/>
        <v>0</v>
      </c>
      <c r="AG185" s="41" t="str" cm="1">
        <f t="array" ref="AG185">_xlfn.IFS(
$AD185=15,"Not Started",
$AF185&lt;15,"In Progress",
$AF185=15,"Completed",
SUM(AD185:AF185)&gt;15,"Error"
)</f>
        <v>Not Started</v>
      </c>
    </row>
    <row r="186" spans="1:33" ht="13" x14ac:dyDescent="0.25">
      <c r="A186" s="256"/>
      <c r="B186" s="63" t="s">
        <v>2042</v>
      </c>
      <c r="C186" s="53" t="s">
        <v>11134</v>
      </c>
      <c r="D186" s="57" t="s">
        <v>11135</v>
      </c>
      <c r="E186" s="7"/>
      <c r="F186" s="7"/>
      <c r="G186" s="7" t="s">
        <v>7527</v>
      </c>
      <c r="H186" s="7" t="s">
        <v>7527</v>
      </c>
      <c r="I186" s="7" t="s">
        <v>11136</v>
      </c>
      <c r="J186" s="7" t="s">
        <v>11137</v>
      </c>
      <c r="K186" s="7">
        <v>10053048393</v>
      </c>
      <c r="M186" s="32"/>
      <c r="N186" s="28" t="s">
        <v>9</v>
      </c>
      <c r="O186" s="28" t="s">
        <v>9</v>
      </c>
      <c r="P186" s="28" t="s">
        <v>9</v>
      </c>
      <c r="Q186" s="28" t="s">
        <v>9</v>
      </c>
      <c r="R186" s="28" t="s">
        <v>9</v>
      </c>
      <c r="S186" s="28" t="s">
        <v>9</v>
      </c>
      <c r="T186" s="28" t="s">
        <v>9</v>
      </c>
      <c r="U186" s="28" t="s">
        <v>9</v>
      </c>
      <c r="V186" s="28" t="s">
        <v>9</v>
      </c>
      <c r="W186" s="28" t="s">
        <v>9</v>
      </c>
      <c r="X186" s="28" t="s">
        <v>9</v>
      </c>
      <c r="Y186" s="28" t="s">
        <v>9</v>
      </c>
      <c r="Z186" s="28" t="s">
        <v>9</v>
      </c>
      <c r="AA186" s="28" t="s">
        <v>9</v>
      </c>
      <c r="AB186" s="28" t="s">
        <v>9</v>
      </c>
      <c r="AC186" s="28" t="s">
        <v>9</v>
      </c>
      <c r="AD186" s="103">
        <f t="shared" si="6"/>
        <v>15</v>
      </c>
      <c r="AE186" s="103">
        <f t="shared" si="7"/>
        <v>0</v>
      </c>
      <c r="AF186" s="103">
        <f t="shared" si="8"/>
        <v>0</v>
      </c>
      <c r="AG186" s="41" t="str" cm="1">
        <f t="array" ref="AG186">_xlfn.IFS(
$AD186=15,"Not Started",
$AF186&lt;15,"In Progress",
$AF186=15,"Completed",
SUM(AD186:AF186)&gt;15,"Error"
)</f>
        <v>Not Started</v>
      </c>
    </row>
    <row r="187" spans="1:33" ht="13" x14ac:dyDescent="0.25">
      <c r="A187" s="256"/>
      <c r="B187" s="64" t="s">
        <v>2043</v>
      </c>
      <c r="C187" s="53" t="s">
        <v>11138</v>
      </c>
      <c r="D187" s="57" t="s">
        <v>11139</v>
      </c>
      <c r="E187" s="7" t="s">
        <v>43</v>
      </c>
      <c r="F187" s="7"/>
      <c r="G187" s="7" t="s">
        <v>7527</v>
      </c>
      <c r="H187" s="7" t="s">
        <v>7527</v>
      </c>
      <c r="I187" s="7" t="s">
        <v>11140</v>
      </c>
      <c r="J187" s="7" t="s">
        <v>11141</v>
      </c>
      <c r="K187" s="7">
        <v>10090986142</v>
      </c>
      <c r="M187" s="32"/>
      <c r="N187" s="28" t="s">
        <v>9</v>
      </c>
      <c r="O187" s="28" t="s">
        <v>9</v>
      </c>
      <c r="P187" s="28" t="s">
        <v>9</v>
      </c>
      <c r="Q187" s="28" t="s">
        <v>9</v>
      </c>
      <c r="R187" s="28" t="s">
        <v>9</v>
      </c>
      <c r="S187" s="28" t="s">
        <v>9</v>
      </c>
      <c r="T187" s="28" t="s">
        <v>9</v>
      </c>
      <c r="U187" s="28" t="s">
        <v>9</v>
      </c>
      <c r="V187" s="28" t="s">
        <v>9</v>
      </c>
      <c r="W187" s="28" t="s">
        <v>9</v>
      </c>
      <c r="X187" s="28" t="s">
        <v>9</v>
      </c>
      <c r="Y187" s="28" t="s">
        <v>9</v>
      </c>
      <c r="Z187" s="28" t="s">
        <v>9</v>
      </c>
      <c r="AA187" s="28" t="s">
        <v>9</v>
      </c>
      <c r="AB187" s="28" t="s">
        <v>9</v>
      </c>
      <c r="AC187" s="28" t="s">
        <v>9</v>
      </c>
      <c r="AD187" s="103">
        <f t="shared" si="6"/>
        <v>15</v>
      </c>
      <c r="AE187" s="103">
        <f t="shared" si="7"/>
        <v>0</v>
      </c>
      <c r="AF187" s="103">
        <f t="shared" si="8"/>
        <v>0</v>
      </c>
      <c r="AG187" s="41" t="str" cm="1">
        <f t="array" ref="AG187">_xlfn.IFS(
$AD187=15,"Not Started",
$AF187&lt;15,"In Progress",
$AF187=15,"Completed",
SUM(AD187:AF187)&gt;15,"Error"
)</f>
        <v>Not Started</v>
      </c>
    </row>
    <row r="188" spans="1:33" ht="13" x14ac:dyDescent="0.25">
      <c r="A188" s="256"/>
      <c r="B188" s="63" t="s">
        <v>2044</v>
      </c>
      <c r="C188" s="53"/>
      <c r="D188" s="57"/>
      <c r="E188" s="7"/>
      <c r="F188" s="7"/>
      <c r="G188" s="7"/>
      <c r="H188" s="7"/>
      <c r="I188" s="7"/>
      <c r="J188" s="7"/>
      <c r="K188" s="7"/>
      <c r="L188" s="7"/>
      <c r="M188" s="32"/>
      <c r="N188" s="28" t="s">
        <v>9</v>
      </c>
      <c r="O188" s="28" t="s">
        <v>9</v>
      </c>
      <c r="P188" s="28" t="s">
        <v>9</v>
      </c>
      <c r="Q188" s="28" t="s">
        <v>9</v>
      </c>
      <c r="R188" s="28" t="s">
        <v>9</v>
      </c>
      <c r="S188" s="28" t="s">
        <v>9</v>
      </c>
      <c r="T188" s="28" t="s">
        <v>9</v>
      </c>
      <c r="U188" s="28" t="s">
        <v>9</v>
      </c>
      <c r="V188" s="28" t="s">
        <v>9</v>
      </c>
      <c r="W188" s="28" t="s">
        <v>9</v>
      </c>
      <c r="X188" s="28" t="s">
        <v>9</v>
      </c>
      <c r="Y188" s="28" t="s">
        <v>9</v>
      </c>
      <c r="Z188" s="28" t="s">
        <v>9</v>
      </c>
      <c r="AA188" s="28" t="s">
        <v>9</v>
      </c>
      <c r="AB188" s="28" t="s">
        <v>9</v>
      </c>
      <c r="AC188" s="28" t="s">
        <v>9</v>
      </c>
      <c r="AD188" s="103">
        <f t="shared" si="6"/>
        <v>15</v>
      </c>
      <c r="AE188" s="103">
        <f t="shared" si="7"/>
        <v>0</v>
      </c>
      <c r="AF188" s="103">
        <f t="shared" si="8"/>
        <v>0</v>
      </c>
      <c r="AG188" s="41" t="str" cm="1">
        <f t="array" ref="AG188">_xlfn.IFS(
$AD188=15,"Not Started",
$AF188&lt;15,"In Progress",
$AF188=15,"Completed",
SUM(AD188:AF188)&gt;15,"Error"
)</f>
        <v>Not Started</v>
      </c>
    </row>
    <row r="189" spans="1:33" ht="13" x14ac:dyDescent="0.25">
      <c r="A189" s="256"/>
      <c r="B189" s="64" t="s">
        <v>2045</v>
      </c>
      <c r="C189" s="53"/>
      <c r="D189" s="57"/>
      <c r="E189" s="7"/>
      <c r="F189" s="7"/>
      <c r="G189" s="7"/>
      <c r="H189" s="7"/>
      <c r="I189" s="7"/>
      <c r="J189" s="7"/>
      <c r="K189" s="7"/>
      <c r="L189" s="7"/>
      <c r="M189" s="32"/>
      <c r="N189" s="28" t="s">
        <v>9</v>
      </c>
      <c r="O189" s="28" t="s">
        <v>9</v>
      </c>
      <c r="P189" s="28" t="s">
        <v>9</v>
      </c>
      <c r="Q189" s="28" t="s">
        <v>9</v>
      </c>
      <c r="R189" s="28" t="s">
        <v>9</v>
      </c>
      <c r="S189" s="28" t="s">
        <v>9</v>
      </c>
      <c r="T189" s="28" t="s">
        <v>9</v>
      </c>
      <c r="U189" s="28" t="s">
        <v>9</v>
      </c>
      <c r="V189" s="28" t="s">
        <v>9</v>
      </c>
      <c r="W189" s="28" t="s">
        <v>9</v>
      </c>
      <c r="X189" s="28" t="s">
        <v>9</v>
      </c>
      <c r="Y189" s="28" t="s">
        <v>9</v>
      </c>
      <c r="Z189" s="28" t="s">
        <v>9</v>
      </c>
      <c r="AA189" s="28" t="s">
        <v>9</v>
      </c>
      <c r="AB189" s="28" t="s">
        <v>9</v>
      </c>
      <c r="AC189" s="28" t="s">
        <v>9</v>
      </c>
      <c r="AD189" s="103">
        <f t="shared" si="6"/>
        <v>15</v>
      </c>
      <c r="AE189" s="103">
        <f t="shared" si="7"/>
        <v>0</v>
      </c>
      <c r="AF189" s="103">
        <f t="shared" si="8"/>
        <v>0</v>
      </c>
      <c r="AG189" s="41" t="str" cm="1">
        <f t="array" ref="AG189">_xlfn.IFS(
$AD189=15,"Not Started",
$AF189&lt;15,"In Progress",
$AF189=15,"Completed",
SUM(AD189:AF189)&gt;15,"Error"
)</f>
        <v>Not Started</v>
      </c>
    </row>
    <row r="190" spans="1:33" ht="13" x14ac:dyDescent="0.25">
      <c r="A190" s="256"/>
      <c r="B190" s="63" t="s">
        <v>2046</v>
      </c>
      <c r="C190" s="53"/>
      <c r="D190" s="57"/>
      <c r="E190" s="7"/>
      <c r="F190" s="7"/>
      <c r="G190" s="7"/>
      <c r="H190" s="7"/>
      <c r="I190" s="7"/>
      <c r="J190" s="7"/>
      <c r="K190" s="7"/>
      <c r="L190" s="7"/>
      <c r="M190" s="32"/>
      <c r="N190" s="28" t="s">
        <v>9</v>
      </c>
      <c r="O190" s="28" t="s">
        <v>9</v>
      </c>
      <c r="P190" s="28" t="s">
        <v>9</v>
      </c>
      <c r="Q190" s="28" t="s">
        <v>9</v>
      </c>
      <c r="R190" s="28" t="s">
        <v>9</v>
      </c>
      <c r="S190" s="28" t="s">
        <v>9</v>
      </c>
      <c r="T190" s="28" t="s">
        <v>9</v>
      </c>
      <c r="U190" s="28" t="s">
        <v>9</v>
      </c>
      <c r="V190" s="28" t="s">
        <v>9</v>
      </c>
      <c r="W190" s="28" t="s">
        <v>9</v>
      </c>
      <c r="X190" s="28" t="s">
        <v>9</v>
      </c>
      <c r="Y190" s="28" t="s">
        <v>9</v>
      </c>
      <c r="Z190" s="28" t="s">
        <v>9</v>
      </c>
      <c r="AA190" s="28" t="s">
        <v>9</v>
      </c>
      <c r="AB190" s="28" t="s">
        <v>9</v>
      </c>
      <c r="AC190" s="28" t="s">
        <v>9</v>
      </c>
      <c r="AD190" s="103">
        <f t="shared" si="6"/>
        <v>15</v>
      </c>
      <c r="AE190" s="103">
        <f t="shared" si="7"/>
        <v>0</v>
      </c>
      <c r="AF190" s="103">
        <f t="shared" si="8"/>
        <v>0</v>
      </c>
      <c r="AG190" s="41" t="str" cm="1">
        <f t="array" ref="AG190">_xlfn.IFS(
$AD190=15,"Not Started",
$AF190&lt;15,"In Progress",
$AF190=15,"Completed",
SUM(AD190:AF190)&gt;15,"Error"
)</f>
        <v>Not Started</v>
      </c>
    </row>
    <row r="191" spans="1:33" ht="13" x14ac:dyDescent="0.25">
      <c r="A191" s="256"/>
      <c r="B191" s="64" t="s">
        <v>2047</v>
      </c>
      <c r="C191" s="53"/>
      <c r="D191" s="57"/>
      <c r="E191" s="7"/>
      <c r="F191" s="7"/>
      <c r="G191" s="7"/>
      <c r="H191" s="7"/>
      <c r="I191" s="7"/>
      <c r="J191" s="7"/>
      <c r="K191" s="7"/>
      <c r="L191" s="7"/>
      <c r="M191" s="32"/>
      <c r="N191" s="28" t="s">
        <v>9</v>
      </c>
      <c r="O191" s="28" t="s">
        <v>9</v>
      </c>
      <c r="P191" s="28" t="s">
        <v>9</v>
      </c>
      <c r="Q191" s="28" t="s">
        <v>9</v>
      </c>
      <c r="R191" s="28" t="s">
        <v>9</v>
      </c>
      <c r="S191" s="28" t="s">
        <v>9</v>
      </c>
      <c r="T191" s="28" t="s">
        <v>9</v>
      </c>
      <c r="U191" s="28" t="s">
        <v>9</v>
      </c>
      <c r="V191" s="28" t="s">
        <v>9</v>
      </c>
      <c r="W191" s="28" t="s">
        <v>9</v>
      </c>
      <c r="X191" s="28" t="s">
        <v>9</v>
      </c>
      <c r="Y191" s="28" t="s">
        <v>9</v>
      </c>
      <c r="Z191" s="28" t="s">
        <v>9</v>
      </c>
      <c r="AA191" s="28" t="s">
        <v>9</v>
      </c>
      <c r="AB191" s="28" t="s">
        <v>9</v>
      </c>
      <c r="AC191" s="28" t="s">
        <v>9</v>
      </c>
      <c r="AD191" s="103">
        <f t="shared" si="6"/>
        <v>15</v>
      </c>
      <c r="AE191" s="103">
        <f t="shared" si="7"/>
        <v>0</v>
      </c>
      <c r="AF191" s="103">
        <f t="shared" si="8"/>
        <v>0</v>
      </c>
      <c r="AG191" s="41" t="str" cm="1">
        <f t="array" ref="AG191">_xlfn.IFS(
$AD191=15,"Not Started",
$AF191&lt;15,"In Progress",
$AF191=15,"Completed",
SUM(AD191:AF191)&gt;15,"Error"
)</f>
        <v>Not Started</v>
      </c>
    </row>
    <row r="192" spans="1:33" ht="13" x14ac:dyDescent="0.25">
      <c r="A192" s="256"/>
      <c r="B192" s="63" t="s">
        <v>2048</v>
      </c>
      <c r="C192" s="53"/>
      <c r="D192" s="57"/>
      <c r="E192" s="7"/>
      <c r="F192" s="7"/>
      <c r="G192" s="7"/>
      <c r="H192" s="7"/>
      <c r="I192" s="7"/>
      <c r="J192" s="7"/>
      <c r="K192" s="7"/>
      <c r="L192" s="7"/>
      <c r="M192" s="32"/>
      <c r="N192" s="28" t="s">
        <v>9</v>
      </c>
      <c r="O192" s="28" t="s">
        <v>9</v>
      </c>
      <c r="P192" s="28" t="s">
        <v>9</v>
      </c>
      <c r="Q192" s="28" t="s">
        <v>9</v>
      </c>
      <c r="R192" s="28" t="s">
        <v>9</v>
      </c>
      <c r="S192" s="28" t="s">
        <v>9</v>
      </c>
      <c r="T192" s="28" t="s">
        <v>9</v>
      </c>
      <c r="U192" s="28" t="s">
        <v>9</v>
      </c>
      <c r="V192" s="28" t="s">
        <v>9</v>
      </c>
      <c r="W192" s="28" t="s">
        <v>9</v>
      </c>
      <c r="X192" s="28" t="s">
        <v>9</v>
      </c>
      <c r="Y192" s="28" t="s">
        <v>9</v>
      </c>
      <c r="Z192" s="28" t="s">
        <v>9</v>
      </c>
      <c r="AA192" s="28" t="s">
        <v>9</v>
      </c>
      <c r="AB192" s="28" t="s">
        <v>9</v>
      </c>
      <c r="AC192" s="28" t="s">
        <v>9</v>
      </c>
      <c r="AD192" s="103">
        <f t="shared" si="6"/>
        <v>15</v>
      </c>
      <c r="AE192" s="103">
        <f t="shared" si="7"/>
        <v>0</v>
      </c>
      <c r="AF192" s="103">
        <f t="shared" si="8"/>
        <v>0</v>
      </c>
      <c r="AG192" s="41" t="str" cm="1">
        <f t="array" ref="AG192">_xlfn.IFS(
$AD192=15,"Not Started",
$AF192&lt;15,"In Progress",
$AF192=15,"Completed",
SUM(AD192:AF192)&gt;15,"Error"
)</f>
        <v>Not Started</v>
      </c>
    </row>
    <row r="193" spans="1:33" ht="13" x14ac:dyDescent="0.25">
      <c r="A193" s="256"/>
      <c r="B193" s="64" t="s">
        <v>2049</v>
      </c>
      <c r="C193" s="53"/>
      <c r="D193" s="57"/>
      <c r="E193" s="7"/>
      <c r="F193" s="7"/>
      <c r="G193" s="7"/>
      <c r="H193" s="7"/>
      <c r="I193" s="7"/>
      <c r="J193" s="7"/>
      <c r="K193" s="7"/>
      <c r="L193" s="7"/>
      <c r="M193" s="32"/>
      <c r="N193" s="28" t="s">
        <v>9</v>
      </c>
      <c r="O193" s="28" t="s">
        <v>9</v>
      </c>
      <c r="P193" s="28" t="s">
        <v>9</v>
      </c>
      <c r="Q193" s="28" t="s">
        <v>9</v>
      </c>
      <c r="R193" s="28" t="s">
        <v>9</v>
      </c>
      <c r="S193" s="28" t="s">
        <v>9</v>
      </c>
      <c r="T193" s="28" t="s">
        <v>9</v>
      </c>
      <c r="U193" s="28" t="s">
        <v>9</v>
      </c>
      <c r="V193" s="28" t="s">
        <v>9</v>
      </c>
      <c r="W193" s="28" t="s">
        <v>9</v>
      </c>
      <c r="X193" s="28" t="s">
        <v>9</v>
      </c>
      <c r="Y193" s="28" t="s">
        <v>9</v>
      </c>
      <c r="Z193" s="28" t="s">
        <v>9</v>
      </c>
      <c r="AA193" s="28" t="s">
        <v>9</v>
      </c>
      <c r="AB193" s="28" t="s">
        <v>9</v>
      </c>
      <c r="AC193" s="28" t="s">
        <v>9</v>
      </c>
      <c r="AD193" s="103">
        <f t="shared" si="6"/>
        <v>15</v>
      </c>
      <c r="AE193" s="103">
        <f t="shared" si="7"/>
        <v>0</v>
      </c>
      <c r="AF193" s="103">
        <f t="shared" si="8"/>
        <v>0</v>
      </c>
      <c r="AG193" s="41" t="str" cm="1">
        <f t="array" ref="AG193">_xlfn.IFS(
$AD193=15,"Not Started",
$AF193&lt;15,"In Progress",
$AF193=15,"Completed",
SUM(AD193:AF193)&gt;15,"Error"
)</f>
        <v>Not Started</v>
      </c>
    </row>
    <row r="194" spans="1:33" ht="13" x14ac:dyDescent="0.25">
      <c r="A194" s="256"/>
      <c r="B194" s="63" t="s">
        <v>2050</v>
      </c>
      <c r="C194" s="53"/>
      <c r="D194" s="57"/>
      <c r="E194" s="7"/>
      <c r="F194" s="7"/>
      <c r="G194" s="7"/>
      <c r="H194" s="7"/>
      <c r="I194" s="7"/>
      <c r="J194" s="7"/>
      <c r="K194" s="7"/>
      <c r="L194" s="7"/>
      <c r="M194" s="32"/>
      <c r="N194" s="28" t="s">
        <v>9</v>
      </c>
      <c r="O194" s="28" t="s">
        <v>9</v>
      </c>
      <c r="P194" s="28" t="s">
        <v>9</v>
      </c>
      <c r="Q194" s="28" t="s">
        <v>9</v>
      </c>
      <c r="R194" s="28" t="s">
        <v>9</v>
      </c>
      <c r="S194" s="28" t="s">
        <v>9</v>
      </c>
      <c r="T194" s="28" t="s">
        <v>9</v>
      </c>
      <c r="U194" s="28" t="s">
        <v>9</v>
      </c>
      <c r="V194" s="28" t="s">
        <v>9</v>
      </c>
      <c r="W194" s="28" t="s">
        <v>9</v>
      </c>
      <c r="X194" s="28" t="s">
        <v>9</v>
      </c>
      <c r="Y194" s="28" t="s">
        <v>9</v>
      </c>
      <c r="Z194" s="28" t="s">
        <v>9</v>
      </c>
      <c r="AA194" s="28" t="s">
        <v>9</v>
      </c>
      <c r="AB194" s="28" t="s">
        <v>9</v>
      </c>
      <c r="AC194" s="28" t="s">
        <v>9</v>
      </c>
      <c r="AD194" s="103">
        <f t="shared" si="6"/>
        <v>15</v>
      </c>
      <c r="AE194" s="103">
        <f t="shared" si="7"/>
        <v>0</v>
      </c>
      <c r="AF194" s="103">
        <f t="shared" si="8"/>
        <v>0</v>
      </c>
      <c r="AG194" s="41" t="str" cm="1">
        <f t="array" ref="AG194">_xlfn.IFS(
$AD194=15,"Not Started",
$AF194&lt;15,"In Progress",
$AF194=15,"Completed",
SUM(AD194:AF194)&gt;15,"Error"
)</f>
        <v>Not Started</v>
      </c>
    </row>
    <row r="195" spans="1:33" ht="13" x14ac:dyDescent="0.25">
      <c r="A195" s="256"/>
      <c r="B195" s="64" t="s">
        <v>2051</v>
      </c>
      <c r="C195" s="53"/>
      <c r="D195" s="57"/>
      <c r="E195" s="7"/>
      <c r="F195" s="7"/>
      <c r="G195" s="7"/>
      <c r="H195" s="7"/>
      <c r="I195" s="7"/>
      <c r="J195" s="7"/>
      <c r="K195" s="7"/>
      <c r="L195" s="7"/>
      <c r="M195" s="32"/>
      <c r="N195" s="28" t="s">
        <v>9</v>
      </c>
      <c r="O195" s="28" t="s">
        <v>9</v>
      </c>
      <c r="P195" s="28" t="s">
        <v>9</v>
      </c>
      <c r="Q195" s="28" t="s">
        <v>9</v>
      </c>
      <c r="R195" s="28" t="s">
        <v>9</v>
      </c>
      <c r="S195" s="28" t="s">
        <v>9</v>
      </c>
      <c r="T195" s="28" t="s">
        <v>9</v>
      </c>
      <c r="U195" s="28" t="s">
        <v>9</v>
      </c>
      <c r="V195" s="28" t="s">
        <v>9</v>
      </c>
      <c r="W195" s="28" t="s">
        <v>9</v>
      </c>
      <c r="X195" s="28" t="s">
        <v>9</v>
      </c>
      <c r="Y195" s="28" t="s">
        <v>9</v>
      </c>
      <c r="Z195" s="28" t="s">
        <v>9</v>
      </c>
      <c r="AA195" s="28" t="s">
        <v>9</v>
      </c>
      <c r="AB195" s="28" t="s">
        <v>9</v>
      </c>
      <c r="AC195" s="28" t="s">
        <v>9</v>
      </c>
      <c r="AD195" s="103">
        <f t="shared" si="6"/>
        <v>15</v>
      </c>
      <c r="AE195" s="103">
        <f t="shared" si="7"/>
        <v>0</v>
      </c>
      <c r="AF195" s="103">
        <f t="shared" si="8"/>
        <v>0</v>
      </c>
      <c r="AG195" s="41" t="str" cm="1">
        <f t="array" ref="AG195">_xlfn.IFS(
$AD195=15,"Not Started",
$AF195&lt;15,"In Progress",
$AF195=15,"Completed",
SUM(AD195:AF195)&gt;15,"Error"
)</f>
        <v>Not Started</v>
      </c>
    </row>
    <row r="196" spans="1:33" ht="13" x14ac:dyDescent="0.25">
      <c r="A196" s="256"/>
      <c r="B196" s="63" t="s">
        <v>2052</v>
      </c>
      <c r="C196" s="53"/>
      <c r="D196" s="57"/>
      <c r="E196" s="7"/>
      <c r="F196" s="7"/>
      <c r="G196" s="7"/>
      <c r="H196" s="7"/>
      <c r="I196" s="7"/>
      <c r="J196" s="7"/>
      <c r="K196" s="7"/>
      <c r="L196" s="7"/>
      <c r="M196" s="32"/>
      <c r="N196" s="28" t="s">
        <v>9</v>
      </c>
      <c r="O196" s="28" t="s">
        <v>9</v>
      </c>
      <c r="P196" s="28" t="s">
        <v>9</v>
      </c>
      <c r="Q196" s="28" t="s">
        <v>9</v>
      </c>
      <c r="R196" s="28" t="s">
        <v>9</v>
      </c>
      <c r="S196" s="28" t="s">
        <v>9</v>
      </c>
      <c r="T196" s="28" t="s">
        <v>9</v>
      </c>
      <c r="U196" s="28" t="s">
        <v>9</v>
      </c>
      <c r="V196" s="28" t="s">
        <v>9</v>
      </c>
      <c r="W196" s="28" t="s">
        <v>9</v>
      </c>
      <c r="X196" s="28" t="s">
        <v>9</v>
      </c>
      <c r="Y196" s="28" t="s">
        <v>9</v>
      </c>
      <c r="Z196" s="28" t="s">
        <v>9</v>
      </c>
      <c r="AA196" s="28" t="s">
        <v>9</v>
      </c>
      <c r="AB196" s="28" t="s">
        <v>9</v>
      </c>
      <c r="AC196" s="28" t="s">
        <v>9</v>
      </c>
      <c r="AD196" s="103">
        <f t="shared" ref="AD196:AD204" si="9">COUNTIF(N196:AB196,$AD$2)</f>
        <v>15</v>
      </c>
      <c r="AE196" s="103">
        <f t="shared" ref="AE196:AE204" si="10">COUNTIF(N196:AB196,$AE$2)</f>
        <v>0</v>
      </c>
      <c r="AF196" s="103">
        <f t="shared" ref="AF196:AF204" si="11">COUNTIF(N196:AB196,$AF$2)</f>
        <v>0</v>
      </c>
      <c r="AG196" s="41" t="str" cm="1">
        <f t="array" ref="AG196">_xlfn.IFS(
$AD196=15,"Not Started",
$AF196&lt;15,"In Progress",
$AF196=15,"Completed",
SUM(AD196:AF196)&gt;15,"Error"
)</f>
        <v>Not Started</v>
      </c>
    </row>
    <row r="197" spans="1:33" ht="13" x14ac:dyDescent="0.25">
      <c r="A197" s="256"/>
      <c r="B197" s="64" t="s">
        <v>2053</v>
      </c>
      <c r="C197" s="53"/>
      <c r="D197" s="57"/>
      <c r="E197" s="7"/>
      <c r="F197" s="7"/>
      <c r="G197" s="7"/>
      <c r="H197" s="7"/>
      <c r="I197" s="7"/>
      <c r="J197" s="7"/>
      <c r="K197" s="7"/>
      <c r="L197" s="7"/>
      <c r="M197" s="32"/>
      <c r="N197" s="28" t="s">
        <v>9</v>
      </c>
      <c r="O197" s="28" t="s">
        <v>9</v>
      </c>
      <c r="P197" s="28" t="s">
        <v>9</v>
      </c>
      <c r="Q197" s="28" t="s">
        <v>9</v>
      </c>
      <c r="R197" s="28" t="s">
        <v>9</v>
      </c>
      <c r="S197" s="28" t="s">
        <v>9</v>
      </c>
      <c r="T197" s="28" t="s">
        <v>9</v>
      </c>
      <c r="U197" s="28" t="s">
        <v>9</v>
      </c>
      <c r="V197" s="28" t="s">
        <v>9</v>
      </c>
      <c r="W197" s="28" t="s">
        <v>9</v>
      </c>
      <c r="X197" s="28" t="s">
        <v>9</v>
      </c>
      <c r="Y197" s="28" t="s">
        <v>9</v>
      </c>
      <c r="Z197" s="28" t="s">
        <v>9</v>
      </c>
      <c r="AA197" s="28" t="s">
        <v>9</v>
      </c>
      <c r="AB197" s="28" t="s">
        <v>9</v>
      </c>
      <c r="AC197" s="28" t="s">
        <v>9</v>
      </c>
      <c r="AD197" s="103">
        <f t="shared" si="9"/>
        <v>15</v>
      </c>
      <c r="AE197" s="103">
        <f t="shared" si="10"/>
        <v>0</v>
      </c>
      <c r="AF197" s="103">
        <f t="shared" si="11"/>
        <v>0</v>
      </c>
      <c r="AG197" s="41" t="str" cm="1">
        <f t="array" ref="AG197">_xlfn.IFS(
$AD197=15,"Not Started",
$AF197&lt;15,"In Progress",
$AF197=15,"Completed",
SUM(AD197:AF197)&gt;15,"Error"
)</f>
        <v>Not Started</v>
      </c>
    </row>
    <row r="198" spans="1:33" ht="13" x14ac:dyDescent="0.25">
      <c r="A198" s="256"/>
      <c r="B198" s="63" t="s">
        <v>2054</v>
      </c>
      <c r="C198" s="53"/>
      <c r="D198" s="57"/>
      <c r="E198" s="7"/>
      <c r="F198" s="7"/>
      <c r="G198" s="7"/>
      <c r="H198" s="7"/>
      <c r="I198" s="7"/>
      <c r="J198" s="7"/>
      <c r="K198" s="7"/>
      <c r="L198" s="7"/>
      <c r="M198" s="32"/>
      <c r="N198" s="28" t="s">
        <v>9</v>
      </c>
      <c r="O198" s="28" t="s">
        <v>9</v>
      </c>
      <c r="P198" s="28" t="s">
        <v>9</v>
      </c>
      <c r="Q198" s="28" t="s">
        <v>9</v>
      </c>
      <c r="R198" s="28" t="s">
        <v>9</v>
      </c>
      <c r="S198" s="28" t="s">
        <v>9</v>
      </c>
      <c r="T198" s="28" t="s">
        <v>9</v>
      </c>
      <c r="U198" s="28" t="s">
        <v>9</v>
      </c>
      <c r="V198" s="28" t="s">
        <v>9</v>
      </c>
      <c r="W198" s="28" t="s">
        <v>9</v>
      </c>
      <c r="X198" s="28" t="s">
        <v>9</v>
      </c>
      <c r="Y198" s="28" t="s">
        <v>9</v>
      </c>
      <c r="Z198" s="28" t="s">
        <v>9</v>
      </c>
      <c r="AA198" s="28" t="s">
        <v>9</v>
      </c>
      <c r="AB198" s="28" t="s">
        <v>9</v>
      </c>
      <c r="AC198" s="28" t="s">
        <v>9</v>
      </c>
      <c r="AD198" s="103">
        <f t="shared" si="9"/>
        <v>15</v>
      </c>
      <c r="AE198" s="103">
        <f t="shared" si="10"/>
        <v>0</v>
      </c>
      <c r="AF198" s="103">
        <f t="shared" si="11"/>
        <v>0</v>
      </c>
      <c r="AG198" s="41" t="str" cm="1">
        <f t="array" ref="AG198">_xlfn.IFS(
$AD198=15,"Not Started",
$AF198&lt;15,"In Progress",
$AF198=15,"Completed",
SUM(AD198:AF198)&gt;15,"Error"
)</f>
        <v>Not Started</v>
      </c>
    </row>
    <row r="199" spans="1:33" ht="13" x14ac:dyDescent="0.25">
      <c r="A199" s="256"/>
      <c r="B199" s="64" t="s">
        <v>2055</v>
      </c>
      <c r="C199" s="53"/>
      <c r="D199" s="57"/>
      <c r="E199" s="7"/>
      <c r="F199" s="7"/>
      <c r="G199" s="7"/>
      <c r="H199" s="7"/>
      <c r="I199" s="7"/>
      <c r="J199" s="7"/>
      <c r="K199" s="7"/>
      <c r="L199" s="7"/>
      <c r="M199" s="32"/>
      <c r="N199" s="28" t="s">
        <v>9</v>
      </c>
      <c r="O199" s="28" t="s">
        <v>9</v>
      </c>
      <c r="P199" s="28" t="s">
        <v>9</v>
      </c>
      <c r="Q199" s="28" t="s">
        <v>9</v>
      </c>
      <c r="R199" s="28" t="s">
        <v>9</v>
      </c>
      <c r="S199" s="28" t="s">
        <v>9</v>
      </c>
      <c r="T199" s="28" t="s">
        <v>9</v>
      </c>
      <c r="U199" s="28" t="s">
        <v>9</v>
      </c>
      <c r="V199" s="28" t="s">
        <v>9</v>
      </c>
      <c r="W199" s="28" t="s">
        <v>9</v>
      </c>
      <c r="X199" s="28" t="s">
        <v>9</v>
      </c>
      <c r="Y199" s="28" t="s">
        <v>9</v>
      </c>
      <c r="Z199" s="28" t="s">
        <v>9</v>
      </c>
      <c r="AA199" s="28" t="s">
        <v>9</v>
      </c>
      <c r="AB199" s="28" t="s">
        <v>9</v>
      </c>
      <c r="AC199" s="28" t="s">
        <v>9</v>
      </c>
      <c r="AD199" s="103">
        <f t="shared" si="9"/>
        <v>15</v>
      </c>
      <c r="AE199" s="103">
        <f t="shared" si="10"/>
        <v>0</v>
      </c>
      <c r="AF199" s="103">
        <f t="shared" si="11"/>
        <v>0</v>
      </c>
      <c r="AG199" s="41" t="str" cm="1">
        <f t="array" ref="AG199">_xlfn.IFS(
$AD199=15,"Not Started",
$AF199&lt;15,"In Progress",
$AF199=15,"Completed",
SUM(AD199:AF199)&gt;15,"Error"
)</f>
        <v>Not Started</v>
      </c>
    </row>
    <row r="200" spans="1:33" ht="13" x14ac:dyDescent="0.25">
      <c r="A200" s="256"/>
      <c r="B200" s="63" t="s">
        <v>2056</v>
      </c>
      <c r="C200" s="53"/>
      <c r="D200" s="57"/>
      <c r="E200" s="7"/>
      <c r="F200" s="7"/>
      <c r="G200" s="7"/>
      <c r="H200" s="7"/>
      <c r="I200" s="7"/>
      <c r="J200" s="7"/>
      <c r="K200" s="7"/>
      <c r="L200" s="7"/>
      <c r="M200" s="32"/>
      <c r="N200" s="28" t="s">
        <v>9</v>
      </c>
      <c r="O200" s="28" t="s">
        <v>9</v>
      </c>
      <c r="P200" s="28" t="s">
        <v>9</v>
      </c>
      <c r="Q200" s="28" t="s">
        <v>9</v>
      </c>
      <c r="R200" s="28" t="s">
        <v>9</v>
      </c>
      <c r="S200" s="28" t="s">
        <v>9</v>
      </c>
      <c r="T200" s="28" t="s">
        <v>9</v>
      </c>
      <c r="U200" s="28" t="s">
        <v>9</v>
      </c>
      <c r="V200" s="28" t="s">
        <v>9</v>
      </c>
      <c r="W200" s="28" t="s">
        <v>9</v>
      </c>
      <c r="X200" s="28" t="s">
        <v>9</v>
      </c>
      <c r="Y200" s="28" t="s">
        <v>9</v>
      </c>
      <c r="Z200" s="28" t="s">
        <v>9</v>
      </c>
      <c r="AA200" s="28" t="s">
        <v>9</v>
      </c>
      <c r="AB200" s="28" t="s">
        <v>9</v>
      </c>
      <c r="AC200" s="28" t="s">
        <v>9</v>
      </c>
      <c r="AD200" s="103">
        <f t="shared" si="9"/>
        <v>15</v>
      </c>
      <c r="AE200" s="103">
        <f t="shared" si="10"/>
        <v>0</v>
      </c>
      <c r="AF200" s="103">
        <f t="shared" si="11"/>
        <v>0</v>
      </c>
      <c r="AG200" s="41" t="str" cm="1">
        <f t="array" ref="AG200">_xlfn.IFS(
$AD200=15,"Not Started",
$AF200&lt;15,"In Progress",
$AF200=15,"Completed",
SUM(AD200:AF200)&gt;15,"Error"
)</f>
        <v>Not Started</v>
      </c>
    </row>
    <row r="201" spans="1:33" ht="13" x14ac:dyDescent="0.25">
      <c r="A201" s="256"/>
      <c r="B201" s="64" t="s">
        <v>2057</v>
      </c>
      <c r="C201" s="53"/>
      <c r="D201" s="57"/>
      <c r="E201" s="7"/>
      <c r="F201" s="7"/>
      <c r="G201" s="7"/>
      <c r="H201" s="7"/>
      <c r="I201" s="7"/>
      <c r="J201" s="7"/>
      <c r="K201" s="7"/>
      <c r="L201" s="7"/>
      <c r="M201" s="32"/>
      <c r="N201" s="28" t="s">
        <v>9</v>
      </c>
      <c r="O201" s="28" t="s">
        <v>9</v>
      </c>
      <c r="P201" s="28" t="s">
        <v>9</v>
      </c>
      <c r="Q201" s="28" t="s">
        <v>9</v>
      </c>
      <c r="R201" s="28" t="s">
        <v>9</v>
      </c>
      <c r="S201" s="28" t="s">
        <v>9</v>
      </c>
      <c r="T201" s="28" t="s">
        <v>9</v>
      </c>
      <c r="U201" s="28" t="s">
        <v>9</v>
      </c>
      <c r="V201" s="28" t="s">
        <v>9</v>
      </c>
      <c r="W201" s="28" t="s">
        <v>9</v>
      </c>
      <c r="X201" s="28" t="s">
        <v>9</v>
      </c>
      <c r="Y201" s="28" t="s">
        <v>9</v>
      </c>
      <c r="Z201" s="28" t="s">
        <v>9</v>
      </c>
      <c r="AA201" s="28" t="s">
        <v>9</v>
      </c>
      <c r="AB201" s="28" t="s">
        <v>9</v>
      </c>
      <c r="AC201" s="28" t="s">
        <v>9</v>
      </c>
      <c r="AD201" s="103">
        <f t="shared" si="9"/>
        <v>15</v>
      </c>
      <c r="AE201" s="103">
        <f t="shared" si="10"/>
        <v>0</v>
      </c>
      <c r="AF201" s="103">
        <f t="shared" si="11"/>
        <v>0</v>
      </c>
      <c r="AG201" s="41" t="str" cm="1">
        <f t="array" ref="AG201">_xlfn.IFS(
$AD201=15,"Not Started",
$AF201&lt;15,"In Progress",
$AF201=15,"Completed",
SUM(AD201:AF201)&gt;15,"Error"
)</f>
        <v>Not Started</v>
      </c>
    </row>
    <row r="202" spans="1:33" ht="13" x14ac:dyDescent="0.25">
      <c r="A202" s="256"/>
      <c r="B202" s="63" t="s">
        <v>2058</v>
      </c>
      <c r="C202" s="53"/>
      <c r="D202" s="57"/>
      <c r="E202" s="7"/>
      <c r="F202" s="7"/>
      <c r="G202" s="7"/>
      <c r="H202" s="7"/>
      <c r="I202" s="7"/>
      <c r="J202" s="7"/>
      <c r="K202" s="7"/>
      <c r="L202" s="7"/>
      <c r="M202" s="32"/>
      <c r="N202" s="28" t="s">
        <v>9</v>
      </c>
      <c r="O202" s="28" t="s">
        <v>9</v>
      </c>
      <c r="P202" s="28" t="s">
        <v>9</v>
      </c>
      <c r="Q202" s="28" t="s">
        <v>9</v>
      </c>
      <c r="R202" s="28" t="s">
        <v>9</v>
      </c>
      <c r="S202" s="28" t="s">
        <v>9</v>
      </c>
      <c r="T202" s="28" t="s">
        <v>9</v>
      </c>
      <c r="U202" s="28" t="s">
        <v>9</v>
      </c>
      <c r="V202" s="28" t="s">
        <v>9</v>
      </c>
      <c r="W202" s="28" t="s">
        <v>9</v>
      </c>
      <c r="X202" s="28" t="s">
        <v>9</v>
      </c>
      <c r="Y202" s="28" t="s">
        <v>9</v>
      </c>
      <c r="Z202" s="28" t="s">
        <v>9</v>
      </c>
      <c r="AA202" s="28" t="s">
        <v>9</v>
      </c>
      <c r="AB202" s="28" t="s">
        <v>9</v>
      </c>
      <c r="AC202" s="28" t="s">
        <v>9</v>
      </c>
      <c r="AD202" s="103">
        <f t="shared" si="9"/>
        <v>15</v>
      </c>
      <c r="AE202" s="103">
        <f t="shared" si="10"/>
        <v>0</v>
      </c>
      <c r="AF202" s="103">
        <f t="shared" si="11"/>
        <v>0</v>
      </c>
      <c r="AG202" s="41" t="str" cm="1">
        <f t="array" ref="AG202">_xlfn.IFS(
$AD202=15,"Not Started",
$AF202&lt;15,"In Progress",
$AF202=15,"Completed",
SUM(AD202:AF202)&gt;15,"Error"
)</f>
        <v>Not Started</v>
      </c>
    </row>
    <row r="203" spans="1:33" ht="13" x14ac:dyDescent="0.25">
      <c r="A203" s="276"/>
      <c r="B203" s="64" t="s">
        <v>2059</v>
      </c>
      <c r="C203" s="53"/>
      <c r="D203" s="57"/>
      <c r="E203" s="7"/>
      <c r="F203" s="7"/>
      <c r="G203" s="7"/>
      <c r="H203" s="7"/>
      <c r="I203" s="7"/>
      <c r="J203" s="7"/>
      <c r="K203" s="7"/>
      <c r="L203" s="7"/>
      <c r="M203" s="33"/>
      <c r="N203" s="28" t="s">
        <v>9</v>
      </c>
      <c r="O203" s="28" t="s">
        <v>9</v>
      </c>
      <c r="P203" s="28" t="s">
        <v>9</v>
      </c>
      <c r="Q203" s="28" t="s">
        <v>9</v>
      </c>
      <c r="R203" s="28" t="s">
        <v>9</v>
      </c>
      <c r="S203" s="28" t="s">
        <v>9</v>
      </c>
      <c r="T203" s="28" t="s">
        <v>9</v>
      </c>
      <c r="U203" s="28" t="s">
        <v>9</v>
      </c>
      <c r="V203" s="28" t="s">
        <v>9</v>
      </c>
      <c r="W203" s="28" t="s">
        <v>9</v>
      </c>
      <c r="X203" s="28" t="s">
        <v>9</v>
      </c>
      <c r="Y203" s="28" t="s">
        <v>9</v>
      </c>
      <c r="Z203" s="28" t="s">
        <v>9</v>
      </c>
      <c r="AA203" s="28" t="s">
        <v>9</v>
      </c>
      <c r="AB203" s="28" t="s">
        <v>9</v>
      </c>
      <c r="AC203" s="28" t="s">
        <v>9</v>
      </c>
      <c r="AD203" s="103">
        <f t="shared" si="9"/>
        <v>15</v>
      </c>
      <c r="AE203" s="103">
        <f t="shared" si="10"/>
        <v>0</v>
      </c>
      <c r="AF203" s="103">
        <f t="shared" si="11"/>
        <v>0</v>
      </c>
      <c r="AG203" s="41" t="str" cm="1">
        <f t="array" ref="AG203">_xlfn.IFS(
$AD203=15,"Not Started",
$AF203&lt;15,"In Progress",
$AF203=15,"Completed",
SUM(AD203:AF203)&gt;15,"Error"
)</f>
        <v>Not Started</v>
      </c>
    </row>
    <row r="204" spans="1:33" ht="15.75" customHeight="1" x14ac:dyDescent="0.25">
      <c r="A204" s="67" t="s">
        <v>251</v>
      </c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250" t="s">
        <v>251</v>
      </c>
      <c r="M204" s="99" t="s">
        <v>11</v>
      </c>
      <c r="N204" s="72">
        <f>COUNTIF(N$3:N$203,"Completed")</f>
        <v>90</v>
      </c>
      <c r="O204" s="72">
        <f t="shared" ref="O204:Z204" si="12">COUNTIF(O$3:O$203,"Completed")</f>
        <v>90</v>
      </c>
      <c r="P204" s="72">
        <f t="shared" si="12"/>
        <v>90</v>
      </c>
      <c r="Q204" s="72">
        <f t="shared" si="12"/>
        <v>90</v>
      </c>
      <c r="R204" s="72">
        <f t="shared" si="12"/>
        <v>0</v>
      </c>
      <c r="S204" s="72">
        <f t="shared" si="12"/>
        <v>0</v>
      </c>
      <c r="T204" s="72">
        <f t="shared" si="12"/>
        <v>0</v>
      </c>
      <c r="U204" s="72">
        <f t="shared" si="12"/>
        <v>0</v>
      </c>
      <c r="V204" s="72">
        <f t="shared" si="12"/>
        <v>0</v>
      </c>
      <c r="W204" s="72">
        <f t="shared" si="12"/>
        <v>0</v>
      </c>
      <c r="X204" s="72">
        <f t="shared" si="12"/>
        <v>0</v>
      </c>
      <c r="Y204" s="72">
        <f t="shared" si="12"/>
        <v>0</v>
      </c>
      <c r="Z204" s="72">
        <f t="shared" si="12"/>
        <v>0</v>
      </c>
      <c r="AA204" s="72">
        <f>COUNTIF(AA$2:AA$203,"Completed")</f>
        <v>0</v>
      </c>
      <c r="AB204" s="72">
        <f>COUNTIF(AB$2:AB$203,"Completed")</f>
        <v>0</v>
      </c>
      <c r="AC204" s="72">
        <f>COUNTIF(AC$2:AC$203,"Completed")</f>
        <v>0</v>
      </c>
      <c r="AD204" s="97">
        <f t="shared" si="9"/>
        <v>0</v>
      </c>
      <c r="AE204" s="97">
        <f t="shared" si="10"/>
        <v>0</v>
      </c>
      <c r="AF204" s="97">
        <f t="shared" si="11"/>
        <v>0</v>
      </c>
      <c r="AG204" s="40" cm="1">
        <f t="array" ref="AG204">SUM(N204:AB204/15)</f>
        <v>24</v>
      </c>
    </row>
    <row r="205" spans="1:33" ht="15.75" customHeight="1" x14ac:dyDescent="0.25">
      <c r="L205" s="250"/>
      <c r="M205" s="73" t="s">
        <v>10</v>
      </c>
      <c r="N205" s="73">
        <f>COUNTIF(N$3:N$203,"In Progress")</f>
        <v>0</v>
      </c>
      <c r="O205" s="73">
        <f t="shared" ref="O205:Z205" si="13">COUNTIF(O$3:O$203,"In Progress")</f>
        <v>0</v>
      </c>
      <c r="P205" s="73">
        <f t="shared" si="13"/>
        <v>0</v>
      </c>
      <c r="Q205" s="73">
        <f t="shared" si="13"/>
        <v>0</v>
      </c>
      <c r="R205" s="73">
        <f t="shared" si="13"/>
        <v>0</v>
      </c>
      <c r="S205" s="73">
        <f t="shared" si="13"/>
        <v>0</v>
      </c>
      <c r="T205" s="73">
        <f t="shared" si="13"/>
        <v>0</v>
      </c>
      <c r="U205" s="73">
        <f t="shared" si="13"/>
        <v>0</v>
      </c>
      <c r="V205" s="73">
        <f t="shared" si="13"/>
        <v>0</v>
      </c>
      <c r="W205" s="73">
        <f t="shared" si="13"/>
        <v>0</v>
      </c>
      <c r="X205" s="73">
        <f t="shared" si="13"/>
        <v>0</v>
      </c>
      <c r="Y205" s="73">
        <f t="shared" si="13"/>
        <v>0</v>
      </c>
      <c r="Z205" s="73">
        <f t="shared" si="13"/>
        <v>0</v>
      </c>
      <c r="AA205" s="73">
        <f>COUNTIF(AA$2:AA$203,"In Progress")</f>
        <v>0</v>
      </c>
      <c r="AB205" s="73">
        <f>COUNTIF(AB$2:AB$203,"In Progress")</f>
        <v>0</v>
      </c>
      <c r="AC205" s="73">
        <f>COUNTIF(AC$2:AC$203,"In Progress")</f>
        <v>0</v>
      </c>
      <c r="AD205" s="98"/>
      <c r="AE205" s="98"/>
      <c r="AF205" s="98"/>
    </row>
    <row r="206" spans="1:33" ht="15.75" customHeight="1" x14ac:dyDescent="0.25">
      <c r="L206" s="250"/>
      <c r="M206" s="74" t="s">
        <v>9</v>
      </c>
      <c r="N206" s="74">
        <f>COUNTIF(N$3:N$203,"Not Started")</f>
        <v>110</v>
      </c>
      <c r="O206" s="74">
        <f t="shared" ref="O206:Z206" si="14">COUNTIF(O$3:O$203,"Not Started")</f>
        <v>110</v>
      </c>
      <c r="P206" s="74">
        <f t="shared" si="14"/>
        <v>110</v>
      </c>
      <c r="Q206" s="74">
        <f t="shared" si="14"/>
        <v>110</v>
      </c>
      <c r="R206" s="74">
        <f t="shared" si="14"/>
        <v>200</v>
      </c>
      <c r="S206" s="74">
        <f t="shared" si="14"/>
        <v>200</v>
      </c>
      <c r="T206" s="74">
        <f t="shared" si="14"/>
        <v>200</v>
      </c>
      <c r="U206" s="74">
        <f t="shared" si="14"/>
        <v>200</v>
      </c>
      <c r="V206" s="74">
        <f t="shared" si="14"/>
        <v>200</v>
      </c>
      <c r="W206" s="74">
        <f t="shared" si="14"/>
        <v>200</v>
      </c>
      <c r="X206" s="74">
        <f t="shared" si="14"/>
        <v>200</v>
      </c>
      <c r="Y206" s="74">
        <f t="shared" si="14"/>
        <v>200</v>
      </c>
      <c r="Z206" s="74">
        <f t="shared" si="14"/>
        <v>200</v>
      </c>
      <c r="AA206" s="74">
        <f>COUNTIF(AA$2:AA$203,"Not Started")</f>
        <v>200</v>
      </c>
      <c r="AB206" s="74">
        <f>COUNTIF(AB$2:AB$203,"Not Started")</f>
        <v>200</v>
      </c>
      <c r="AC206" s="74">
        <f>COUNTIF(AC$2:AC$203,"Not Started")</f>
        <v>200</v>
      </c>
      <c r="AD206" s="98"/>
      <c r="AE206" s="98"/>
      <c r="AF206" s="98"/>
    </row>
  </sheetData>
  <sheetProtection formatCells="0" formatColumns="0" formatRows="0" insertColumns="0" insertRows="0" insertHyperlinks="0" deleteColumns="0" deleteRows="0" sort="0" autoFilter="0" pivotTables="0"/>
  <protectedRanges>
    <protectedRange sqref="I168" name="Range1_7"/>
    <protectedRange sqref="I155" name="Range1_4"/>
    <protectedRange sqref="J167:K167 F167:H167" name="Range1_3"/>
    <protectedRange sqref="C167:E167 I167" name="Range1_2_1"/>
    <protectedRange sqref="F178:F181 F184:F187 F173:F176 K169 J178 J172 G169:H187 E180 E185 E170:F170 E172:F172 J170:K170 K171:K172 J173:K176 K177:K178 J179:K181 K182:K183 J184:K187" name="Range1_6"/>
    <protectedRange sqref="C170:D170 C169:F169 J171 J169 J177 C172:D172 I169:I187 C171:F171 C173:E176 C177:F177 C178:E179 C182:F183 C184:E184 C181:E181 C180:D180 C186:E187 C185:D185 J182:J183" name="Range1_2_2"/>
    <protectedRange sqref="I156:I166" name="Range1_2_3"/>
    <protectedRange sqref="I154" name="Range1_2_5"/>
    <protectedRange sqref="M4:AC203" name="Range1"/>
  </protectedRanges>
  <autoFilter ref="A3:AL206" xr:uid="{25F8A568-D58F-4F5D-A6B2-81D061FD27AB}"/>
  <mergeCells count="14">
    <mergeCell ref="L204:L206"/>
    <mergeCell ref="AD2:AD3"/>
    <mergeCell ref="A2:A3"/>
    <mergeCell ref="N2:Q2"/>
    <mergeCell ref="R2:Z2"/>
    <mergeCell ref="B2:L2"/>
    <mergeCell ref="M2:M3"/>
    <mergeCell ref="AA2:AA3"/>
    <mergeCell ref="AB2:AB3"/>
    <mergeCell ref="AG2:AG3"/>
    <mergeCell ref="AC2:AC3"/>
    <mergeCell ref="AE2:AE3"/>
    <mergeCell ref="AF2:AF3"/>
    <mergeCell ref="A4:A203"/>
  </mergeCells>
  <phoneticPr fontId="14" type="noConversion"/>
  <conditionalFormatting sqref="B4:B203 D188:L203 D168 L168 K169:K187 D154:H166 J154:L166 D4:L153 AD4:AF203">
    <cfRule type="cellIs" dxfId="358" priority="184" operator="equal">
      <formula>"In Progress"</formula>
    </cfRule>
    <cfRule type="cellIs" dxfId="357" priority="185" operator="equal">
      <formula>"Completed"</formula>
    </cfRule>
  </conditionalFormatting>
  <conditionalFormatting sqref="AG4:AG203">
    <cfRule type="cellIs" dxfId="356" priority="181" operator="equal">
      <formula>"In Progress"</formula>
    </cfRule>
    <cfRule type="cellIs" dxfId="355" priority="182" operator="equal">
      <formula>"Completed"</formula>
    </cfRule>
    <cfRule type="cellIs" dxfId="354" priority="183" operator="equal">
      <formula>"Not Started"</formula>
    </cfRule>
  </conditionalFormatting>
  <conditionalFormatting sqref="C4">
    <cfRule type="cellIs" dxfId="353" priority="176" operator="equal">
      <formula>"In Progress"</formula>
    </cfRule>
    <cfRule type="cellIs" dxfId="352" priority="177" operator="equal">
      <formula>"Completed"</formula>
    </cfRule>
  </conditionalFormatting>
  <conditionalFormatting sqref="C5:C166 C168 C188:C203">
    <cfRule type="cellIs" dxfId="351" priority="172" operator="equal">
      <formula>"In Progress"</formula>
    </cfRule>
    <cfRule type="cellIs" dxfId="350" priority="173" operator="equal">
      <formula>"Completed"</formula>
    </cfRule>
  </conditionalFormatting>
  <conditionalFormatting sqref="AD204:AF204">
    <cfRule type="cellIs" dxfId="349" priority="168" operator="equal">
      <formula>"In Progress"</formula>
    </cfRule>
    <cfRule type="cellIs" dxfId="348" priority="169" operator="equal">
      <formula>"Completed"</formula>
    </cfRule>
  </conditionalFormatting>
  <conditionalFormatting sqref="F4:F166 F188:F203">
    <cfRule type="containsText" dxfId="347" priority="166" operator="containsText" text="Girls">
      <formula>NOT(ISERROR(SEARCH("Girls",F4)))</formula>
    </cfRule>
    <cfRule type="containsText" dxfId="346" priority="167" operator="containsText" text="Boys">
      <formula>NOT(ISERROR(SEARCH("Boys",F4)))</formula>
    </cfRule>
  </conditionalFormatting>
  <conditionalFormatting sqref="J168:K168">
    <cfRule type="cellIs" dxfId="345" priority="164" operator="equal">
      <formula>"In Progress"</formula>
    </cfRule>
    <cfRule type="cellIs" dxfId="344" priority="165" operator="equal">
      <formula>"Completed"</formula>
    </cfRule>
  </conditionalFormatting>
  <conditionalFormatting sqref="J168">
    <cfRule type="duplicateValues" dxfId="343" priority="163"/>
  </conditionalFormatting>
  <conditionalFormatting sqref="J168:K168">
    <cfRule type="duplicateValues" dxfId="342" priority="161"/>
    <cfRule type="duplicateValues" dxfId="341" priority="162"/>
  </conditionalFormatting>
  <conditionalFormatting sqref="J168:K168">
    <cfRule type="duplicateValues" dxfId="340" priority="160"/>
  </conditionalFormatting>
  <conditionalFormatting sqref="E168:H168">
    <cfRule type="cellIs" dxfId="339" priority="158" operator="equal">
      <formula>"In Progress"</formula>
    </cfRule>
    <cfRule type="cellIs" dxfId="338" priority="159" operator="equal">
      <formula>"Completed"</formula>
    </cfRule>
  </conditionalFormatting>
  <conditionalFormatting sqref="F168">
    <cfRule type="containsText" dxfId="337" priority="156" operator="containsText" text="Girls">
      <formula>NOT(ISERROR(SEARCH("Girls",F168)))</formula>
    </cfRule>
    <cfRule type="containsText" dxfId="336" priority="157" operator="containsText" text="Boys">
      <formula>NOT(ISERROR(SEARCH("Boys",F168)))</formula>
    </cfRule>
  </conditionalFormatting>
  <conditionalFormatting sqref="I168">
    <cfRule type="cellIs" dxfId="335" priority="154" operator="equal">
      <formula>"In Progress"</formula>
    </cfRule>
    <cfRule type="cellIs" dxfId="334" priority="155" operator="equal">
      <formula>"Completed"</formula>
    </cfRule>
  </conditionalFormatting>
  <conditionalFormatting sqref="I155">
    <cfRule type="cellIs" dxfId="333" priority="150" operator="equal">
      <formula>"In Progress"</formula>
    </cfRule>
    <cfRule type="cellIs" dxfId="332" priority="151" operator="equal">
      <formula>"Completed"</formula>
    </cfRule>
  </conditionalFormatting>
  <conditionalFormatting sqref="G167:H167">
    <cfRule type="cellIs" dxfId="331" priority="148" operator="equal">
      <formula>"In Progress"</formula>
    </cfRule>
    <cfRule type="cellIs" dxfId="330" priority="149" operator="equal">
      <formula>"Completed"</formula>
    </cfRule>
  </conditionalFormatting>
  <conditionalFormatting sqref="C167:D167">
    <cfRule type="duplicateValues" dxfId="329" priority="147"/>
  </conditionalFormatting>
  <conditionalFormatting sqref="C167:D167">
    <cfRule type="duplicateValues" dxfId="328" priority="146"/>
  </conditionalFormatting>
  <conditionalFormatting sqref="K167">
    <cfRule type="cellIs" dxfId="327" priority="144" operator="equal">
      <formula>"In Progress"</formula>
    </cfRule>
    <cfRule type="cellIs" dxfId="326" priority="145" operator="equal">
      <formula>"Completed"</formula>
    </cfRule>
  </conditionalFormatting>
  <conditionalFormatting sqref="J167">
    <cfRule type="cellIs" dxfId="325" priority="142" operator="equal">
      <formula>"In Progress"</formula>
    </cfRule>
    <cfRule type="cellIs" dxfId="324" priority="143" operator="equal">
      <formula>"Completed"</formula>
    </cfRule>
  </conditionalFormatting>
  <conditionalFormatting sqref="J167">
    <cfRule type="containsText" dxfId="323" priority="140" operator="containsText" text="Girls">
      <formula>NOT(ISERROR(SEARCH("Girls",J167)))</formula>
    </cfRule>
    <cfRule type="containsText" dxfId="322" priority="141" operator="containsText" text="Boys">
      <formula>NOT(ISERROR(SEARCH("Boys",J167)))</formula>
    </cfRule>
  </conditionalFormatting>
  <conditionalFormatting sqref="F167">
    <cfRule type="cellIs" dxfId="321" priority="138" operator="equal">
      <formula>"In Progress"</formula>
    </cfRule>
    <cfRule type="cellIs" dxfId="320" priority="139" operator="equal">
      <formula>"Completed"</formula>
    </cfRule>
  </conditionalFormatting>
  <conditionalFormatting sqref="F167">
    <cfRule type="containsText" dxfId="319" priority="136" operator="containsText" text="Girls">
      <formula>NOT(ISERROR(SEARCH("Girls",F167)))</formula>
    </cfRule>
    <cfRule type="containsText" dxfId="318" priority="137" operator="containsText" text="Boys">
      <formula>NOT(ISERROR(SEARCH("Boys",F167)))</formula>
    </cfRule>
  </conditionalFormatting>
  <conditionalFormatting sqref="D167">
    <cfRule type="duplicateValues" dxfId="317" priority="135"/>
  </conditionalFormatting>
  <conditionalFormatting sqref="J167">
    <cfRule type="duplicateValues" dxfId="316" priority="134"/>
  </conditionalFormatting>
  <conditionalFormatting sqref="G169:H187">
    <cfRule type="cellIs" dxfId="315" priority="132" operator="equal">
      <formula>"In Progress"</formula>
    </cfRule>
    <cfRule type="cellIs" dxfId="314" priority="133" operator="equal">
      <formula>"Completed"</formula>
    </cfRule>
  </conditionalFormatting>
  <conditionalFormatting sqref="C169:D187">
    <cfRule type="duplicateValues" dxfId="313" priority="131"/>
  </conditionalFormatting>
  <conditionalFormatting sqref="C169:D187">
    <cfRule type="duplicateValues" dxfId="312" priority="130"/>
  </conditionalFormatting>
  <conditionalFormatting sqref="F175">
    <cfRule type="cellIs" dxfId="311" priority="128" operator="equal">
      <formula>"In Progress"</formula>
    </cfRule>
    <cfRule type="cellIs" dxfId="310" priority="129" operator="equal">
      <formula>"Completed"</formula>
    </cfRule>
  </conditionalFormatting>
  <conditionalFormatting sqref="F175">
    <cfRule type="containsText" dxfId="309" priority="126" operator="containsText" text="Girls">
      <formula>NOT(ISERROR(SEARCH("Girls",F175)))</formula>
    </cfRule>
    <cfRule type="containsText" dxfId="308" priority="127" operator="containsText" text="Boys">
      <formula>NOT(ISERROR(SEARCH("Boys",F175)))</formula>
    </cfRule>
  </conditionalFormatting>
  <conditionalFormatting sqref="F176">
    <cfRule type="cellIs" dxfId="307" priority="124" operator="equal">
      <formula>"In Progress"</formula>
    </cfRule>
    <cfRule type="cellIs" dxfId="306" priority="125" operator="equal">
      <formula>"Completed"</formula>
    </cfRule>
  </conditionalFormatting>
  <conditionalFormatting sqref="F176">
    <cfRule type="containsText" dxfId="305" priority="122" operator="containsText" text="Girls">
      <formula>NOT(ISERROR(SEARCH("Girls",F176)))</formula>
    </cfRule>
    <cfRule type="containsText" dxfId="304" priority="123" operator="containsText" text="Boys">
      <formula>NOT(ISERROR(SEARCH("Boys",F176)))</formula>
    </cfRule>
  </conditionalFormatting>
  <conditionalFormatting sqref="F178">
    <cfRule type="cellIs" dxfId="303" priority="120" operator="equal">
      <formula>"In Progress"</formula>
    </cfRule>
    <cfRule type="cellIs" dxfId="302" priority="121" operator="equal">
      <formula>"Completed"</formula>
    </cfRule>
  </conditionalFormatting>
  <conditionalFormatting sqref="F178">
    <cfRule type="containsText" dxfId="301" priority="118" operator="containsText" text="Girls">
      <formula>NOT(ISERROR(SEARCH("Girls",F178)))</formula>
    </cfRule>
    <cfRule type="containsText" dxfId="300" priority="119" operator="containsText" text="Boys">
      <formula>NOT(ISERROR(SEARCH("Boys",F178)))</formula>
    </cfRule>
  </conditionalFormatting>
  <conditionalFormatting sqref="F179">
    <cfRule type="cellIs" dxfId="299" priority="116" operator="equal">
      <formula>"In Progress"</formula>
    </cfRule>
    <cfRule type="cellIs" dxfId="298" priority="117" operator="equal">
      <formula>"Completed"</formula>
    </cfRule>
  </conditionalFormatting>
  <conditionalFormatting sqref="F179">
    <cfRule type="containsText" dxfId="297" priority="114" operator="containsText" text="Girls">
      <formula>NOT(ISERROR(SEARCH("Girls",F179)))</formula>
    </cfRule>
    <cfRule type="containsText" dxfId="296" priority="115" operator="containsText" text="Boys">
      <formula>NOT(ISERROR(SEARCH("Boys",F179)))</formula>
    </cfRule>
  </conditionalFormatting>
  <conditionalFormatting sqref="F180">
    <cfRule type="cellIs" dxfId="295" priority="112" operator="equal">
      <formula>"In Progress"</formula>
    </cfRule>
    <cfRule type="cellIs" dxfId="294" priority="113" operator="equal">
      <formula>"Completed"</formula>
    </cfRule>
  </conditionalFormatting>
  <conditionalFormatting sqref="F180">
    <cfRule type="containsText" dxfId="293" priority="110" operator="containsText" text="Girls">
      <formula>NOT(ISERROR(SEARCH("Girls",F180)))</formula>
    </cfRule>
    <cfRule type="containsText" dxfId="292" priority="111" operator="containsText" text="Boys">
      <formula>NOT(ISERROR(SEARCH("Boys",F180)))</formula>
    </cfRule>
  </conditionalFormatting>
  <conditionalFormatting sqref="F181">
    <cfRule type="cellIs" dxfId="291" priority="108" operator="equal">
      <formula>"In Progress"</formula>
    </cfRule>
    <cfRule type="cellIs" dxfId="290" priority="109" operator="equal">
      <formula>"Completed"</formula>
    </cfRule>
  </conditionalFormatting>
  <conditionalFormatting sqref="F181">
    <cfRule type="containsText" dxfId="289" priority="106" operator="containsText" text="Girls">
      <formula>NOT(ISERROR(SEARCH("Girls",F181)))</formula>
    </cfRule>
    <cfRule type="containsText" dxfId="288" priority="107" operator="containsText" text="Boys">
      <formula>NOT(ISERROR(SEARCH("Boys",F181)))</formula>
    </cfRule>
  </conditionalFormatting>
  <conditionalFormatting sqref="F187">
    <cfRule type="cellIs" dxfId="287" priority="104" operator="equal">
      <formula>"In Progress"</formula>
    </cfRule>
    <cfRule type="cellIs" dxfId="286" priority="105" operator="equal">
      <formula>"Completed"</formula>
    </cfRule>
  </conditionalFormatting>
  <conditionalFormatting sqref="F187">
    <cfRule type="containsText" dxfId="285" priority="102" operator="containsText" text="Girls">
      <formula>NOT(ISERROR(SEARCH("Girls",F187)))</formula>
    </cfRule>
    <cfRule type="containsText" dxfId="284" priority="103" operator="containsText" text="Boys">
      <formula>NOT(ISERROR(SEARCH("Boys",F187)))</formula>
    </cfRule>
  </conditionalFormatting>
  <conditionalFormatting sqref="F186">
    <cfRule type="cellIs" dxfId="283" priority="100" operator="equal">
      <formula>"In Progress"</formula>
    </cfRule>
    <cfRule type="cellIs" dxfId="282" priority="101" operator="equal">
      <formula>"Completed"</formula>
    </cfRule>
  </conditionalFormatting>
  <conditionalFormatting sqref="F186">
    <cfRule type="containsText" dxfId="281" priority="98" operator="containsText" text="Girls">
      <formula>NOT(ISERROR(SEARCH("Girls",F186)))</formula>
    </cfRule>
    <cfRule type="containsText" dxfId="280" priority="99" operator="containsText" text="Boys">
      <formula>NOT(ISERROR(SEARCH("Boys",F186)))</formula>
    </cfRule>
  </conditionalFormatting>
  <conditionalFormatting sqref="F185">
    <cfRule type="cellIs" dxfId="279" priority="96" operator="equal">
      <formula>"In Progress"</formula>
    </cfRule>
    <cfRule type="cellIs" dxfId="278" priority="97" operator="equal">
      <formula>"Completed"</formula>
    </cfRule>
  </conditionalFormatting>
  <conditionalFormatting sqref="F185">
    <cfRule type="containsText" dxfId="277" priority="94" operator="containsText" text="Girls">
      <formula>NOT(ISERROR(SEARCH("Girls",F185)))</formula>
    </cfRule>
    <cfRule type="containsText" dxfId="276" priority="95" operator="containsText" text="Boys">
      <formula>NOT(ISERROR(SEARCH("Boys",F185)))</formula>
    </cfRule>
  </conditionalFormatting>
  <conditionalFormatting sqref="F184">
    <cfRule type="cellIs" dxfId="275" priority="92" operator="equal">
      <formula>"In Progress"</formula>
    </cfRule>
    <cfRule type="cellIs" dxfId="274" priority="93" operator="equal">
      <formula>"Completed"</formula>
    </cfRule>
  </conditionalFormatting>
  <conditionalFormatting sqref="F184">
    <cfRule type="containsText" dxfId="273" priority="90" operator="containsText" text="Girls">
      <formula>NOT(ISERROR(SEARCH("Girls",F184)))</formula>
    </cfRule>
    <cfRule type="containsText" dxfId="272" priority="91" operator="containsText" text="Boys">
      <formula>NOT(ISERROR(SEARCH("Boys",F184)))</formula>
    </cfRule>
  </conditionalFormatting>
  <conditionalFormatting sqref="F174">
    <cfRule type="cellIs" dxfId="271" priority="88" operator="equal">
      <formula>"In Progress"</formula>
    </cfRule>
    <cfRule type="cellIs" dxfId="270" priority="89" operator="equal">
      <formula>"Completed"</formula>
    </cfRule>
  </conditionalFormatting>
  <conditionalFormatting sqref="F174">
    <cfRule type="containsText" dxfId="269" priority="86" operator="containsText" text="Girls">
      <formula>NOT(ISERROR(SEARCH("Girls",F174)))</formula>
    </cfRule>
    <cfRule type="containsText" dxfId="268" priority="87" operator="containsText" text="Boys">
      <formula>NOT(ISERROR(SEARCH("Boys",F174)))</formula>
    </cfRule>
  </conditionalFormatting>
  <conditionalFormatting sqref="F173">
    <cfRule type="cellIs" dxfId="267" priority="84" operator="equal">
      <formula>"In Progress"</formula>
    </cfRule>
    <cfRule type="cellIs" dxfId="266" priority="85" operator="equal">
      <formula>"Completed"</formula>
    </cfRule>
  </conditionalFormatting>
  <conditionalFormatting sqref="F173">
    <cfRule type="containsText" dxfId="265" priority="82" operator="containsText" text="Girls">
      <formula>NOT(ISERROR(SEARCH("Girls",F173)))</formula>
    </cfRule>
    <cfRule type="containsText" dxfId="264" priority="83" operator="containsText" text="Boys">
      <formula>NOT(ISERROR(SEARCH("Boys",F173)))</formula>
    </cfRule>
  </conditionalFormatting>
  <conditionalFormatting sqref="J170">
    <cfRule type="cellIs" dxfId="263" priority="78" operator="equal">
      <formula>"In Progress"</formula>
    </cfRule>
    <cfRule type="cellIs" dxfId="262" priority="79" operator="equal">
      <formula>"Completed"</formula>
    </cfRule>
  </conditionalFormatting>
  <conditionalFormatting sqref="J170">
    <cfRule type="containsText" dxfId="261" priority="76" operator="containsText" text="Girls">
      <formula>NOT(ISERROR(SEARCH("Girls",J170)))</formula>
    </cfRule>
    <cfRule type="containsText" dxfId="260" priority="77" operator="containsText" text="Boys">
      <formula>NOT(ISERROR(SEARCH("Boys",J170)))</formula>
    </cfRule>
  </conditionalFormatting>
  <conditionalFormatting sqref="J175">
    <cfRule type="cellIs" dxfId="259" priority="74" operator="equal">
      <formula>"In Progress"</formula>
    </cfRule>
    <cfRule type="cellIs" dxfId="258" priority="75" operator="equal">
      <formula>"Completed"</formula>
    </cfRule>
  </conditionalFormatting>
  <conditionalFormatting sqref="J175">
    <cfRule type="containsText" dxfId="257" priority="72" operator="containsText" text="Girls">
      <formula>NOT(ISERROR(SEARCH("Girls",J175)))</formula>
    </cfRule>
    <cfRule type="containsText" dxfId="256" priority="73" operator="containsText" text="Boys">
      <formula>NOT(ISERROR(SEARCH("Boys",J175)))</formula>
    </cfRule>
  </conditionalFormatting>
  <conditionalFormatting sqref="J176">
    <cfRule type="cellIs" dxfId="255" priority="70" operator="equal">
      <formula>"In Progress"</formula>
    </cfRule>
    <cfRule type="cellIs" dxfId="254" priority="71" operator="equal">
      <formula>"Completed"</formula>
    </cfRule>
  </conditionalFormatting>
  <conditionalFormatting sqref="J176">
    <cfRule type="containsText" dxfId="253" priority="68" operator="containsText" text="Girls">
      <formula>NOT(ISERROR(SEARCH("Girls",J176)))</formula>
    </cfRule>
    <cfRule type="containsText" dxfId="252" priority="69" operator="containsText" text="Boys">
      <formula>NOT(ISERROR(SEARCH("Boys",J176)))</formula>
    </cfRule>
  </conditionalFormatting>
  <conditionalFormatting sqref="J178">
    <cfRule type="cellIs" dxfId="251" priority="66" operator="equal">
      <formula>"In Progress"</formula>
    </cfRule>
    <cfRule type="cellIs" dxfId="250" priority="67" operator="equal">
      <formula>"Completed"</formula>
    </cfRule>
  </conditionalFormatting>
  <conditionalFormatting sqref="J178">
    <cfRule type="containsText" dxfId="249" priority="64" operator="containsText" text="Girls">
      <formula>NOT(ISERROR(SEARCH("Girls",J178)))</formula>
    </cfRule>
    <cfRule type="containsText" dxfId="248" priority="65" operator="containsText" text="Boys">
      <formula>NOT(ISERROR(SEARCH("Boys",J178)))</formula>
    </cfRule>
  </conditionalFormatting>
  <conditionalFormatting sqref="J179">
    <cfRule type="cellIs" dxfId="247" priority="62" operator="equal">
      <formula>"In Progress"</formula>
    </cfRule>
    <cfRule type="cellIs" dxfId="246" priority="63" operator="equal">
      <formula>"Completed"</formula>
    </cfRule>
  </conditionalFormatting>
  <conditionalFormatting sqref="J179">
    <cfRule type="containsText" dxfId="245" priority="60" operator="containsText" text="Girls">
      <formula>NOT(ISERROR(SEARCH("Girls",J179)))</formula>
    </cfRule>
    <cfRule type="containsText" dxfId="244" priority="61" operator="containsText" text="Boys">
      <formula>NOT(ISERROR(SEARCH("Boys",J179)))</formula>
    </cfRule>
  </conditionalFormatting>
  <conditionalFormatting sqref="J180">
    <cfRule type="cellIs" dxfId="243" priority="58" operator="equal">
      <formula>"In Progress"</formula>
    </cfRule>
    <cfRule type="cellIs" dxfId="242" priority="59" operator="equal">
      <formula>"Completed"</formula>
    </cfRule>
  </conditionalFormatting>
  <conditionalFormatting sqref="J180">
    <cfRule type="containsText" dxfId="241" priority="56" operator="containsText" text="Girls">
      <formula>NOT(ISERROR(SEARCH("Girls",J180)))</formula>
    </cfRule>
    <cfRule type="containsText" dxfId="240" priority="57" operator="containsText" text="Boys">
      <formula>NOT(ISERROR(SEARCH("Boys",J180)))</formula>
    </cfRule>
  </conditionalFormatting>
  <conditionalFormatting sqref="J181">
    <cfRule type="cellIs" dxfId="239" priority="54" operator="equal">
      <formula>"In Progress"</formula>
    </cfRule>
    <cfRule type="cellIs" dxfId="238" priority="55" operator="equal">
      <formula>"Completed"</formula>
    </cfRule>
  </conditionalFormatting>
  <conditionalFormatting sqref="J181">
    <cfRule type="containsText" dxfId="237" priority="52" operator="containsText" text="Girls">
      <formula>NOT(ISERROR(SEARCH("Girls",J181)))</formula>
    </cfRule>
    <cfRule type="containsText" dxfId="236" priority="53" operator="containsText" text="Boys">
      <formula>NOT(ISERROR(SEARCH("Boys",J181)))</formula>
    </cfRule>
  </conditionalFormatting>
  <conditionalFormatting sqref="J187">
    <cfRule type="cellIs" dxfId="235" priority="50" operator="equal">
      <formula>"In Progress"</formula>
    </cfRule>
    <cfRule type="cellIs" dxfId="234" priority="51" operator="equal">
      <formula>"Completed"</formula>
    </cfRule>
  </conditionalFormatting>
  <conditionalFormatting sqref="J187">
    <cfRule type="containsText" dxfId="233" priority="48" operator="containsText" text="Girls">
      <formula>NOT(ISERROR(SEARCH("Girls",J187)))</formula>
    </cfRule>
    <cfRule type="containsText" dxfId="232" priority="49" operator="containsText" text="Boys">
      <formula>NOT(ISERROR(SEARCH("Boys",J187)))</formula>
    </cfRule>
  </conditionalFormatting>
  <conditionalFormatting sqref="J186">
    <cfRule type="cellIs" dxfId="231" priority="46" operator="equal">
      <formula>"In Progress"</formula>
    </cfRule>
    <cfRule type="cellIs" dxfId="230" priority="47" operator="equal">
      <formula>"Completed"</formula>
    </cfRule>
  </conditionalFormatting>
  <conditionalFormatting sqref="J186">
    <cfRule type="containsText" dxfId="229" priority="44" operator="containsText" text="Girls">
      <formula>NOT(ISERROR(SEARCH("Girls",J186)))</formula>
    </cfRule>
    <cfRule type="containsText" dxfId="228" priority="45" operator="containsText" text="Boys">
      <formula>NOT(ISERROR(SEARCH("Boys",J186)))</formula>
    </cfRule>
  </conditionalFormatting>
  <conditionalFormatting sqref="J185">
    <cfRule type="cellIs" dxfId="227" priority="42" operator="equal">
      <formula>"In Progress"</formula>
    </cfRule>
    <cfRule type="cellIs" dxfId="226" priority="43" operator="equal">
      <formula>"Completed"</formula>
    </cfRule>
  </conditionalFormatting>
  <conditionalFormatting sqref="J185">
    <cfRule type="containsText" dxfId="225" priority="40" operator="containsText" text="Girls">
      <formula>NOT(ISERROR(SEARCH("Girls",J185)))</formula>
    </cfRule>
    <cfRule type="containsText" dxfId="224" priority="41" operator="containsText" text="Boys">
      <formula>NOT(ISERROR(SEARCH("Boys",J185)))</formula>
    </cfRule>
  </conditionalFormatting>
  <conditionalFormatting sqref="J184">
    <cfRule type="cellIs" dxfId="223" priority="38" operator="equal">
      <formula>"In Progress"</formula>
    </cfRule>
    <cfRule type="cellIs" dxfId="222" priority="39" operator="equal">
      <formula>"Completed"</formula>
    </cfRule>
  </conditionalFormatting>
  <conditionalFormatting sqref="J184">
    <cfRule type="containsText" dxfId="221" priority="36" operator="containsText" text="Girls">
      <formula>NOT(ISERROR(SEARCH("Girls",J184)))</formula>
    </cfRule>
    <cfRule type="containsText" dxfId="220" priority="37" operator="containsText" text="Boys">
      <formula>NOT(ISERROR(SEARCH("Boys",J184)))</formula>
    </cfRule>
  </conditionalFormatting>
  <conditionalFormatting sqref="J174">
    <cfRule type="cellIs" dxfId="219" priority="34" operator="equal">
      <formula>"In Progress"</formula>
    </cfRule>
    <cfRule type="cellIs" dxfId="218" priority="35" operator="equal">
      <formula>"Completed"</formula>
    </cfRule>
  </conditionalFormatting>
  <conditionalFormatting sqref="J174">
    <cfRule type="containsText" dxfId="217" priority="32" operator="containsText" text="Girls">
      <formula>NOT(ISERROR(SEARCH("Girls",J174)))</formula>
    </cfRule>
    <cfRule type="containsText" dxfId="216" priority="33" operator="containsText" text="Boys">
      <formula>NOT(ISERROR(SEARCH("Boys",J174)))</formula>
    </cfRule>
  </conditionalFormatting>
  <conditionalFormatting sqref="J173">
    <cfRule type="cellIs" dxfId="215" priority="30" operator="equal">
      <formula>"In Progress"</formula>
    </cfRule>
    <cfRule type="cellIs" dxfId="214" priority="31" operator="equal">
      <formula>"Completed"</formula>
    </cfRule>
  </conditionalFormatting>
  <conditionalFormatting sqref="J173">
    <cfRule type="containsText" dxfId="213" priority="28" operator="containsText" text="Girls">
      <formula>NOT(ISERROR(SEARCH("Girls",J173)))</formula>
    </cfRule>
    <cfRule type="containsText" dxfId="212" priority="29" operator="containsText" text="Boys">
      <formula>NOT(ISERROR(SEARCH("Boys",J173)))</formula>
    </cfRule>
  </conditionalFormatting>
  <conditionalFormatting sqref="J172">
    <cfRule type="cellIs" dxfId="211" priority="26" operator="equal">
      <formula>"In Progress"</formula>
    </cfRule>
    <cfRule type="cellIs" dxfId="210" priority="27" operator="equal">
      <formula>"Completed"</formula>
    </cfRule>
  </conditionalFormatting>
  <conditionalFormatting sqref="J172">
    <cfRule type="containsText" dxfId="209" priority="24" operator="containsText" text="Girls">
      <formula>NOT(ISERROR(SEARCH("Girls",J172)))</formula>
    </cfRule>
    <cfRule type="containsText" dxfId="208" priority="25" operator="containsText" text="Boys">
      <formula>NOT(ISERROR(SEARCH("Boys",J172)))</formula>
    </cfRule>
  </conditionalFormatting>
  <conditionalFormatting sqref="E170">
    <cfRule type="cellIs" dxfId="207" priority="22" operator="equal">
      <formula>"In Progress"</formula>
    </cfRule>
    <cfRule type="cellIs" dxfId="206" priority="23" operator="equal">
      <formula>"Completed"</formula>
    </cfRule>
  </conditionalFormatting>
  <conditionalFormatting sqref="E180">
    <cfRule type="cellIs" dxfId="205" priority="20" operator="equal">
      <formula>"In Progress"</formula>
    </cfRule>
    <cfRule type="cellIs" dxfId="204" priority="21" operator="equal">
      <formula>"Completed"</formula>
    </cfRule>
  </conditionalFormatting>
  <conditionalFormatting sqref="E185">
    <cfRule type="cellIs" dxfId="203" priority="18" operator="equal">
      <formula>"In Progress"</formula>
    </cfRule>
    <cfRule type="cellIs" dxfId="202" priority="19" operator="equal">
      <formula>"Completed"</formula>
    </cfRule>
  </conditionalFormatting>
  <conditionalFormatting sqref="E172">
    <cfRule type="cellIs" dxfId="201" priority="16" operator="equal">
      <formula>"In Progress"</formula>
    </cfRule>
    <cfRule type="cellIs" dxfId="200" priority="17" operator="equal">
      <formula>"Completed"</formula>
    </cfRule>
  </conditionalFormatting>
  <conditionalFormatting sqref="F170">
    <cfRule type="cellIs" dxfId="199" priority="14" operator="equal">
      <formula>"In Progress"</formula>
    </cfRule>
    <cfRule type="cellIs" dxfId="198" priority="15" operator="equal">
      <formula>"Completed"</formula>
    </cfRule>
  </conditionalFormatting>
  <conditionalFormatting sqref="F170">
    <cfRule type="containsText" dxfId="197" priority="12" operator="containsText" text="Girls">
      <formula>NOT(ISERROR(SEARCH("Girls",F170)))</formula>
    </cfRule>
    <cfRule type="containsText" dxfId="196" priority="13" operator="containsText" text="Boys">
      <formula>NOT(ISERROR(SEARCH("Boys",F170)))</formula>
    </cfRule>
  </conditionalFormatting>
  <conditionalFormatting sqref="F172">
    <cfRule type="cellIs" dxfId="195" priority="10" operator="equal">
      <formula>"In Progress"</formula>
    </cfRule>
    <cfRule type="cellIs" dxfId="194" priority="11" operator="equal">
      <formula>"Completed"</formula>
    </cfRule>
  </conditionalFormatting>
  <conditionalFormatting sqref="F172">
    <cfRule type="containsText" dxfId="193" priority="8" operator="containsText" text="Girls">
      <formula>NOT(ISERROR(SEARCH("Girls",F172)))</formula>
    </cfRule>
    <cfRule type="containsText" dxfId="192" priority="9" operator="containsText" text="Boys">
      <formula>NOT(ISERROR(SEARCH("Boys",F172)))</formula>
    </cfRule>
  </conditionalFormatting>
  <conditionalFormatting sqref="D169:D187">
    <cfRule type="duplicateValues" dxfId="191" priority="7"/>
  </conditionalFormatting>
  <conditionalFormatting sqref="J169:J187">
    <cfRule type="duplicateValues" dxfId="190" priority="6"/>
  </conditionalFormatting>
  <conditionalFormatting sqref="N7:AC7 M4:AC6 M8:AC203">
    <cfRule type="cellIs" dxfId="73" priority="4" operator="equal">
      <formula>"In Progress"</formula>
    </cfRule>
    <cfRule type="cellIs" dxfId="72" priority="5" operator="equal">
      <formula>"Completed"</formula>
    </cfRule>
  </conditionalFormatting>
  <conditionalFormatting sqref="N4:AC203">
    <cfRule type="cellIs" dxfId="74" priority="3" operator="equal">
      <formula>"Not Started"</formula>
    </cfRule>
  </conditionalFormatting>
  <conditionalFormatting sqref="M7">
    <cfRule type="cellIs" dxfId="189" priority="1" operator="equal">
      <formula>"In Progress"</formula>
    </cfRule>
    <cfRule type="cellIs" dxfId="188" priority="2" operator="equal">
      <formula>"Completed"</formula>
    </cfRule>
  </conditionalFormatting>
  <dataValidations count="6">
    <dataValidation type="list" allowBlank="1" showInputMessage="1" showErrorMessage="1" sqref="E4:E166 E188:E203" xr:uid="{94197351-B1E9-4B66-8472-ADA3BB8E0B56}">
      <formula1>$AJ$4:$AJ$9</formula1>
    </dataValidation>
    <dataValidation type="list" allowBlank="1" showInputMessage="1" showErrorMessage="1" sqref="F4:F166 F188:F203" xr:uid="{AF8C5945-A044-405A-A417-D28B09D984AF}">
      <formula1>$AK$4:$AK$6</formula1>
    </dataValidation>
    <dataValidation type="list" allowBlank="1" showInputMessage="1" showErrorMessage="1" sqref="F167:F168 J167 F184:F187 F178:F181 F170 J170 F172:F176 J172:J176 J178:J181 J184:J187" xr:uid="{0CB55F51-2097-4F5F-9C5B-40D5CA74E492}">
      <formula1>$AN$7:$AN$7</formula1>
    </dataValidation>
    <dataValidation type="list" allowBlank="1" showInputMessage="1" showErrorMessage="1" sqref="E168 E170 E180 E185 E172" xr:uid="{1AFD187D-A4BB-4B1C-BA4A-70438FFB61DB}">
      <formula1>$AM$7:$AM$9</formula1>
    </dataValidation>
    <dataValidation type="list" allowBlank="1" showInputMessage="1" showErrorMessage="1" sqref="E167 E171:F171 F182:F183 E177:F177 E169:F169 K169:K187 J171 J177 J169 E173:E176 E186:E187 E178:E179 E181:E184 J182:J183 I156:I166 I154" xr:uid="{FAC885AE-0A38-4814-8E9E-1BC255CECD94}">
      <formula1>#REF!</formula1>
    </dataValidation>
    <dataValidation type="list" allowBlank="1" showInputMessage="1" showErrorMessage="1" sqref="N4:AC203" xr:uid="{489B1713-199D-43CF-9BB8-DDFFEA261A69}">
      <formula1>$AP$7:$AP$8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F69C-8395-4C58-837E-01D20760FC18}">
  <sheetPr>
    <outlinePr summaryBelow="0" summaryRight="0"/>
  </sheetPr>
  <dimension ref="A1:AN206"/>
  <sheetViews>
    <sheetView showGridLines="0" topLeftCell="G1" zoomScaleNormal="100" workbookViewId="0">
      <selection activeCell="N204" sqref="N204:AE206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39.453125" style="1" customWidth="1"/>
    <col min="4" max="4" width="56.1796875" style="1" customWidth="1"/>
    <col min="5" max="5" width="27.90625" style="1" customWidth="1"/>
    <col min="6" max="6" width="18.54296875" style="1" customWidth="1"/>
    <col min="7" max="7" width="8.1796875" style="1" bestFit="1" customWidth="1"/>
    <col min="8" max="8" width="7.81640625" style="1" bestFit="1" customWidth="1"/>
    <col min="9" max="9" width="22.36328125" style="1" hidden="1" customWidth="1"/>
    <col min="10" max="10" width="17.81640625" style="1" hidden="1" customWidth="1"/>
    <col min="11" max="11" width="22" style="1" customWidth="1"/>
    <col min="12" max="12" width="17.81640625" style="1" bestFit="1" customWidth="1"/>
    <col min="13" max="13" width="22.08984375" style="1" customWidth="1"/>
    <col min="14" max="18" width="12.54296875" style="1"/>
    <col min="19" max="19" width="14.81640625" style="1" customWidth="1"/>
    <col min="20" max="20" width="14.7265625" style="1" customWidth="1"/>
    <col min="21" max="21" width="12.54296875" style="1"/>
    <col min="22" max="22" width="15.81640625" style="1" customWidth="1"/>
    <col min="23" max="23" width="20.1796875" style="1" customWidth="1"/>
    <col min="24" max="37" width="12.54296875" style="1"/>
    <col min="38" max="38" width="37.81640625" style="1" hidden="1" customWidth="1"/>
    <col min="39" max="39" width="18.453125" style="1" hidden="1" customWidth="1"/>
    <col min="40" max="40" width="0" style="1" hidden="1" customWidth="1"/>
    <col min="41" max="16384" width="12.54296875" style="1"/>
  </cols>
  <sheetData>
    <row r="1" spans="1:40" ht="37" customHeight="1" x14ac:dyDescent="0.25">
      <c r="C1" s="44" t="s">
        <v>0</v>
      </c>
      <c r="D1" s="45">
        <v>46076</v>
      </c>
    </row>
    <row r="2" spans="1:40" ht="13" customHeight="1" x14ac:dyDescent="0.25">
      <c r="A2" s="236" t="s">
        <v>1</v>
      </c>
      <c r="B2" s="274" t="s">
        <v>2</v>
      </c>
      <c r="C2" s="274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40" t="s">
        <v>3</v>
      </c>
      <c r="P2" s="241" t="s">
        <v>4</v>
      </c>
      <c r="Q2" s="242"/>
      <c r="R2" s="242"/>
      <c r="S2" s="242"/>
      <c r="T2" s="243" t="s">
        <v>5</v>
      </c>
      <c r="U2" s="243"/>
      <c r="V2" s="243"/>
      <c r="W2" s="243"/>
      <c r="X2" s="243"/>
      <c r="Y2" s="243"/>
      <c r="Z2" s="243"/>
      <c r="AA2" s="243"/>
      <c r="AB2" s="243"/>
      <c r="AC2" s="244" t="s">
        <v>6</v>
      </c>
      <c r="AD2" s="251" t="s">
        <v>7</v>
      </c>
      <c r="AE2" s="252" t="s">
        <v>8</v>
      </c>
      <c r="AF2" s="235" t="s">
        <v>9</v>
      </c>
      <c r="AG2" s="235" t="s">
        <v>10</v>
      </c>
      <c r="AH2" s="235" t="s">
        <v>11</v>
      </c>
      <c r="AI2" s="235" t="s">
        <v>12</v>
      </c>
    </row>
    <row r="3" spans="1:40" s="2" customFormat="1" ht="39" x14ac:dyDescent="0.25">
      <c r="A3" s="236"/>
      <c r="B3" s="23" t="s">
        <v>13</v>
      </c>
      <c r="C3" s="23" t="s">
        <v>14</v>
      </c>
      <c r="D3" s="23" t="s">
        <v>15</v>
      </c>
      <c r="E3" s="23" t="s">
        <v>9477</v>
      </c>
      <c r="F3" s="23" t="s">
        <v>17</v>
      </c>
      <c r="G3" s="23" t="s">
        <v>18</v>
      </c>
      <c r="H3" s="23" t="s">
        <v>19</v>
      </c>
      <c r="I3" s="245" t="s">
        <v>20</v>
      </c>
      <c r="J3" s="246"/>
      <c r="K3" s="135" t="s">
        <v>20</v>
      </c>
      <c r="L3" s="23" t="s">
        <v>21</v>
      </c>
      <c r="M3" s="23" t="s">
        <v>22</v>
      </c>
      <c r="N3" s="23" t="s">
        <v>23</v>
      </c>
      <c r="O3" s="240"/>
      <c r="P3" s="42" t="s">
        <v>24</v>
      </c>
      <c r="Q3" s="42" t="s">
        <v>25</v>
      </c>
      <c r="R3" s="42" t="s">
        <v>26</v>
      </c>
      <c r="S3" s="42" t="s">
        <v>27</v>
      </c>
      <c r="T3" s="43" t="s">
        <v>28</v>
      </c>
      <c r="U3" s="43" t="s">
        <v>29</v>
      </c>
      <c r="V3" s="43" t="s">
        <v>30</v>
      </c>
      <c r="W3" s="43" t="s">
        <v>31</v>
      </c>
      <c r="X3" s="43" t="s">
        <v>32</v>
      </c>
      <c r="Y3" s="43" t="s">
        <v>33</v>
      </c>
      <c r="Z3" s="43" t="s">
        <v>34</v>
      </c>
      <c r="AA3" s="43" t="s">
        <v>35</v>
      </c>
      <c r="AB3" s="43" t="s">
        <v>36</v>
      </c>
      <c r="AC3" s="244"/>
      <c r="AD3" s="251"/>
      <c r="AE3" s="252"/>
      <c r="AF3" s="235"/>
      <c r="AG3" s="235"/>
      <c r="AH3" s="235"/>
      <c r="AI3" s="235"/>
      <c r="AL3" s="5" t="s">
        <v>16</v>
      </c>
      <c r="AM3" s="5" t="s">
        <v>17</v>
      </c>
      <c r="AN3" s="5" t="s">
        <v>37</v>
      </c>
    </row>
    <row r="4" spans="1:40" ht="15.75" customHeight="1" x14ac:dyDescent="0.25">
      <c r="A4" s="7" t="s">
        <v>2060</v>
      </c>
      <c r="B4" s="7" t="s">
        <v>2061</v>
      </c>
      <c r="C4" s="7" t="s">
        <v>6695</v>
      </c>
      <c r="D4" s="7" t="s">
        <v>6891</v>
      </c>
      <c r="E4" s="7" t="s">
        <v>9667</v>
      </c>
      <c r="F4" s="7" t="s">
        <v>48</v>
      </c>
      <c r="G4" s="7" t="s">
        <v>9666</v>
      </c>
      <c r="H4" s="7" t="s">
        <v>9666</v>
      </c>
      <c r="I4" s="7">
        <v>25.406389099999998</v>
      </c>
      <c r="J4" s="7">
        <v>49.659405399999997</v>
      </c>
      <c r="K4" s="7" t="str">
        <f>_xlfn.CONCAT(I4,",",J4)</f>
        <v>25.4063891,49.6594054</v>
      </c>
      <c r="L4" s="7" t="s">
        <v>7090</v>
      </c>
      <c r="M4" s="49">
        <v>10083527097</v>
      </c>
      <c r="N4" s="7"/>
      <c r="O4" s="7"/>
      <c r="P4" s="28"/>
      <c r="Q4" s="17"/>
      <c r="R4" s="17"/>
      <c r="S4" s="34"/>
      <c r="T4" s="28"/>
      <c r="U4" s="17"/>
      <c r="V4" s="17"/>
      <c r="W4" s="17"/>
      <c r="X4" s="17"/>
      <c r="Y4" s="17"/>
      <c r="Z4" s="17"/>
      <c r="AA4" s="18"/>
      <c r="AB4" s="34"/>
      <c r="AC4" s="28"/>
      <c r="AD4" s="15"/>
      <c r="AE4" s="25"/>
      <c r="AF4" s="24">
        <f>COUNTIF(P4:AD4,$AF$2)</f>
        <v>0</v>
      </c>
      <c r="AG4" s="24">
        <f>COUNTIF(P4:AD4,$AG$2)</f>
        <v>0</v>
      </c>
      <c r="AH4" s="24">
        <f>COUNTIF(P4:AD4,$AH$2)</f>
        <v>0</v>
      </c>
      <c r="AI4" s="41" t="str" cm="1">
        <f t="array" ref="AI4">_xlfn.IFS(
SUM(AF4:AH4)=0,"Not Started",
SUM(AF4:AH4)&lt;15,"In Progress",
SUM(AF4:AH4)=15,"Completed",
SUM(AF4:AH4)&gt;15,"Error"
)</f>
        <v>Not Started</v>
      </c>
      <c r="AL4" s="3" t="s">
        <v>43</v>
      </c>
      <c r="AM4" s="3" t="s">
        <v>44</v>
      </c>
      <c r="AN4" s="3" t="s">
        <v>9</v>
      </c>
    </row>
    <row r="5" spans="1:40" ht="13" x14ac:dyDescent="0.25">
      <c r="A5" s="7"/>
      <c r="B5" s="7" t="s">
        <v>2062</v>
      </c>
      <c r="C5" s="7" t="s">
        <v>6696</v>
      </c>
      <c r="D5" s="7" t="s">
        <v>6892</v>
      </c>
      <c r="E5" s="7" t="s">
        <v>8887</v>
      </c>
      <c r="F5" s="7" t="s">
        <v>9091</v>
      </c>
      <c r="G5" s="7" t="s">
        <v>9666</v>
      </c>
      <c r="H5" s="7" t="s">
        <v>9666</v>
      </c>
      <c r="I5" s="7">
        <v>25.425341199999998</v>
      </c>
      <c r="J5" s="7">
        <v>49.7146884</v>
      </c>
      <c r="K5" s="7" t="str">
        <f t="shared" ref="K5:K68" si="0">_xlfn.CONCAT(I5,",",J5)</f>
        <v>25.4253412,49.7146884</v>
      </c>
      <c r="L5" s="7" t="s">
        <v>7091</v>
      </c>
      <c r="M5" s="49">
        <v>10104714632</v>
      </c>
      <c r="N5" s="7"/>
      <c r="O5" s="7"/>
      <c r="P5" s="29"/>
      <c r="Q5" s="10"/>
      <c r="R5" s="10"/>
      <c r="S5" s="35"/>
      <c r="T5" s="29"/>
      <c r="U5" s="10"/>
      <c r="V5" s="10"/>
      <c r="W5" s="10"/>
      <c r="X5" s="10"/>
      <c r="Y5" s="10"/>
      <c r="Z5" s="10"/>
      <c r="AA5" s="10"/>
      <c r="AB5" s="35"/>
      <c r="AC5" s="29"/>
      <c r="AD5" s="8"/>
      <c r="AE5" s="26"/>
      <c r="AF5" s="24">
        <f t="shared" ref="AF5:AF68" si="1">COUNTIF(P5:AD5,$AF$2)</f>
        <v>0</v>
      </c>
      <c r="AG5" s="24">
        <f t="shared" ref="AG5:AG68" si="2">COUNTIF(P5:AD5,$AG$2)</f>
        <v>0</v>
      </c>
      <c r="AH5" s="24">
        <f t="shared" ref="AH5:AH68" si="3">COUNTIF(P5:AD5,$AH$2)</f>
        <v>0</v>
      </c>
      <c r="AI5" s="41" t="str" cm="1">
        <f t="array" ref="AI5">_xlfn.IFS(
SUM(AF5:AH5)=0,"Not Started",
SUM(AF5:AH5)&lt;15,"In Progress",
SUM(AF5:AH5)=15,"Completed",
SUM(AF5:AH5)&gt;15,"Error"
)</f>
        <v>Not Started</v>
      </c>
      <c r="AL5" s="3" t="s">
        <v>47</v>
      </c>
      <c r="AM5" s="3" t="s">
        <v>48</v>
      </c>
      <c r="AN5" s="3" t="s">
        <v>10</v>
      </c>
    </row>
    <row r="6" spans="1:40" ht="13" x14ac:dyDescent="0.25">
      <c r="A6" s="7"/>
      <c r="B6" s="7" t="s">
        <v>2063</v>
      </c>
      <c r="C6" s="7" t="s">
        <v>6697</v>
      </c>
      <c r="D6" s="7" t="s">
        <v>6893</v>
      </c>
      <c r="E6" s="7" t="s">
        <v>9097</v>
      </c>
      <c r="F6" s="7" t="s">
        <v>9091</v>
      </c>
      <c r="G6" s="7" t="s">
        <v>9666</v>
      </c>
      <c r="H6" s="7" t="s">
        <v>9666</v>
      </c>
      <c r="I6" s="7">
        <v>25.385881900000001</v>
      </c>
      <c r="J6" s="7">
        <v>49.667863099999998</v>
      </c>
      <c r="K6" s="7" t="str">
        <f t="shared" si="0"/>
        <v>25.3858819,49.6678631</v>
      </c>
      <c r="L6" s="7" t="s">
        <v>7092</v>
      </c>
      <c r="M6" s="49" t="s">
        <v>8892</v>
      </c>
      <c r="N6" s="7"/>
      <c r="O6" s="7"/>
      <c r="P6" s="29"/>
      <c r="Q6" s="10"/>
      <c r="R6" s="10"/>
      <c r="S6" s="35"/>
      <c r="T6" s="29"/>
      <c r="U6" s="10"/>
      <c r="V6" s="10"/>
      <c r="W6" s="10"/>
      <c r="X6" s="10"/>
      <c r="Y6" s="10"/>
      <c r="Z6" s="10"/>
      <c r="AA6" s="10"/>
      <c r="AB6" s="35"/>
      <c r="AC6" s="29"/>
      <c r="AD6" s="8"/>
      <c r="AE6" s="26"/>
      <c r="AF6" s="24">
        <f t="shared" si="1"/>
        <v>0</v>
      </c>
      <c r="AG6" s="24">
        <f t="shared" si="2"/>
        <v>0</v>
      </c>
      <c r="AH6" s="24">
        <f t="shared" si="3"/>
        <v>0</v>
      </c>
      <c r="AI6" s="41" t="str" cm="1">
        <f t="array" ref="AI6">_xlfn.IFS(
SUM(AF6:AH6)=0,"Not Started",
SUM(AF6:AH6)&lt;15,"In Progress",
SUM(AF6:AH6)=15,"Completed",
SUM(AF6:AH6)&gt;15,"Error"
)</f>
        <v>Not Started</v>
      </c>
      <c r="AL6" s="3" t="s">
        <v>51</v>
      </c>
      <c r="AM6" s="3" t="s">
        <v>52</v>
      </c>
      <c r="AN6" s="3" t="s">
        <v>11</v>
      </c>
    </row>
    <row r="7" spans="1:40" ht="13" x14ac:dyDescent="0.25">
      <c r="A7" s="7"/>
      <c r="B7" s="7" t="s">
        <v>2064</v>
      </c>
      <c r="C7" s="7" t="s">
        <v>6698</v>
      </c>
      <c r="D7" s="7" t="s">
        <v>6894</v>
      </c>
      <c r="E7" s="7" t="s">
        <v>9667</v>
      </c>
      <c r="F7" s="7" t="s">
        <v>48</v>
      </c>
      <c r="G7" s="7" t="s">
        <v>9666</v>
      </c>
      <c r="H7" s="7" t="s">
        <v>9666</v>
      </c>
      <c r="I7" s="7">
        <v>25.4182594</v>
      </c>
      <c r="J7" s="7">
        <v>49.728172899999997</v>
      </c>
      <c r="K7" s="7" t="str">
        <f t="shared" si="0"/>
        <v>25.4182594,49.7281729</v>
      </c>
      <c r="L7" s="7" t="s">
        <v>7093</v>
      </c>
      <c r="M7" s="49">
        <v>10006352727</v>
      </c>
      <c r="N7" s="7"/>
      <c r="O7" s="7"/>
      <c r="P7" s="29"/>
      <c r="Q7" s="10"/>
      <c r="R7" s="10"/>
      <c r="S7" s="35"/>
      <c r="T7" s="29"/>
      <c r="U7" s="10"/>
      <c r="V7" s="10"/>
      <c r="W7" s="10"/>
      <c r="X7" s="10"/>
      <c r="Y7" s="10"/>
      <c r="Z7" s="10"/>
      <c r="AA7" s="10"/>
      <c r="AB7" s="35"/>
      <c r="AC7" s="29"/>
      <c r="AD7" s="8"/>
      <c r="AE7" s="26"/>
      <c r="AF7" s="24">
        <f t="shared" si="1"/>
        <v>0</v>
      </c>
      <c r="AG7" s="24">
        <f t="shared" si="2"/>
        <v>0</v>
      </c>
      <c r="AH7" s="24">
        <f t="shared" si="3"/>
        <v>0</v>
      </c>
      <c r="AI7" s="41" t="str" cm="1">
        <f t="array" ref="AI7">_xlfn.IFS(
SUM(AF7:AH7)=0,"Not Started",
SUM(AF7:AH7)&lt;15,"In Progress",
SUM(AF7:AH7)=15,"Completed",
SUM(AF7:AH7)&gt;15,"Error"
)</f>
        <v>Not Started</v>
      </c>
      <c r="AL7" s="3" t="s">
        <v>52</v>
      </c>
      <c r="AM7" s="3"/>
      <c r="AN7" s="3" t="s">
        <v>52</v>
      </c>
    </row>
    <row r="8" spans="1:40" ht="13" x14ac:dyDescent="0.25">
      <c r="A8" s="7"/>
      <c r="B8" s="7" t="s">
        <v>2065</v>
      </c>
      <c r="C8" s="7" t="s">
        <v>6699</v>
      </c>
      <c r="D8" s="7" t="s">
        <v>6895</v>
      </c>
      <c r="E8" s="7" t="s">
        <v>9094</v>
      </c>
      <c r="F8" s="7" t="s">
        <v>48</v>
      </c>
      <c r="G8" s="7" t="s">
        <v>9666</v>
      </c>
      <c r="H8" s="7" t="s">
        <v>9666</v>
      </c>
      <c r="I8" s="7">
        <v>25.4226359</v>
      </c>
      <c r="J8" s="7">
        <v>49.721748699999999</v>
      </c>
      <c r="K8" s="7" t="str">
        <f t="shared" si="0"/>
        <v>25.4226359,49.7217487</v>
      </c>
      <c r="L8" s="7" t="s">
        <v>7094</v>
      </c>
      <c r="M8" s="49">
        <v>10006320840</v>
      </c>
      <c r="N8" s="7"/>
      <c r="O8" s="7"/>
      <c r="P8" s="29"/>
      <c r="Q8" s="10"/>
      <c r="R8" s="10"/>
      <c r="S8" s="35"/>
      <c r="T8" s="29"/>
      <c r="U8" s="10"/>
      <c r="V8" s="10"/>
      <c r="W8" s="10"/>
      <c r="X8" s="10"/>
      <c r="Y8" s="10"/>
      <c r="Z8" s="10"/>
      <c r="AA8" s="10"/>
      <c r="AB8" s="35"/>
      <c r="AC8" s="29"/>
      <c r="AD8" s="8"/>
      <c r="AE8" s="26"/>
      <c r="AF8" s="24">
        <f t="shared" si="1"/>
        <v>0</v>
      </c>
      <c r="AG8" s="24">
        <f t="shared" si="2"/>
        <v>0</v>
      </c>
      <c r="AH8" s="24">
        <f t="shared" si="3"/>
        <v>0</v>
      </c>
      <c r="AI8" s="41" t="str" cm="1">
        <f t="array" ref="AI8">_xlfn.IFS(
SUM(AF8:AH8)=0,"Not Started",
SUM(AF8:AH8)&lt;15,"In Progress",
SUM(AF8:AH8)=15,"Completed",
SUM(AF8:AH8)&gt;15,"Error"
)</f>
        <v>Not Started</v>
      </c>
    </row>
    <row r="9" spans="1:40" ht="13" x14ac:dyDescent="0.25">
      <c r="A9" s="7"/>
      <c r="B9" s="7" t="s">
        <v>2066</v>
      </c>
      <c r="C9" s="7" t="s">
        <v>6700</v>
      </c>
      <c r="D9" s="7" t="s">
        <v>6896</v>
      </c>
      <c r="E9" s="7" t="s">
        <v>9095</v>
      </c>
      <c r="F9" s="7" t="s">
        <v>9091</v>
      </c>
      <c r="G9" s="7" t="s">
        <v>9666</v>
      </c>
      <c r="H9" s="7" t="s">
        <v>9666</v>
      </c>
      <c r="I9" s="7">
        <v>25.382304300000001</v>
      </c>
      <c r="J9" s="7">
        <v>49.723313400000002</v>
      </c>
      <c r="K9" s="7" t="str">
        <f t="shared" si="0"/>
        <v>25.3823043,49.7233134</v>
      </c>
      <c r="L9" s="7" t="s">
        <v>7095</v>
      </c>
      <c r="M9" s="49">
        <v>10006353804</v>
      </c>
      <c r="N9" s="7"/>
      <c r="O9" s="7"/>
      <c r="P9" s="29"/>
      <c r="Q9" s="10"/>
      <c r="R9" s="10"/>
      <c r="S9" s="35"/>
      <c r="T9" s="29"/>
      <c r="U9" s="10"/>
      <c r="V9" s="10"/>
      <c r="W9" s="10"/>
      <c r="X9" s="10"/>
      <c r="Y9" s="10"/>
      <c r="Z9" s="10"/>
      <c r="AA9" s="10"/>
      <c r="AB9" s="35"/>
      <c r="AC9" s="29"/>
      <c r="AD9" s="8"/>
      <c r="AE9" s="26"/>
      <c r="AF9" s="24">
        <f t="shared" si="1"/>
        <v>0</v>
      </c>
      <c r="AG9" s="24">
        <f t="shared" si="2"/>
        <v>0</v>
      </c>
      <c r="AH9" s="24">
        <f t="shared" si="3"/>
        <v>0</v>
      </c>
      <c r="AI9" s="41" t="str" cm="1">
        <f t="array" ref="AI9">_xlfn.IFS(
SUM(AF9:AH9)=0,"Not Started",
SUM(AF9:AH9)&lt;15,"In Progress",
SUM(AF9:AH9)=15,"Completed",
SUM(AF9:AH9)&gt;15,"Error"
)</f>
        <v>Not Started</v>
      </c>
    </row>
    <row r="10" spans="1:40" ht="13" x14ac:dyDescent="0.25">
      <c r="A10" s="7"/>
      <c r="B10" s="7" t="s">
        <v>2067</v>
      </c>
      <c r="C10" s="7" t="s">
        <v>6701</v>
      </c>
      <c r="D10" s="7" t="s">
        <v>6897</v>
      </c>
      <c r="E10" s="7" t="s">
        <v>8887</v>
      </c>
      <c r="F10" s="7" t="s">
        <v>9091</v>
      </c>
      <c r="G10" s="7" t="s">
        <v>9666</v>
      </c>
      <c r="H10" s="7" t="s">
        <v>9666</v>
      </c>
      <c r="I10" s="7">
        <v>25.422882699999999</v>
      </c>
      <c r="J10" s="7">
        <v>49.721176999999997</v>
      </c>
      <c r="K10" s="7" t="str">
        <f t="shared" si="0"/>
        <v>25.4228827,49.721177</v>
      </c>
      <c r="L10" s="7" t="s">
        <v>7096</v>
      </c>
      <c r="M10" s="49">
        <v>10006321687</v>
      </c>
      <c r="N10" s="7"/>
      <c r="O10" s="7"/>
      <c r="P10" s="29"/>
      <c r="Q10" s="10"/>
      <c r="R10" s="10"/>
      <c r="S10" s="35"/>
      <c r="T10" s="29"/>
      <c r="U10" s="10"/>
      <c r="V10" s="10"/>
      <c r="W10" s="10"/>
      <c r="X10" s="10"/>
      <c r="Y10" s="10"/>
      <c r="Z10" s="10"/>
      <c r="AA10" s="10"/>
      <c r="AB10" s="35"/>
      <c r="AC10" s="29"/>
      <c r="AD10" s="8"/>
      <c r="AE10" s="26"/>
      <c r="AF10" s="24">
        <f t="shared" si="1"/>
        <v>0</v>
      </c>
      <c r="AG10" s="24">
        <f t="shared" si="2"/>
        <v>0</v>
      </c>
      <c r="AH10" s="24">
        <f t="shared" si="3"/>
        <v>0</v>
      </c>
      <c r="AI10" s="41" t="str" cm="1">
        <f t="array" ref="AI10">_xlfn.IFS(
SUM(AF10:AH10)=0,"Not Started",
SUM(AF10:AH10)&lt;15,"In Progress",
SUM(AF10:AH10)=15,"Completed",
SUM(AF10:AH10)&gt;15,"Error"
)</f>
        <v>Not Started</v>
      </c>
    </row>
    <row r="11" spans="1:40" ht="13" x14ac:dyDescent="0.25">
      <c r="A11" s="7"/>
      <c r="B11" s="7" t="s">
        <v>2068</v>
      </c>
      <c r="C11" s="7" t="s">
        <v>6702</v>
      </c>
      <c r="D11" s="7" t="s">
        <v>6898</v>
      </c>
      <c r="E11" s="7" t="s">
        <v>8887</v>
      </c>
      <c r="F11" s="7" t="s">
        <v>48</v>
      </c>
      <c r="G11" s="7" t="s">
        <v>9666</v>
      </c>
      <c r="H11" s="7" t="s">
        <v>9666</v>
      </c>
      <c r="I11" s="7">
        <v>25.4093649</v>
      </c>
      <c r="J11" s="7">
        <v>49.656546900000002</v>
      </c>
      <c r="K11" s="7" t="str">
        <f t="shared" si="0"/>
        <v>25.4093649,49.6565469</v>
      </c>
      <c r="L11" s="7" t="s">
        <v>7097</v>
      </c>
      <c r="M11" s="49">
        <v>10105272114</v>
      </c>
      <c r="N11" s="7"/>
      <c r="O11" s="7"/>
      <c r="P11" s="29"/>
      <c r="Q11" s="10"/>
      <c r="R11" s="10"/>
      <c r="S11" s="35"/>
      <c r="T11" s="29"/>
      <c r="U11" s="10"/>
      <c r="V11" s="10"/>
      <c r="W11" s="10"/>
      <c r="X11" s="10"/>
      <c r="Y11" s="10"/>
      <c r="Z11" s="10"/>
      <c r="AA11" s="10"/>
      <c r="AB11" s="35"/>
      <c r="AC11" s="29"/>
      <c r="AD11" s="8"/>
      <c r="AE11" s="26"/>
      <c r="AF11" s="24">
        <f t="shared" si="1"/>
        <v>0</v>
      </c>
      <c r="AG11" s="24">
        <f t="shared" si="2"/>
        <v>0</v>
      </c>
      <c r="AH11" s="24">
        <f t="shared" si="3"/>
        <v>0</v>
      </c>
      <c r="AI11" s="41" t="str" cm="1">
        <f t="array" ref="AI11">_xlfn.IFS(
SUM(AF11:AH11)=0,"Not Started",
SUM(AF11:AH11)&lt;15,"In Progress",
SUM(AF11:AH11)=15,"Completed",
SUM(AF11:AH11)&gt;15,"Error"
)</f>
        <v>Not Started</v>
      </c>
    </row>
    <row r="12" spans="1:40" ht="13" x14ac:dyDescent="0.25">
      <c r="A12" s="7"/>
      <c r="B12" s="7" t="s">
        <v>2069</v>
      </c>
      <c r="C12" s="7" t="s">
        <v>6703</v>
      </c>
      <c r="D12" s="7" t="s">
        <v>6899</v>
      </c>
      <c r="E12" s="7" t="s">
        <v>8887</v>
      </c>
      <c r="F12" s="7" t="s">
        <v>9091</v>
      </c>
      <c r="G12" s="7" t="s">
        <v>9666</v>
      </c>
      <c r="H12" s="7" t="s">
        <v>9666</v>
      </c>
      <c r="I12" s="7">
        <v>25.378198600000001</v>
      </c>
      <c r="J12" s="7">
        <v>49.720562100000002</v>
      </c>
      <c r="K12" s="7" t="str">
        <f t="shared" si="0"/>
        <v>25.3781986,49.7205621</v>
      </c>
      <c r="L12" s="7" t="s">
        <v>7098</v>
      </c>
      <c r="M12" s="49">
        <v>10083210852</v>
      </c>
      <c r="N12" s="7"/>
      <c r="O12" s="7"/>
      <c r="P12" s="29"/>
      <c r="Q12" s="10"/>
      <c r="R12" s="10"/>
      <c r="S12" s="35"/>
      <c r="T12" s="29"/>
      <c r="U12" s="10"/>
      <c r="V12" s="10"/>
      <c r="W12" s="10"/>
      <c r="X12" s="10"/>
      <c r="Y12" s="10"/>
      <c r="Z12" s="10"/>
      <c r="AA12" s="10"/>
      <c r="AB12" s="35"/>
      <c r="AC12" s="29"/>
      <c r="AD12" s="8"/>
      <c r="AE12" s="26"/>
      <c r="AF12" s="24">
        <f t="shared" si="1"/>
        <v>0</v>
      </c>
      <c r="AG12" s="24">
        <f t="shared" si="2"/>
        <v>0</v>
      </c>
      <c r="AH12" s="24">
        <f t="shared" si="3"/>
        <v>0</v>
      </c>
      <c r="AI12" s="41" t="str" cm="1">
        <f t="array" ref="AI12">_xlfn.IFS(
SUM(AF12:AH12)=0,"Not Started",
SUM(AF12:AH12)&lt;15,"In Progress",
SUM(AF12:AH12)=15,"Completed",
SUM(AF12:AH12)&gt;15,"Error"
)</f>
        <v>Not Started</v>
      </c>
    </row>
    <row r="13" spans="1:40" ht="13" x14ac:dyDescent="0.25">
      <c r="A13" s="7"/>
      <c r="B13" s="7" t="s">
        <v>2070</v>
      </c>
      <c r="C13" s="7" t="s">
        <v>6704</v>
      </c>
      <c r="D13" s="7" t="s">
        <v>6900</v>
      </c>
      <c r="E13" s="7" t="s">
        <v>8888</v>
      </c>
      <c r="F13" s="7" t="s">
        <v>48</v>
      </c>
      <c r="G13" s="7" t="s">
        <v>9666</v>
      </c>
      <c r="H13" s="7" t="s">
        <v>9666</v>
      </c>
      <c r="I13" s="7">
        <v>25.3973154</v>
      </c>
      <c r="J13" s="7">
        <v>49.729847599999999</v>
      </c>
      <c r="K13" s="7" t="str">
        <f t="shared" si="0"/>
        <v>25.3973154,49.7298476</v>
      </c>
      <c r="L13" s="7" t="s">
        <v>7099</v>
      </c>
      <c r="M13" s="49">
        <v>10006353395</v>
      </c>
      <c r="N13" s="7"/>
      <c r="O13" s="7"/>
      <c r="P13" s="29"/>
      <c r="Q13" s="10"/>
      <c r="R13" s="10"/>
      <c r="S13" s="35"/>
      <c r="T13" s="29"/>
      <c r="U13" s="10"/>
      <c r="V13" s="10"/>
      <c r="W13" s="10"/>
      <c r="X13" s="10"/>
      <c r="Y13" s="10"/>
      <c r="Z13" s="10"/>
      <c r="AA13" s="10"/>
      <c r="AB13" s="35"/>
      <c r="AC13" s="29"/>
      <c r="AD13" s="8"/>
      <c r="AE13" s="26"/>
      <c r="AF13" s="24">
        <f t="shared" si="1"/>
        <v>0</v>
      </c>
      <c r="AG13" s="24">
        <f t="shared" si="2"/>
        <v>0</v>
      </c>
      <c r="AH13" s="24">
        <f t="shared" si="3"/>
        <v>0</v>
      </c>
      <c r="AI13" s="41" t="str" cm="1">
        <f t="array" ref="AI13">_xlfn.IFS(
SUM(AF13:AH13)=0,"Not Started",
SUM(AF13:AH13)&lt;15,"In Progress",
SUM(AF13:AH13)=15,"Completed",
SUM(AF13:AH13)&gt;15,"Error"
)</f>
        <v>Not Started</v>
      </c>
    </row>
    <row r="14" spans="1:40" ht="15.75" customHeight="1" x14ac:dyDescent="0.25">
      <c r="A14" s="7"/>
      <c r="B14" s="7" t="s">
        <v>2071</v>
      </c>
      <c r="C14" s="7" t="s">
        <v>6705</v>
      </c>
      <c r="D14" s="7" t="s">
        <v>6901</v>
      </c>
      <c r="E14" s="7" t="s">
        <v>9667</v>
      </c>
      <c r="F14" s="7" t="s">
        <v>9091</v>
      </c>
      <c r="G14" s="7" t="s">
        <v>9666</v>
      </c>
      <c r="H14" s="7" t="s">
        <v>9666</v>
      </c>
      <c r="I14" s="7">
        <v>25.417435399999999</v>
      </c>
      <c r="J14" s="7">
        <v>49.7326063</v>
      </c>
      <c r="K14" s="7" t="str">
        <f t="shared" si="0"/>
        <v>25.4174354,49.7326063</v>
      </c>
      <c r="L14" s="7" t="s">
        <v>7100</v>
      </c>
      <c r="M14" s="49">
        <v>10099268263</v>
      </c>
      <c r="N14" s="7"/>
      <c r="O14" s="7"/>
      <c r="P14" s="29"/>
      <c r="Q14" s="10"/>
      <c r="R14" s="10"/>
      <c r="S14" s="35"/>
      <c r="T14" s="29"/>
      <c r="U14" s="10"/>
      <c r="V14" s="10"/>
      <c r="W14" s="10"/>
      <c r="X14" s="10"/>
      <c r="Y14" s="10"/>
      <c r="Z14" s="10"/>
      <c r="AA14" s="10"/>
      <c r="AB14" s="35"/>
      <c r="AC14" s="29"/>
      <c r="AD14" s="8"/>
      <c r="AE14" s="26"/>
      <c r="AF14" s="24">
        <f t="shared" si="1"/>
        <v>0</v>
      </c>
      <c r="AG14" s="24">
        <f t="shared" si="2"/>
        <v>0</v>
      </c>
      <c r="AH14" s="24">
        <f t="shared" si="3"/>
        <v>0</v>
      </c>
      <c r="AI14" s="41" t="str" cm="1">
        <f t="array" ref="AI14">_xlfn.IFS(
SUM(AF14:AH14)=0,"Not Started",
SUM(AF14:AH14)&lt;15,"In Progress",
SUM(AF14:AH14)=15,"Completed",
SUM(AF14:AH14)&gt;15,"Error"
)</f>
        <v>Not Started</v>
      </c>
    </row>
    <row r="15" spans="1:40" ht="15.75" customHeight="1" x14ac:dyDescent="0.25">
      <c r="A15" s="7"/>
      <c r="B15" s="7" t="s">
        <v>2072</v>
      </c>
      <c r="C15" s="7" t="s">
        <v>6706</v>
      </c>
      <c r="D15" s="7" t="s">
        <v>6902</v>
      </c>
      <c r="E15" s="7" t="s">
        <v>9092</v>
      </c>
      <c r="F15" s="7" t="s">
        <v>9091</v>
      </c>
      <c r="G15" s="7" t="s">
        <v>9666</v>
      </c>
      <c r="H15" s="7" t="s">
        <v>9666</v>
      </c>
      <c r="I15" s="7">
        <v>25.385727200000002</v>
      </c>
      <c r="J15" s="7">
        <v>49.636507700000003</v>
      </c>
      <c r="K15" s="7" t="str">
        <f t="shared" si="0"/>
        <v>25.3857272,49.6365077</v>
      </c>
      <c r="L15" s="7" t="s">
        <v>7101</v>
      </c>
      <c r="M15" s="49">
        <v>10006349365</v>
      </c>
      <c r="N15" s="7"/>
      <c r="O15" s="7"/>
      <c r="P15" s="29"/>
      <c r="Q15" s="10"/>
      <c r="R15" s="10"/>
      <c r="S15" s="35"/>
      <c r="T15" s="29"/>
      <c r="U15" s="10"/>
      <c r="V15" s="10"/>
      <c r="W15" s="10"/>
      <c r="X15" s="10"/>
      <c r="Y15" s="10"/>
      <c r="Z15" s="10"/>
      <c r="AA15" s="10"/>
      <c r="AB15" s="35"/>
      <c r="AC15" s="29"/>
      <c r="AD15" s="8"/>
      <c r="AE15" s="26"/>
      <c r="AF15" s="24">
        <f t="shared" si="1"/>
        <v>0</v>
      </c>
      <c r="AG15" s="24">
        <f t="shared" si="2"/>
        <v>0</v>
      </c>
      <c r="AH15" s="24">
        <f t="shared" si="3"/>
        <v>0</v>
      </c>
      <c r="AI15" s="41" t="str" cm="1">
        <f t="array" ref="AI15">_xlfn.IFS(
SUM(AF15:AH15)=0,"Not Started",
SUM(AF15:AH15)&lt;15,"In Progress",
SUM(AF15:AH15)=15,"Completed",
SUM(AF15:AH15)&gt;15,"Error"
)</f>
        <v>Not Started</v>
      </c>
    </row>
    <row r="16" spans="1:40" ht="15.75" customHeight="1" x14ac:dyDescent="0.25">
      <c r="A16" s="7"/>
      <c r="B16" s="7" t="s">
        <v>2073</v>
      </c>
      <c r="C16" s="7" t="s">
        <v>6707</v>
      </c>
      <c r="D16" s="7" t="s">
        <v>6903</v>
      </c>
      <c r="E16" s="7" t="s">
        <v>9092</v>
      </c>
      <c r="F16" s="7" t="s">
        <v>9091</v>
      </c>
      <c r="G16" s="7" t="s">
        <v>9666</v>
      </c>
      <c r="H16" s="7" t="s">
        <v>9666</v>
      </c>
      <c r="I16" s="7">
        <v>25.390405699999999</v>
      </c>
      <c r="J16" s="7">
        <v>49.657809499999999</v>
      </c>
      <c r="K16" s="7" t="str">
        <f t="shared" si="0"/>
        <v>25.3904057,49.6578095</v>
      </c>
      <c r="L16" s="7" t="s">
        <v>7102</v>
      </c>
      <c r="M16" s="49">
        <v>10006349061</v>
      </c>
      <c r="N16" s="7"/>
      <c r="O16" s="7"/>
      <c r="P16" s="29"/>
      <c r="Q16" s="10"/>
      <c r="R16" s="10"/>
      <c r="S16" s="35"/>
      <c r="T16" s="29"/>
      <c r="U16" s="10"/>
      <c r="V16" s="10"/>
      <c r="W16" s="10"/>
      <c r="X16" s="10"/>
      <c r="Y16" s="10"/>
      <c r="Z16" s="10"/>
      <c r="AA16" s="10"/>
      <c r="AB16" s="35"/>
      <c r="AC16" s="29"/>
      <c r="AD16" s="8"/>
      <c r="AE16" s="26"/>
      <c r="AF16" s="24">
        <f t="shared" si="1"/>
        <v>0</v>
      </c>
      <c r="AG16" s="24">
        <f t="shared" si="2"/>
        <v>0</v>
      </c>
      <c r="AH16" s="24">
        <f t="shared" si="3"/>
        <v>0</v>
      </c>
      <c r="AI16" s="41" t="str" cm="1">
        <f t="array" ref="AI16">_xlfn.IFS(
SUM(AF16:AH16)=0,"Not Started",
SUM(AF16:AH16)&lt;15,"In Progress",
SUM(AF16:AH16)=15,"Completed",
SUM(AF16:AH16)&gt;15,"Error"
)</f>
        <v>Not Started</v>
      </c>
    </row>
    <row r="17" spans="1:35" ht="15.75" customHeight="1" x14ac:dyDescent="0.25">
      <c r="A17" s="7"/>
      <c r="B17" s="7" t="s">
        <v>2074</v>
      </c>
      <c r="C17" s="7" t="s">
        <v>6708</v>
      </c>
      <c r="D17" s="7" t="s">
        <v>6904</v>
      </c>
      <c r="E17" s="7" t="s">
        <v>9096</v>
      </c>
      <c r="F17" s="7" t="s">
        <v>48</v>
      </c>
      <c r="G17" s="7" t="s">
        <v>9666</v>
      </c>
      <c r="H17" s="7" t="s">
        <v>9666</v>
      </c>
      <c r="I17" s="7">
        <v>25.417646699999999</v>
      </c>
      <c r="J17" s="7">
        <v>49.7313379</v>
      </c>
      <c r="K17" s="7" t="str">
        <f t="shared" si="0"/>
        <v>25.4176467,49.7313379</v>
      </c>
      <c r="L17" s="7" t="s">
        <v>7103</v>
      </c>
      <c r="M17" s="49">
        <v>10006348617</v>
      </c>
      <c r="N17" s="7"/>
      <c r="O17" s="7"/>
      <c r="P17" s="29"/>
      <c r="Q17" s="10"/>
      <c r="R17" s="10"/>
      <c r="S17" s="35"/>
      <c r="T17" s="29"/>
      <c r="U17" s="10"/>
      <c r="V17" s="10"/>
      <c r="W17" s="10"/>
      <c r="X17" s="10"/>
      <c r="Y17" s="10"/>
      <c r="Z17" s="10"/>
      <c r="AA17" s="10"/>
      <c r="AB17" s="35"/>
      <c r="AC17" s="29"/>
      <c r="AD17" s="8"/>
      <c r="AE17" s="26"/>
      <c r="AF17" s="24">
        <f t="shared" si="1"/>
        <v>0</v>
      </c>
      <c r="AG17" s="24">
        <f t="shared" si="2"/>
        <v>0</v>
      </c>
      <c r="AH17" s="24">
        <f t="shared" si="3"/>
        <v>0</v>
      </c>
      <c r="AI17" s="41" t="str" cm="1">
        <f t="array" ref="AI17">_xlfn.IFS(
SUM(AF17:AH17)=0,"Not Started",
SUM(AF17:AH17)&lt;15,"In Progress",
SUM(AF17:AH17)=15,"Completed",
SUM(AF17:AH17)&gt;15,"Error"
)</f>
        <v>Not Started</v>
      </c>
    </row>
    <row r="18" spans="1:35" ht="15.75" customHeight="1" x14ac:dyDescent="0.25">
      <c r="A18" s="7"/>
      <c r="B18" s="7" t="s">
        <v>2075</v>
      </c>
      <c r="C18" s="7" t="s">
        <v>6709</v>
      </c>
      <c r="D18" s="7" t="s">
        <v>6905</v>
      </c>
      <c r="E18" s="7" t="s">
        <v>9098</v>
      </c>
      <c r="F18" s="7" t="s">
        <v>9091</v>
      </c>
      <c r="G18" s="7" t="s">
        <v>9666</v>
      </c>
      <c r="H18" s="7" t="s">
        <v>9666</v>
      </c>
      <c r="I18" s="7">
        <v>25.278475700000001</v>
      </c>
      <c r="J18" s="7">
        <v>49.779434899999998</v>
      </c>
      <c r="K18" s="7" t="str">
        <f t="shared" si="0"/>
        <v>25.2784757,49.7794349</v>
      </c>
      <c r="L18" s="7" t="s">
        <v>7104</v>
      </c>
      <c r="M18" s="49">
        <v>10104231135</v>
      </c>
      <c r="N18" s="7"/>
      <c r="O18" s="7"/>
      <c r="P18" s="29"/>
      <c r="Q18" s="10"/>
      <c r="R18" s="10"/>
      <c r="S18" s="35"/>
      <c r="T18" s="29"/>
      <c r="U18" s="10"/>
      <c r="V18" s="10"/>
      <c r="W18" s="10"/>
      <c r="X18" s="10"/>
      <c r="Y18" s="10"/>
      <c r="Z18" s="10"/>
      <c r="AA18" s="10"/>
      <c r="AB18" s="35"/>
      <c r="AC18" s="29"/>
      <c r="AD18" s="8"/>
      <c r="AE18" s="26"/>
      <c r="AF18" s="24">
        <f t="shared" si="1"/>
        <v>0</v>
      </c>
      <c r="AG18" s="24">
        <f t="shared" si="2"/>
        <v>0</v>
      </c>
      <c r="AH18" s="24">
        <f t="shared" si="3"/>
        <v>0</v>
      </c>
      <c r="AI18" s="41" t="str" cm="1">
        <f t="array" ref="AI18">_xlfn.IFS(
SUM(AF18:AH18)=0,"Not Started",
SUM(AF18:AH18)&lt;15,"In Progress",
SUM(AF18:AH18)=15,"Completed",
SUM(AF18:AH18)&gt;15,"Error"
)</f>
        <v>Not Started</v>
      </c>
    </row>
    <row r="19" spans="1:35" ht="15.75" customHeight="1" x14ac:dyDescent="0.25">
      <c r="A19" s="7"/>
      <c r="B19" s="7" t="s">
        <v>2076</v>
      </c>
      <c r="C19" s="7" t="s">
        <v>6710</v>
      </c>
      <c r="D19" s="7" t="s">
        <v>6906</v>
      </c>
      <c r="E19" s="7" t="s">
        <v>8890</v>
      </c>
      <c r="F19" s="7" t="s">
        <v>48</v>
      </c>
      <c r="G19" s="7" t="s">
        <v>9666</v>
      </c>
      <c r="H19" s="7" t="s">
        <v>9666</v>
      </c>
      <c r="I19" s="7">
        <v>25.417760099999999</v>
      </c>
      <c r="J19" s="7">
        <v>49.732393399999999</v>
      </c>
      <c r="K19" s="7" t="str">
        <f t="shared" si="0"/>
        <v>25.4177601,49.7323934</v>
      </c>
      <c r="L19" s="7" t="s">
        <v>7105</v>
      </c>
      <c r="M19" s="49">
        <v>10006353789</v>
      </c>
      <c r="N19" s="7"/>
      <c r="O19" s="7"/>
      <c r="P19" s="29"/>
      <c r="Q19" s="10"/>
      <c r="R19" s="10"/>
      <c r="S19" s="35"/>
      <c r="T19" s="29"/>
      <c r="U19" s="10"/>
      <c r="V19" s="10"/>
      <c r="W19" s="10"/>
      <c r="X19" s="10"/>
      <c r="Y19" s="10"/>
      <c r="Z19" s="10"/>
      <c r="AA19" s="10"/>
      <c r="AB19" s="35"/>
      <c r="AC19" s="29"/>
      <c r="AD19" s="8"/>
      <c r="AE19" s="26"/>
      <c r="AF19" s="24">
        <f t="shared" si="1"/>
        <v>0</v>
      </c>
      <c r="AG19" s="24">
        <f t="shared" si="2"/>
        <v>0</v>
      </c>
      <c r="AH19" s="24">
        <f t="shared" si="3"/>
        <v>0</v>
      </c>
      <c r="AI19" s="41" t="str" cm="1">
        <f t="array" ref="AI19">_xlfn.IFS(
SUM(AF19:AH19)=0,"Not Started",
SUM(AF19:AH19)&lt;15,"In Progress",
SUM(AF19:AH19)=15,"Completed",
SUM(AF19:AH19)&gt;15,"Error"
)</f>
        <v>Not Started</v>
      </c>
    </row>
    <row r="20" spans="1:35" ht="15.75" customHeight="1" x14ac:dyDescent="0.25">
      <c r="A20" s="7"/>
      <c r="B20" s="7" t="s">
        <v>2077</v>
      </c>
      <c r="C20" s="7" t="s">
        <v>6711</v>
      </c>
      <c r="D20" s="7" t="s">
        <v>6907</v>
      </c>
      <c r="E20" s="7" t="s">
        <v>9094</v>
      </c>
      <c r="F20" s="7" t="s">
        <v>48</v>
      </c>
      <c r="G20" s="7" t="s">
        <v>9666</v>
      </c>
      <c r="H20" s="7" t="s">
        <v>9666</v>
      </c>
      <c r="I20" s="7">
        <v>25.390319099999999</v>
      </c>
      <c r="J20" s="7">
        <v>49.659136199999999</v>
      </c>
      <c r="K20" s="7" t="str">
        <f t="shared" si="0"/>
        <v>25.3903191,49.6591362</v>
      </c>
      <c r="L20" s="7" t="s">
        <v>7106</v>
      </c>
      <c r="M20" s="49">
        <v>10018968158</v>
      </c>
      <c r="N20" s="7"/>
      <c r="O20" s="7"/>
      <c r="P20" s="29"/>
      <c r="Q20" s="10"/>
      <c r="R20" s="10"/>
      <c r="S20" s="35"/>
      <c r="T20" s="29"/>
      <c r="U20" s="10"/>
      <c r="V20" s="10"/>
      <c r="W20" s="10"/>
      <c r="X20" s="10"/>
      <c r="Y20" s="10"/>
      <c r="Z20" s="10"/>
      <c r="AA20" s="10"/>
      <c r="AB20" s="35"/>
      <c r="AC20" s="29"/>
      <c r="AD20" s="8"/>
      <c r="AE20" s="26"/>
      <c r="AF20" s="24">
        <f t="shared" si="1"/>
        <v>0</v>
      </c>
      <c r="AG20" s="24">
        <f t="shared" si="2"/>
        <v>0</v>
      </c>
      <c r="AH20" s="24">
        <f t="shared" si="3"/>
        <v>0</v>
      </c>
      <c r="AI20" s="41" t="str" cm="1">
        <f t="array" ref="AI20">_xlfn.IFS(
SUM(AF20:AH20)=0,"Not Started",
SUM(AF20:AH20)&lt;15,"In Progress",
SUM(AF20:AH20)=15,"Completed",
SUM(AF20:AH20)&gt;15,"Error"
)</f>
        <v>Not Started</v>
      </c>
    </row>
    <row r="21" spans="1:35" ht="13" x14ac:dyDescent="0.25">
      <c r="A21" s="7"/>
      <c r="B21" s="7" t="s">
        <v>2078</v>
      </c>
      <c r="C21" s="7" t="s">
        <v>6712</v>
      </c>
      <c r="D21" s="7" t="s">
        <v>6908</v>
      </c>
      <c r="E21" s="7" t="s">
        <v>9092</v>
      </c>
      <c r="F21" s="7" t="s">
        <v>48</v>
      </c>
      <c r="G21" s="7" t="s">
        <v>9666</v>
      </c>
      <c r="H21" s="7" t="s">
        <v>9666</v>
      </c>
      <c r="I21" s="7">
        <v>25.393105299999998</v>
      </c>
      <c r="J21" s="7">
        <v>49.751353600000002</v>
      </c>
      <c r="K21" s="7" t="str">
        <f t="shared" si="0"/>
        <v>25.3931053,49.7513536</v>
      </c>
      <c r="L21" s="7" t="s">
        <v>7107</v>
      </c>
      <c r="M21" s="49">
        <v>10083515873</v>
      </c>
      <c r="N21" s="7"/>
      <c r="O21" s="7"/>
      <c r="P21" s="29"/>
      <c r="Q21" s="10"/>
      <c r="R21" s="10"/>
      <c r="S21" s="35"/>
      <c r="T21" s="29"/>
      <c r="U21" s="10"/>
      <c r="V21" s="10"/>
      <c r="W21" s="10"/>
      <c r="X21" s="10"/>
      <c r="Y21" s="10"/>
      <c r="Z21" s="10"/>
      <c r="AA21" s="10"/>
      <c r="AB21" s="35"/>
      <c r="AC21" s="29"/>
      <c r="AD21" s="8"/>
      <c r="AE21" s="26"/>
      <c r="AF21" s="24">
        <f t="shared" si="1"/>
        <v>0</v>
      </c>
      <c r="AG21" s="24">
        <f t="shared" si="2"/>
        <v>0</v>
      </c>
      <c r="AH21" s="24">
        <f t="shared" si="3"/>
        <v>0</v>
      </c>
      <c r="AI21" s="41" t="str" cm="1">
        <f t="array" ref="AI21">_xlfn.IFS(
SUM(AF21:AH21)=0,"Not Started",
SUM(AF21:AH21)&lt;15,"In Progress",
SUM(AF21:AH21)=15,"Completed",
SUM(AF21:AH21)&gt;15,"Error"
)</f>
        <v>Not Started</v>
      </c>
    </row>
    <row r="22" spans="1:35" ht="13" x14ac:dyDescent="0.25">
      <c r="A22" s="7"/>
      <c r="B22" s="7" t="s">
        <v>2079</v>
      </c>
      <c r="C22" s="7" t="s">
        <v>6713</v>
      </c>
      <c r="D22" s="7" t="s">
        <v>6909</v>
      </c>
      <c r="E22" s="7" t="s">
        <v>8888</v>
      </c>
      <c r="F22" s="7" t="s">
        <v>48</v>
      </c>
      <c r="G22" s="7" t="s">
        <v>9666</v>
      </c>
      <c r="H22" s="7" t="s">
        <v>9666</v>
      </c>
      <c r="I22" s="7">
        <v>25.391504000000001</v>
      </c>
      <c r="J22" s="7">
        <v>49.750751700000002</v>
      </c>
      <c r="K22" s="7" t="str">
        <f t="shared" si="0"/>
        <v>25.391504,49.7507517</v>
      </c>
      <c r="L22" s="7" t="s">
        <v>7108</v>
      </c>
      <c r="M22" s="49">
        <v>10006348475</v>
      </c>
      <c r="N22" s="7"/>
      <c r="O22" s="7"/>
      <c r="P22" s="29"/>
      <c r="Q22" s="10"/>
      <c r="R22" s="10"/>
      <c r="S22" s="35"/>
      <c r="T22" s="29"/>
      <c r="U22" s="10"/>
      <c r="V22" s="10"/>
      <c r="W22" s="10"/>
      <c r="X22" s="10"/>
      <c r="Y22" s="10"/>
      <c r="Z22" s="10"/>
      <c r="AA22" s="10"/>
      <c r="AB22" s="35"/>
      <c r="AC22" s="29"/>
      <c r="AD22" s="8"/>
      <c r="AE22" s="26"/>
      <c r="AF22" s="24">
        <f t="shared" si="1"/>
        <v>0</v>
      </c>
      <c r="AG22" s="24">
        <f t="shared" si="2"/>
        <v>0</v>
      </c>
      <c r="AH22" s="24">
        <f t="shared" si="3"/>
        <v>0</v>
      </c>
      <c r="AI22" s="41" t="str" cm="1">
        <f t="array" ref="AI22">_xlfn.IFS(
SUM(AF22:AH22)=0,"Not Started",
SUM(AF22:AH22)&lt;15,"In Progress",
SUM(AF22:AH22)=15,"Completed",
SUM(AF22:AH22)&gt;15,"Error"
)</f>
        <v>Not Started</v>
      </c>
    </row>
    <row r="23" spans="1:35" ht="13" x14ac:dyDescent="0.25">
      <c r="A23" s="7"/>
      <c r="B23" s="7" t="s">
        <v>2080</v>
      </c>
      <c r="C23" s="7" t="s">
        <v>6714</v>
      </c>
      <c r="D23" s="7" t="s">
        <v>6910</v>
      </c>
      <c r="E23" s="7" t="s">
        <v>9092</v>
      </c>
      <c r="F23" s="7" t="s">
        <v>48</v>
      </c>
      <c r="G23" s="7" t="s">
        <v>9666</v>
      </c>
      <c r="H23" s="7" t="s">
        <v>9666</v>
      </c>
      <c r="I23" s="7">
        <v>25.383293900000002</v>
      </c>
      <c r="J23" s="7" t="s">
        <v>9484</v>
      </c>
      <c r="K23" s="7" t="str">
        <f t="shared" si="0"/>
        <v xml:space="preserve">25.3832939,49.7224333
</v>
      </c>
      <c r="L23" s="7" t="s">
        <v>7109</v>
      </c>
      <c r="M23" s="49">
        <v>10006346612</v>
      </c>
      <c r="N23" s="7"/>
      <c r="O23" s="7"/>
      <c r="P23" s="29"/>
      <c r="Q23" s="10"/>
      <c r="R23" s="10"/>
      <c r="S23" s="35"/>
      <c r="T23" s="29"/>
      <c r="U23" s="10"/>
      <c r="V23" s="10"/>
      <c r="W23" s="10"/>
      <c r="X23" s="10"/>
      <c r="Y23" s="10"/>
      <c r="Z23" s="10"/>
      <c r="AA23" s="10"/>
      <c r="AB23" s="35"/>
      <c r="AC23" s="29"/>
      <c r="AD23" s="8"/>
      <c r="AE23" s="26"/>
      <c r="AF23" s="24">
        <f t="shared" si="1"/>
        <v>0</v>
      </c>
      <c r="AG23" s="24">
        <f t="shared" si="2"/>
        <v>0</v>
      </c>
      <c r="AH23" s="24">
        <f t="shared" si="3"/>
        <v>0</v>
      </c>
      <c r="AI23" s="41" t="str" cm="1">
        <f t="array" ref="AI23">_xlfn.IFS(
SUM(AF23:AH23)=0,"Not Started",
SUM(AF23:AH23)&lt;15,"In Progress",
SUM(AF23:AH23)=15,"Completed",
SUM(AF23:AH23)&gt;15,"Error"
)</f>
        <v>Not Started</v>
      </c>
    </row>
    <row r="24" spans="1:35" ht="13" x14ac:dyDescent="0.25">
      <c r="A24" s="7"/>
      <c r="B24" s="7" t="s">
        <v>2081</v>
      </c>
      <c r="C24" s="7" t="s">
        <v>6715</v>
      </c>
      <c r="D24" s="7" t="s">
        <v>6911</v>
      </c>
      <c r="E24" s="7" t="s">
        <v>8888</v>
      </c>
      <c r="F24" s="7" t="s">
        <v>44</v>
      </c>
      <c r="G24" s="7" t="s">
        <v>9666</v>
      </c>
      <c r="H24" s="7" t="s">
        <v>9666</v>
      </c>
      <c r="I24" s="7">
        <v>25.349155499999998</v>
      </c>
      <c r="J24" s="7">
        <v>49.724512400000002</v>
      </c>
      <c r="K24" s="7" t="str">
        <f t="shared" si="0"/>
        <v>25.3491555,49.7245124</v>
      </c>
      <c r="L24" s="7" t="s">
        <v>7110</v>
      </c>
      <c r="M24" s="49">
        <v>10006352413</v>
      </c>
      <c r="N24" s="7"/>
      <c r="O24" s="7"/>
      <c r="P24" s="29"/>
      <c r="Q24" s="10"/>
      <c r="R24" s="10"/>
      <c r="S24" s="35"/>
      <c r="T24" s="29"/>
      <c r="U24" s="10"/>
      <c r="V24" s="10"/>
      <c r="W24" s="10"/>
      <c r="X24" s="10"/>
      <c r="Y24" s="10"/>
      <c r="Z24" s="10"/>
      <c r="AA24" s="10"/>
      <c r="AB24" s="35"/>
      <c r="AC24" s="29"/>
      <c r="AD24" s="8"/>
      <c r="AE24" s="26"/>
      <c r="AF24" s="24">
        <f t="shared" si="1"/>
        <v>0</v>
      </c>
      <c r="AG24" s="24">
        <f t="shared" si="2"/>
        <v>0</v>
      </c>
      <c r="AH24" s="24">
        <f t="shared" si="3"/>
        <v>0</v>
      </c>
      <c r="AI24" s="41" t="str" cm="1">
        <f t="array" ref="AI24">_xlfn.IFS(
SUM(AF24:AH24)=0,"Not Started",
SUM(AF24:AH24)&lt;15,"In Progress",
SUM(AF24:AH24)=15,"Completed",
SUM(AF24:AH24)&gt;15,"Error"
)</f>
        <v>Not Started</v>
      </c>
    </row>
    <row r="25" spans="1:35" ht="13" x14ac:dyDescent="0.25">
      <c r="A25" s="7"/>
      <c r="B25" s="7" t="s">
        <v>2082</v>
      </c>
      <c r="C25" s="7" t="s">
        <v>6716</v>
      </c>
      <c r="D25" s="7" t="s">
        <v>6912</v>
      </c>
      <c r="E25" s="7" t="s">
        <v>8888</v>
      </c>
      <c r="F25" s="7" t="s">
        <v>9087</v>
      </c>
      <c r="G25" s="7" t="s">
        <v>9666</v>
      </c>
      <c r="H25" s="7" t="s">
        <v>9666</v>
      </c>
      <c r="I25" s="7">
        <v>25.414568299999999</v>
      </c>
      <c r="J25" s="7">
        <v>49.717791800000001</v>
      </c>
      <c r="K25" s="7" t="str">
        <f t="shared" si="0"/>
        <v>25.4145683,49.7177918</v>
      </c>
      <c r="L25" s="7" t="s">
        <v>7111</v>
      </c>
      <c r="M25" s="49">
        <v>10006347647</v>
      </c>
      <c r="N25" s="7"/>
      <c r="O25" s="7"/>
      <c r="P25" s="29"/>
      <c r="Q25" s="10"/>
      <c r="R25" s="10"/>
      <c r="S25" s="35"/>
      <c r="T25" s="29"/>
      <c r="U25" s="10"/>
      <c r="V25" s="10"/>
      <c r="W25" s="10"/>
      <c r="X25" s="10"/>
      <c r="Y25" s="10"/>
      <c r="Z25" s="10"/>
      <c r="AA25" s="10"/>
      <c r="AB25" s="35"/>
      <c r="AC25" s="29"/>
      <c r="AD25" s="8"/>
      <c r="AE25" s="26"/>
      <c r="AF25" s="24">
        <f t="shared" si="1"/>
        <v>0</v>
      </c>
      <c r="AG25" s="24">
        <f t="shared" si="2"/>
        <v>0</v>
      </c>
      <c r="AH25" s="24">
        <f t="shared" si="3"/>
        <v>0</v>
      </c>
      <c r="AI25" s="41" t="str" cm="1">
        <f t="array" ref="AI25">_xlfn.IFS(
SUM(AF25:AH25)=0,"Not Started",
SUM(AF25:AH25)&lt;15,"In Progress",
SUM(AF25:AH25)=15,"Completed",
SUM(AF25:AH25)&gt;15,"Error"
)</f>
        <v>Not Started</v>
      </c>
    </row>
    <row r="26" spans="1:35" ht="13" x14ac:dyDescent="0.25">
      <c r="A26" s="7"/>
      <c r="B26" s="7" t="s">
        <v>2083</v>
      </c>
      <c r="C26" s="7" t="s">
        <v>6717</v>
      </c>
      <c r="D26" s="7" t="s">
        <v>6913</v>
      </c>
      <c r="E26" s="7" t="s">
        <v>9092</v>
      </c>
      <c r="F26" s="7" t="s">
        <v>48</v>
      </c>
      <c r="G26" s="7" t="s">
        <v>9666</v>
      </c>
      <c r="H26" s="7" t="s">
        <v>9666</v>
      </c>
      <c r="I26" s="7">
        <v>25.398699199999999</v>
      </c>
      <c r="J26" s="7">
        <v>49.655284199999997</v>
      </c>
      <c r="K26" s="7" t="str">
        <f t="shared" si="0"/>
        <v>25.3986992,49.6552842</v>
      </c>
      <c r="L26" s="7" t="s">
        <v>7112</v>
      </c>
      <c r="M26" s="49">
        <v>10006321103</v>
      </c>
      <c r="N26" s="7"/>
      <c r="O26" s="7"/>
      <c r="P26" s="29"/>
      <c r="Q26" s="10"/>
      <c r="R26" s="10"/>
      <c r="S26" s="35"/>
      <c r="T26" s="29"/>
      <c r="U26" s="10"/>
      <c r="V26" s="10"/>
      <c r="W26" s="10"/>
      <c r="X26" s="10"/>
      <c r="Y26" s="10"/>
      <c r="Z26" s="10"/>
      <c r="AA26" s="10"/>
      <c r="AB26" s="35"/>
      <c r="AC26" s="29"/>
      <c r="AD26" s="8"/>
      <c r="AE26" s="26"/>
      <c r="AF26" s="24">
        <f t="shared" si="1"/>
        <v>0</v>
      </c>
      <c r="AG26" s="24">
        <f t="shared" si="2"/>
        <v>0</v>
      </c>
      <c r="AH26" s="24">
        <f t="shared" si="3"/>
        <v>0</v>
      </c>
      <c r="AI26" s="41" t="str" cm="1">
        <f t="array" ref="AI26">_xlfn.IFS(
SUM(AF26:AH26)=0,"Not Started",
SUM(AF26:AH26)&lt;15,"In Progress",
SUM(AF26:AH26)=15,"Completed",
SUM(AF26:AH26)&gt;15,"Error"
)</f>
        <v>Not Started</v>
      </c>
    </row>
    <row r="27" spans="1:35" ht="13" x14ac:dyDescent="0.25">
      <c r="A27" s="7"/>
      <c r="B27" s="7" t="s">
        <v>2084</v>
      </c>
      <c r="C27" s="7" t="s">
        <v>6718</v>
      </c>
      <c r="D27" s="7" t="s">
        <v>6914</v>
      </c>
      <c r="E27" s="7" t="s">
        <v>8888</v>
      </c>
      <c r="F27" s="7" t="s">
        <v>44</v>
      </c>
      <c r="G27" s="7" t="s">
        <v>9666</v>
      </c>
      <c r="H27" s="7" t="s">
        <v>9666</v>
      </c>
      <c r="I27" s="7">
        <v>25.265071200000001</v>
      </c>
      <c r="J27" s="7">
        <v>49.694678500000002</v>
      </c>
      <c r="K27" s="7" t="str">
        <f t="shared" si="0"/>
        <v>25.2650712,49.6946785</v>
      </c>
      <c r="L27" s="7" t="s">
        <v>7113</v>
      </c>
      <c r="M27" s="49">
        <v>10006306161</v>
      </c>
      <c r="N27" s="7"/>
      <c r="O27" s="7"/>
      <c r="P27" s="29"/>
      <c r="Q27" s="10"/>
      <c r="R27" s="10"/>
      <c r="S27" s="35"/>
      <c r="T27" s="29"/>
      <c r="U27" s="10"/>
      <c r="V27" s="10"/>
      <c r="W27" s="10"/>
      <c r="X27" s="10"/>
      <c r="Y27" s="10"/>
      <c r="Z27" s="10"/>
      <c r="AA27" s="10"/>
      <c r="AB27" s="35"/>
      <c r="AC27" s="29"/>
      <c r="AD27" s="8"/>
      <c r="AE27" s="26"/>
      <c r="AF27" s="24">
        <f t="shared" si="1"/>
        <v>0</v>
      </c>
      <c r="AG27" s="24">
        <f t="shared" si="2"/>
        <v>0</v>
      </c>
      <c r="AH27" s="24">
        <f t="shared" si="3"/>
        <v>0</v>
      </c>
      <c r="AI27" s="41" t="str" cm="1">
        <f t="array" ref="AI27">_xlfn.IFS(
SUM(AF27:AH27)=0,"Not Started",
SUM(AF27:AH27)&lt;15,"In Progress",
SUM(AF27:AH27)=15,"Completed",
SUM(AF27:AH27)&gt;15,"Error"
)</f>
        <v>Not Started</v>
      </c>
    </row>
    <row r="28" spans="1:35" ht="13" x14ac:dyDescent="0.25">
      <c r="A28" s="7"/>
      <c r="B28" s="7" t="s">
        <v>2085</v>
      </c>
      <c r="C28" s="7" t="s">
        <v>6719</v>
      </c>
      <c r="D28" s="7" t="s">
        <v>6915</v>
      </c>
      <c r="E28" s="7" t="s">
        <v>9092</v>
      </c>
      <c r="F28" s="7" t="s">
        <v>9088</v>
      </c>
      <c r="G28" s="7" t="s">
        <v>9666</v>
      </c>
      <c r="H28" s="7" t="s">
        <v>9666</v>
      </c>
      <c r="I28" s="7">
        <v>25.393038700000002</v>
      </c>
      <c r="J28" s="7">
        <v>49.728476700000002</v>
      </c>
      <c r="K28" s="7" t="str">
        <f t="shared" si="0"/>
        <v>25.3930387,49.7284767</v>
      </c>
      <c r="L28" s="7" t="s">
        <v>7114</v>
      </c>
      <c r="M28" s="49">
        <v>10006347807</v>
      </c>
      <c r="N28" s="7"/>
      <c r="O28" s="7"/>
      <c r="P28" s="29"/>
      <c r="Q28" s="10"/>
      <c r="R28" s="10"/>
      <c r="S28" s="35"/>
      <c r="T28" s="29"/>
      <c r="U28" s="10"/>
      <c r="V28" s="10"/>
      <c r="W28" s="10"/>
      <c r="X28" s="10"/>
      <c r="Y28" s="10"/>
      <c r="Z28" s="10"/>
      <c r="AA28" s="10"/>
      <c r="AB28" s="35"/>
      <c r="AC28" s="29"/>
      <c r="AD28" s="8"/>
      <c r="AE28" s="26"/>
      <c r="AF28" s="24">
        <f t="shared" si="1"/>
        <v>0</v>
      </c>
      <c r="AG28" s="24">
        <f t="shared" si="2"/>
        <v>0</v>
      </c>
      <c r="AH28" s="24">
        <f t="shared" si="3"/>
        <v>0</v>
      </c>
      <c r="AI28" s="41" t="str" cm="1">
        <f t="array" ref="AI28">_xlfn.IFS(
SUM(AF28:AH28)=0,"Not Started",
SUM(AF28:AH28)&lt;15,"In Progress",
SUM(AF28:AH28)=15,"Completed",
SUM(AF28:AH28)&gt;15,"Error"
)</f>
        <v>Not Started</v>
      </c>
    </row>
    <row r="29" spans="1:35" ht="13" x14ac:dyDescent="0.25">
      <c r="A29" s="7"/>
      <c r="B29" s="7" t="s">
        <v>2086</v>
      </c>
      <c r="C29" s="7" t="s">
        <v>6720</v>
      </c>
      <c r="D29" s="7" t="s">
        <v>6916</v>
      </c>
      <c r="E29" s="7" t="s">
        <v>9094</v>
      </c>
      <c r="F29" s="7" t="s">
        <v>44</v>
      </c>
      <c r="G29" s="7" t="s">
        <v>9666</v>
      </c>
      <c r="H29" s="7" t="s">
        <v>9666</v>
      </c>
      <c r="I29" s="7">
        <v>25.385796200000001</v>
      </c>
      <c r="J29" s="7">
        <v>49.746776400000002</v>
      </c>
      <c r="K29" s="7" t="str">
        <f t="shared" si="0"/>
        <v>25.3857962,49.7467764</v>
      </c>
      <c r="L29" s="7" t="s">
        <v>7115</v>
      </c>
      <c r="M29" s="49">
        <v>10006344126</v>
      </c>
      <c r="N29" s="7"/>
      <c r="O29" s="7"/>
      <c r="P29" s="29"/>
      <c r="Q29" s="10"/>
      <c r="R29" s="10"/>
      <c r="S29" s="35"/>
      <c r="T29" s="29"/>
      <c r="U29" s="10"/>
      <c r="V29" s="10"/>
      <c r="W29" s="10"/>
      <c r="X29" s="10"/>
      <c r="Y29" s="10"/>
      <c r="Z29" s="10"/>
      <c r="AA29" s="10"/>
      <c r="AB29" s="35"/>
      <c r="AC29" s="29"/>
      <c r="AD29" s="8"/>
      <c r="AE29" s="26"/>
      <c r="AF29" s="24">
        <f t="shared" si="1"/>
        <v>0</v>
      </c>
      <c r="AG29" s="24">
        <f t="shared" si="2"/>
        <v>0</v>
      </c>
      <c r="AH29" s="24">
        <f t="shared" si="3"/>
        <v>0</v>
      </c>
      <c r="AI29" s="41" t="str" cm="1">
        <f t="array" ref="AI29">_xlfn.IFS(
SUM(AF29:AH29)=0,"Not Started",
SUM(AF29:AH29)&lt;15,"In Progress",
SUM(AF29:AH29)=15,"Completed",
SUM(AF29:AH29)&gt;15,"Error"
)</f>
        <v>Not Started</v>
      </c>
    </row>
    <row r="30" spans="1:35" ht="13" x14ac:dyDescent="0.25">
      <c r="A30" s="7"/>
      <c r="B30" s="7" t="s">
        <v>2087</v>
      </c>
      <c r="C30" s="7" t="s">
        <v>6721</v>
      </c>
      <c r="D30" s="7" t="s">
        <v>6917</v>
      </c>
      <c r="E30" s="7" t="s">
        <v>8888</v>
      </c>
      <c r="F30" s="7" t="s">
        <v>44</v>
      </c>
      <c r="G30" s="7" t="s">
        <v>9666</v>
      </c>
      <c r="H30" s="7" t="s">
        <v>9666</v>
      </c>
      <c r="I30" s="7">
        <v>25.3452293</v>
      </c>
      <c r="J30" s="7">
        <v>49.723061600000001</v>
      </c>
      <c r="K30" s="7" t="str">
        <f t="shared" si="0"/>
        <v>25.3452293,49.7230616</v>
      </c>
      <c r="L30" s="7" t="s">
        <v>7116</v>
      </c>
      <c r="M30" s="49">
        <v>10006321284</v>
      </c>
      <c r="N30" s="7"/>
      <c r="O30" s="7"/>
      <c r="P30" s="29"/>
      <c r="Q30" s="10"/>
      <c r="R30" s="10"/>
      <c r="S30" s="35"/>
      <c r="T30" s="29"/>
      <c r="U30" s="10"/>
      <c r="V30" s="10"/>
      <c r="W30" s="10"/>
      <c r="X30" s="10"/>
      <c r="Y30" s="10"/>
      <c r="Z30" s="10"/>
      <c r="AA30" s="10"/>
      <c r="AB30" s="35"/>
      <c r="AC30" s="29"/>
      <c r="AD30" s="8"/>
      <c r="AE30" s="26"/>
      <c r="AF30" s="24">
        <f t="shared" si="1"/>
        <v>0</v>
      </c>
      <c r="AG30" s="24">
        <f t="shared" si="2"/>
        <v>0</v>
      </c>
      <c r="AH30" s="24">
        <f t="shared" si="3"/>
        <v>0</v>
      </c>
      <c r="AI30" s="41" t="str" cm="1">
        <f t="array" ref="AI30">_xlfn.IFS(
SUM(AF30:AH30)=0,"Not Started",
SUM(AF30:AH30)&lt;15,"In Progress",
SUM(AF30:AH30)=15,"Completed",
SUM(AF30:AH30)&gt;15,"Error"
)</f>
        <v>Not Started</v>
      </c>
    </row>
    <row r="31" spans="1:35" ht="13" x14ac:dyDescent="0.25">
      <c r="A31" s="7"/>
      <c r="B31" s="7" t="s">
        <v>2088</v>
      </c>
      <c r="C31" s="7" t="s">
        <v>6722</v>
      </c>
      <c r="D31" s="7" t="s">
        <v>6918</v>
      </c>
      <c r="E31" s="7" t="s">
        <v>8888</v>
      </c>
      <c r="F31" s="7" t="s">
        <v>44</v>
      </c>
      <c r="G31" s="7" t="s">
        <v>9666</v>
      </c>
      <c r="H31" s="7" t="s">
        <v>9666</v>
      </c>
      <c r="I31" s="7">
        <v>25.389911699999999</v>
      </c>
      <c r="J31" s="7">
        <v>49.759294599999997</v>
      </c>
      <c r="K31" s="7" t="str">
        <f t="shared" si="0"/>
        <v>25.3899117,49.7592946</v>
      </c>
      <c r="L31" s="7" t="s">
        <v>7117</v>
      </c>
      <c r="M31" s="49">
        <v>10006349347</v>
      </c>
      <c r="N31" s="7"/>
      <c r="O31" s="7"/>
      <c r="P31" s="29"/>
      <c r="Q31" s="10"/>
      <c r="R31" s="10"/>
      <c r="S31" s="35"/>
      <c r="T31" s="29"/>
      <c r="U31" s="10"/>
      <c r="V31" s="10"/>
      <c r="W31" s="10"/>
      <c r="X31" s="10"/>
      <c r="Y31" s="10"/>
      <c r="Z31" s="10"/>
      <c r="AA31" s="10"/>
      <c r="AB31" s="35"/>
      <c r="AC31" s="29"/>
      <c r="AD31" s="8"/>
      <c r="AE31" s="26"/>
      <c r="AF31" s="24">
        <f t="shared" si="1"/>
        <v>0</v>
      </c>
      <c r="AG31" s="24">
        <f t="shared" si="2"/>
        <v>0</v>
      </c>
      <c r="AH31" s="24">
        <f t="shared" si="3"/>
        <v>0</v>
      </c>
      <c r="AI31" s="41" t="str" cm="1">
        <f t="array" ref="AI31">_xlfn.IFS(
SUM(AF31:AH31)=0,"Not Started",
SUM(AF31:AH31)&lt;15,"In Progress",
SUM(AF31:AH31)=15,"Completed",
SUM(AF31:AH31)&gt;15,"Error"
)</f>
        <v>Not Started</v>
      </c>
    </row>
    <row r="32" spans="1:35" ht="13" x14ac:dyDescent="0.25">
      <c r="A32" s="7"/>
      <c r="B32" s="7" t="s">
        <v>2089</v>
      </c>
      <c r="C32" s="7" t="s">
        <v>6723</v>
      </c>
      <c r="D32" s="7" t="s">
        <v>6919</v>
      </c>
      <c r="E32" s="7" t="s">
        <v>8888</v>
      </c>
      <c r="F32" s="7" t="s">
        <v>44</v>
      </c>
      <c r="G32" s="7" t="s">
        <v>9666</v>
      </c>
      <c r="H32" s="7" t="s">
        <v>9666</v>
      </c>
      <c r="I32" s="7">
        <v>25.387856200000002</v>
      </c>
      <c r="J32" s="7">
        <v>49.656783599999997</v>
      </c>
      <c r="K32" s="7" t="str">
        <f t="shared" si="0"/>
        <v>25.3878562,49.6567836</v>
      </c>
      <c r="L32" s="7" t="s">
        <v>7118</v>
      </c>
      <c r="M32" s="49">
        <v>10006349131</v>
      </c>
      <c r="N32" s="7"/>
      <c r="O32" s="7"/>
      <c r="P32" s="29"/>
      <c r="Q32" s="10"/>
      <c r="R32" s="10"/>
      <c r="S32" s="35"/>
      <c r="T32" s="29"/>
      <c r="U32" s="10"/>
      <c r="V32" s="10"/>
      <c r="W32" s="10"/>
      <c r="X32" s="10"/>
      <c r="Y32" s="10"/>
      <c r="Z32" s="10"/>
      <c r="AA32" s="10"/>
      <c r="AB32" s="35"/>
      <c r="AC32" s="29"/>
      <c r="AD32" s="8"/>
      <c r="AE32" s="26"/>
      <c r="AF32" s="24">
        <f t="shared" si="1"/>
        <v>0</v>
      </c>
      <c r="AG32" s="24">
        <f t="shared" si="2"/>
        <v>0</v>
      </c>
      <c r="AH32" s="24">
        <f t="shared" si="3"/>
        <v>0</v>
      </c>
      <c r="AI32" s="41" t="str" cm="1">
        <f t="array" ref="AI32">_xlfn.IFS(
SUM(AF32:AH32)=0,"Not Started",
SUM(AF32:AH32)&lt;15,"In Progress",
SUM(AF32:AH32)=15,"Completed",
SUM(AF32:AH32)&gt;15,"Error"
)</f>
        <v>Not Started</v>
      </c>
    </row>
    <row r="33" spans="1:35" ht="15.5" customHeight="1" x14ac:dyDescent="0.25">
      <c r="A33" s="7"/>
      <c r="B33" s="7" t="s">
        <v>2090</v>
      </c>
      <c r="C33" s="7" t="s">
        <v>6724</v>
      </c>
      <c r="D33" s="7" t="s">
        <v>6920</v>
      </c>
      <c r="E33" s="7" t="s">
        <v>8888</v>
      </c>
      <c r="F33" s="7" t="s">
        <v>9089</v>
      </c>
      <c r="G33" s="7" t="s">
        <v>9666</v>
      </c>
      <c r="H33" s="7" t="s">
        <v>9666</v>
      </c>
      <c r="I33" s="7">
        <v>25.412760899999999</v>
      </c>
      <c r="J33" s="7">
        <v>49.707702599999998</v>
      </c>
      <c r="K33" s="7" t="str">
        <f t="shared" si="0"/>
        <v>25.4127609,49.7077026</v>
      </c>
      <c r="L33" s="7" t="s">
        <v>7119</v>
      </c>
      <c r="M33" s="49" t="s">
        <v>8893</v>
      </c>
      <c r="N33" s="7"/>
      <c r="O33" s="7"/>
      <c r="P33" s="29"/>
      <c r="Q33" s="10"/>
      <c r="R33" s="10"/>
      <c r="S33" s="35"/>
      <c r="T33" s="29"/>
      <c r="U33" s="10"/>
      <c r="V33" s="10"/>
      <c r="W33" s="10"/>
      <c r="X33" s="10"/>
      <c r="Y33" s="10"/>
      <c r="Z33" s="10"/>
      <c r="AA33" s="10"/>
      <c r="AB33" s="35"/>
      <c r="AC33" s="29"/>
      <c r="AD33" s="8"/>
      <c r="AE33" s="26"/>
      <c r="AF33" s="24">
        <f t="shared" si="1"/>
        <v>0</v>
      </c>
      <c r="AG33" s="24">
        <f t="shared" si="2"/>
        <v>0</v>
      </c>
      <c r="AH33" s="24">
        <f t="shared" si="3"/>
        <v>0</v>
      </c>
      <c r="AI33" s="41" t="str" cm="1">
        <f t="array" ref="AI33">_xlfn.IFS(
SUM(AF33:AH33)=0,"Not Started",
SUM(AF33:AH33)&lt;15,"In Progress",
SUM(AF33:AH33)=15,"Completed",
SUM(AF33:AH33)&gt;15,"Error"
)</f>
        <v>Not Started</v>
      </c>
    </row>
    <row r="34" spans="1:35" ht="13" x14ac:dyDescent="0.25">
      <c r="A34" s="7"/>
      <c r="B34" s="7" t="s">
        <v>2091</v>
      </c>
      <c r="C34" s="7" t="s">
        <v>6725</v>
      </c>
      <c r="D34" s="7" t="s">
        <v>6921</v>
      </c>
      <c r="E34" s="7" t="s">
        <v>8887</v>
      </c>
      <c r="F34" s="7" t="s">
        <v>44</v>
      </c>
      <c r="G34" s="7" t="s">
        <v>9666</v>
      </c>
      <c r="H34" s="7" t="s">
        <v>9666</v>
      </c>
      <c r="I34" s="7">
        <v>25.400186600000001</v>
      </c>
      <c r="J34" s="7">
        <v>49.663309400000003</v>
      </c>
      <c r="K34" s="7" t="str">
        <f t="shared" si="0"/>
        <v>25.4001866,49.6633094</v>
      </c>
      <c r="L34" s="7" t="s">
        <v>7120</v>
      </c>
      <c r="M34" s="49">
        <v>10006354365</v>
      </c>
      <c r="N34" s="7"/>
      <c r="O34" s="7"/>
      <c r="P34" s="29"/>
      <c r="Q34" s="10"/>
      <c r="R34" s="10"/>
      <c r="S34" s="35"/>
      <c r="T34" s="29"/>
      <c r="U34" s="10"/>
      <c r="V34" s="10"/>
      <c r="W34" s="10"/>
      <c r="X34" s="10"/>
      <c r="Y34" s="10"/>
      <c r="Z34" s="10"/>
      <c r="AA34" s="10"/>
      <c r="AB34" s="35"/>
      <c r="AC34" s="29"/>
      <c r="AD34" s="8"/>
      <c r="AE34" s="26"/>
      <c r="AF34" s="24">
        <f t="shared" si="1"/>
        <v>0</v>
      </c>
      <c r="AG34" s="24">
        <f t="shared" si="2"/>
        <v>0</v>
      </c>
      <c r="AH34" s="24">
        <f t="shared" si="3"/>
        <v>0</v>
      </c>
      <c r="AI34" s="41" t="str" cm="1">
        <f t="array" ref="AI34">_xlfn.IFS(
SUM(AF34:AH34)=0,"Not Started",
SUM(AF34:AH34)&lt;15,"In Progress",
SUM(AF34:AH34)=15,"Completed",
SUM(AF34:AH34)&gt;15,"Error"
)</f>
        <v>Not Started</v>
      </c>
    </row>
    <row r="35" spans="1:35" ht="13" x14ac:dyDescent="0.25">
      <c r="A35" s="7"/>
      <c r="B35" s="7" t="s">
        <v>2092</v>
      </c>
      <c r="C35" s="7" t="s">
        <v>6726</v>
      </c>
      <c r="D35" s="7" t="s">
        <v>6922</v>
      </c>
      <c r="E35" s="7" t="s">
        <v>8887</v>
      </c>
      <c r="F35" s="7" t="s">
        <v>44</v>
      </c>
      <c r="G35" s="7" t="s">
        <v>9666</v>
      </c>
      <c r="H35" s="7" t="s">
        <v>9666</v>
      </c>
      <c r="I35" s="7">
        <v>25.3894819</v>
      </c>
      <c r="J35" s="7">
        <v>49.656358400000002</v>
      </c>
      <c r="K35" s="7" t="str">
        <f t="shared" si="0"/>
        <v>25.3894819,49.6563584</v>
      </c>
      <c r="L35" s="7" t="s">
        <v>7121</v>
      </c>
      <c r="M35" s="49">
        <v>10006354230</v>
      </c>
      <c r="N35" s="7"/>
      <c r="O35" s="7"/>
      <c r="P35" s="29"/>
      <c r="Q35" s="10"/>
      <c r="R35" s="10"/>
      <c r="S35" s="35"/>
      <c r="T35" s="29"/>
      <c r="U35" s="10"/>
      <c r="V35" s="10"/>
      <c r="W35" s="10"/>
      <c r="X35" s="10"/>
      <c r="Y35" s="10"/>
      <c r="Z35" s="10"/>
      <c r="AA35" s="10"/>
      <c r="AB35" s="35"/>
      <c r="AC35" s="29"/>
      <c r="AD35" s="8"/>
      <c r="AE35" s="26"/>
      <c r="AF35" s="24">
        <f t="shared" si="1"/>
        <v>0</v>
      </c>
      <c r="AG35" s="24">
        <f t="shared" si="2"/>
        <v>0</v>
      </c>
      <c r="AH35" s="24">
        <f t="shared" si="3"/>
        <v>0</v>
      </c>
      <c r="AI35" s="41" t="str" cm="1">
        <f t="array" ref="AI35">_xlfn.IFS(
SUM(AF35:AH35)=0,"Not Started",
SUM(AF35:AH35)&lt;15,"In Progress",
SUM(AF35:AH35)=15,"Completed",
SUM(AF35:AH35)&gt;15,"Error"
)</f>
        <v>Not Started</v>
      </c>
    </row>
    <row r="36" spans="1:35" ht="13" x14ac:dyDescent="0.25">
      <c r="A36" s="7"/>
      <c r="B36" s="7" t="s">
        <v>2093</v>
      </c>
      <c r="C36" s="7" t="s">
        <v>6727</v>
      </c>
      <c r="D36" s="7" t="s">
        <v>6923</v>
      </c>
      <c r="E36" s="7" t="s">
        <v>9094</v>
      </c>
      <c r="F36" s="7" t="s">
        <v>9088</v>
      </c>
      <c r="G36" s="7" t="s">
        <v>9666</v>
      </c>
      <c r="H36" s="7" t="s">
        <v>9666</v>
      </c>
      <c r="I36" s="7">
        <v>25.374497399999999</v>
      </c>
      <c r="J36" s="7">
        <v>49.7252644</v>
      </c>
      <c r="K36" s="7" t="str">
        <f t="shared" si="0"/>
        <v>25.3744974,49.7252644</v>
      </c>
      <c r="L36" s="7" t="s">
        <v>7122</v>
      </c>
      <c r="M36" s="49">
        <v>10083066919</v>
      </c>
      <c r="N36" s="7"/>
      <c r="O36" s="7"/>
      <c r="P36" s="29"/>
      <c r="Q36" s="10"/>
      <c r="R36" s="10"/>
      <c r="S36" s="35"/>
      <c r="T36" s="29"/>
      <c r="U36" s="10"/>
      <c r="V36" s="10"/>
      <c r="W36" s="10"/>
      <c r="X36" s="10"/>
      <c r="Y36" s="10"/>
      <c r="Z36" s="10"/>
      <c r="AA36" s="10"/>
      <c r="AB36" s="35"/>
      <c r="AC36" s="29"/>
      <c r="AD36" s="8"/>
      <c r="AE36" s="26"/>
      <c r="AF36" s="24">
        <f t="shared" si="1"/>
        <v>0</v>
      </c>
      <c r="AG36" s="24">
        <f t="shared" si="2"/>
        <v>0</v>
      </c>
      <c r="AH36" s="24">
        <f t="shared" si="3"/>
        <v>0</v>
      </c>
      <c r="AI36" s="41" t="str" cm="1">
        <f t="array" ref="AI36">_xlfn.IFS(
SUM(AF36:AH36)=0,"Not Started",
SUM(AF36:AH36)&lt;15,"In Progress",
SUM(AF36:AH36)=15,"Completed",
SUM(AF36:AH36)&gt;15,"Error"
)</f>
        <v>Not Started</v>
      </c>
    </row>
    <row r="37" spans="1:35" ht="13" x14ac:dyDescent="0.25">
      <c r="A37" s="7"/>
      <c r="B37" s="7" t="s">
        <v>2094</v>
      </c>
      <c r="C37" s="7" t="s">
        <v>6728</v>
      </c>
      <c r="D37" s="7" t="s">
        <v>6924</v>
      </c>
      <c r="E37" s="7" t="s">
        <v>8890</v>
      </c>
      <c r="F37" s="7" t="s">
        <v>9087</v>
      </c>
      <c r="G37" s="7" t="s">
        <v>9666</v>
      </c>
      <c r="H37" s="7" t="s">
        <v>9666</v>
      </c>
      <c r="I37" s="7">
        <v>25.409231900000002</v>
      </c>
      <c r="J37" s="7">
        <v>49.719764900000001</v>
      </c>
      <c r="K37" s="7" t="str">
        <f t="shared" si="0"/>
        <v>25.4092319,49.7197649</v>
      </c>
      <c r="L37" s="7" t="s">
        <v>7123</v>
      </c>
      <c r="M37" s="49">
        <v>10006349599</v>
      </c>
      <c r="N37" s="7"/>
      <c r="O37" s="7"/>
      <c r="P37" s="29"/>
      <c r="Q37" s="10"/>
      <c r="R37" s="10"/>
      <c r="S37" s="35"/>
      <c r="T37" s="29"/>
      <c r="U37" s="10"/>
      <c r="V37" s="10"/>
      <c r="W37" s="10"/>
      <c r="X37" s="10"/>
      <c r="Y37" s="10"/>
      <c r="Z37" s="10"/>
      <c r="AA37" s="10"/>
      <c r="AB37" s="35"/>
      <c r="AC37" s="29"/>
      <c r="AD37" s="8"/>
      <c r="AE37" s="26"/>
      <c r="AF37" s="24">
        <f t="shared" si="1"/>
        <v>0</v>
      </c>
      <c r="AG37" s="24">
        <f t="shared" si="2"/>
        <v>0</v>
      </c>
      <c r="AH37" s="24">
        <f t="shared" si="3"/>
        <v>0</v>
      </c>
      <c r="AI37" s="41" t="str" cm="1">
        <f t="array" ref="AI37">_xlfn.IFS(
SUM(AF37:AH37)=0,"Not Started",
SUM(AF37:AH37)&lt;15,"In Progress",
SUM(AF37:AH37)=15,"Completed",
SUM(AF37:AH37)&gt;15,"Error"
)</f>
        <v>Not Started</v>
      </c>
    </row>
    <row r="38" spans="1:35" ht="13" x14ac:dyDescent="0.25">
      <c r="A38" s="7"/>
      <c r="B38" s="7" t="s">
        <v>2095</v>
      </c>
      <c r="C38" s="7" t="s">
        <v>6729</v>
      </c>
      <c r="D38" s="7" t="s">
        <v>6925</v>
      </c>
      <c r="E38" s="7" t="s">
        <v>8887</v>
      </c>
      <c r="F38" s="7" t="s">
        <v>44</v>
      </c>
      <c r="G38" s="7" t="s">
        <v>9666</v>
      </c>
      <c r="H38" s="7" t="s">
        <v>9666</v>
      </c>
      <c r="I38" s="7">
        <v>25.3789965</v>
      </c>
      <c r="J38" s="7">
        <v>49.671239300000003</v>
      </c>
      <c r="K38" s="7" t="str">
        <f t="shared" si="0"/>
        <v>25.3789965,49.6712393</v>
      </c>
      <c r="L38" s="7" t="s">
        <v>7124</v>
      </c>
      <c r="M38" s="49" t="s">
        <v>8894</v>
      </c>
      <c r="N38" s="7"/>
      <c r="O38" s="7"/>
      <c r="P38" s="29"/>
      <c r="Q38" s="10"/>
      <c r="R38" s="10"/>
      <c r="S38" s="35"/>
      <c r="T38" s="29"/>
      <c r="U38" s="10"/>
      <c r="V38" s="10"/>
      <c r="W38" s="10"/>
      <c r="X38" s="10"/>
      <c r="Y38" s="10"/>
      <c r="Z38" s="10"/>
      <c r="AA38" s="10"/>
      <c r="AB38" s="35"/>
      <c r="AC38" s="29"/>
      <c r="AD38" s="8"/>
      <c r="AE38" s="26"/>
      <c r="AF38" s="24">
        <f t="shared" si="1"/>
        <v>0</v>
      </c>
      <c r="AG38" s="24">
        <f t="shared" si="2"/>
        <v>0</v>
      </c>
      <c r="AH38" s="24">
        <f t="shared" si="3"/>
        <v>0</v>
      </c>
      <c r="AI38" s="41" t="str" cm="1">
        <f t="array" ref="AI38">_xlfn.IFS(
SUM(AF38:AH38)=0,"Not Started",
SUM(AF38:AH38)&lt;15,"In Progress",
SUM(AF38:AH38)=15,"Completed",
SUM(AF38:AH38)&gt;15,"Error"
)</f>
        <v>Not Started</v>
      </c>
    </row>
    <row r="39" spans="1:35" ht="13" x14ac:dyDescent="0.25">
      <c r="A39" s="7"/>
      <c r="B39" s="7" t="s">
        <v>2096</v>
      </c>
      <c r="C39" s="7" t="s">
        <v>6730</v>
      </c>
      <c r="D39" s="7" t="s">
        <v>6926</v>
      </c>
      <c r="E39" s="7" t="s">
        <v>8887</v>
      </c>
      <c r="F39" s="7" t="s">
        <v>9088</v>
      </c>
      <c r="G39" s="7" t="s">
        <v>9666</v>
      </c>
      <c r="H39" s="7" t="s">
        <v>9666</v>
      </c>
      <c r="I39" s="7">
        <v>25.3856514</v>
      </c>
      <c r="J39" s="7">
        <v>49.753363200000003</v>
      </c>
      <c r="K39" s="7" t="str">
        <f t="shared" si="0"/>
        <v>25.3856514,49.7533632</v>
      </c>
      <c r="L39" s="7" t="s">
        <v>7125</v>
      </c>
      <c r="M39" s="49">
        <v>10006321829</v>
      </c>
      <c r="N39" s="7"/>
      <c r="O39" s="7"/>
      <c r="P39" s="29"/>
      <c r="Q39" s="10"/>
      <c r="R39" s="10"/>
      <c r="S39" s="35"/>
      <c r="T39" s="29"/>
      <c r="U39" s="10"/>
      <c r="V39" s="10"/>
      <c r="W39" s="10"/>
      <c r="X39" s="10"/>
      <c r="Y39" s="10"/>
      <c r="Z39" s="10"/>
      <c r="AA39" s="10"/>
      <c r="AB39" s="35"/>
      <c r="AC39" s="29"/>
      <c r="AD39" s="8"/>
      <c r="AE39" s="26"/>
      <c r="AF39" s="24">
        <f t="shared" si="1"/>
        <v>0</v>
      </c>
      <c r="AG39" s="24">
        <f t="shared" si="2"/>
        <v>0</v>
      </c>
      <c r="AH39" s="24">
        <f t="shared" si="3"/>
        <v>0</v>
      </c>
      <c r="AI39" s="41" t="str" cm="1">
        <f t="array" ref="AI39">_xlfn.IFS(
SUM(AF39:AH39)=0,"Not Started",
SUM(AF39:AH39)&lt;15,"In Progress",
SUM(AF39:AH39)=15,"Completed",
SUM(AF39:AH39)&gt;15,"Error"
)</f>
        <v>Not Started</v>
      </c>
    </row>
    <row r="40" spans="1:35" ht="13" x14ac:dyDescent="0.25">
      <c r="A40" s="7"/>
      <c r="B40" s="7" t="s">
        <v>2097</v>
      </c>
      <c r="C40" s="7" t="s">
        <v>6731</v>
      </c>
      <c r="D40" s="7" t="s">
        <v>6927</v>
      </c>
      <c r="E40" s="7" t="s">
        <v>8887</v>
      </c>
      <c r="F40" s="7" t="s">
        <v>44</v>
      </c>
      <c r="G40" s="7" t="s">
        <v>9666</v>
      </c>
      <c r="H40" s="7" t="s">
        <v>9666</v>
      </c>
      <c r="I40" s="7">
        <v>25.3802512</v>
      </c>
      <c r="J40" s="7">
        <v>49.721705800000002</v>
      </c>
      <c r="K40" s="7" t="str">
        <f t="shared" si="0"/>
        <v>25.3802512,49.7217058</v>
      </c>
      <c r="L40" s="7" t="s">
        <v>7126</v>
      </c>
      <c r="M40" s="49">
        <v>10006344019</v>
      </c>
      <c r="N40" s="7"/>
      <c r="O40" s="7"/>
      <c r="P40" s="29"/>
      <c r="Q40" s="10"/>
      <c r="R40" s="10"/>
      <c r="S40" s="35"/>
      <c r="T40" s="29"/>
      <c r="U40" s="10"/>
      <c r="V40" s="10"/>
      <c r="W40" s="10"/>
      <c r="X40" s="10"/>
      <c r="Y40" s="10"/>
      <c r="Z40" s="10"/>
      <c r="AA40" s="10"/>
      <c r="AB40" s="35"/>
      <c r="AC40" s="29"/>
      <c r="AD40" s="8"/>
      <c r="AE40" s="26"/>
      <c r="AF40" s="24">
        <f t="shared" si="1"/>
        <v>0</v>
      </c>
      <c r="AG40" s="24">
        <f t="shared" si="2"/>
        <v>0</v>
      </c>
      <c r="AH40" s="24">
        <f t="shared" si="3"/>
        <v>0</v>
      </c>
      <c r="AI40" s="41" t="str" cm="1">
        <f t="array" ref="AI40">_xlfn.IFS(
SUM(AF40:AH40)=0,"Not Started",
SUM(AF40:AH40)&lt;15,"In Progress",
SUM(AF40:AH40)=15,"Completed",
SUM(AF40:AH40)&gt;15,"Error"
)</f>
        <v>Not Started</v>
      </c>
    </row>
    <row r="41" spans="1:35" ht="13" x14ac:dyDescent="0.25">
      <c r="A41" s="7"/>
      <c r="B41" s="7" t="s">
        <v>2098</v>
      </c>
      <c r="C41" s="7" t="s">
        <v>6732</v>
      </c>
      <c r="D41" s="7" t="s">
        <v>6928</v>
      </c>
      <c r="E41" s="7" t="s">
        <v>9094</v>
      </c>
      <c r="F41" s="7" t="s">
        <v>44</v>
      </c>
      <c r="G41" s="7" t="s">
        <v>9666</v>
      </c>
      <c r="H41" s="7" t="s">
        <v>9666</v>
      </c>
      <c r="I41" s="7">
        <v>25.389838099999999</v>
      </c>
      <c r="J41" s="7">
        <v>49.707988899999997</v>
      </c>
      <c r="K41" s="7" t="str">
        <f t="shared" si="0"/>
        <v>25.3898381,49.7079889</v>
      </c>
      <c r="L41" s="7" t="s">
        <v>7127</v>
      </c>
      <c r="M41" s="49">
        <v>10006352217</v>
      </c>
      <c r="N41" s="7"/>
      <c r="O41" s="7"/>
      <c r="P41" s="29"/>
      <c r="Q41" s="10"/>
      <c r="R41" s="10"/>
      <c r="S41" s="35"/>
      <c r="T41" s="29"/>
      <c r="U41" s="10"/>
      <c r="V41" s="10"/>
      <c r="W41" s="10"/>
      <c r="X41" s="10"/>
      <c r="Y41" s="10"/>
      <c r="Z41" s="10"/>
      <c r="AA41" s="10"/>
      <c r="AB41" s="35"/>
      <c r="AC41" s="29"/>
      <c r="AD41" s="8"/>
      <c r="AE41" s="26"/>
      <c r="AF41" s="24">
        <f t="shared" si="1"/>
        <v>0</v>
      </c>
      <c r="AG41" s="24">
        <f t="shared" si="2"/>
        <v>0</v>
      </c>
      <c r="AH41" s="24">
        <f t="shared" si="3"/>
        <v>0</v>
      </c>
      <c r="AI41" s="41" t="str" cm="1">
        <f t="array" ref="AI41">_xlfn.IFS(
SUM(AF41:AH41)=0,"Not Started",
SUM(AF41:AH41)&lt;15,"In Progress",
SUM(AF41:AH41)=15,"Completed",
SUM(AF41:AH41)&gt;15,"Error"
)</f>
        <v>Not Started</v>
      </c>
    </row>
    <row r="42" spans="1:35" ht="13" x14ac:dyDescent="0.25">
      <c r="A42" s="7"/>
      <c r="B42" s="7" t="s">
        <v>2099</v>
      </c>
      <c r="C42" s="7" t="s">
        <v>6733</v>
      </c>
      <c r="D42" s="7" t="s">
        <v>6929</v>
      </c>
      <c r="E42" s="7" t="s">
        <v>8887</v>
      </c>
      <c r="F42" s="7" t="s">
        <v>48</v>
      </c>
      <c r="G42" s="7" t="s">
        <v>9666</v>
      </c>
      <c r="H42" s="7" t="s">
        <v>9666</v>
      </c>
      <c r="I42" s="7">
        <v>25.4057782</v>
      </c>
      <c r="J42" s="7">
        <v>49.591484899999998</v>
      </c>
      <c r="K42" s="7" t="str">
        <f t="shared" si="0"/>
        <v>25.4057782,49.5914849</v>
      </c>
      <c r="L42" s="7" t="s">
        <v>7128</v>
      </c>
      <c r="M42" s="49">
        <v>10018828211</v>
      </c>
      <c r="N42" s="7"/>
      <c r="O42" s="7"/>
      <c r="P42" s="29"/>
      <c r="Q42" s="10"/>
      <c r="R42" s="10"/>
      <c r="S42" s="35"/>
      <c r="T42" s="29"/>
      <c r="U42" s="10"/>
      <c r="V42" s="10"/>
      <c r="W42" s="10"/>
      <c r="X42" s="10"/>
      <c r="Y42" s="10"/>
      <c r="Z42" s="10"/>
      <c r="AA42" s="10"/>
      <c r="AB42" s="35"/>
      <c r="AC42" s="29"/>
      <c r="AD42" s="8"/>
      <c r="AE42" s="26"/>
      <c r="AF42" s="24">
        <f t="shared" si="1"/>
        <v>0</v>
      </c>
      <c r="AG42" s="24">
        <f t="shared" si="2"/>
        <v>0</v>
      </c>
      <c r="AH42" s="24">
        <f t="shared" si="3"/>
        <v>0</v>
      </c>
      <c r="AI42" s="41" t="str" cm="1">
        <f t="array" ref="AI42">_xlfn.IFS(
SUM(AF42:AH42)=0,"Not Started",
SUM(AF42:AH42)&lt;15,"In Progress",
SUM(AF42:AH42)=15,"Completed",
SUM(AF42:AH42)&gt;15,"Error"
)</f>
        <v>Not Started</v>
      </c>
    </row>
    <row r="43" spans="1:35" ht="13" x14ac:dyDescent="0.25">
      <c r="A43" s="7"/>
      <c r="B43" s="7" t="s">
        <v>2100</v>
      </c>
      <c r="C43" s="7" t="s">
        <v>6734</v>
      </c>
      <c r="D43" s="7" t="s">
        <v>6930</v>
      </c>
      <c r="E43" s="7" t="s">
        <v>9094</v>
      </c>
      <c r="F43" s="7" t="s">
        <v>48</v>
      </c>
      <c r="G43" s="7" t="s">
        <v>9666</v>
      </c>
      <c r="H43" s="7" t="s">
        <v>9666</v>
      </c>
      <c r="I43" s="7">
        <v>25.4380755</v>
      </c>
      <c r="J43" s="7">
        <v>49.597496399999997</v>
      </c>
      <c r="K43" s="7" t="str">
        <f t="shared" si="0"/>
        <v>25.4380755,49.5974964</v>
      </c>
      <c r="L43" s="7" t="s">
        <v>7129</v>
      </c>
      <c r="M43" s="49">
        <v>10103366614</v>
      </c>
      <c r="N43" s="7"/>
      <c r="O43" s="7"/>
      <c r="P43" s="29"/>
      <c r="Q43" s="10"/>
      <c r="R43" s="10"/>
      <c r="S43" s="35"/>
      <c r="T43" s="29"/>
      <c r="U43" s="10"/>
      <c r="V43" s="10"/>
      <c r="W43" s="10"/>
      <c r="X43" s="10"/>
      <c r="Y43" s="10"/>
      <c r="Z43" s="10"/>
      <c r="AA43" s="10"/>
      <c r="AB43" s="35"/>
      <c r="AC43" s="29"/>
      <c r="AD43" s="8"/>
      <c r="AE43" s="26"/>
      <c r="AF43" s="24">
        <f t="shared" si="1"/>
        <v>0</v>
      </c>
      <c r="AG43" s="24">
        <f t="shared" si="2"/>
        <v>0</v>
      </c>
      <c r="AH43" s="24">
        <f t="shared" si="3"/>
        <v>0</v>
      </c>
      <c r="AI43" s="41" t="str" cm="1">
        <f t="array" ref="AI43">_xlfn.IFS(
SUM(AF43:AH43)=0,"Not Started",
SUM(AF43:AH43)&lt;15,"In Progress",
SUM(AF43:AH43)=15,"Completed",
SUM(AF43:AH43)&gt;15,"Error"
)</f>
        <v>Not Started</v>
      </c>
    </row>
    <row r="44" spans="1:35" ht="13" x14ac:dyDescent="0.25">
      <c r="A44" s="7"/>
      <c r="B44" s="7" t="s">
        <v>2101</v>
      </c>
      <c r="C44" s="7" t="s">
        <v>6735</v>
      </c>
      <c r="D44" s="7" t="s">
        <v>6931</v>
      </c>
      <c r="E44" s="7" t="s">
        <v>9095</v>
      </c>
      <c r="F44" s="7" t="s">
        <v>9091</v>
      </c>
      <c r="G44" s="7" t="s">
        <v>9666</v>
      </c>
      <c r="H44" s="7" t="s">
        <v>9666</v>
      </c>
      <c r="I44" s="7">
        <v>25.453232199999999</v>
      </c>
      <c r="J44" s="7">
        <v>49.611712699999998</v>
      </c>
      <c r="K44" s="7" t="str">
        <f t="shared" si="0"/>
        <v>25.4532322,49.6117127</v>
      </c>
      <c r="L44" s="7" t="s">
        <v>7130</v>
      </c>
      <c r="M44" s="49">
        <v>10006352235</v>
      </c>
      <c r="N44" s="7"/>
      <c r="O44" s="7"/>
      <c r="P44" s="29"/>
      <c r="Q44" s="10"/>
      <c r="R44" s="10"/>
      <c r="S44" s="35"/>
      <c r="T44" s="29"/>
      <c r="U44" s="10"/>
      <c r="V44" s="10"/>
      <c r="W44" s="10"/>
      <c r="X44" s="10"/>
      <c r="Y44" s="10"/>
      <c r="Z44" s="10"/>
      <c r="AA44" s="10"/>
      <c r="AB44" s="35"/>
      <c r="AC44" s="29"/>
      <c r="AD44" s="8"/>
      <c r="AE44" s="26"/>
      <c r="AF44" s="24">
        <f t="shared" si="1"/>
        <v>0</v>
      </c>
      <c r="AG44" s="24">
        <f t="shared" si="2"/>
        <v>0</v>
      </c>
      <c r="AH44" s="24">
        <f t="shared" si="3"/>
        <v>0</v>
      </c>
      <c r="AI44" s="41" t="str" cm="1">
        <f t="array" ref="AI44">_xlfn.IFS(
SUM(AF44:AH44)=0,"Not Started",
SUM(AF44:AH44)&lt;15,"In Progress",
SUM(AF44:AH44)=15,"Completed",
SUM(AF44:AH44)&gt;15,"Error"
)</f>
        <v>Not Started</v>
      </c>
    </row>
    <row r="45" spans="1:35" ht="13" x14ac:dyDescent="0.25">
      <c r="A45" s="7"/>
      <c r="B45" s="7" t="s">
        <v>2102</v>
      </c>
      <c r="C45" s="7" t="s">
        <v>6736</v>
      </c>
      <c r="D45" s="7" t="s">
        <v>6932</v>
      </c>
      <c r="E45" s="7" t="s">
        <v>9095</v>
      </c>
      <c r="F45" s="7" t="s">
        <v>9091</v>
      </c>
      <c r="G45" s="7" t="s">
        <v>9666</v>
      </c>
      <c r="H45" s="7" t="s">
        <v>9666</v>
      </c>
      <c r="I45" s="7">
        <v>25.4057949</v>
      </c>
      <c r="J45" s="7">
        <v>49.578086200000001</v>
      </c>
      <c r="K45" s="7" t="str">
        <f t="shared" si="0"/>
        <v>25.4057949,49.5780862</v>
      </c>
      <c r="L45" s="7" t="s">
        <v>7131</v>
      </c>
      <c r="M45" s="49">
        <v>10006367274</v>
      </c>
      <c r="N45" s="7"/>
      <c r="O45" s="7"/>
      <c r="P45" s="29"/>
      <c r="Q45" s="10"/>
      <c r="R45" s="10"/>
      <c r="S45" s="35"/>
      <c r="T45" s="29"/>
      <c r="U45" s="10"/>
      <c r="V45" s="10"/>
      <c r="W45" s="10"/>
      <c r="X45" s="10"/>
      <c r="Y45" s="10"/>
      <c r="Z45" s="10"/>
      <c r="AA45" s="10"/>
      <c r="AB45" s="35"/>
      <c r="AC45" s="29"/>
      <c r="AD45" s="8"/>
      <c r="AE45" s="26"/>
      <c r="AF45" s="24">
        <f t="shared" si="1"/>
        <v>0</v>
      </c>
      <c r="AG45" s="24">
        <f t="shared" si="2"/>
        <v>0</v>
      </c>
      <c r="AH45" s="24">
        <f t="shared" si="3"/>
        <v>0</v>
      </c>
      <c r="AI45" s="41" t="str" cm="1">
        <f t="array" ref="AI45">_xlfn.IFS(
SUM(AF45:AH45)=0,"Not Started",
SUM(AF45:AH45)&lt;15,"In Progress",
SUM(AF45:AH45)=15,"Completed",
SUM(AF45:AH45)&gt;15,"Error"
)</f>
        <v>Not Started</v>
      </c>
    </row>
    <row r="46" spans="1:35" ht="13" x14ac:dyDescent="0.25">
      <c r="A46" s="7"/>
      <c r="B46" s="7" t="s">
        <v>2103</v>
      </c>
      <c r="C46" s="7" t="s">
        <v>6737</v>
      </c>
      <c r="D46" s="7" t="s">
        <v>6933</v>
      </c>
      <c r="E46" s="7" t="s">
        <v>9095</v>
      </c>
      <c r="F46" s="7" t="s">
        <v>48</v>
      </c>
      <c r="G46" s="7" t="s">
        <v>9666</v>
      </c>
      <c r="H46" s="7" t="s">
        <v>9666</v>
      </c>
      <c r="I46" s="7">
        <v>25.418666600000002</v>
      </c>
      <c r="J46" s="7">
        <v>49.588484100000002</v>
      </c>
      <c r="K46" s="7" t="str">
        <f t="shared" si="0"/>
        <v>25.4186666,49.5884841</v>
      </c>
      <c r="L46" s="7" t="s">
        <v>7132</v>
      </c>
      <c r="M46" s="49">
        <v>10006332519</v>
      </c>
      <c r="N46" s="7"/>
      <c r="O46" s="7"/>
      <c r="P46" s="29"/>
      <c r="Q46" s="10"/>
      <c r="R46" s="10"/>
      <c r="S46" s="35"/>
      <c r="T46" s="29"/>
      <c r="U46" s="10"/>
      <c r="V46" s="10"/>
      <c r="W46" s="10"/>
      <c r="X46" s="10"/>
      <c r="Y46" s="10"/>
      <c r="Z46" s="10"/>
      <c r="AA46" s="10"/>
      <c r="AB46" s="35"/>
      <c r="AC46" s="29"/>
      <c r="AD46" s="8"/>
      <c r="AE46" s="26"/>
      <c r="AF46" s="24">
        <f t="shared" si="1"/>
        <v>0</v>
      </c>
      <c r="AG46" s="24">
        <f t="shared" si="2"/>
        <v>0</v>
      </c>
      <c r="AH46" s="24">
        <f t="shared" si="3"/>
        <v>0</v>
      </c>
      <c r="AI46" s="41" t="str" cm="1">
        <f t="array" ref="AI46">_xlfn.IFS(
SUM(AF46:AH46)=0,"Not Started",
SUM(AF46:AH46)&lt;15,"In Progress",
SUM(AF46:AH46)=15,"Completed",
SUM(AF46:AH46)&gt;15,"Error"
)</f>
        <v>Not Started</v>
      </c>
    </row>
    <row r="47" spans="1:35" ht="13" x14ac:dyDescent="0.25">
      <c r="A47" s="7"/>
      <c r="B47" s="7" t="s">
        <v>2104</v>
      </c>
      <c r="C47" s="7" t="s">
        <v>6738</v>
      </c>
      <c r="D47" s="7" t="s">
        <v>6934</v>
      </c>
      <c r="E47" s="7" t="s">
        <v>9094</v>
      </c>
      <c r="F47" s="7" t="s">
        <v>48</v>
      </c>
      <c r="G47" s="7" t="s">
        <v>9666</v>
      </c>
      <c r="H47" s="7" t="s">
        <v>9666</v>
      </c>
      <c r="I47" s="7">
        <v>25.279398</v>
      </c>
      <c r="J47" s="7">
        <v>49.780488099999999</v>
      </c>
      <c r="K47" s="7" t="str">
        <f t="shared" si="0"/>
        <v>25.279398,49.7804881</v>
      </c>
      <c r="L47" s="7" t="s">
        <v>7133</v>
      </c>
      <c r="M47" s="49">
        <v>10105505889</v>
      </c>
      <c r="N47" s="7"/>
      <c r="O47" s="7"/>
      <c r="P47" s="29"/>
      <c r="Q47" s="10"/>
      <c r="R47" s="10"/>
      <c r="S47" s="35"/>
      <c r="T47" s="29"/>
      <c r="U47" s="10"/>
      <c r="V47" s="10"/>
      <c r="W47" s="10"/>
      <c r="X47" s="10"/>
      <c r="Y47" s="10"/>
      <c r="Z47" s="10"/>
      <c r="AA47" s="10"/>
      <c r="AB47" s="35"/>
      <c r="AC47" s="29"/>
      <c r="AD47" s="8"/>
      <c r="AE47" s="26"/>
      <c r="AF47" s="24">
        <f t="shared" si="1"/>
        <v>0</v>
      </c>
      <c r="AG47" s="24">
        <f t="shared" si="2"/>
        <v>0</v>
      </c>
      <c r="AH47" s="24">
        <f t="shared" si="3"/>
        <v>0</v>
      </c>
      <c r="AI47" s="41" t="str" cm="1">
        <f t="array" ref="AI47">_xlfn.IFS(
SUM(AF47:AH47)=0,"Not Started",
SUM(AF47:AH47)&lt;15,"In Progress",
SUM(AF47:AH47)=15,"Completed",
SUM(AF47:AH47)&gt;15,"Error"
)</f>
        <v>Not Started</v>
      </c>
    </row>
    <row r="48" spans="1:35" ht="13" x14ac:dyDescent="0.25">
      <c r="A48" s="7"/>
      <c r="B48" s="7" t="s">
        <v>2105</v>
      </c>
      <c r="C48" s="7" t="s">
        <v>6739</v>
      </c>
      <c r="D48" s="7" t="s">
        <v>6935</v>
      </c>
      <c r="E48" s="7" t="s">
        <v>8890</v>
      </c>
      <c r="F48" s="7" t="s">
        <v>48</v>
      </c>
      <c r="G48" s="7" t="s">
        <v>9666</v>
      </c>
      <c r="H48" s="7" t="s">
        <v>9666</v>
      </c>
      <c r="I48" s="7">
        <v>25.4077819</v>
      </c>
      <c r="J48" s="7">
        <v>49.5797515</v>
      </c>
      <c r="K48" s="7" t="str">
        <f t="shared" si="0"/>
        <v>25.4077819,49.5797515</v>
      </c>
      <c r="L48" s="7" t="s">
        <v>7134</v>
      </c>
      <c r="M48" s="49">
        <v>10006367121</v>
      </c>
      <c r="N48" s="7"/>
      <c r="O48" s="7"/>
      <c r="P48" s="29"/>
      <c r="Q48" s="10"/>
      <c r="R48" s="10"/>
      <c r="S48" s="35"/>
      <c r="T48" s="29"/>
      <c r="U48" s="10"/>
      <c r="V48" s="10"/>
      <c r="W48" s="10"/>
      <c r="X48" s="10"/>
      <c r="Y48" s="10"/>
      <c r="Z48" s="10"/>
      <c r="AA48" s="10"/>
      <c r="AB48" s="35"/>
      <c r="AC48" s="29"/>
      <c r="AD48" s="8"/>
      <c r="AE48" s="26"/>
      <c r="AF48" s="24">
        <f t="shared" si="1"/>
        <v>0</v>
      </c>
      <c r="AG48" s="24">
        <f t="shared" si="2"/>
        <v>0</v>
      </c>
      <c r="AH48" s="24">
        <f t="shared" si="3"/>
        <v>0</v>
      </c>
      <c r="AI48" s="41" t="str" cm="1">
        <f t="array" ref="AI48">_xlfn.IFS(
SUM(AF48:AH48)=0,"Not Started",
SUM(AF48:AH48)&lt;15,"In Progress",
SUM(AF48:AH48)=15,"Completed",
SUM(AF48:AH48)&gt;15,"Error"
)</f>
        <v>Not Started</v>
      </c>
    </row>
    <row r="49" spans="1:35" ht="13" x14ac:dyDescent="0.25">
      <c r="A49" s="7"/>
      <c r="B49" s="7" t="s">
        <v>2106</v>
      </c>
      <c r="C49" s="7" t="s">
        <v>6740</v>
      </c>
      <c r="D49" s="7" t="s">
        <v>6936</v>
      </c>
      <c r="E49" s="7" t="s">
        <v>8891</v>
      </c>
      <c r="F49" s="7" t="s">
        <v>48</v>
      </c>
      <c r="G49" s="7" t="s">
        <v>9666</v>
      </c>
      <c r="H49" s="7" t="s">
        <v>9666</v>
      </c>
      <c r="I49" s="7">
        <v>25.462711599999999</v>
      </c>
      <c r="J49" s="7">
        <v>49.614263200000003</v>
      </c>
      <c r="K49" s="7" t="str">
        <f t="shared" si="0"/>
        <v>25.4627116,49.6142632</v>
      </c>
      <c r="L49" s="7" t="s">
        <v>7135</v>
      </c>
      <c r="M49" s="49">
        <v>10006353214</v>
      </c>
      <c r="N49" s="7"/>
      <c r="O49" s="7"/>
      <c r="P49" s="29"/>
      <c r="Q49" s="10"/>
      <c r="R49" s="10"/>
      <c r="S49" s="35"/>
      <c r="T49" s="29"/>
      <c r="U49" s="10"/>
      <c r="V49" s="10"/>
      <c r="W49" s="10"/>
      <c r="X49" s="10"/>
      <c r="Y49" s="10"/>
      <c r="Z49" s="10"/>
      <c r="AA49" s="10"/>
      <c r="AB49" s="35"/>
      <c r="AC49" s="29"/>
      <c r="AD49" s="8"/>
      <c r="AE49" s="26"/>
      <c r="AF49" s="24">
        <f t="shared" si="1"/>
        <v>0</v>
      </c>
      <c r="AG49" s="24">
        <f t="shared" si="2"/>
        <v>0</v>
      </c>
      <c r="AH49" s="24">
        <f t="shared" si="3"/>
        <v>0</v>
      </c>
      <c r="AI49" s="41" t="str" cm="1">
        <f t="array" ref="AI49">_xlfn.IFS(
SUM(AF49:AH49)=0,"Not Started",
SUM(AF49:AH49)&lt;15,"In Progress",
SUM(AF49:AH49)=15,"Completed",
SUM(AF49:AH49)&gt;15,"Error"
)</f>
        <v>Not Started</v>
      </c>
    </row>
    <row r="50" spans="1:35" ht="13" x14ac:dyDescent="0.25">
      <c r="A50" s="7"/>
      <c r="B50" s="7" t="s">
        <v>2107</v>
      </c>
      <c r="C50" s="7" t="s">
        <v>6741</v>
      </c>
      <c r="D50" s="7" t="s">
        <v>6937</v>
      </c>
      <c r="E50" s="7" t="s">
        <v>8891</v>
      </c>
      <c r="F50" s="7" t="s">
        <v>48</v>
      </c>
      <c r="G50" s="7" t="s">
        <v>9666</v>
      </c>
      <c r="H50" s="7" t="s">
        <v>9666</v>
      </c>
      <c r="I50" s="7">
        <v>25.459831300000001</v>
      </c>
      <c r="J50" s="7">
        <v>49.607039</v>
      </c>
      <c r="K50" s="7" t="str">
        <f t="shared" si="0"/>
        <v>25.4598313,49.607039</v>
      </c>
      <c r="L50" s="7" t="s">
        <v>7136</v>
      </c>
      <c r="M50" s="49">
        <v>10006334961</v>
      </c>
      <c r="N50" s="7"/>
      <c r="O50" s="7"/>
      <c r="P50" s="29"/>
      <c r="Q50" s="10"/>
      <c r="R50" s="10"/>
      <c r="S50" s="35"/>
      <c r="T50" s="29"/>
      <c r="U50" s="10"/>
      <c r="V50" s="10"/>
      <c r="W50" s="10"/>
      <c r="X50" s="10"/>
      <c r="Y50" s="10"/>
      <c r="Z50" s="10"/>
      <c r="AA50" s="10"/>
      <c r="AB50" s="35"/>
      <c r="AC50" s="29"/>
      <c r="AD50" s="8"/>
      <c r="AE50" s="26"/>
      <c r="AF50" s="24">
        <f t="shared" si="1"/>
        <v>0</v>
      </c>
      <c r="AG50" s="24">
        <f t="shared" si="2"/>
        <v>0</v>
      </c>
      <c r="AH50" s="24">
        <f t="shared" si="3"/>
        <v>0</v>
      </c>
      <c r="AI50" s="41" t="str" cm="1">
        <f t="array" ref="AI50">_xlfn.IFS(
SUM(AF50:AH50)=0,"Not Started",
SUM(AF50:AH50)&lt;15,"In Progress",
SUM(AF50:AH50)=15,"Completed",
SUM(AF50:AH50)&gt;15,"Error"
)</f>
        <v>Not Started</v>
      </c>
    </row>
    <row r="51" spans="1:35" ht="13" x14ac:dyDescent="0.25">
      <c r="A51" s="7"/>
      <c r="B51" s="7" t="s">
        <v>2108</v>
      </c>
      <c r="C51" s="7" t="s">
        <v>6742</v>
      </c>
      <c r="D51" s="7" t="s">
        <v>6938</v>
      </c>
      <c r="E51" s="7" t="s">
        <v>8891</v>
      </c>
      <c r="F51" s="7" t="s">
        <v>48</v>
      </c>
      <c r="G51" s="7" t="s">
        <v>9666</v>
      </c>
      <c r="H51" s="7" t="s">
        <v>9666</v>
      </c>
      <c r="I51" s="7">
        <v>25.440527400000001</v>
      </c>
      <c r="J51" s="7">
        <v>49.573986099999999</v>
      </c>
      <c r="K51" s="7" t="str">
        <f t="shared" si="0"/>
        <v>25.4405274,49.5739861</v>
      </c>
      <c r="L51" s="7" t="s">
        <v>7137</v>
      </c>
      <c r="M51" s="49">
        <v>10091712161</v>
      </c>
      <c r="N51" s="7"/>
      <c r="O51" s="7"/>
      <c r="P51" s="29"/>
      <c r="Q51" s="10"/>
      <c r="R51" s="10"/>
      <c r="S51" s="35"/>
      <c r="T51" s="29"/>
      <c r="U51" s="10"/>
      <c r="V51" s="10"/>
      <c r="W51" s="10"/>
      <c r="X51" s="10"/>
      <c r="Y51" s="10"/>
      <c r="Z51" s="10"/>
      <c r="AA51" s="10"/>
      <c r="AB51" s="35"/>
      <c r="AC51" s="29"/>
      <c r="AD51" s="8"/>
      <c r="AE51" s="26"/>
      <c r="AF51" s="24">
        <f t="shared" si="1"/>
        <v>0</v>
      </c>
      <c r="AG51" s="24">
        <f t="shared" si="2"/>
        <v>0</v>
      </c>
      <c r="AH51" s="24">
        <f t="shared" si="3"/>
        <v>0</v>
      </c>
      <c r="AI51" s="41" t="str" cm="1">
        <f t="array" ref="AI51">_xlfn.IFS(
SUM(AF51:AH51)=0,"Not Started",
SUM(AF51:AH51)&lt;15,"In Progress",
SUM(AF51:AH51)=15,"Completed",
SUM(AF51:AH51)&gt;15,"Error"
)</f>
        <v>Not Started</v>
      </c>
    </row>
    <row r="52" spans="1:35" ht="13" x14ac:dyDescent="0.25">
      <c r="A52" s="7"/>
      <c r="B52" s="7" t="s">
        <v>2109</v>
      </c>
      <c r="C52" s="7" t="s">
        <v>6743</v>
      </c>
      <c r="D52" s="7" t="s">
        <v>6939</v>
      </c>
      <c r="E52" s="7" t="s">
        <v>9092</v>
      </c>
      <c r="F52" s="7" t="s">
        <v>48</v>
      </c>
      <c r="G52" s="7" t="s">
        <v>9666</v>
      </c>
      <c r="H52" s="7" t="s">
        <v>9666</v>
      </c>
      <c r="I52" s="7">
        <v>25.437888399999999</v>
      </c>
      <c r="J52" s="7">
        <v>49.596603799999997</v>
      </c>
      <c r="K52" s="7" t="str">
        <f t="shared" si="0"/>
        <v>25.4378884,49.5966038</v>
      </c>
      <c r="L52" s="7" t="s">
        <v>7138</v>
      </c>
      <c r="M52" s="49">
        <v>10103366632</v>
      </c>
      <c r="N52" s="7"/>
      <c r="O52" s="7"/>
      <c r="P52" s="29"/>
      <c r="Q52" s="10"/>
      <c r="R52" s="10"/>
      <c r="S52" s="35"/>
      <c r="T52" s="29"/>
      <c r="U52" s="10"/>
      <c r="V52" s="10"/>
      <c r="W52" s="10"/>
      <c r="X52" s="10"/>
      <c r="Y52" s="10"/>
      <c r="Z52" s="10"/>
      <c r="AA52" s="10"/>
      <c r="AB52" s="35"/>
      <c r="AC52" s="29"/>
      <c r="AD52" s="8"/>
      <c r="AE52" s="26"/>
      <c r="AF52" s="24">
        <f t="shared" si="1"/>
        <v>0</v>
      </c>
      <c r="AG52" s="24">
        <f t="shared" si="2"/>
        <v>0</v>
      </c>
      <c r="AH52" s="24">
        <f t="shared" si="3"/>
        <v>0</v>
      </c>
      <c r="AI52" s="41" t="str" cm="1">
        <f t="array" ref="AI52">_xlfn.IFS(
SUM(AF52:AH52)=0,"Not Started",
SUM(AF52:AH52)&lt;15,"In Progress",
SUM(AF52:AH52)=15,"Completed",
SUM(AF52:AH52)&gt;15,"Error"
)</f>
        <v>Not Started</v>
      </c>
    </row>
    <row r="53" spans="1:35" ht="13" x14ac:dyDescent="0.25">
      <c r="A53" s="7"/>
      <c r="B53" s="7" t="s">
        <v>2110</v>
      </c>
      <c r="C53" s="7" t="s">
        <v>6744</v>
      </c>
      <c r="D53" s="7" t="s">
        <v>6940</v>
      </c>
      <c r="E53" s="7" t="s">
        <v>9092</v>
      </c>
      <c r="F53" s="7" t="s">
        <v>9091</v>
      </c>
      <c r="G53" s="7" t="s">
        <v>9666</v>
      </c>
      <c r="H53" s="7" t="s">
        <v>9666</v>
      </c>
      <c r="I53" s="7">
        <v>25.405950300000001</v>
      </c>
      <c r="J53" s="7">
        <v>49.578717900000001</v>
      </c>
      <c r="K53" s="7" t="str">
        <f t="shared" si="0"/>
        <v>25.4059503,49.5787179</v>
      </c>
      <c r="L53" s="7" t="s">
        <v>7139</v>
      </c>
      <c r="M53" s="49">
        <v>10006365224</v>
      </c>
      <c r="N53" s="7"/>
      <c r="O53" s="7"/>
      <c r="P53" s="29"/>
      <c r="Q53" s="10"/>
      <c r="R53" s="10"/>
      <c r="S53" s="35"/>
      <c r="T53" s="29"/>
      <c r="U53" s="10"/>
      <c r="V53" s="10"/>
      <c r="W53" s="10"/>
      <c r="X53" s="10"/>
      <c r="Y53" s="10"/>
      <c r="Z53" s="10"/>
      <c r="AA53" s="10"/>
      <c r="AB53" s="35"/>
      <c r="AC53" s="29"/>
      <c r="AD53" s="8"/>
      <c r="AE53" s="26"/>
      <c r="AF53" s="24">
        <f t="shared" si="1"/>
        <v>0</v>
      </c>
      <c r="AG53" s="24">
        <f t="shared" si="2"/>
        <v>0</v>
      </c>
      <c r="AH53" s="24">
        <f t="shared" si="3"/>
        <v>0</v>
      </c>
      <c r="AI53" s="41" t="str" cm="1">
        <f t="array" ref="AI53">_xlfn.IFS(
SUM(AF53:AH53)=0,"Not Started",
SUM(AF53:AH53)&lt;15,"In Progress",
SUM(AF53:AH53)=15,"Completed",
SUM(AF53:AH53)&gt;15,"Error"
)</f>
        <v>Not Started</v>
      </c>
    </row>
    <row r="54" spans="1:35" ht="13" x14ac:dyDescent="0.25">
      <c r="A54" s="7"/>
      <c r="B54" s="7" t="s">
        <v>2111</v>
      </c>
      <c r="C54" s="7" t="s">
        <v>6745</v>
      </c>
      <c r="D54" s="7" t="s">
        <v>6941</v>
      </c>
      <c r="E54" s="7" t="s">
        <v>9092</v>
      </c>
      <c r="F54" s="7" t="s">
        <v>48</v>
      </c>
      <c r="G54" s="7" t="s">
        <v>9666</v>
      </c>
      <c r="H54" s="7" t="s">
        <v>9666</v>
      </c>
      <c r="I54" s="7">
        <v>25.407803999999999</v>
      </c>
      <c r="J54" s="7">
        <v>49.578773900000002</v>
      </c>
      <c r="K54" s="7" t="str">
        <f t="shared" si="0"/>
        <v>25.407804,49.5787739</v>
      </c>
      <c r="L54" s="7" t="s">
        <v>7140</v>
      </c>
      <c r="M54" s="49">
        <v>10006365879</v>
      </c>
      <c r="N54" s="7"/>
      <c r="O54" s="7"/>
      <c r="P54" s="29"/>
      <c r="Q54" s="10"/>
      <c r="R54" s="10"/>
      <c r="S54" s="35"/>
      <c r="T54" s="29"/>
      <c r="U54" s="10"/>
      <c r="V54" s="10"/>
      <c r="W54" s="10"/>
      <c r="X54" s="10"/>
      <c r="Y54" s="10"/>
      <c r="Z54" s="10"/>
      <c r="AA54" s="10"/>
      <c r="AB54" s="35"/>
      <c r="AC54" s="29"/>
      <c r="AD54" s="8"/>
      <c r="AE54" s="26"/>
      <c r="AF54" s="24">
        <f t="shared" si="1"/>
        <v>0</v>
      </c>
      <c r="AG54" s="24">
        <f t="shared" si="2"/>
        <v>0</v>
      </c>
      <c r="AH54" s="24">
        <f t="shared" si="3"/>
        <v>0</v>
      </c>
      <c r="AI54" s="41" t="str" cm="1">
        <f t="array" ref="AI54">_xlfn.IFS(
SUM(AF54:AH54)=0,"Not Started",
SUM(AF54:AH54)&lt;15,"In Progress",
SUM(AF54:AH54)=15,"Completed",
SUM(AF54:AH54)&gt;15,"Error"
)</f>
        <v>Not Started</v>
      </c>
    </row>
    <row r="55" spans="1:35" ht="13" x14ac:dyDescent="0.25">
      <c r="A55" s="7"/>
      <c r="B55" s="7" t="s">
        <v>2112</v>
      </c>
      <c r="C55" s="7" t="s">
        <v>6746</v>
      </c>
      <c r="D55" s="7" t="s">
        <v>6942</v>
      </c>
      <c r="E55" s="7" t="s">
        <v>9092</v>
      </c>
      <c r="F55" s="7" t="s">
        <v>48</v>
      </c>
      <c r="G55" s="7" t="s">
        <v>9666</v>
      </c>
      <c r="H55" s="7" t="s">
        <v>9666</v>
      </c>
      <c r="I55" s="7">
        <v>25.458773600000001</v>
      </c>
      <c r="J55" s="7">
        <v>49.603287199999997</v>
      </c>
      <c r="K55" s="7" t="str">
        <f t="shared" si="0"/>
        <v>25.4587736,49.6032872</v>
      </c>
      <c r="L55" s="7" t="s">
        <v>7141</v>
      </c>
      <c r="M55" s="49">
        <v>10006334999</v>
      </c>
      <c r="N55" s="7"/>
      <c r="O55" s="7"/>
      <c r="P55" s="29"/>
      <c r="Q55" s="10"/>
      <c r="R55" s="10"/>
      <c r="S55" s="35"/>
      <c r="T55" s="29"/>
      <c r="U55" s="10"/>
      <c r="V55" s="10"/>
      <c r="W55" s="10"/>
      <c r="X55" s="10"/>
      <c r="Y55" s="10"/>
      <c r="Z55" s="10"/>
      <c r="AA55" s="10"/>
      <c r="AB55" s="35"/>
      <c r="AC55" s="29"/>
      <c r="AD55" s="8"/>
      <c r="AE55" s="26"/>
      <c r="AF55" s="24">
        <f t="shared" si="1"/>
        <v>0</v>
      </c>
      <c r="AG55" s="24">
        <f t="shared" si="2"/>
        <v>0</v>
      </c>
      <c r="AH55" s="24">
        <f t="shared" si="3"/>
        <v>0</v>
      </c>
      <c r="AI55" s="41" t="str" cm="1">
        <f t="array" ref="AI55">_xlfn.IFS(
SUM(AF55:AH55)=0,"Not Started",
SUM(AF55:AH55)&lt;15,"In Progress",
SUM(AF55:AH55)=15,"Completed",
SUM(AF55:AH55)&gt;15,"Error"
)</f>
        <v>Not Started</v>
      </c>
    </row>
    <row r="56" spans="1:35" ht="13" x14ac:dyDescent="0.25">
      <c r="A56" s="7"/>
      <c r="B56" s="7" t="s">
        <v>2113</v>
      </c>
      <c r="C56" s="7" t="s">
        <v>6747</v>
      </c>
      <c r="D56" s="7" t="s">
        <v>6943</v>
      </c>
      <c r="E56" s="7" t="s">
        <v>8888</v>
      </c>
      <c r="F56" s="7" t="s">
        <v>9091</v>
      </c>
      <c r="G56" s="7" t="s">
        <v>9666</v>
      </c>
      <c r="H56" s="7" t="s">
        <v>9666</v>
      </c>
      <c r="I56" s="7">
        <v>25.437529600000001</v>
      </c>
      <c r="J56" s="7" t="s">
        <v>9485</v>
      </c>
      <c r="K56" s="7" t="str">
        <f t="shared" si="0"/>
        <v xml:space="preserve">25.4375296,49.5975249
</v>
      </c>
      <c r="L56" s="7" t="s">
        <v>7142</v>
      </c>
      <c r="M56" s="49">
        <v>10103356322</v>
      </c>
      <c r="N56" s="7"/>
      <c r="O56" s="7"/>
      <c r="P56" s="29"/>
      <c r="Q56" s="10"/>
      <c r="R56" s="10"/>
      <c r="S56" s="35"/>
      <c r="T56" s="29"/>
      <c r="U56" s="10"/>
      <c r="V56" s="10"/>
      <c r="W56" s="10"/>
      <c r="X56" s="10"/>
      <c r="Y56" s="10"/>
      <c r="Z56" s="10"/>
      <c r="AA56" s="10"/>
      <c r="AB56" s="35"/>
      <c r="AC56" s="29"/>
      <c r="AD56" s="8"/>
      <c r="AE56" s="26"/>
      <c r="AF56" s="24">
        <f t="shared" si="1"/>
        <v>0</v>
      </c>
      <c r="AG56" s="24">
        <f t="shared" si="2"/>
        <v>0</v>
      </c>
      <c r="AH56" s="24">
        <f t="shared" si="3"/>
        <v>0</v>
      </c>
      <c r="AI56" s="41" t="str" cm="1">
        <f t="array" ref="AI56">_xlfn.IFS(
SUM(AF56:AH56)=0,"Not Started",
SUM(AF56:AH56)&lt;15,"In Progress",
SUM(AF56:AH56)=15,"Completed",
SUM(AF56:AH56)&gt;15,"Error"
)</f>
        <v>Not Started</v>
      </c>
    </row>
    <row r="57" spans="1:35" ht="13" x14ac:dyDescent="0.25">
      <c r="A57" s="7"/>
      <c r="B57" s="7" t="s">
        <v>2114</v>
      </c>
      <c r="C57" s="7" t="s">
        <v>6748</v>
      </c>
      <c r="D57" s="7" t="s">
        <v>6944</v>
      </c>
      <c r="E57" s="7" t="s">
        <v>9092</v>
      </c>
      <c r="F57" s="7" t="s">
        <v>9091</v>
      </c>
      <c r="G57" s="7" t="s">
        <v>9666</v>
      </c>
      <c r="H57" s="7" t="s">
        <v>9666</v>
      </c>
      <c r="I57" s="7">
        <v>25.419423999999999</v>
      </c>
      <c r="J57" s="7">
        <v>49.579347499999997</v>
      </c>
      <c r="K57" s="7" t="str">
        <f t="shared" si="0"/>
        <v>25.419424,49.5793475</v>
      </c>
      <c r="L57" s="7" t="s">
        <v>7143</v>
      </c>
      <c r="M57" s="49">
        <v>10018910016</v>
      </c>
      <c r="N57" s="7"/>
      <c r="O57" s="7"/>
      <c r="P57" s="29"/>
      <c r="Q57" s="10"/>
      <c r="R57" s="10"/>
      <c r="S57" s="35"/>
      <c r="T57" s="29"/>
      <c r="U57" s="10"/>
      <c r="V57" s="10"/>
      <c r="W57" s="10"/>
      <c r="X57" s="10"/>
      <c r="Y57" s="10"/>
      <c r="Z57" s="10"/>
      <c r="AA57" s="10"/>
      <c r="AB57" s="35"/>
      <c r="AC57" s="29"/>
      <c r="AD57" s="8"/>
      <c r="AE57" s="26"/>
      <c r="AF57" s="24">
        <f t="shared" si="1"/>
        <v>0</v>
      </c>
      <c r="AG57" s="24">
        <f t="shared" si="2"/>
        <v>0</v>
      </c>
      <c r="AH57" s="24">
        <f t="shared" si="3"/>
        <v>0</v>
      </c>
      <c r="AI57" s="41" t="str" cm="1">
        <f t="array" ref="AI57">_xlfn.IFS(
SUM(AF57:AH57)=0,"Not Started",
SUM(AF57:AH57)&lt;15,"In Progress",
SUM(AF57:AH57)=15,"Completed",
SUM(AF57:AH57)&gt;15,"Error"
)</f>
        <v>Not Started</v>
      </c>
    </row>
    <row r="58" spans="1:35" ht="13" x14ac:dyDescent="0.25">
      <c r="A58" s="7"/>
      <c r="B58" s="7" t="s">
        <v>2115</v>
      </c>
      <c r="C58" s="7" t="s">
        <v>6749</v>
      </c>
      <c r="D58" s="7" t="s">
        <v>6945</v>
      </c>
      <c r="E58" s="7" t="s">
        <v>9092</v>
      </c>
      <c r="F58" s="7" t="s">
        <v>9668</v>
      </c>
      <c r="G58" s="7" t="s">
        <v>9666</v>
      </c>
      <c r="H58" s="7" t="s">
        <v>9666</v>
      </c>
      <c r="I58" s="7">
        <v>25.419065499999999</v>
      </c>
      <c r="J58" s="7">
        <v>49.551807599999997</v>
      </c>
      <c r="K58" s="7" t="str">
        <f t="shared" si="0"/>
        <v>25.4190655,49.5518076</v>
      </c>
      <c r="L58" s="7" t="s">
        <v>7144</v>
      </c>
      <c r="M58" s="49">
        <v>10006333937</v>
      </c>
      <c r="N58" s="7"/>
      <c r="O58" s="7"/>
      <c r="P58" s="29"/>
      <c r="Q58" s="10"/>
      <c r="R58" s="10"/>
      <c r="S58" s="35"/>
      <c r="T58" s="29"/>
      <c r="U58" s="10"/>
      <c r="V58" s="10"/>
      <c r="W58" s="10"/>
      <c r="X58" s="10"/>
      <c r="Y58" s="10"/>
      <c r="Z58" s="10"/>
      <c r="AA58" s="10"/>
      <c r="AB58" s="35"/>
      <c r="AC58" s="29"/>
      <c r="AD58" s="8"/>
      <c r="AE58" s="26"/>
      <c r="AF58" s="24">
        <f t="shared" si="1"/>
        <v>0</v>
      </c>
      <c r="AG58" s="24">
        <f t="shared" si="2"/>
        <v>0</v>
      </c>
      <c r="AH58" s="24">
        <f t="shared" si="3"/>
        <v>0</v>
      </c>
      <c r="AI58" s="41" t="str" cm="1">
        <f t="array" ref="AI58">_xlfn.IFS(
SUM(AF58:AH58)=0,"Not Started",
SUM(AF58:AH58)&lt;15,"In Progress",
SUM(AF58:AH58)=15,"Completed",
SUM(AF58:AH58)&gt;15,"Error"
)</f>
        <v>Not Started</v>
      </c>
    </row>
    <row r="59" spans="1:35" ht="15.5" customHeight="1" x14ac:dyDescent="0.25">
      <c r="A59" s="7"/>
      <c r="B59" s="7" t="s">
        <v>2116</v>
      </c>
      <c r="C59" s="7" t="s">
        <v>6750</v>
      </c>
      <c r="D59" s="7" t="s">
        <v>6946</v>
      </c>
      <c r="E59" s="7" t="s">
        <v>8888</v>
      </c>
      <c r="F59" s="7" t="s">
        <v>9090</v>
      </c>
      <c r="G59" s="7" t="s">
        <v>9666</v>
      </c>
      <c r="H59" s="7" t="s">
        <v>9666</v>
      </c>
      <c r="I59" s="7">
        <v>25.409764899999999</v>
      </c>
      <c r="J59" s="7">
        <v>49.575990099999999</v>
      </c>
      <c r="K59" s="7" t="str">
        <f t="shared" si="0"/>
        <v>25.4097649,49.5759901</v>
      </c>
      <c r="L59" s="7" t="s">
        <v>7145</v>
      </c>
      <c r="M59" s="49">
        <v>10006331834</v>
      </c>
      <c r="N59" s="7"/>
      <c r="O59" s="7"/>
      <c r="P59" s="29"/>
      <c r="Q59" s="10"/>
      <c r="R59" s="10"/>
      <c r="S59" s="35"/>
      <c r="T59" s="29"/>
      <c r="U59" s="10"/>
      <c r="V59" s="10"/>
      <c r="W59" s="10"/>
      <c r="X59" s="10"/>
      <c r="Y59" s="10"/>
      <c r="Z59" s="10"/>
      <c r="AA59" s="10"/>
      <c r="AB59" s="35"/>
      <c r="AC59" s="29"/>
      <c r="AD59" s="8"/>
      <c r="AE59" s="26"/>
      <c r="AF59" s="24">
        <f t="shared" si="1"/>
        <v>0</v>
      </c>
      <c r="AG59" s="24">
        <f t="shared" si="2"/>
        <v>0</v>
      </c>
      <c r="AH59" s="24">
        <f t="shared" si="3"/>
        <v>0</v>
      </c>
      <c r="AI59" s="41" t="str" cm="1">
        <f t="array" ref="AI59">_xlfn.IFS(
SUM(AF59:AH59)=0,"Not Started",
SUM(AF59:AH59)&lt;15,"In Progress",
SUM(AF59:AH59)=15,"Completed",
SUM(AF59:AH59)&gt;15,"Error"
)</f>
        <v>Not Started</v>
      </c>
    </row>
    <row r="60" spans="1:35" ht="13" x14ac:dyDescent="0.25">
      <c r="A60" s="7"/>
      <c r="B60" s="7" t="s">
        <v>2117</v>
      </c>
      <c r="C60" s="7" t="s">
        <v>6751</v>
      </c>
      <c r="D60" s="7" t="s">
        <v>6947</v>
      </c>
      <c r="E60" s="7" t="s">
        <v>9092</v>
      </c>
      <c r="F60" s="7" t="s">
        <v>44</v>
      </c>
      <c r="G60" s="7" t="s">
        <v>9666</v>
      </c>
      <c r="H60" s="7" t="s">
        <v>9666</v>
      </c>
      <c r="I60" s="7">
        <v>25.411643399999999</v>
      </c>
      <c r="J60" s="7">
        <v>49.579825</v>
      </c>
      <c r="K60" s="7" t="str">
        <f t="shared" si="0"/>
        <v>25.4116434,49.579825</v>
      </c>
      <c r="L60" s="7" t="s">
        <v>7146</v>
      </c>
      <c r="M60" s="49">
        <v>10006330981</v>
      </c>
      <c r="N60" s="7"/>
      <c r="O60" s="7"/>
      <c r="P60" s="29"/>
      <c r="Q60" s="10"/>
      <c r="R60" s="10"/>
      <c r="S60" s="35"/>
      <c r="T60" s="29"/>
      <c r="U60" s="10"/>
      <c r="V60" s="10"/>
      <c r="W60" s="10"/>
      <c r="X60" s="10"/>
      <c r="Y60" s="10"/>
      <c r="Z60" s="10"/>
      <c r="AA60" s="10"/>
      <c r="AB60" s="35"/>
      <c r="AC60" s="29"/>
      <c r="AD60" s="8"/>
      <c r="AE60" s="26"/>
      <c r="AF60" s="24">
        <f t="shared" si="1"/>
        <v>0</v>
      </c>
      <c r="AG60" s="24">
        <f t="shared" si="2"/>
        <v>0</v>
      </c>
      <c r="AH60" s="24">
        <f t="shared" si="3"/>
        <v>0</v>
      </c>
      <c r="AI60" s="41" t="str" cm="1">
        <f t="array" ref="AI60">_xlfn.IFS(
SUM(AF60:AH60)=0,"Not Started",
SUM(AF60:AH60)&lt;15,"In Progress",
SUM(AF60:AH60)=15,"Completed",
SUM(AF60:AH60)&gt;15,"Error"
)</f>
        <v>Not Started</v>
      </c>
    </row>
    <row r="61" spans="1:35" ht="13" x14ac:dyDescent="0.25">
      <c r="A61" s="7"/>
      <c r="B61" s="7" t="s">
        <v>2118</v>
      </c>
      <c r="C61" s="7" t="s">
        <v>6752</v>
      </c>
      <c r="D61" s="7" t="s">
        <v>6948</v>
      </c>
      <c r="E61" s="7" t="s">
        <v>9092</v>
      </c>
      <c r="F61" s="7" t="s">
        <v>44</v>
      </c>
      <c r="G61" s="7" t="s">
        <v>9666</v>
      </c>
      <c r="H61" s="7" t="s">
        <v>9666</v>
      </c>
      <c r="I61" s="7">
        <v>25.421113099999999</v>
      </c>
      <c r="J61" s="7">
        <v>49.583628300000001</v>
      </c>
      <c r="K61" s="7" t="str">
        <f t="shared" si="0"/>
        <v>25.4211131,49.5836283</v>
      </c>
      <c r="L61" s="7" t="s">
        <v>7147</v>
      </c>
      <c r="M61" s="49">
        <v>10006364835</v>
      </c>
      <c r="N61" s="7"/>
      <c r="O61" s="7"/>
      <c r="P61" s="29"/>
      <c r="Q61" s="10"/>
      <c r="R61" s="10"/>
      <c r="S61" s="35"/>
      <c r="T61" s="29"/>
      <c r="U61" s="10"/>
      <c r="V61" s="10"/>
      <c r="W61" s="10"/>
      <c r="X61" s="10"/>
      <c r="Y61" s="10"/>
      <c r="Z61" s="10"/>
      <c r="AA61" s="10"/>
      <c r="AB61" s="35"/>
      <c r="AC61" s="29"/>
      <c r="AD61" s="8"/>
      <c r="AE61" s="26"/>
      <c r="AF61" s="24">
        <f t="shared" si="1"/>
        <v>0</v>
      </c>
      <c r="AG61" s="24">
        <f t="shared" si="2"/>
        <v>0</v>
      </c>
      <c r="AH61" s="24">
        <f t="shared" si="3"/>
        <v>0</v>
      </c>
      <c r="AI61" s="41" t="str" cm="1">
        <f t="array" ref="AI61">_xlfn.IFS(
SUM(AF61:AH61)=0,"Not Started",
SUM(AF61:AH61)&lt;15,"In Progress",
SUM(AF61:AH61)=15,"Completed",
SUM(AF61:AH61)&gt;15,"Error"
)</f>
        <v>Not Started</v>
      </c>
    </row>
    <row r="62" spans="1:35" ht="13" x14ac:dyDescent="0.25">
      <c r="A62" s="7"/>
      <c r="B62" s="7" t="s">
        <v>2119</v>
      </c>
      <c r="C62" s="7" t="s">
        <v>6753</v>
      </c>
      <c r="D62" s="7" t="s">
        <v>6949</v>
      </c>
      <c r="E62" s="7" t="s">
        <v>9092</v>
      </c>
      <c r="F62" s="7" t="s">
        <v>9088</v>
      </c>
      <c r="G62" s="7" t="s">
        <v>9666</v>
      </c>
      <c r="H62" s="7" t="s">
        <v>9666</v>
      </c>
      <c r="I62" s="7">
        <v>25.417154100000001</v>
      </c>
      <c r="J62" s="7">
        <v>49.551198100000001</v>
      </c>
      <c r="K62" s="7" t="str">
        <f t="shared" si="0"/>
        <v>25.4171541,49.5511981</v>
      </c>
      <c r="L62" s="7" t="s">
        <v>7148</v>
      </c>
      <c r="M62" s="49">
        <v>10006366393</v>
      </c>
      <c r="N62" s="7"/>
      <c r="O62" s="7"/>
      <c r="P62" s="29"/>
      <c r="Q62" s="10"/>
      <c r="R62" s="10"/>
      <c r="S62" s="35"/>
      <c r="T62" s="29"/>
      <c r="U62" s="10"/>
      <c r="V62" s="10"/>
      <c r="W62" s="10"/>
      <c r="X62" s="10"/>
      <c r="Y62" s="10"/>
      <c r="Z62" s="10"/>
      <c r="AA62" s="10"/>
      <c r="AB62" s="35"/>
      <c r="AC62" s="29"/>
      <c r="AD62" s="8"/>
      <c r="AE62" s="26"/>
      <c r="AF62" s="24">
        <f t="shared" si="1"/>
        <v>0</v>
      </c>
      <c r="AG62" s="24">
        <f t="shared" si="2"/>
        <v>0</v>
      </c>
      <c r="AH62" s="24">
        <f t="shared" si="3"/>
        <v>0</v>
      </c>
      <c r="AI62" s="41" t="str" cm="1">
        <f t="array" ref="AI62">_xlfn.IFS(
SUM(AF62:AH62)=0,"Not Started",
SUM(AF62:AH62)&lt;15,"In Progress",
SUM(AF62:AH62)=15,"Completed",
SUM(AF62:AH62)&gt;15,"Error"
)</f>
        <v>Not Started</v>
      </c>
    </row>
    <row r="63" spans="1:35" ht="13" x14ac:dyDescent="0.25">
      <c r="A63" s="7"/>
      <c r="B63" s="7" t="s">
        <v>2120</v>
      </c>
      <c r="C63" s="7" t="s">
        <v>6754</v>
      </c>
      <c r="D63" s="7" t="s">
        <v>6950</v>
      </c>
      <c r="E63" s="7" t="s">
        <v>9095</v>
      </c>
      <c r="F63" s="7" t="s">
        <v>9088</v>
      </c>
      <c r="G63" s="7" t="s">
        <v>9666</v>
      </c>
      <c r="H63" s="7" t="s">
        <v>9666</v>
      </c>
      <c r="I63" s="7">
        <v>25.4451687</v>
      </c>
      <c r="J63" s="7">
        <v>49.578721600000002</v>
      </c>
      <c r="K63" s="7" t="str">
        <f t="shared" si="0"/>
        <v>25.4451687,49.5787216</v>
      </c>
      <c r="L63" s="7" t="s">
        <v>7149</v>
      </c>
      <c r="M63" s="49">
        <v>10006363201</v>
      </c>
      <c r="N63" s="7"/>
      <c r="O63" s="7"/>
      <c r="P63" s="29"/>
      <c r="Q63" s="10"/>
      <c r="R63" s="10"/>
      <c r="S63" s="35"/>
      <c r="T63" s="29"/>
      <c r="U63" s="10"/>
      <c r="V63" s="10"/>
      <c r="W63" s="10"/>
      <c r="X63" s="10"/>
      <c r="Y63" s="10"/>
      <c r="Z63" s="10"/>
      <c r="AA63" s="10"/>
      <c r="AB63" s="35"/>
      <c r="AC63" s="29"/>
      <c r="AD63" s="8"/>
      <c r="AE63" s="26"/>
      <c r="AF63" s="24">
        <f t="shared" si="1"/>
        <v>0</v>
      </c>
      <c r="AG63" s="24">
        <f t="shared" si="2"/>
        <v>0</v>
      </c>
      <c r="AH63" s="24">
        <f t="shared" si="3"/>
        <v>0</v>
      </c>
      <c r="AI63" s="41" t="str" cm="1">
        <f t="array" ref="AI63">_xlfn.IFS(
SUM(AF63:AH63)=0,"Not Started",
SUM(AF63:AH63)&lt;15,"In Progress",
SUM(AF63:AH63)=15,"Completed",
SUM(AF63:AH63)&gt;15,"Error"
)</f>
        <v>Not Started</v>
      </c>
    </row>
    <row r="64" spans="1:35" ht="13" x14ac:dyDescent="0.25">
      <c r="A64" s="7"/>
      <c r="B64" s="7" t="s">
        <v>2121</v>
      </c>
      <c r="C64" s="7" t="s">
        <v>6755</v>
      </c>
      <c r="D64" s="7" t="s">
        <v>6951</v>
      </c>
      <c r="E64" s="7" t="s">
        <v>9092</v>
      </c>
      <c r="F64" s="7" t="s">
        <v>44</v>
      </c>
      <c r="G64" s="7" t="s">
        <v>9666</v>
      </c>
      <c r="H64" s="7" t="s">
        <v>9666</v>
      </c>
      <c r="I64" s="7">
        <v>25.401777200000001</v>
      </c>
      <c r="J64" s="7" t="s">
        <v>9486</v>
      </c>
      <c r="K64" s="7" t="str">
        <f t="shared" si="0"/>
        <v xml:space="preserve">25.4017772,49.5996854
</v>
      </c>
      <c r="L64" s="7" t="s">
        <v>7150</v>
      </c>
      <c r="M64" s="49">
        <v>10006366606</v>
      </c>
      <c r="N64" s="7"/>
      <c r="O64" s="7"/>
      <c r="P64" s="29"/>
      <c r="Q64" s="10"/>
      <c r="R64" s="10"/>
      <c r="S64" s="35"/>
      <c r="T64" s="29"/>
      <c r="U64" s="10"/>
      <c r="V64" s="10"/>
      <c r="W64" s="10"/>
      <c r="X64" s="10"/>
      <c r="Y64" s="10"/>
      <c r="Z64" s="10"/>
      <c r="AA64" s="10"/>
      <c r="AB64" s="35"/>
      <c r="AC64" s="29"/>
      <c r="AD64" s="8"/>
      <c r="AE64" s="26"/>
      <c r="AF64" s="24">
        <f t="shared" si="1"/>
        <v>0</v>
      </c>
      <c r="AG64" s="24">
        <f t="shared" si="2"/>
        <v>0</v>
      </c>
      <c r="AH64" s="24">
        <f t="shared" si="3"/>
        <v>0</v>
      </c>
      <c r="AI64" s="41" t="str" cm="1">
        <f t="array" ref="AI64">_xlfn.IFS(
SUM(AF64:AH64)=0,"Not Started",
SUM(AF64:AH64)&lt;15,"In Progress",
SUM(AF64:AH64)=15,"Completed",
SUM(AF64:AH64)&gt;15,"Error"
)</f>
        <v>Not Started</v>
      </c>
    </row>
    <row r="65" spans="1:35" ht="13" x14ac:dyDescent="0.25">
      <c r="A65" s="7"/>
      <c r="B65" s="7" t="s">
        <v>2122</v>
      </c>
      <c r="C65" s="7" t="s">
        <v>6756</v>
      </c>
      <c r="D65" s="7" t="s">
        <v>6952</v>
      </c>
      <c r="E65" s="7" t="s">
        <v>8887</v>
      </c>
      <c r="F65" s="7" t="s">
        <v>44</v>
      </c>
      <c r="G65" s="7" t="s">
        <v>9666</v>
      </c>
      <c r="H65" s="7" t="s">
        <v>9666</v>
      </c>
      <c r="I65" s="7">
        <v>25.404898200000002</v>
      </c>
      <c r="J65" s="7">
        <v>49.595655399999998</v>
      </c>
      <c r="K65" s="7" t="str">
        <f t="shared" si="0"/>
        <v>25.4048982,49.5956554</v>
      </c>
      <c r="L65" s="7" t="s">
        <v>7151</v>
      </c>
      <c r="M65" s="49">
        <v>10006365046</v>
      </c>
      <c r="N65" s="7"/>
      <c r="O65" s="7"/>
      <c r="P65" s="29"/>
      <c r="Q65" s="10"/>
      <c r="R65" s="10"/>
      <c r="S65" s="35"/>
      <c r="T65" s="29"/>
      <c r="U65" s="10"/>
      <c r="V65" s="10"/>
      <c r="W65" s="10"/>
      <c r="X65" s="10"/>
      <c r="Y65" s="10"/>
      <c r="Z65" s="10"/>
      <c r="AA65" s="10"/>
      <c r="AB65" s="35"/>
      <c r="AC65" s="29"/>
      <c r="AD65" s="8"/>
      <c r="AE65" s="26"/>
      <c r="AF65" s="24">
        <f t="shared" si="1"/>
        <v>0</v>
      </c>
      <c r="AG65" s="24">
        <f t="shared" si="2"/>
        <v>0</v>
      </c>
      <c r="AH65" s="24">
        <f t="shared" si="3"/>
        <v>0</v>
      </c>
      <c r="AI65" s="41" t="str" cm="1">
        <f t="array" ref="AI65">_xlfn.IFS(
SUM(AF65:AH65)=0,"Not Started",
SUM(AF65:AH65)&lt;15,"In Progress",
SUM(AF65:AH65)=15,"Completed",
SUM(AF65:AH65)&gt;15,"Error"
)</f>
        <v>Not Started</v>
      </c>
    </row>
    <row r="66" spans="1:35" ht="13" x14ac:dyDescent="0.25">
      <c r="A66" s="7"/>
      <c r="B66" s="7" t="s">
        <v>2123</v>
      </c>
      <c r="C66" s="7" t="s">
        <v>6757</v>
      </c>
      <c r="D66" s="7" t="s">
        <v>6953</v>
      </c>
      <c r="E66" s="7" t="s">
        <v>8888</v>
      </c>
      <c r="F66" s="7" t="s">
        <v>9088</v>
      </c>
      <c r="G66" s="7" t="s">
        <v>9666</v>
      </c>
      <c r="H66" s="7" t="s">
        <v>9666</v>
      </c>
      <c r="I66" s="7">
        <v>25.429138300000002</v>
      </c>
      <c r="J66" s="7">
        <v>49.578183099999997</v>
      </c>
      <c r="K66" s="7" t="str">
        <f t="shared" si="0"/>
        <v>25.4291383,49.5781831</v>
      </c>
      <c r="L66" s="7" t="s">
        <v>7152</v>
      </c>
      <c r="M66" s="49">
        <v>10091575419</v>
      </c>
      <c r="N66" s="7"/>
      <c r="O66" s="7"/>
      <c r="P66" s="29"/>
      <c r="Q66" s="10"/>
      <c r="R66" s="10"/>
      <c r="S66" s="35"/>
      <c r="T66" s="29"/>
      <c r="U66" s="10"/>
      <c r="V66" s="10"/>
      <c r="W66" s="10"/>
      <c r="X66" s="10"/>
      <c r="Y66" s="10"/>
      <c r="Z66" s="10"/>
      <c r="AA66" s="10"/>
      <c r="AB66" s="35"/>
      <c r="AC66" s="29"/>
      <c r="AD66" s="8"/>
      <c r="AE66" s="26"/>
      <c r="AF66" s="24">
        <f t="shared" si="1"/>
        <v>0</v>
      </c>
      <c r="AG66" s="24">
        <f t="shared" si="2"/>
        <v>0</v>
      </c>
      <c r="AH66" s="24">
        <f t="shared" si="3"/>
        <v>0</v>
      </c>
      <c r="AI66" s="41" t="str" cm="1">
        <f t="array" ref="AI66">_xlfn.IFS(
SUM(AF66:AH66)=0,"Not Started",
SUM(AF66:AH66)&lt;15,"In Progress",
SUM(AF66:AH66)=15,"Completed",
SUM(AF66:AH66)&gt;15,"Error"
)</f>
        <v>Not Started</v>
      </c>
    </row>
    <row r="67" spans="1:35" ht="13" x14ac:dyDescent="0.25">
      <c r="A67" s="7"/>
      <c r="B67" s="7" t="s">
        <v>2124</v>
      </c>
      <c r="C67" s="7" t="s">
        <v>5757</v>
      </c>
      <c r="D67" s="7" t="s">
        <v>6954</v>
      </c>
      <c r="E67" s="7" t="s">
        <v>8887</v>
      </c>
      <c r="F67" s="7" t="s">
        <v>44</v>
      </c>
      <c r="G67" s="7" t="s">
        <v>9666</v>
      </c>
      <c r="H67" s="7" t="s">
        <v>9666</v>
      </c>
      <c r="I67" s="7">
        <v>25.4212585</v>
      </c>
      <c r="J67" s="7">
        <v>49.584310899999998</v>
      </c>
      <c r="K67" s="7" t="str">
        <f t="shared" si="0"/>
        <v>25.4212585,49.5843109</v>
      </c>
      <c r="L67" s="7" t="s">
        <v>7153</v>
      </c>
      <c r="M67" s="49">
        <v>10092419633</v>
      </c>
      <c r="N67" s="7"/>
      <c r="O67" s="7"/>
      <c r="P67" s="29"/>
      <c r="Q67" s="10"/>
      <c r="R67" s="10"/>
      <c r="S67" s="35"/>
      <c r="T67" s="29"/>
      <c r="U67" s="10"/>
      <c r="V67" s="10"/>
      <c r="W67" s="10"/>
      <c r="X67" s="10"/>
      <c r="Y67" s="10"/>
      <c r="Z67" s="10"/>
      <c r="AA67" s="10"/>
      <c r="AB67" s="35"/>
      <c r="AC67" s="29"/>
      <c r="AD67" s="8"/>
      <c r="AE67" s="26"/>
      <c r="AF67" s="24">
        <f t="shared" si="1"/>
        <v>0</v>
      </c>
      <c r="AG67" s="24">
        <f t="shared" si="2"/>
        <v>0</v>
      </c>
      <c r="AH67" s="24">
        <f t="shared" si="3"/>
        <v>0</v>
      </c>
      <c r="AI67" s="41" t="str" cm="1">
        <f t="array" ref="AI67">_xlfn.IFS(
SUM(AF67:AH67)=0,"Not Started",
SUM(AF67:AH67)&lt;15,"In Progress",
SUM(AF67:AH67)=15,"Completed",
SUM(AF67:AH67)&gt;15,"Error"
)</f>
        <v>Not Started</v>
      </c>
    </row>
    <row r="68" spans="1:35" ht="13" x14ac:dyDescent="0.25">
      <c r="A68" s="7"/>
      <c r="B68" s="7" t="s">
        <v>2125</v>
      </c>
      <c r="C68" s="7" t="s">
        <v>6758</v>
      </c>
      <c r="D68" s="7" t="s">
        <v>6955</v>
      </c>
      <c r="E68" s="7" t="s">
        <v>8891</v>
      </c>
      <c r="F68" s="7" t="s">
        <v>44</v>
      </c>
      <c r="G68" s="7" t="s">
        <v>9666</v>
      </c>
      <c r="H68" s="7" t="s">
        <v>9666</v>
      </c>
      <c r="I68" s="7">
        <v>25.443946700000001</v>
      </c>
      <c r="J68" s="7" t="s">
        <v>9487</v>
      </c>
      <c r="K68" s="7" t="str">
        <f t="shared" si="0"/>
        <v xml:space="preserve">25.4439467,49.5780557
</v>
      </c>
      <c r="L68" s="7" t="s">
        <v>7154</v>
      </c>
      <c r="M68" s="49" t="s">
        <v>8895</v>
      </c>
      <c r="N68" s="7"/>
      <c r="O68" s="7"/>
      <c r="P68" s="29"/>
      <c r="Q68" s="10"/>
      <c r="R68" s="10"/>
      <c r="S68" s="35"/>
      <c r="T68" s="29"/>
      <c r="U68" s="10"/>
      <c r="V68" s="10"/>
      <c r="W68" s="10"/>
      <c r="X68" s="10"/>
      <c r="Y68" s="10"/>
      <c r="Z68" s="10"/>
      <c r="AA68" s="10"/>
      <c r="AB68" s="35"/>
      <c r="AC68" s="29"/>
      <c r="AD68" s="8"/>
      <c r="AE68" s="26"/>
      <c r="AF68" s="24">
        <f t="shared" si="1"/>
        <v>0</v>
      </c>
      <c r="AG68" s="24">
        <f t="shared" si="2"/>
        <v>0</v>
      </c>
      <c r="AH68" s="24">
        <f t="shared" si="3"/>
        <v>0</v>
      </c>
      <c r="AI68" s="41" t="str" cm="1">
        <f t="array" ref="AI68">_xlfn.IFS(
SUM(AF68:AH68)=0,"Not Started",
SUM(AF68:AH68)&lt;15,"In Progress",
SUM(AF68:AH68)=15,"Completed",
SUM(AF68:AH68)&gt;15,"Error"
)</f>
        <v>Not Started</v>
      </c>
    </row>
    <row r="69" spans="1:35" ht="13" x14ac:dyDescent="0.25">
      <c r="A69" s="7"/>
      <c r="B69" s="7" t="s">
        <v>2126</v>
      </c>
      <c r="C69" s="7" t="s">
        <v>6759</v>
      </c>
      <c r="D69" s="7" t="s">
        <v>6956</v>
      </c>
      <c r="E69" s="7" t="s">
        <v>8887</v>
      </c>
      <c r="F69" s="7" t="s">
        <v>44</v>
      </c>
      <c r="G69" s="7" t="s">
        <v>9666</v>
      </c>
      <c r="H69" s="7" t="s">
        <v>9666</v>
      </c>
      <c r="I69" s="7">
        <v>25.451065199999999</v>
      </c>
      <c r="J69" s="7">
        <v>49.595392500000003</v>
      </c>
      <c r="K69" s="7" t="str">
        <f t="shared" ref="K69:K132" si="4">_xlfn.CONCAT(I69,",",J69)</f>
        <v>25.4510652,49.5953925</v>
      </c>
      <c r="L69" s="7" t="s">
        <v>7155</v>
      </c>
      <c r="M69" s="49">
        <v>10006333857</v>
      </c>
      <c r="N69" s="7"/>
      <c r="O69" s="7"/>
      <c r="P69" s="29"/>
      <c r="Q69" s="10"/>
      <c r="R69" s="10"/>
      <c r="S69" s="35"/>
      <c r="T69" s="29"/>
      <c r="U69" s="10"/>
      <c r="V69" s="10"/>
      <c r="W69" s="10"/>
      <c r="X69" s="10"/>
      <c r="Y69" s="10"/>
      <c r="Z69" s="10"/>
      <c r="AA69" s="10"/>
      <c r="AB69" s="35"/>
      <c r="AC69" s="29"/>
      <c r="AD69" s="8"/>
      <c r="AE69" s="26"/>
      <c r="AF69" s="24">
        <f t="shared" ref="AF69:AF132" si="5">COUNTIF(P69:AD69,$AF$2)</f>
        <v>0</v>
      </c>
      <c r="AG69" s="24">
        <f t="shared" ref="AG69:AG132" si="6">COUNTIF(P69:AD69,$AG$2)</f>
        <v>0</v>
      </c>
      <c r="AH69" s="24">
        <f t="shared" ref="AH69:AH132" si="7">COUNTIF(P69:AD69,$AH$2)</f>
        <v>0</v>
      </c>
      <c r="AI69" s="41" t="str" cm="1">
        <f t="array" ref="AI69">_xlfn.IFS(
SUM(AF69:AH69)=0,"Not Started",
SUM(AF69:AH69)&lt;15,"In Progress",
SUM(AF69:AH69)=15,"Completed",
SUM(AF69:AH69)&gt;15,"Error"
)</f>
        <v>Not Started</v>
      </c>
    </row>
    <row r="70" spans="1:35" ht="13" x14ac:dyDescent="0.25">
      <c r="A70" s="7"/>
      <c r="B70" s="7" t="s">
        <v>2127</v>
      </c>
      <c r="C70" s="7" t="s">
        <v>6760</v>
      </c>
      <c r="D70" s="7" t="s">
        <v>6957</v>
      </c>
      <c r="E70" s="7" t="s">
        <v>9095</v>
      </c>
      <c r="F70" s="7" t="s">
        <v>9088</v>
      </c>
      <c r="G70" s="7" t="s">
        <v>9666</v>
      </c>
      <c r="H70" s="7" t="s">
        <v>9666</v>
      </c>
      <c r="I70" s="7">
        <v>25.447827400000001</v>
      </c>
      <c r="J70" s="7" t="s">
        <v>9488</v>
      </c>
      <c r="K70" s="7" t="str">
        <f t="shared" si="4"/>
        <v xml:space="preserve">25.4478274,49.5958991
</v>
      </c>
      <c r="L70" s="7" t="s">
        <v>7156</v>
      </c>
      <c r="M70" s="49">
        <v>10006334157</v>
      </c>
      <c r="N70" s="7"/>
      <c r="O70" s="7"/>
      <c r="P70" s="29"/>
      <c r="Q70" s="10"/>
      <c r="R70" s="10"/>
      <c r="S70" s="35"/>
      <c r="T70" s="29"/>
      <c r="U70" s="10"/>
      <c r="V70" s="10"/>
      <c r="W70" s="10"/>
      <c r="X70" s="10"/>
      <c r="Y70" s="10"/>
      <c r="Z70" s="10"/>
      <c r="AA70" s="10"/>
      <c r="AB70" s="35"/>
      <c r="AC70" s="29"/>
      <c r="AD70" s="8"/>
      <c r="AE70" s="26"/>
      <c r="AF70" s="24">
        <f t="shared" si="5"/>
        <v>0</v>
      </c>
      <c r="AG70" s="24">
        <f t="shared" si="6"/>
        <v>0</v>
      </c>
      <c r="AH70" s="24">
        <f t="shared" si="7"/>
        <v>0</v>
      </c>
      <c r="AI70" s="41" t="str" cm="1">
        <f t="array" ref="AI70">_xlfn.IFS(
SUM(AF70:AH70)=0,"Not Started",
SUM(AF70:AH70)&lt;15,"In Progress",
SUM(AF70:AH70)=15,"Completed",
SUM(AF70:AH70)&gt;15,"Error"
)</f>
        <v>Not Started</v>
      </c>
    </row>
    <row r="71" spans="1:35" ht="13" x14ac:dyDescent="0.25">
      <c r="A71" s="7"/>
      <c r="B71" s="7" t="s">
        <v>2128</v>
      </c>
      <c r="C71" s="7" t="s">
        <v>6761</v>
      </c>
      <c r="D71" s="7" t="s">
        <v>6958</v>
      </c>
      <c r="E71" s="7" t="s">
        <v>9094</v>
      </c>
      <c r="F71" s="7" t="s">
        <v>44</v>
      </c>
      <c r="G71" s="7" t="s">
        <v>9666</v>
      </c>
      <c r="H71" s="7" t="s">
        <v>9666</v>
      </c>
      <c r="I71" s="7">
        <v>25.4157069</v>
      </c>
      <c r="J71" s="7">
        <v>49.561383399999997</v>
      </c>
      <c r="K71" s="7" t="str">
        <f t="shared" si="4"/>
        <v>25.4157069,49.5613834</v>
      </c>
      <c r="L71" s="7" t="s">
        <v>7157</v>
      </c>
      <c r="M71" s="49">
        <v>10006331549</v>
      </c>
      <c r="N71" s="7"/>
      <c r="O71" s="7"/>
      <c r="P71" s="29"/>
      <c r="Q71" s="10"/>
      <c r="R71" s="10"/>
      <c r="S71" s="35"/>
      <c r="T71" s="29"/>
      <c r="U71" s="10"/>
      <c r="V71" s="10"/>
      <c r="W71" s="10"/>
      <c r="X71" s="10"/>
      <c r="Y71" s="10"/>
      <c r="Z71" s="10"/>
      <c r="AA71" s="10"/>
      <c r="AB71" s="35"/>
      <c r="AC71" s="29"/>
      <c r="AD71" s="8"/>
      <c r="AE71" s="26"/>
      <c r="AF71" s="24">
        <f t="shared" si="5"/>
        <v>0</v>
      </c>
      <c r="AG71" s="24">
        <f t="shared" si="6"/>
        <v>0</v>
      </c>
      <c r="AH71" s="24">
        <f t="shared" si="7"/>
        <v>0</v>
      </c>
      <c r="AI71" s="41" t="str" cm="1">
        <f t="array" ref="AI71">_xlfn.IFS(
SUM(AF71:AH71)=0,"Not Started",
SUM(AF71:AH71)&lt;15,"In Progress",
SUM(AF71:AH71)=15,"Completed",
SUM(AF71:AH71)&gt;15,"Error"
)</f>
        <v>Not Started</v>
      </c>
    </row>
    <row r="72" spans="1:35" ht="13" x14ac:dyDescent="0.25">
      <c r="A72" s="7"/>
      <c r="B72" s="7" t="s">
        <v>2129</v>
      </c>
      <c r="C72" s="7" t="s">
        <v>6762</v>
      </c>
      <c r="D72" s="7" t="s">
        <v>6959</v>
      </c>
      <c r="E72" s="7" t="s">
        <v>8888</v>
      </c>
      <c r="F72" s="7" t="s">
        <v>48</v>
      </c>
      <c r="G72" s="7" t="s">
        <v>9666</v>
      </c>
      <c r="H72" s="7" t="s">
        <v>9666</v>
      </c>
      <c r="I72" s="7">
        <v>25.456099699999999</v>
      </c>
      <c r="J72" s="7">
        <v>49.6003325</v>
      </c>
      <c r="K72" s="7" t="str">
        <f t="shared" si="4"/>
        <v>25.4560997,49.6003325</v>
      </c>
      <c r="L72" s="7" t="s">
        <v>7158</v>
      </c>
      <c r="M72" s="49">
        <v>10089612669</v>
      </c>
      <c r="N72" s="7"/>
      <c r="O72" s="7"/>
      <c r="P72" s="29"/>
      <c r="Q72" s="10"/>
      <c r="R72" s="10"/>
      <c r="S72" s="35"/>
      <c r="T72" s="29"/>
      <c r="U72" s="10"/>
      <c r="V72" s="10"/>
      <c r="W72" s="10"/>
      <c r="X72" s="10"/>
      <c r="Y72" s="10"/>
      <c r="Z72" s="10"/>
      <c r="AA72" s="10"/>
      <c r="AB72" s="35"/>
      <c r="AC72" s="29"/>
      <c r="AD72" s="8"/>
      <c r="AE72" s="26"/>
      <c r="AF72" s="24">
        <f t="shared" si="5"/>
        <v>0</v>
      </c>
      <c r="AG72" s="24">
        <f t="shared" si="6"/>
        <v>0</v>
      </c>
      <c r="AH72" s="24">
        <f t="shared" si="7"/>
        <v>0</v>
      </c>
      <c r="AI72" s="41" t="str" cm="1">
        <f t="array" ref="AI72">_xlfn.IFS(
SUM(AF72:AH72)=0,"Not Started",
SUM(AF72:AH72)&lt;15,"In Progress",
SUM(AF72:AH72)=15,"Completed",
SUM(AF72:AH72)&gt;15,"Error"
)</f>
        <v>Not Started</v>
      </c>
    </row>
    <row r="73" spans="1:35" ht="13" x14ac:dyDescent="0.25">
      <c r="A73" s="7"/>
      <c r="B73" s="7" t="s">
        <v>2130</v>
      </c>
      <c r="C73" s="7" t="s">
        <v>6763</v>
      </c>
      <c r="D73" s="7" t="s">
        <v>6960</v>
      </c>
      <c r="E73" s="7" t="s">
        <v>8890</v>
      </c>
      <c r="F73" s="7" t="s">
        <v>9088</v>
      </c>
      <c r="G73" s="7" t="s">
        <v>9666</v>
      </c>
      <c r="H73" s="7" t="s">
        <v>9666</v>
      </c>
      <c r="I73" s="7">
        <v>25.405450299999998</v>
      </c>
      <c r="J73" s="7">
        <v>49.598538099999999</v>
      </c>
      <c r="K73" s="7" t="str">
        <f t="shared" si="4"/>
        <v>25.4054503,49.5985381</v>
      </c>
      <c r="L73" s="7" t="s">
        <v>7159</v>
      </c>
      <c r="M73" s="49">
        <v>10006333211</v>
      </c>
      <c r="N73" s="7"/>
      <c r="O73" s="7"/>
      <c r="P73" s="29"/>
      <c r="Q73" s="10"/>
      <c r="R73" s="10"/>
      <c r="S73" s="35"/>
      <c r="T73" s="29"/>
      <c r="U73" s="10"/>
      <c r="V73" s="10"/>
      <c r="W73" s="10"/>
      <c r="X73" s="10"/>
      <c r="Y73" s="10"/>
      <c r="Z73" s="10"/>
      <c r="AA73" s="10"/>
      <c r="AB73" s="35"/>
      <c r="AC73" s="29"/>
      <c r="AD73" s="8"/>
      <c r="AE73" s="26"/>
      <c r="AF73" s="24">
        <f t="shared" si="5"/>
        <v>0</v>
      </c>
      <c r="AG73" s="24">
        <f t="shared" si="6"/>
        <v>0</v>
      </c>
      <c r="AH73" s="24">
        <f t="shared" si="7"/>
        <v>0</v>
      </c>
      <c r="AI73" s="41" t="str" cm="1">
        <f t="array" ref="AI73">_xlfn.IFS(
SUM(AF73:AH73)=0,"Not Started",
SUM(AF73:AH73)&lt;15,"In Progress",
SUM(AF73:AH73)=15,"Completed",
SUM(AF73:AH73)&gt;15,"Error"
)</f>
        <v>Not Started</v>
      </c>
    </row>
    <row r="74" spans="1:35" ht="13" x14ac:dyDescent="0.25">
      <c r="A74" s="7"/>
      <c r="B74" s="7" t="s">
        <v>2131</v>
      </c>
      <c r="C74" s="7" t="s">
        <v>6272</v>
      </c>
      <c r="D74" s="7" t="s">
        <v>6961</v>
      </c>
      <c r="E74" s="7" t="s">
        <v>8888</v>
      </c>
      <c r="F74" s="7" t="s">
        <v>44</v>
      </c>
      <c r="G74" s="7" t="s">
        <v>9666</v>
      </c>
      <c r="H74" s="7" t="s">
        <v>9666</v>
      </c>
      <c r="I74" s="7">
        <v>25.394441700000002</v>
      </c>
      <c r="J74" s="7">
        <v>49.596697399999996</v>
      </c>
      <c r="K74" s="7" t="str">
        <f t="shared" si="4"/>
        <v>25.3944417,49.5966974</v>
      </c>
      <c r="L74" s="7" t="s">
        <v>7160</v>
      </c>
      <c r="M74" s="49">
        <v>10006290562</v>
      </c>
      <c r="N74" s="7"/>
      <c r="O74" s="7"/>
      <c r="P74" s="29"/>
      <c r="Q74" s="10"/>
      <c r="R74" s="10"/>
      <c r="S74" s="35"/>
      <c r="T74" s="29"/>
      <c r="U74" s="10"/>
      <c r="V74" s="10"/>
      <c r="W74" s="10"/>
      <c r="X74" s="10"/>
      <c r="Y74" s="10"/>
      <c r="Z74" s="10"/>
      <c r="AA74" s="10"/>
      <c r="AB74" s="35"/>
      <c r="AC74" s="29"/>
      <c r="AD74" s="8"/>
      <c r="AE74" s="26"/>
      <c r="AF74" s="24">
        <f t="shared" si="5"/>
        <v>0</v>
      </c>
      <c r="AG74" s="24">
        <f t="shared" si="6"/>
        <v>0</v>
      </c>
      <c r="AH74" s="24">
        <f t="shared" si="7"/>
        <v>0</v>
      </c>
      <c r="AI74" s="41" t="str" cm="1">
        <f t="array" ref="AI74">_xlfn.IFS(
SUM(AF74:AH74)=0,"Not Started",
SUM(AF74:AH74)&lt;15,"In Progress",
SUM(AF74:AH74)=15,"Completed",
SUM(AF74:AH74)&gt;15,"Error"
)</f>
        <v>Not Started</v>
      </c>
    </row>
    <row r="75" spans="1:35" ht="13" x14ac:dyDescent="0.25">
      <c r="A75" s="7"/>
      <c r="B75" s="7" t="s">
        <v>2132</v>
      </c>
      <c r="C75" s="7" t="s">
        <v>6764</v>
      </c>
      <c r="D75" s="7" t="s">
        <v>6962</v>
      </c>
      <c r="E75" s="7" t="s">
        <v>8888</v>
      </c>
      <c r="F75" s="7" t="s">
        <v>9088</v>
      </c>
      <c r="G75" s="7" t="s">
        <v>9666</v>
      </c>
      <c r="H75" s="7" t="s">
        <v>9666</v>
      </c>
      <c r="I75" s="7">
        <v>25.3951855</v>
      </c>
      <c r="J75" s="7" t="s">
        <v>9489</v>
      </c>
      <c r="K75" s="7" t="str">
        <f t="shared" si="4"/>
        <v xml:space="preserve">25.3951855,49.6030790
</v>
      </c>
      <c r="L75" s="7" t="s">
        <v>7161</v>
      </c>
      <c r="M75" s="49">
        <v>10006330908</v>
      </c>
      <c r="N75" s="7"/>
      <c r="O75" s="7"/>
      <c r="P75" s="29"/>
      <c r="Q75" s="10"/>
      <c r="R75" s="10"/>
      <c r="S75" s="35"/>
      <c r="T75" s="29"/>
      <c r="U75" s="10"/>
      <c r="V75" s="10"/>
      <c r="W75" s="10"/>
      <c r="X75" s="10"/>
      <c r="Y75" s="10"/>
      <c r="Z75" s="10"/>
      <c r="AA75" s="10"/>
      <c r="AB75" s="35"/>
      <c r="AC75" s="29"/>
      <c r="AD75" s="8"/>
      <c r="AE75" s="26"/>
      <c r="AF75" s="24">
        <f t="shared" si="5"/>
        <v>0</v>
      </c>
      <c r="AG75" s="24">
        <f t="shared" si="6"/>
        <v>0</v>
      </c>
      <c r="AH75" s="24">
        <f t="shared" si="7"/>
        <v>0</v>
      </c>
      <c r="AI75" s="41" t="str" cm="1">
        <f t="array" ref="AI75">_xlfn.IFS(
SUM(AF75:AH75)=0,"Not Started",
SUM(AF75:AH75)&lt;15,"In Progress",
SUM(AF75:AH75)=15,"Completed",
SUM(AF75:AH75)&gt;15,"Error"
)</f>
        <v>Not Started</v>
      </c>
    </row>
    <row r="76" spans="1:35" ht="13" x14ac:dyDescent="0.25">
      <c r="A76" s="7"/>
      <c r="B76" s="7" t="s">
        <v>2133</v>
      </c>
      <c r="C76" s="7" t="s">
        <v>6765</v>
      </c>
      <c r="D76" s="7" t="s">
        <v>6963</v>
      </c>
      <c r="E76" s="7" t="s">
        <v>9095</v>
      </c>
      <c r="F76" s="7" t="s">
        <v>44</v>
      </c>
      <c r="G76" s="7" t="s">
        <v>9666</v>
      </c>
      <c r="H76" s="7" t="s">
        <v>9666</v>
      </c>
      <c r="I76" s="7">
        <v>25.394257799999998</v>
      </c>
      <c r="J76" s="7">
        <v>49.597836999999998</v>
      </c>
      <c r="K76" s="7" t="str">
        <f t="shared" si="4"/>
        <v>25.3942578,49.597837</v>
      </c>
      <c r="L76" s="7" t="s">
        <v>7162</v>
      </c>
      <c r="M76" s="49">
        <v>10006324114</v>
      </c>
      <c r="N76" s="7"/>
      <c r="O76" s="7"/>
      <c r="P76" s="29"/>
      <c r="Q76" s="10"/>
      <c r="R76" s="10"/>
      <c r="S76" s="35"/>
      <c r="T76" s="29"/>
      <c r="U76" s="10"/>
      <c r="V76" s="10"/>
      <c r="W76" s="10"/>
      <c r="X76" s="10"/>
      <c r="Y76" s="10"/>
      <c r="Z76" s="10"/>
      <c r="AA76" s="10"/>
      <c r="AB76" s="35"/>
      <c r="AC76" s="29"/>
      <c r="AD76" s="8"/>
      <c r="AE76" s="26"/>
      <c r="AF76" s="24">
        <f t="shared" si="5"/>
        <v>0</v>
      </c>
      <c r="AG76" s="24">
        <f t="shared" si="6"/>
        <v>0</v>
      </c>
      <c r="AH76" s="24">
        <f t="shared" si="7"/>
        <v>0</v>
      </c>
      <c r="AI76" s="41" t="str" cm="1">
        <f t="array" ref="AI76">_xlfn.IFS(
SUM(AF76:AH76)=0,"Not Started",
SUM(AF76:AH76)&lt;15,"In Progress",
SUM(AF76:AH76)=15,"Completed",
SUM(AF76:AH76)&gt;15,"Error"
)</f>
        <v>Not Started</v>
      </c>
    </row>
    <row r="77" spans="1:35" ht="13" x14ac:dyDescent="0.25">
      <c r="A77" s="7"/>
      <c r="B77" s="7" t="s">
        <v>2134</v>
      </c>
      <c r="C77" s="7" t="s">
        <v>6766</v>
      </c>
      <c r="D77" s="7" t="s">
        <v>6964</v>
      </c>
      <c r="E77" s="7" t="s">
        <v>8891</v>
      </c>
      <c r="F77" s="7" t="s">
        <v>9088</v>
      </c>
      <c r="G77" s="7" t="s">
        <v>9666</v>
      </c>
      <c r="H77" s="7" t="s">
        <v>9666</v>
      </c>
      <c r="I77" s="7">
        <v>25.396697499999998</v>
      </c>
      <c r="J77" s="7">
        <v>49.605286499999998</v>
      </c>
      <c r="K77" s="7" t="str">
        <f t="shared" si="4"/>
        <v>25.3966975,49.6052865</v>
      </c>
      <c r="L77" s="7" t="s">
        <v>7163</v>
      </c>
      <c r="M77" s="49">
        <v>10006335323</v>
      </c>
      <c r="N77" s="7"/>
      <c r="O77" s="7"/>
      <c r="P77" s="29"/>
      <c r="Q77" s="10"/>
      <c r="R77" s="10"/>
      <c r="S77" s="35"/>
      <c r="T77" s="29"/>
      <c r="U77" s="10"/>
      <c r="V77" s="10"/>
      <c r="W77" s="10"/>
      <c r="X77" s="10"/>
      <c r="Y77" s="10"/>
      <c r="Z77" s="10"/>
      <c r="AA77" s="10"/>
      <c r="AB77" s="35"/>
      <c r="AC77" s="29"/>
      <c r="AD77" s="8"/>
      <c r="AE77" s="26"/>
      <c r="AF77" s="24">
        <f t="shared" si="5"/>
        <v>0</v>
      </c>
      <c r="AG77" s="24">
        <f t="shared" si="6"/>
        <v>0</v>
      </c>
      <c r="AH77" s="24">
        <f t="shared" si="7"/>
        <v>0</v>
      </c>
      <c r="AI77" s="41" t="str" cm="1">
        <f t="array" ref="AI77">_xlfn.IFS(
SUM(AF77:AH77)=0,"Not Started",
SUM(AF77:AH77)&lt;15,"In Progress",
SUM(AF77:AH77)=15,"Completed",
SUM(AF77:AH77)&gt;15,"Error"
)</f>
        <v>Not Started</v>
      </c>
    </row>
    <row r="78" spans="1:35" ht="13" x14ac:dyDescent="0.25">
      <c r="A78" s="7"/>
      <c r="B78" s="7" t="s">
        <v>2135</v>
      </c>
      <c r="C78" s="7" t="s">
        <v>6767</v>
      </c>
      <c r="D78" s="7" t="s">
        <v>6965</v>
      </c>
      <c r="E78" s="7" t="s">
        <v>9095</v>
      </c>
      <c r="F78" s="7" t="s">
        <v>48</v>
      </c>
      <c r="G78" s="7" t="s">
        <v>9666</v>
      </c>
      <c r="H78" s="7" t="s">
        <v>9666</v>
      </c>
      <c r="I78" s="7">
        <v>25.3578963</v>
      </c>
      <c r="J78" s="7">
        <v>49.556177300000002</v>
      </c>
      <c r="K78" s="7" t="str">
        <f t="shared" si="4"/>
        <v>25.3578963,49.5561773</v>
      </c>
      <c r="L78" s="7" t="s">
        <v>7164</v>
      </c>
      <c r="M78" s="49">
        <v>10097181298</v>
      </c>
      <c r="N78" s="7"/>
      <c r="O78" s="7"/>
      <c r="P78" s="29"/>
      <c r="Q78" s="10"/>
      <c r="R78" s="10"/>
      <c r="S78" s="35"/>
      <c r="T78" s="29"/>
      <c r="U78" s="10"/>
      <c r="V78" s="10"/>
      <c r="W78" s="10"/>
      <c r="X78" s="10"/>
      <c r="Y78" s="10"/>
      <c r="Z78" s="10"/>
      <c r="AA78" s="10"/>
      <c r="AB78" s="35"/>
      <c r="AC78" s="29"/>
      <c r="AD78" s="8"/>
      <c r="AE78" s="26"/>
      <c r="AF78" s="24">
        <f t="shared" si="5"/>
        <v>0</v>
      </c>
      <c r="AG78" s="24">
        <f t="shared" si="6"/>
        <v>0</v>
      </c>
      <c r="AH78" s="24">
        <f t="shared" si="7"/>
        <v>0</v>
      </c>
      <c r="AI78" s="41" t="str" cm="1">
        <f t="array" ref="AI78">_xlfn.IFS(
SUM(AF78:AH78)=0,"Not Started",
SUM(AF78:AH78)&lt;15,"In Progress",
SUM(AF78:AH78)=15,"Completed",
SUM(AF78:AH78)&gt;15,"Error"
)</f>
        <v>Not Started</v>
      </c>
    </row>
    <row r="79" spans="1:35" ht="13" x14ac:dyDescent="0.25">
      <c r="A79" s="7"/>
      <c r="B79" s="7" t="s">
        <v>2136</v>
      </c>
      <c r="C79" s="7" t="s">
        <v>6768</v>
      </c>
      <c r="D79" s="7" t="s">
        <v>6966</v>
      </c>
      <c r="E79" s="7" t="s">
        <v>8888</v>
      </c>
      <c r="F79" s="7" t="s">
        <v>48</v>
      </c>
      <c r="G79" s="7" t="s">
        <v>9666</v>
      </c>
      <c r="H79" s="7" t="s">
        <v>9666</v>
      </c>
      <c r="I79" s="7">
        <v>25.366429499999999</v>
      </c>
      <c r="J79" s="7" t="s">
        <v>9490</v>
      </c>
      <c r="K79" s="7" t="str">
        <f t="shared" si="4"/>
        <v xml:space="preserve">25.3664295,49.5493440
</v>
      </c>
      <c r="L79" s="7" t="s">
        <v>7165</v>
      </c>
      <c r="M79" s="49">
        <v>10194821599</v>
      </c>
      <c r="N79" s="7"/>
      <c r="O79" s="7"/>
      <c r="P79" s="29"/>
      <c r="Q79" s="10"/>
      <c r="R79" s="10"/>
      <c r="S79" s="35"/>
      <c r="T79" s="29"/>
      <c r="U79" s="10"/>
      <c r="V79" s="10"/>
      <c r="W79" s="10"/>
      <c r="X79" s="10"/>
      <c r="Y79" s="10"/>
      <c r="Z79" s="10"/>
      <c r="AA79" s="10"/>
      <c r="AB79" s="35"/>
      <c r="AC79" s="29"/>
      <c r="AD79" s="8"/>
      <c r="AE79" s="26"/>
      <c r="AF79" s="24">
        <f t="shared" si="5"/>
        <v>0</v>
      </c>
      <c r="AG79" s="24">
        <f t="shared" si="6"/>
        <v>0</v>
      </c>
      <c r="AH79" s="24">
        <f t="shared" si="7"/>
        <v>0</v>
      </c>
      <c r="AI79" s="41" t="str" cm="1">
        <f t="array" ref="AI79">_xlfn.IFS(
SUM(AF79:AH79)=0,"Not Started",
SUM(AF79:AH79)&lt;15,"In Progress",
SUM(AF79:AH79)=15,"Completed",
SUM(AF79:AH79)&gt;15,"Error"
)</f>
        <v>Not Started</v>
      </c>
    </row>
    <row r="80" spans="1:35" ht="13" x14ac:dyDescent="0.25">
      <c r="A80" s="7"/>
      <c r="B80" s="7" t="s">
        <v>2137</v>
      </c>
      <c r="C80" s="7" t="s">
        <v>6769</v>
      </c>
      <c r="D80" s="7" t="s">
        <v>6967</v>
      </c>
      <c r="E80" s="7" t="s">
        <v>9092</v>
      </c>
      <c r="F80" s="7" t="s">
        <v>48</v>
      </c>
      <c r="G80" s="7" t="s">
        <v>9666</v>
      </c>
      <c r="H80" s="7" t="s">
        <v>9666</v>
      </c>
      <c r="I80" s="7">
        <v>25.349960299999999</v>
      </c>
      <c r="J80" s="7">
        <v>49.605355199999998</v>
      </c>
      <c r="K80" s="7" t="str">
        <f t="shared" si="4"/>
        <v>25.3499603,49.6053552</v>
      </c>
      <c r="L80" s="7" t="s">
        <v>7166</v>
      </c>
      <c r="M80" s="49">
        <v>10006307811</v>
      </c>
      <c r="N80" s="7"/>
      <c r="O80" s="7"/>
      <c r="P80" s="29"/>
      <c r="Q80" s="10"/>
      <c r="R80" s="10"/>
      <c r="S80" s="35"/>
      <c r="T80" s="29"/>
      <c r="U80" s="10"/>
      <c r="V80" s="10"/>
      <c r="W80" s="10"/>
      <c r="X80" s="10"/>
      <c r="Y80" s="10"/>
      <c r="Z80" s="10"/>
      <c r="AA80" s="10"/>
      <c r="AB80" s="35"/>
      <c r="AC80" s="29"/>
      <c r="AD80" s="8"/>
      <c r="AE80" s="26"/>
      <c r="AF80" s="24">
        <f t="shared" si="5"/>
        <v>0</v>
      </c>
      <c r="AG80" s="24">
        <f t="shared" si="6"/>
        <v>0</v>
      </c>
      <c r="AH80" s="24">
        <f t="shared" si="7"/>
        <v>0</v>
      </c>
      <c r="AI80" s="41" t="str" cm="1">
        <f t="array" ref="AI80">_xlfn.IFS(
SUM(AF80:AH80)=0,"Not Started",
SUM(AF80:AH80)&lt;15,"In Progress",
SUM(AF80:AH80)=15,"Completed",
SUM(AF80:AH80)&gt;15,"Error"
)</f>
        <v>Not Started</v>
      </c>
    </row>
    <row r="81" spans="1:35" ht="13" x14ac:dyDescent="0.25">
      <c r="A81" s="7"/>
      <c r="B81" s="7" t="s">
        <v>2138</v>
      </c>
      <c r="C81" s="7" t="s">
        <v>6770</v>
      </c>
      <c r="D81" s="7" t="s">
        <v>6968</v>
      </c>
      <c r="E81" s="7" t="s">
        <v>8889</v>
      </c>
      <c r="F81" s="7" t="s">
        <v>48</v>
      </c>
      <c r="G81" s="7" t="s">
        <v>9666</v>
      </c>
      <c r="H81" s="7" t="s">
        <v>9666</v>
      </c>
      <c r="I81" s="7">
        <v>25.3366118</v>
      </c>
      <c r="J81" s="7">
        <v>49.588815400000001</v>
      </c>
      <c r="K81" s="7" t="str">
        <f t="shared" si="4"/>
        <v>25.3366118,49.5888154</v>
      </c>
      <c r="L81" s="7" t="s">
        <v>7167</v>
      </c>
      <c r="M81" s="49">
        <v>10006307768</v>
      </c>
      <c r="N81" s="7"/>
      <c r="O81" s="7"/>
      <c r="P81" s="29"/>
      <c r="Q81" s="10"/>
      <c r="R81" s="10"/>
      <c r="S81" s="35"/>
      <c r="T81" s="29"/>
      <c r="U81" s="10"/>
      <c r="V81" s="10"/>
      <c r="W81" s="10"/>
      <c r="X81" s="10"/>
      <c r="Y81" s="10"/>
      <c r="Z81" s="10"/>
      <c r="AA81" s="10"/>
      <c r="AB81" s="35"/>
      <c r="AC81" s="29"/>
      <c r="AD81" s="8"/>
      <c r="AE81" s="26"/>
      <c r="AF81" s="24">
        <f t="shared" si="5"/>
        <v>0</v>
      </c>
      <c r="AG81" s="24">
        <f t="shared" si="6"/>
        <v>0</v>
      </c>
      <c r="AH81" s="24">
        <f t="shared" si="7"/>
        <v>0</v>
      </c>
      <c r="AI81" s="41" t="str" cm="1">
        <f t="array" ref="AI81">_xlfn.IFS(
SUM(AF81:AH81)=0,"Not Started",
SUM(AF81:AH81)&lt;15,"In Progress",
SUM(AF81:AH81)=15,"Completed",
SUM(AF81:AH81)&gt;15,"Error"
)</f>
        <v>Not Started</v>
      </c>
    </row>
    <row r="82" spans="1:35" ht="13" x14ac:dyDescent="0.25">
      <c r="A82" s="7"/>
      <c r="B82" s="7" t="s">
        <v>2139</v>
      </c>
      <c r="C82" s="7" t="s">
        <v>6771</v>
      </c>
      <c r="D82" s="7" t="s">
        <v>6969</v>
      </c>
      <c r="E82" s="7" t="s">
        <v>8889</v>
      </c>
      <c r="F82" s="7" t="s">
        <v>48</v>
      </c>
      <c r="G82" s="7" t="s">
        <v>9666</v>
      </c>
      <c r="H82" s="7" t="s">
        <v>9666</v>
      </c>
      <c r="I82" s="7">
        <v>25.359592599999999</v>
      </c>
      <c r="J82" s="7" t="s">
        <v>9491</v>
      </c>
      <c r="K82" s="7" t="str">
        <f t="shared" si="4"/>
        <v xml:space="preserve">25.3595926,49.6122854
</v>
      </c>
      <c r="L82" s="7" t="s">
        <v>7168</v>
      </c>
      <c r="M82" s="49">
        <v>10006307104</v>
      </c>
      <c r="N82" s="7"/>
      <c r="O82" s="7"/>
      <c r="P82" s="29"/>
      <c r="Q82" s="10"/>
      <c r="R82" s="10"/>
      <c r="S82" s="35"/>
      <c r="T82" s="29"/>
      <c r="U82" s="10"/>
      <c r="V82" s="10"/>
      <c r="W82" s="10"/>
      <c r="X82" s="10"/>
      <c r="Y82" s="10"/>
      <c r="Z82" s="10"/>
      <c r="AA82" s="10"/>
      <c r="AB82" s="35"/>
      <c r="AC82" s="29"/>
      <c r="AD82" s="8"/>
      <c r="AE82" s="26"/>
      <c r="AF82" s="24">
        <f t="shared" si="5"/>
        <v>0</v>
      </c>
      <c r="AG82" s="24">
        <f t="shared" si="6"/>
        <v>0</v>
      </c>
      <c r="AH82" s="24">
        <f t="shared" si="7"/>
        <v>0</v>
      </c>
      <c r="AI82" s="41" t="str" cm="1">
        <f t="array" ref="AI82">_xlfn.IFS(
SUM(AF82:AH82)=0,"Not Started",
SUM(AF82:AH82)&lt;15,"In Progress",
SUM(AF82:AH82)=15,"Completed",
SUM(AF82:AH82)&gt;15,"Error"
)</f>
        <v>Not Started</v>
      </c>
    </row>
    <row r="83" spans="1:35" ht="13" x14ac:dyDescent="0.25">
      <c r="A83" s="7"/>
      <c r="B83" s="7" t="s">
        <v>2140</v>
      </c>
      <c r="C83" s="7" t="s">
        <v>6772</v>
      </c>
      <c r="D83" s="7" t="s">
        <v>6970</v>
      </c>
      <c r="E83" s="7" t="s">
        <v>9092</v>
      </c>
      <c r="F83" s="7" t="s">
        <v>48</v>
      </c>
      <c r="G83" s="7" t="s">
        <v>9666</v>
      </c>
      <c r="H83" s="7" t="s">
        <v>9666</v>
      </c>
      <c r="I83" s="7">
        <v>25.311659599999999</v>
      </c>
      <c r="J83" s="7" t="s">
        <v>9492</v>
      </c>
      <c r="K83" s="7" t="str">
        <f t="shared" si="4"/>
        <v xml:space="preserve">25.3116596,49.6004297
</v>
      </c>
      <c r="L83" s="7" t="s">
        <v>7169</v>
      </c>
      <c r="M83" s="49" t="s">
        <v>8896</v>
      </c>
      <c r="N83" s="7"/>
      <c r="O83" s="7"/>
      <c r="P83" s="29"/>
      <c r="Q83" s="10"/>
      <c r="R83" s="10"/>
      <c r="S83" s="35"/>
      <c r="T83" s="29"/>
      <c r="U83" s="10"/>
      <c r="V83" s="10"/>
      <c r="W83" s="10"/>
      <c r="X83" s="10"/>
      <c r="Y83" s="10"/>
      <c r="Z83" s="10"/>
      <c r="AA83" s="10"/>
      <c r="AB83" s="35"/>
      <c r="AC83" s="29"/>
      <c r="AD83" s="8"/>
      <c r="AE83" s="26"/>
      <c r="AF83" s="24">
        <f t="shared" si="5"/>
        <v>0</v>
      </c>
      <c r="AG83" s="24">
        <f t="shared" si="6"/>
        <v>0</v>
      </c>
      <c r="AH83" s="24">
        <f t="shared" si="7"/>
        <v>0</v>
      </c>
      <c r="AI83" s="41" t="str" cm="1">
        <f t="array" ref="AI83">_xlfn.IFS(
SUM(AF83:AH83)=0,"Not Started",
SUM(AF83:AH83)&lt;15,"In Progress",
SUM(AF83:AH83)=15,"Completed",
SUM(AF83:AH83)&gt;15,"Error"
)</f>
        <v>Not Started</v>
      </c>
    </row>
    <row r="84" spans="1:35" ht="13" x14ac:dyDescent="0.25">
      <c r="A84" s="7"/>
      <c r="B84" s="7" t="s">
        <v>2141</v>
      </c>
      <c r="C84" s="7" t="s">
        <v>6773</v>
      </c>
      <c r="D84" s="7" t="s">
        <v>6971</v>
      </c>
      <c r="E84" s="7" t="s">
        <v>51</v>
      </c>
      <c r="F84" s="7" t="s">
        <v>9091</v>
      </c>
      <c r="G84" s="7" t="s">
        <v>9666</v>
      </c>
      <c r="H84" s="7" t="s">
        <v>9666</v>
      </c>
      <c r="I84" s="7">
        <v>25.349118900000001</v>
      </c>
      <c r="J84" s="7">
        <v>49.580261499999999</v>
      </c>
      <c r="K84" s="7" t="str">
        <f t="shared" si="4"/>
        <v>25.3491189,49.5802615</v>
      </c>
      <c r="L84" s="7" t="s">
        <v>7170</v>
      </c>
      <c r="M84" s="49">
        <v>10006298776</v>
      </c>
      <c r="N84" s="7"/>
      <c r="O84" s="7"/>
      <c r="P84" s="29"/>
      <c r="Q84" s="10"/>
      <c r="R84" s="10"/>
      <c r="S84" s="35"/>
      <c r="T84" s="29"/>
      <c r="U84" s="10"/>
      <c r="V84" s="10"/>
      <c r="W84" s="10"/>
      <c r="X84" s="10"/>
      <c r="Y84" s="10"/>
      <c r="Z84" s="10"/>
      <c r="AA84" s="10"/>
      <c r="AB84" s="35"/>
      <c r="AC84" s="29"/>
      <c r="AD84" s="8"/>
      <c r="AE84" s="26"/>
      <c r="AF84" s="24">
        <f t="shared" si="5"/>
        <v>0</v>
      </c>
      <c r="AG84" s="24">
        <f t="shared" si="6"/>
        <v>0</v>
      </c>
      <c r="AH84" s="24">
        <f t="shared" si="7"/>
        <v>0</v>
      </c>
      <c r="AI84" s="41" t="str" cm="1">
        <f t="array" ref="AI84">_xlfn.IFS(
SUM(AF84:AH84)=0,"Not Started",
SUM(AF84:AH84)&lt;15,"In Progress",
SUM(AF84:AH84)=15,"Completed",
SUM(AF84:AH84)&gt;15,"Error"
)</f>
        <v>Not Started</v>
      </c>
    </row>
    <row r="85" spans="1:35" ht="13" x14ac:dyDescent="0.25">
      <c r="A85" s="7"/>
      <c r="B85" s="7" t="s">
        <v>2142</v>
      </c>
      <c r="C85" s="7" t="s">
        <v>6774</v>
      </c>
      <c r="D85" s="7" t="s">
        <v>6972</v>
      </c>
      <c r="E85" s="7" t="s">
        <v>8887</v>
      </c>
      <c r="F85" s="7" t="s">
        <v>48</v>
      </c>
      <c r="G85" s="7" t="s">
        <v>9666</v>
      </c>
      <c r="H85" s="7" t="s">
        <v>9666</v>
      </c>
      <c r="I85" s="7">
        <v>25.3930975</v>
      </c>
      <c r="J85" s="7">
        <v>49.589854699999997</v>
      </c>
      <c r="K85" s="7" t="str">
        <f t="shared" si="4"/>
        <v>25.3930975,49.5898547</v>
      </c>
      <c r="L85" s="7" t="s">
        <v>7171</v>
      </c>
      <c r="M85" s="49">
        <v>10006281741</v>
      </c>
      <c r="N85" s="7"/>
      <c r="O85" s="7"/>
      <c r="P85" s="29"/>
      <c r="Q85" s="10"/>
      <c r="R85" s="10"/>
      <c r="S85" s="35"/>
      <c r="T85" s="29"/>
      <c r="U85" s="10"/>
      <c r="V85" s="10"/>
      <c r="W85" s="10"/>
      <c r="X85" s="10"/>
      <c r="Y85" s="10"/>
      <c r="Z85" s="10"/>
      <c r="AA85" s="10"/>
      <c r="AB85" s="35"/>
      <c r="AC85" s="29"/>
      <c r="AD85" s="8"/>
      <c r="AE85" s="26"/>
      <c r="AF85" s="24">
        <f t="shared" si="5"/>
        <v>0</v>
      </c>
      <c r="AG85" s="24">
        <f t="shared" si="6"/>
        <v>0</v>
      </c>
      <c r="AH85" s="24">
        <f t="shared" si="7"/>
        <v>0</v>
      </c>
      <c r="AI85" s="41" t="str" cm="1">
        <f t="array" ref="AI85">_xlfn.IFS(
SUM(AF85:AH85)=0,"Not Started",
SUM(AF85:AH85)&lt;15,"In Progress",
SUM(AF85:AH85)=15,"Completed",
SUM(AF85:AH85)&gt;15,"Error"
)</f>
        <v>Not Started</v>
      </c>
    </row>
    <row r="86" spans="1:35" ht="13" x14ac:dyDescent="0.25">
      <c r="A86" s="7"/>
      <c r="B86" s="7" t="s">
        <v>2143</v>
      </c>
      <c r="C86" s="7" t="s">
        <v>6775</v>
      </c>
      <c r="D86" s="7" t="s">
        <v>6973</v>
      </c>
      <c r="E86" s="7" t="s">
        <v>8887</v>
      </c>
      <c r="F86" s="7" t="s">
        <v>48</v>
      </c>
      <c r="G86" s="7" t="s">
        <v>9666</v>
      </c>
      <c r="H86" s="7" t="s">
        <v>9666</v>
      </c>
      <c r="I86" s="7">
        <v>25.363072500000001</v>
      </c>
      <c r="J86" s="7">
        <v>49.627900500000003</v>
      </c>
      <c r="K86" s="7" t="str">
        <f t="shared" si="4"/>
        <v>25.3630725,49.6279005</v>
      </c>
      <c r="L86" s="7" t="s">
        <v>7172</v>
      </c>
      <c r="M86" s="49">
        <v>10006326173</v>
      </c>
      <c r="N86" s="7"/>
      <c r="O86" s="7"/>
      <c r="P86" s="29"/>
      <c r="Q86" s="10"/>
      <c r="R86" s="10"/>
      <c r="S86" s="35"/>
      <c r="T86" s="29"/>
      <c r="U86" s="10"/>
      <c r="V86" s="10"/>
      <c r="W86" s="10"/>
      <c r="X86" s="10"/>
      <c r="Y86" s="10"/>
      <c r="Z86" s="10"/>
      <c r="AA86" s="10"/>
      <c r="AB86" s="35"/>
      <c r="AC86" s="29"/>
      <c r="AD86" s="8"/>
      <c r="AE86" s="26"/>
      <c r="AF86" s="24">
        <f t="shared" si="5"/>
        <v>0</v>
      </c>
      <c r="AG86" s="24">
        <f t="shared" si="6"/>
        <v>0</v>
      </c>
      <c r="AH86" s="24">
        <f t="shared" si="7"/>
        <v>0</v>
      </c>
      <c r="AI86" s="41" t="str" cm="1">
        <f t="array" ref="AI86">_xlfn.IFS(
SUM(AF86:AH86)=0,"Not Started",
SUM(AF86:AH86)&lt;15,"In Progress",
SUM(AF86:AH86)=15,"Completed",
SUM(AF86:AH86)&gt;15,"Error"
)</f>
        <v>Not Started</v>
      </c>
    </row>
    <row r="87" spans="1:35" ht="13" x14ac:dyDescent="0.25">
      <c r="A87" s="7"/>
      <c r="B87" s="7" t="s">
        <v>2144</v>
      </c>
      <c r="C87" s="7" t="s">
        <v>6776</v>
      </c>
      <c r="D87" s="7" t="s">
        <v>6974</v>
      </c>
      <c r="E87" s="7" t="s">
        <v>9092</v>
      </c>
      <c r="F87" s="7" t="s">
        <v>48</v>
      </c>
      <c r="G87" s="7" t="s">
        <v>9666</v>
      </c>
      <c r="H87" s="7" t="s">
        <v>9666</v>
      </c>
      <c r="I87" s="7">
        <v>25.3646566</v>
      </c>
      <c r="J87" s="7">
        <v>49.563823900000003</v>
      </c>
      <c r="K87" s="7" t="str">
        <f t="shared" si="4"/>
        <v>25.3646566,49.5638239</v>
      </c>
      <c r="L87" s="7" t="s">
        <v>7173</v>
      </c>
      <c r="M87" s="49">
        <v>10006289329</v>
      </c>
      <c r="N87" s="7"/>
      <c r="O87" s="7"/>
      <c r="P87" s="29"/>
      <c r="Q87" s="10"/>
      <c r="R87" s="10"/>
      <c r="S87" s="35"/>
      <c r="T87" s="29"/>
      <c r="U87" s="10"/>
      <c r="V87" s="10"/>
      <c r="W87" s="10"/>
      <c r="X87" s="10"/>
      <c r="Y87" s="10"/>
      <c r="Z87" s="10"/>
      <c r="AA87" s="10"/>
      <c r="AB87" s="35"/>
      <c r="AC87" s="29"/>
      <c r="AD87" s="8"/>
      <c r="AE87" s="26"/>
      <c r="AF87" s="24">
        <f t="shared" si="5"/>
        <v>0</v>
      </c>
      <c r="AG87" s="24">
        <f t="shared" si="6"/>
        <v>0</v>
      </c>
      <c r="AH87" s="24">
        <f t="shared" si="7"/>
        <v>0</v>
      </c>
      <c r="AI87" s="41" t="str" cm="1">
        <f t="array" ref="AI87">_xlfn.IFS(
SUM(AF87:AH87)=0,"Not Started",
SUM(AF87:AH87)&lt;15,"In Progress",
SUM(AF87:AH87)=15,"Completed",
SUM(AF87:AH87)&gt;15,"Error"
)</f>
        <v>Not Started</v>
      </c>
    </row>
    <row r="88" spans="1:35" ht="13" x14ac:dyDescent="0.25">
      <c r="A88" s="7"/>
      <c r="B88" s="7" t="s">
        <v>2145</v>
      </c>
      <c r="C88" s="7" t="s">
        <v>6777</v>
      </c>
      <c r="D88" s="7" t="s">
        <v>6975</v>
      </c>
      <c r="E88" s="7" t="s">
        <v>8888</v>
      </c>
      <c r="F88" s="7" t="s">
        <v>48</v>
      </c>
      <c r="G88" s="7" t="s">
        <v>9666</v>
      </c>
      <c r="H88" s="7" t="s">
        <v>9666</v>
      </c>
      <c r="I88" s="7">
        <v>25.3585128</v>
      </c>
      <c r="J88" s="7">
        <v>49.570705799999999</v>
      </c>
      <c r="K88" s="7" t="str">
        <f t="shared" si="4"/>
        <v>25.3585128,49.5707058</v>
      </c>
      <c r="L88" s="7" t="s">
        <v>7174</v>
      </c>
      <c r="M88" s="49">
        <v>10006330631</v>
      </c>
      <c r="N88" s="7"/>
      <c r="O88" s="7"/>
      <c r="P88" s="29"/>
      <c r="Q88" s="10"/>
      <c r="R88" s="10"/>
      <c r="S88" s="35"/>
      <c r="T88" s="29"/>
      <c r="U88" s="10"/>
      <c r="V88" s="10"/>
      <c r="W88" s="10"/>
      <c r="X88" s="10"/>
      <c r="Y88" s="10"/>
      <c r="Z88" s="10"/>
      <c r="AA88" s="10"/>
      <c r="AB88" s="35"/>
      <c r="AC88" s="29"/>
      <c r="AD88" s="8"/>
      <c r="AE88" s="26"/>
      <c r="AF88" s="24">
        <f t="shared" si="5"/>
        <v>0</v>
      </c>
      <c r="AG88" s="24">
        <f t="shared" si="6"/>
        <v>0</v>
      </c>
      <c r="AH88" s="24">
        <f t="shared" si="7"/>
        <v>0</v>
      </c>
      <c r="AI88" s="41" t="str" cm="1">
        <f t="array" ref="AI88">_xlfn.IFS(
SUM(AF88:AH88)=0,"Not Started",
SUM(AF88:AH88)&lt;15,"In Progress",
SUM(AF88:AH88)=15,"Completed",
SUM(AF88:AH88)&gt;15,"Error"
)</f>
        <v>Not Started</v>
      </c>
    </row>
    <row r="89" spans="1:35" ht="13" x14ac:dyDescent="0.25">
      <c r="A89" s="7"/>
      <c r="B89" s="7" t="s">
        <v>2146</v>
      </c>
      <c r="C89" s="7" t="s">
        <v>6778</v>
      </c>
      <c r="D89" s="7" t="s">
        <v>6976</v>
      </c>
      <c r="E89" s="7" t="s">
        <v>9095</v>
      </c>
      <c r="F89" s="7" t="s">
        <v>48</v>
      </c>
      <c r="G89" s="7" t="s">
        <v>9666</v>
      </c>
      <c r="H89" s="7" t="s">
        <v>9666</v>
      </c>
      <c r="I89" s="7">
        <v>25.380298100000001</v>
      </c>
      <c r="J89" s="7" t="s">
        <v>9493</v>
      </c>
      <c r="K89" s="7" t="str">
        <f t="shared" si="4"/>
        <v xml:space="preserve">25.3802981,49.5967215
</v>
      </c>
      <c r="L89" s="7" t="s">
        <v>7175</v>
      </c>
      <c r="M89" s="49">
        <v>10006323995</v>
      </c>
      <c r="N89" s="7"/>
      <c r="O89" s="7"/>
      <c r="P89" s="29"/>
      <c r="Q89" s="10"/>
      <c r="R89" s="10"/>
      <c r="S89" s="35"/>
      <c r="T89" s="29"/>
      <c r="U89" s="10"/>
      <c r="V89" s="10"/>
      <c r="W89" s="10"/>
      <c r="X89" s="10"/>
      <c r="Y89" s="10"/>
      <c r="Z89" s="10"/>
      <c r="AA89" s="10"/>
      <c r="AB89" s="35"/>
      <c r="AC89" s="29"/>
      <c r="AD89" s="8"/>
      <c r="AE89" s="26"/>
      <c r="AF89" s="24">
        <f t="shared" si="5"/>
        <v>0</v>
      </c>
      <c r="AG89" s="24">
        <f t="shared" si="6"/>
        <v>0</v>
      </c>
      <c r="AH89" s="24">
        <f t="shared" si="7"/>
        <v>0</v>
      </c>
      <c r="AI89" s="41" t="str" cm="1">
        <f t="array" ref="AI89">_xlfn.IFS(
SUM(AF89:AH89)=0,"Not Started",
SUM(AF89:AH89)&lt;15,"In Progress",
SUM(AF89:AH89)=15,"Completed",
SUM(AF89:AH89)&gt;15,"Error"
)</f>
        <v>Not Started</v>
      </c>
    </row>
    <row r="90" spans="1:35" ht="13" x14ac:dyDescent="0.25">
      <c r="A90" s="7"/>
      <c r="B90" s="7" t="s">
        <v>2147</v>
      </c>
      <c r="C90" s="7" t="s">
        <v>6779</v>
      </c>
      <c r="D90" s="7" t="s">
        <v>6977</v>
      </c>
      <c r="E90" s="7" t="s">
        <v>8888</v>
      </c>
      <c r="F90" s="7" t="s">
        <v>48</v>
      </c>
      <c r="G90" s="7" t="s">
        <v>9666</v>
      </c>
      <c r="H90" s="7" t="s">
        <v>9666</v>
      </c>
      <c r="I90" s="7">
        <v>25.377890799999999</v>
      </c>
      <c r="J90" s="7">
        <v>49.592499699999998</v>
      </c>
      <c r="K90" s="7" t="str">
        <f t="shared" si="4"/>
        <v>25.3778908,49.5924997</v>
      </c>
      <c r="L90" s="7" t="s">
        <v>7176</v>
      </c>
      <c r="M90" s="49">
        <v>10006281554</v>
      </c>
      <c r="N90" s="7"/>
      <c r="O90" s="7"/>
      <c r="P90" s="29"/>
      <c r="Q90" s="10"/>
      <c r="R90" s="10"/>
      <c r="S90" s="35"/>
      <c r="T90" s="29"/>
      <c r="U90" s="10"/>
      <c r="V90" s="10"/>
      <c r="W90" s="10"/>
      <c r="X90" s="10"/>
      <c r="Y90" s="10"/>
      <c r="Z90" s="10"/>
      <c r="AA90" s="10"/>
      <c r="AB90" s="35"/>
      <c r="AC90" s="29"/>
      <c r="AD90" s="8"/>
      <c r="AE90" s="26"/>
      <c r="AF90" s="24">
        <f t="shared" si="5"/>
        <v>0</v>
      </c>
      <c r="AG90" s="24">
        <f t="shared" si="6"/>
        <v>0</v>
      </c>
      <c r="AH90" s="24">
        <f t="shared" si="7"/>
        <v>0</v>
      </c>
      <c r="AI90" s="41" t="str" cm="1">
        <f t="array" ref="AI90">_xlfn.IFS(
SUM(AF90:AH90)=0,"Not Started",
SUM(AF90:AH90)&lt;15,"In Progress",
SUM(AF90:AH90)=15,"Completed",
SUM(AF90:AH90)&gt;15,"Error"
)</f>
        <v>Not Started</v>
      </c>
    </row>
    <row r="91" spans="1:35" ht="13" x14ac:dyDescent="0.25">
      <c r="A91" s="7"/>
      <c r="B91" s="7" t="s">
        <v>2148</v>
      </c>
      <c r="C91" s="7" t="s">
        <v>6780</v>
      </c>
      <c r="D91" s="7" t="s">
        <v>6978</v>
      </c>
      <c r="E91" s="7" t="s">
        <v>8888</v>
      </c>
      <c r="F91" s="7" t="s">
        <v>48</v>
      </c>
      <c r="G91" s="7" t="s">
        <v>9666</v>
      </c>
      <c r="H91" s="7" t="s">
        <v>9666</v>
      </c>
      <c r="I91" s="7">
        <v>25.3680621</v>
      </c>
      <c r="J91" s="7">
        <v>49.590466999999997</v>
      </c>
      <c r="K91" s="7" t="str">
        <f t="shared" si="4"/>
        <v>25.3680621,49.590467</v>
      </c>
      <c r="L91" s="7" t="s">
        <v>7177</v>
      </c>
      <c r="M91" s="49">
        <v>10006304971</v>
      </c>
      <c r="N91" s="7"/>
      <c r="O91" s="7"/>
      <c r="P91" s="29"/>
      <c r="Q91" s="10"/>
      <c r="R91" s="10"/>
      <c r="S91" s="35"/>
      <c r="T91" s="29"/>
      <c r="U91" s="10"/>
      <c r="V91" s="10"/>
      <c r="W91" s="10"/>
      <c r="X91" s="10"/>
      <c r="Y91" s="10"/>
      <c r="Z91" s="10"/>
      <c r="AA91" s="10"/>
      <c r="AB91" s="35"/>
      <c r="AC91" s="29"/>
      <c r="AD91" s="8"/>
      <c r="AE91" s="26"/>
      <c r="AF91" s="24">
        <f t="shared" si="5"/>
        <v>0</v>
      </c>
      <c r="AG91" s="24">
        <f t="shared" si="6"/>
        <v>0</v>
      </c>
      <c r="AH91" s="24">
        <f t="shared" si="7"/>
        <v>0</v>
      </c>
      <c r="AI91" s="41" t="str" cm="1">
        <f t="array" ref="AI91">_xlfn.IFS(
SUM(AF91:AH91)=0,"Not Started",
SUM(AF91:AH91)&lt;15,"In Progress",
SUM(AF91:AH91)=15,"Completed",
SUM(AF91:AH91)&gt;15,"Error"
)</f>
        <v>Not Started</v>
      </c>
    </row>
    <row r="92" spans="1:35" ht="13" x14ac:dyDescent="0.25">
      <c r="A92" s="7"/>
      <c r="B92" s="7" t="s">
        <v>2149</v>
      </c>
      <c r="C92" s="7" t="s">
        <v>6781</v>
      </c>
      <c r="D92" s="7" t="s">
        <v>6979</v>
      </c>
      <c r="E92" s="7" t="s">
        <v>8888</v>
      </c>
      <c r="F92" s="7" t="s">
        <v>48</v>
      </c>
      <c r="G92" s="7" t="s">
        <v>9666</v>
      </c>
      <c r="H92" s="7" t="s">
        <v>9666</v>
      </c>
      <c r="I92" s="7">
        <v>25.374328999999999</v>
      </c>
      <c r="J92" s="7">
        <v>49.599821499999997</v>
      </c>
      <c r="K92" s="7" t="str">
        <f t="shared" si="4"/>
        <v>25.374329,49.5998215</v>
      </c>
      <c r="L92" s="7" t="s">
        <v>7178</v>
      </c>
      <c r="M92" s="49">
        <v>10006307552</v>
      </c>
      <c r="N92" s="7"/>
      <c r="O92" s="7"/>
      <c r="P92" s="29"/>
      <c r="Q92" s="10"/>
      <c r="R92" s="10"/>
      <c r="S92" s="35"/>
      <c r="T92" s="29"/>
      <c r="U92" s="10"/>
      <c r="V92" s="10"/>
      <c r="W92" s="10"/>
      <c r="X92" s="10"/>
      <c r="Y92" s="10"/>
      <c r="Z92" s="10"/>
      <c r="AA92" s="10"/>
      <c r="AB92" s="35"/>
      <c r="AC92" s="29"/>
      <c r="AD92" s="8"/>
      <c r="AE92" s="26"/>
      <c r="AF92" s="24">
        <f t="shared" si="5"/>
        <v>0</v>
      </c>
      <c r="AG92" s="24">
        <f t="shared" si="6"/>
        <v>0</v>
      </c>
      <c r="AH92" s="24">
        <f t="shared" si="7"/>
        <v>0</v>
      </c>
      <c r="AI92" s="41" t="str" cm="1">
        <f t="array" ref="AI92">_xlfn.IFS(
SUM(AF92:AH92)=0,"Not Started",
SUM(AF92:AH92)&lt;15,"In Progress",
SUM(AF92:AH92)=15,"Completed",
SUM(AF92:AH92)&gt;15,"Error"
)</f>
        <v>Not Started</v>
      </c>
    </row>
    <row r="93" spans="1:35" ht="13" x14ac:dyDescent="0.25">
      <c r="A93" s="7"/>
      <c r="B93" s="7" t="s">
        <v>2150</v>
      </c>
      <c r="C93" s="7" t="s">
        <v>6782</v>
      </c>
      <c r="D93" s="7" t="s">
        <v>6980</v>
      </c>
      <c r="E93" s="7" t="s">
        <v>9092</v>
      </c>
      <c r="F93" s="7" t="s">
        <v>48</v>
      </c>
      <c r="G93" s="7" t="s">
        <v>9666</v>
      </c>
      <c r="H93" s="7" t="s">
        <v>9666</v>
      </c>
      <c r="I93" s="7">
        <v>25.3708767</v>
      </c>
      <c r="J93" s="7">
        <v>49.557040600000001</v>
      </c>
      <c r="K93" s="7" t="str">
        <f t="shared" si="4"/>
        <v>25.3708767,49.5570406</v>
      </c>
      <c r="L93" s="7" t="s">
        <v>7179</v>
      </c>
      <c r="M93" s="49">
        <v>10006305530</v>
      </c>
      <c r="N93" s="7"/>
      <c r="O93" s="7"/>
      <c r="P93" s="29"/>
      <c r="Q93" s="10"/>
      <c r="R93" s="10"/>
      <c r="S93" s="35"/>
      <c r="T93" s="29"/>
      <c r="U93" s="10"/>
      <c r="V93" s="10"/>
      <c r="W93" s="10"/>
      <c r="X93" s="10"/>
      <c r="Y93" s="10"/>
      <c r="Z93" s="10"/>
      <c r="AA93" s="10"/>
      <c r="AB93" s="35"/>
      <c r="AC93" s="29"/>
      <c r="AD93" s="8"/>
      <c r="AE93" s="26"/>
      <c r="AF93" s="24">
        <f t="shared" si="5"/>
        <v>0</v>
      </c>
      <c r="AG93" s="24">
        <f t="shared" si="6"/>
        <v>0</v>
      </c>
      <c r="AH93" s="24">
        <f t="shared" si="7"/>
        <v>0</v>
      </c>
      <c r="AI93" s="41" t="str" cm="1">
        <f t="array" ref="AI93">_xlfn.IFS(
SUM(AF93:AH93)=0,"Not Started",
SUM(AF93:AH93)&lt;15,"In Progress",
SUM(AF93:AH93)=15,"Completed",
SUM(AF93:AH93)&gt;15,"Error"
)</f>
        <v>Not Started</v>
      </c>
    </row>
    <row r="94" spans="1:35" ht="13" x14ac:dyDescent="0.25">
      <c r="A94" s="7"/>
      <c r="B94" s="7" t="s">
        <v>2151</v>
      </c>
      <c r="C94" s="7" t="s">
        <v>6783</v>
      </c>
      <c r="D94" s="7" t="s">
        <v>6981</v>
      </c>
      <c r="E94" s="7" t="s">
        <v>9097</v>
      </c>
      <c r="F94" s="7" t="s">
        <v>48</v>
      </c>
      <c r="G94" s="7" t="s">
        <v>9666</v>
      </c>
      <c r="H94" s="7" t="s">
        <v>9666</v>
      </c>
      <c r="I94" s="7">
        <v>25.362894900000001</v>
      </c>
      <c r="J94" s="7" t="s">
        <v>9494</v>
      </c>
      <c r="K94" s="7" t="str">
        <f t="shared" si="4"/>
        <v xml:space="preserve">25.3628949,49.6277637
</v>
      </c>
      <c r="L94" s="7" t="s">
        <v>7180</v>
      </c>
      <c r="M94" s="49">
        <v>10006308513</v>
      </c>
      <c r="N94" s="7"/>
      <c r="O94" s="7"/>
      <c r="P94" s="29"/>
      <c r="Q94" s="10"/>
      <c r="R94" s="10"/>
      <c r="S94" s="35"/>
      <c r="T94" s="29"/>
      <c r="U94" s="10"/>
      <c r="V94" s="10"/>
      <c r="W94" s="10"/>
      <c r="X94" s="10"/>
      <c r="Y94" s="10"/>
      <c r="Z94" s="10"/>
      <c r="AA94" s="10"/>
      <c r="AB94" s="35"/>
      <c r="AC94" s="29"/>
      <c r="AD94" s="8"/>
      <c r="AE94" s="26"/>
      <c r="AF94" s="24">
        <f t="shared" si="5"/>
        <v>0</v>
      </c>
      <c r="AG94" s="24">
        <f t="shared" si="6"/>
        <v>0</v>
      </c>
      <c r="AH94" s="24">
        <f t="shared" si="7"/>
        <v>0</v>
      </c>
      <c r="AI94" s="41" t="str" cm="1">
        <f t="array" ref="AI94">_xlfn.IFS(
SUM(AF94:AH94)=0,"Not Started",
SUM(AF94:AH94)&lt;15,"In Progress",
SUM(AF94:AH94)=15,"Completed",
SUM(AF94:AH94)&gt;15,"Error"
)</f>
        <v>Not Started</v>
      </c>
    </row>
    <row r="95" spans="1:35" ht="13" x14ac:dyDescent="0.25">
      <c r="A95" s="7"/>
      <c r="B95" s="7" t="s">
        <v>2152</v>
      </c>
      <c r="C95" s="7" t="s">
        <v>6784</v>
      </c>
      <c r="D95" s="7" t="s">
        <v>6982</v>
      </c>
      <c r="E95" s="7" t="s">
        <v>9092</v>
      </c>
      <c r="F95" s="7" t="s">
        <v>48</v>
      </c>
      <c r="G95" s="7" t="s">
        <v>9666</v>
      </c>
      <c r="H95" s="7" t="s">
        <v>9666</v>
      </c>
      <c r="I95" s="7">
        <v>25.321412599999999</v>
      </c>
      <c r="J95" s="7">
        <v>49.587878000000003</v>
      </c>
      <c r="K95" s="7" t="str">
        <f t="shared" si="4"/>
        <v>25.3214126,49.587878</v>
      </c>
      <c r="L95" s="7" t="s">
        <v>7181</v>
      </c>
      <c r="M95" s="49">
        <v>10006326261</v>
      </c>
      <c r="N95" s="7"/>
      <c r="O95" s="7"/>
      <c r="P95" s="29"/>
      <c r="Q95" s="10"/>
      <c r="R95" s="10"/>
      <c r="S95" s="35"/>
      <c r="T95" s="29"/>
      <c r="U95" s="10"/>
      <c r="V95" s="10"/>
      <c r="W95" s="10"/>
      <c r="X95" s="10"/>
      <c r="Y95" s="10"/>
      <c r="Z95" s="10"/>
      <c r="AA95" s="10"/>
      <c r="AB95" s="35"/>
      <c r="AC95" s="29"/>
      <c r="AD95" s="8"/>
      <c r="AE95" s="26"/>
      <c r="AF95" s="24">
        <f t="shared" si="5"/>
        <v>0</v>
      </c>
      <c r="AG95" s="24">
        <f t="shared" si="6"/>
        <v>0</v>
      </c>
      <c r="AH95" s="24">
        <f t="shared" si="7"/>
        <v>0</v>
      </c>
      <c r="AI95" s="41" t="str" cm="1">
        <f t="array" ref="AI95">_xlfn.IFS(
SUM(AF95:AH95)=0,"Not Started",
SUM(AF95:AH95)&lt;15,"In Progress",
SUM(AF95:AH95)=15,"Completed",
SUM(AF95:AH95)&gt;15,"Error"
)</f>
        <v>Not Started</v>
      </c>
    </row>
    <row r="96" spans="1:35" ht="13" x14ac:dyDescent="0.25">
      <c r="A96" s="7"/>
      <c r="B96" s="7" t="s">
        <v>2153</v>
      </c>
      <c r="C96" s="7" t="s">
        <v>6785</v>
      </c>
      <c r="D96" s="7" t="s">
        <v>6983</v>
      </c>
      <c r="E96" s="7" t="s">
        <v>9096</v>
      </c>
      <c r="F96" s="7" t="s">
        <v>48</v>
      </c>
      <c r="G96" s="7" t="s">
        <v>9666</v>
      </c>
      <c r="H96" s="7" t="s">
        <v>9666</v>
      </c>
      <c r="I96" s="7">
        <v>25.3622342</v>
      </c>
      <c r="J96" s="7">
        <v>49.632060600000003</v>
      </c>
      <c r="K96" s="7" t="str">
        <f t="shared" si="4"/>
        <v>25.3622342,49.6320606</v>
      </c>
      <c r="L96" s="7" t="s">
        <v>7182</v>
      </c>
      <c r="M96" s="49">
        <v>10006308531</v>
      </c>
      <c r="N96" s="7"/>
      <c r="O96" s="7"/>
      <c r="P96" s="29"/>
      <c r="Q96" s="10"/>
      <c r="R96" s="10"/>
      <c r="S96" s="35"/>
      <c r="T96" s="29"/>
      <c r="U96" s="10"/>
      <c r="V96" s="10"/>
      <c r="W96" s="10"/>
      <c r="X96" s="10"/>
      <c r="Y96" s="10"/>
      <c r="Z96" s="10"/>
      <c r="AA96" s="10"/>
      <c r="AB96" s="35"/>
      <c r="AC96" s="29"/>
      <c r="AD96" s="8"/>
      <c r="AE96" s="26"/>
      <c r="AF96" s="24">
        <f t="shared" si="5"/>
        <v>0</v>
      </c>
      <c r="AG96" s="24">
        <f t="shared" si="6"/>
        <v>0</v>
      </c>
      <c r="AH96" s="24">
        <f t="shared" si="7"/>
        <v>0</v>
      </c>
      <c r="AI96" s="41" t="str" cm="1">
        <f t="array" ref="AI96">_xlfn.IFS(
SUM(AF96:AH96)=0,"Not Started",
SUM(AF96:AH96)&lt;15,"In Progress",
SUM(AF96:AH96)=15,"Completed",
SUM(AF96:AH96)&gt;15,"Error"
)</f>
        <v>Not Started</v>
      </c>
    </row>
    <row r="97" spans="1:35" ht="13" x14ac:dyDescent="0.25">
      <c r="A97" s="7"/>
      <c r="B97" s="7" t="s">
        <v>2154</v>
      </c>
      <c r="C97" s="7" t="s">
        <v>6786</v>
      </c>
      <c r="D97" s="7" t="s">
        <v>6984</v>
      </c>
      <c r="E97" s="7" t="s">
        <v>9096</v>
      </c>
      <c r="F97" s="7" t="s">
        <v>48</v>
      </c>
      <c r="G97" s="7" t="s">
        <v>9666</v>
      </c>
      <c r="H97" s="7" t="s">
        <v>9666</v>
      </c>
      <c r="I97" s="7">
        <v>25.354399600000001</v>
      </c>
      <c r="J97" s="7">
        <v>49.6474203</v>
      </c>
      <c r="K97" s="7" t="str">
        <f t="shared" si="4"/>
        <v>25.3543996,49.6474203</v>
      </c>
      <c r="L97" s="7" t="s">
        <v>7183</v>
      </c>
      <c r="M97" s="49">
        <v>10101743695</v>
      </c>
      <c r="N97" s="7"/>
      <c r="O97" s="7"/>
      <c r="P97" s="29"/>
      <c r="Q97" s="10"/>
      <c r="R97" s="10"/>
      <c r="S97" s="35"/>
      <c r="T97" s="29"/>
      <c r="U97" s="10"/>
      <c r="V97" s="10"/>
      <c r="W97" s="10"/>
      <c r="X97" s="10"/>
      <c r="Y97" s="10"/>
      <c r="Z97" s="10"/>
      <c r="AA97" s="10"/>
      <c r="AB97" s="35"/>
      <c r="AC97" s="29"/>
      <c r="AD97" s="8"/>
      <c r="AE97" s="26"/>
      <c r="AF97" s="24">
        <f t="shared" si="5"/>
        <v>0</v>
      </c>
      <c r="AG97" s="24">
        <f t="shared" si="6"/>
        <v>0</v>
      </c>
      <c r="AH97" s="24">
        <f t="shared" si="7"/>
        <v>0</v>
      </c>
      <c r="AI97" s="41" t="str" cm="1">
        <f t="array" ref="AI97">_xlfn.IFS(
SUM(AF97:AH97)=0,"Not Started",
SUM(AF97:AH97)&lt;15,"In Progress",
SUM(AF97:AH97)=15,"Completed",
SUM(AF97:AH97)&gt;15,"Error"
)</f>
        <v>Not Started</v>
      </c>
    </row>
    <row r="98" spans="1:35" ht="13" x14ac:dyDescent="0.25">
      <c r="A98" s="7"/>
      <c r="B98" s="7" t="s">
        <v>2155</v>
      </c>
      <c r="C98" s="7" t="s">
        <v>6787</v>
      </c>
      <c r="D98" s="7" t="s">
        <v>6985</v>
      </c>
      <c r="E98" s="7" t="s">
        <v>9096</v>
      </c>
      <c r="F98" s="7" t="s">
        <v>48</v>
      </c>
      <c r="G98" s="7" t="s">
        <v>9666</v>
      </c>
      <c r="H98" s="7" t="s">
        <v>9666</v>
      </c>
      <c r="I98" s="7">
        <v>25.366542800000001</v>
      </c>
      <c r="J98" s="7">
        <v>49.548493100000002</v>
      </c>
      <c r="K98" s="7" t="str">
        <f t="shared" si="4"/>
        <v>25.3665428,49.5484931</v>
      </c>
      <c r="L98" s="7" t="s">
        <v>7184</v>
      </c>
      <c r="M98" s="49">
        <v>10006307006</v>
      </c>
      <c r="N98" s="7"/>
      <c r="O98" s="7"/>
      <c r="P98" s="29"/>
      <c r="Q98" s="10"/>
      <c r="R98" s="10"/>
      <c r="S98" s="35"/>
      <c r="T98" s="29"/>
      <c r="U98" s="10"/>
      <c r="V98" s="10"/>
      <c r="W98" s="10"/>
      <c r="X98" s="10"/>
      <c r="Y98" s="10"/>
      <c r="Z98" s="10"/>
      <c r="AA98" s="10"/>
      <c r="AB98" s="35"/>
      <c r="AC98" s="29"/>
      <c r="AD98" s="8"/>
      <c r="AE98" s="26"/>
      <c r="AF98" s="24">
        <f t="shared" si="5"/>
        <v>0</v>
      </c>
      <c r="AG98" s="24">
        <f t="shared" si="6"/>
        <v>0</v>
      </c>
      <c r="AH98" s="24">
        <f t="shared" si="7"/>
        <v>0</v>
      </c>
      <c r="AI98" s="41" t="str" cm="1">
        <f t="array" ref="AI98">_xlfn.IFS(
SUM(AF98:AH98)=0,"Not Started",
SUM(AF98:AH98)&lt;15,"In Progress",
SUM(AF98:AH98)=15,"Completed",
SUM(AF98:AH98)&gt;15,"Error"
)</f>
        <v>Not Started</v>
      </c>
    </row>
    <row r="99" spans="1:35" ht="13" x14ac:dyDescent="0.25">
      <c r="A99" s="7"/>
      <c r="B99" s="7" t="s">
        <v>2156</v>
      </c>
      <c r="C99" s="7" t="s">
        <v>6788</v>
      </c>
      <c r="D99" s="7" t="s">
        <v>6986</v>
      </c>
      <c r="E99" s="7" t="s">
        <v>9095</v>
      </c>
      <c r="F99" s="7" t="s">
        <v>9091</v>
      </c>
      <c r="G99" s="7" t="s">
        <v>9666</v>
      </c>
      <c r="H99" s="7" t="s">
        <v>9666</v>
      </c>
      <c r="I99" s="7">
        <v>25.342855799999999</v>
      </c>
      <c r="J99" s="7">
        <v>49.554800899999996</v>
      </c>
      <c r="K99" s="7" t="str">
        <f t="shared" si="4"/>
        <v>25.3428558,49.5548009</v>
      </c>
      <c r="L99" s="7" t="s">
        <v>7185</v>
      </c>
      <c r="M99" s="49">
        <v>10103013006</v>
      </c>
      <c r="N99" s="7"/>
      <c r="O99" s="7"/>
      <c r="P99" s="29"/>
      <c r="Q99" s="10"/>
      <c r="R99" s="10"/>
      <c r="S99" s="35"/>
      <c r="T99" s="29"/>
      <c r="U99" s="10"/>
      <c r="V99" s="10"/>
      <c r="W99" s="10"/>
      <c r="X99" s="10"/>
      <c r="Y99" s="10"/>
      <c r="Z99" s="10"/>
      <c r="AA99" s="10"/>
      <c r="AB99" s="35"/>
      <c r="AC99" s="29"/>
      <c r="AD99" s="8"/>
      <c r="AE99" s="26"/>
      <c r="AF99" s="24">
        <f t="shared" si="5"/>
        <v>0</v>
      </c>
      <c r="AG99" s="24">
        <f t="shared" si="6"/>
        <v>0</v>
      </c>
      <c r="AH99" s="24">
        <f t="shared" si="7"/>
        <v>0</v>
      </c>
      <c r="AI99" s="41" t="str" cm="1">
        <f t="array" ref="AI99">_xlfn.IFS(
SUM(AF99:AH99)=0,"Not Started",
SUM(AF99:AH99)&lt;15,"In Progress",
SUM(AF99:AH99)=15,"Completed",
SUM(AF99:AH99)&gt;15,"Error"
)</f>
        <v>Not Started</v>
      </c>
    </row>
    <row r="100" spans="1:35" ht="13" x14ac:dyDescent="0.25">
      <c r="A100" s="7"/>
      <c r="B100" s="7" t="s">
        <v>2157</v>
      </c>
      <c r="C100" s="7" t="s">
        <v>6789</v>
      </c>
      <c r="D100" s="7" t="s">
        <v>6987</v>
      </c>
      <c r="E100" s="7" t="s">
        <v>8890</v>
      </c>
      <c r="F100" s="7" t="s">
        <v>48</v>
      </c>
      <c r="G100" s="7" t="s">
        <v>9666</v>
      </c>
      <c r="H100" s="7" t="s">
        <v>9666</v>
      </c>
      <c r="I100" s="7">
        <v>25.379854600000002</v>
      </c>
      <c r="J100" s="7">
        <v>49.597031999999999</v>
      </c>
      <c r="K100" s="7" t="str">
        <f t="shared" si="4"/>
        <v>25.3798546,49.597032</v>
      </c>
      <c r="L100" s="7" t="s">
        <v>7186</v>
      </c>
      <c r="M100" s="49">
        <v>10006323986</v>
      </c>
      <c r="N100" s="7"/>
      <c r="O100" s="7"/>
      <c r="P100" s="29"/>
      <c r="Q100" s="10"/>
      <c r="R100" s="10"/>
      <c r="S100" s="35"/>
      <c r="T100" s="29"/>
      <c r="U100" s="10"/>
      <c r="V100" s="10"/>
      <c r="W100" s="10"/>
      <c r="X100" s="10"/>
      <c r="Y100" s="10"/>
      <c r="Z100" s="10"/>
      <c r="AA100" s="10"/>
      <c r="AB100" s="35"/>
      <c r="AC100" s="29"/>
      <c r="AD100" s="8"/>
      <c r="AE100" s="26"/>
      <c r="AF100" s="24">
        <f t="shared" si="5"/>
        <v>0</v>
      </c>
      <c r="AG100" s="24">
        <f t="shared" si="6"/>
        <v>0</v>
      </c>
      <c r="AH100" s="24">
        <f t="shared" si="7"/>
        <v>0</v>
      </c>
      <c r="AI100" s="41" t="str" cm="1">
        <f t="array" ref="AI100">_xlfn.IFS(
SUM(AF100:AH100)=0,"Not Started",
SUM(AF100:AH100)&lt;15,"In Progress",
SUM(AF100:AH100)=15,"Completed",
SUM(AF100:AH100)&gt;15,"Error"
)</f>
        <v>Not Started</v>
      </c>
    </row>
    <row r="101" spans="1:35" ht="13" x14ac:dyDescent="0.25">
      <c r="A101" s="7"/>
      <c r="B101" s="7" t="s">
        <v>2158</v>
      </c>
      <c r="C101" s="7" t="s">
        <v>6790</v>
      </c>
      <c r="D101" s="7" t="s">
        <v>6988</v>
      </c>
      <c r="E101" s="7" t="s">
        <v>8887</v>
      </c>
      <c r="F101" s="7" t="s">
        <v>48</v>
      </c>
      <c r="G101" s="7" t="s">
        <v>9666</v>
      </c>
      <c r="H101" s="7" t="s">
        <v>9666</v>
      </c>
      <c r="I101" s="7">
        <v>25.310191499999998</v>
      </c>
      <c r="J101" s="7">
        <v>49.586049000000003</v>
      </c>
      <c r="K101" s="7" t="str">
        <f t="shared" si="4"/>
        <v>25.3101915,49.586049</v>
      </c>
      <c r="L101" s="7" t="s">
        <v>7187</v>
      </c>
      <c r="M101" s="49">
        <v>10103782001</v>
      </c>
      <c r="N101" s="7"/>
      <c r="O101" s="7"/>
      <c r="P101" s="29"/>
      <c r="Q101" s="10"/>
      <c r="R101" s="10"/>
      <c r="S101" s="35"/>
      <c r="T101" s="29"/>
      <c r="U101" s="10"/>
      <c r="V101" s="10"/>
      <c r="W101" s="10"/>
      <c r="X101" s="10"/>
      <c r="Y101" s="10"/>
      <c r="Z101" s="10"/>
      <c r="AA101" s="10"/>
      <c r="AB101" s="35"/>
      <c r="AC101" s="29"/>
      <c r="AD101" s="8"/>
      <c r="AE101" s="26"/>
      <c r="AF101" s="24">
        <f t="shared" si="5"/>
        <v>0</v>
      </c>
      <c r="AG101" s="24">
        <f t="shared" si="6"/>
        <v>0</v>
      </c>
      <c r="AH101" s="24">
        <f t="shared" si="7"/>
        <v>0</v>
      </c>
      <c r="AI101" s="41" t="str" cm="1">
        <f t="array" ref="AI101">_xlfn.IFS(
SUM(AF101:AH101)=0,"Not Started",
SUM(AF101:AH101)&lt;15,"In Progress",
SUM(AF101:AH101)=15,"Completed",
SUM(AF101:AH101)&gt;15,"Error"
)</f>
        <v>Not Started</v>
      </c>
    </row>
    <row r="102" spans="1:35" ht="13" x14ac:dyDescent="0.25">
      <c r="A102" s="7"/>
      <c r="B102" s="7" t="s">
        <v>2159</v>
      </c>
      <c r="C102" s="7" t="s">
        <v>6791</v>
      </c>
      <c r="D102" s="7" t="s">
        <v>6989</v>
      </c>
      <c r="E102" s="7" t="s">
        <v>8887</v>
      </c>
      <c r="F102" s="7" t="s">
        <v>9091</v>
      </c>
      <c r="G102" s="7" t="s">
        <v>9666</v>
      </c>
      <c r="H102" s="7" t="s">
        <v>9666</v>
      </c>
      <c r="I102" s="7">
        <v>25.335802099999999</v>
      </c>
      <c r="J102" s="7">
        <v>49.588490800000002</v>
      </c>
      <c r="K102" s="7" t="str">
        <f t="shared" si="4"/>
        <v>25.3358021,49.5884908</v>
      </c>
      <c r="L102" s="7" t="s">
        <v>7188</v>
      </c>
      <c r="M102" s="49">
        <v>10006307786</v>
      </c>
      <c r="N102" s="7"/>
      <c r="O102" s="7"/>
      <c r="P102" s="29"/>
      <c r="Q102" s="10"/>
      <c r="R102" s="10"/>
      <c r="S102" s="35"/>
      <c r="T102" s="29"/>
      <c r="U102" s="10"/>
      <c r="V102" s="10"/>
      <c r="W102" s="10"/>
      <c r="X102" s="10"/>
      <c r="Y102" s="10"/>
      <c r="Z102" s="10"/>
      <c r="AA102" s="10"/>
      <c r="AB102" s="35"/>
      <c r="AC102" s="29"/>
      <c r="AD102" s="8"/>
      <c r="AE102" s="26"/>
      <c r="AF102" s="24">
        <f t="shared" si="5"/>
        <v>0</v>
      </c>
      <c r="AG102" s="24">
        <f t="shared" si="6"/>
        <v>0</v>
      </c>
      <c r="AH102" s="24">
        <f t="shared" si="7"/>
        <v>0</v>
      </c>
      <c r="AI102" s="41" t="str" cm="1">
        <f t="array" ref="AI102">_xlfn.IFS(
SUM(AF102:AH102)=0,"Not Started",
SUM(AF102:AH102)&lt;15,"In Progress",
SUM(AF102:AH102)=15,"Completed",
SUM(AF102:AH102)&gt;15,"Error"
)</f>
        <v>Not Started</v>
      </c>
    </row>
    <row r="103" spans="1:35" ht="13" x14ac:dyDescent="0.25">
      <c r="A103" s="7"/>
      <c r="B103" s="7" t="s">
        <v>2160</v>
      </c>
      <c r="C103" s="7" t="s">
        <v>6792</v>
      </c>
      <c r="D103" s="7" t="s">
        <v>6990</v>
      </c>
      <c r="E103" s="7" t="s">
        <v>8887</v>
      </c>
      <c r="F103" s="7" t="s">
        <v>9091</v>
      </c>
      <c r="G103" s="7" t="s">
        <v>9666</v>
      </c>
      <c r="H103" s="7" t="s">
        <v>9666</v>
      </c>
      <c r="I103" s="7">
        <v>25.3610902</v>
      </c>
      <c r="J103" s="7">
        <v>49.608680200000002</v>
      </c>
      <c r="K103" s="7" t="str">
        <f t="shared" si="4"/>
        <v>25.3610902,49.6086802</v>
      </c>
      <c r="L103" s="7" t="s">
        <v>7189</v>
      </c>
      <c r="M103" s="49">
        <v>10006323190</v>
      </c>
      <c r="N103" s="7"/>
      <c r="O103" s="7"/>
      <c r="P103" s="29"/>
      <c r="Q103" s="10"/>
      <c r="R103" s="10"/>
      <c r="S103" s="35"/>
      <c r="T103" s="29"/>
      <c r="U103" s="10"/>
      <c r="V103" s="10"/>
      <c r="W103" s="10"/>
      <c r="X103" s="10"/>
      <c r="Y103" s="10"/>
      <c r="Z103" s="10"/>
      <c r="AA103" s="10"/>
      <c r="AB103" s="35"/>
      <c r="AC103" s="29"/>
      <c r="AD103" s="8"/>
      <c r="AE103" s="26"/>
      <c r="AF103" s="24">
        <f t="shared" si="5"/>
        <v>0</v>
      </c>
      <c r="AG103" s="24">
        <f t="shared" si="6"/>
        <v>0</v>
      </c>
      <c r="AH103" s="24">
        <f t="shared" si="7"/>
        <v>0</v>
      </c>
      <c r="AI103" s="41" t="str" cm="1">
        <f t="array" ref="AI103">_xlfn.IFS(
SUM(AF103:AH103)=0,"Not Started",
SUM(AF103:AH103)&lt;15,"In Progress",
SUM(AF103:AH103)=15,"Completed",
SUM(AF103:AH103)&gt;15,"Error"
)</f>
        <v>Not Started</v>
      </c>
    </row>
    <row r="104" spans="1:35" ht="13" x14ac:dyDescent="0.25">
      <c r="A104" s="7"/>
      <c r="B104" s="7" t="s">
        <v>2161</v>
      </c>
      <c r="C104" s="7" t="s">
        <v>6793</v>
      </c>
      <c r="D104" s="7" t="s">
        <v>6991</v>
      </c>
      <c r="E104" s="7" t="s">
        <v>8887</v>
      </c>
      <c r="F104" s="7" t="s">
        <v>9091</v>
      </c>
      <c r="G104" s="7" t="s">
        <v>9666</v>
      </c>
      <c r="H104" s="7" t="s">
        <v>9666</v>
      </c>
      <c r="I104" s="7">
        <v>25.358976999999999</v>
      </c>
      <c r="J104" s="7" t="s">
        <v>9495</v>
      </c>
      <c r="K104" s="7" t="str">
        <f t="shared" si="4"/>
        <v xml:space="preserve">25.358977,49.6057354
</v>
      </c>
      <c r="L104" s="7" t="s">
        <v>7190</v>
      </c>
      <c r="M104" s="49">
        <v>10006322700</v>
      </c>
      <c r="N104" s="7"/>
      <c r="O104" s="7"/>
      <c r="P104" s="29"/>
      <c r="Q104" s="10"/>
      <c r="R104" s="10"/>
      <c r="S104" s="35"/>
      <c r="T104" s="29"/>
      <c r="U104" s="10"/>
      <c r="V104" s="10"/>
      <c r="W104" s="10"/>
      <c r="X104" s="10"/>
      <c r="Y104" s="10"/>
      <c r="Z104" s="10"/>
      <c r="AA104" s="10"/>
      <c r="AB104" s="35"/>
      <c r="AC104" s="29"/>
      <c r="AD104" s="8"/>
      <c r="AE104" s="26"/>
      <c r="AF104" s="24">
        <f t="shared" si="5"/>
        <v>0</v>
      </c>
      <c r="AG104" s="24">
        <f t="shared" si="6"/>
        <v>0</v>
      </c>
      <c r="AH104" s="24">
        <f t="shared" si="7"/>
        <v>0</v>
      </c>
      <c r="AI104" s="41" t="str" cm="1">
        <f t="array" ref="AI104">_xlfn.IFS(
SUM(AF104:AH104)=0,"Not Started",
SUM(AF104:AH104)&lt;15,"In Progress",
SUM(AF104:AH104)=15,"Completed",
SUM(AF104:AH104)&gt;15,"Error"
)</f>
        <v>Not Started</v>
      </c>
    </row>
    <row r="105" spans="1:35" ht="13" x14ac:dyDescent="0.25">
      <c r="A105" s="7"/>
      <c r="B105" s="7" t="s">
        <v>2162</v>
      </c>
      <c r="C105" s="7" t="s">
        <v>6794</v>
      </c>
      <c r="D105" s="7" t="s">
        <v>6992</v>
      </c>
      <c r="E105" s="7" t="s">
        <v>8891</v>
      </c>
      <c r="F105" s="7" t="s">
        <v>9091</v>
      </c>
      <c r="G105" s="7" t="s">
        <v>9666</v>
      </c>
      <c r="H105" s="7" t="s">
        <v>9666</v>
      </c>
      <c r="I105" s="7">
        <v>25.390669800000001</v>
      </c>
      <c r="J105" s="7">
        <v>49.598117600000002</v>
      </c>
      <c r="K105" s="7" t="str">
        <f t="shared" si="4"/>
        <v>25.3906698,49.5981176</v>
      </c>
      <c r="L105" s="7" t="s">
        <v>7191</v>
      </c>
      <c r="M105" s="49">
        <v>10006305315</v>
      </c>
      <c r="N105" s="7"/>
      <c r="O105" s="7"/>
      <c r="P105" s="29"/>
      <c r="Q105" s="10"/>
      <c r="R105" s="10"/>
      <c r="S105" s="35"/>
      <c r="T105" s="29"/>
      <c r="U105" s="10"/>
      <c r="V105" s="10"/>
      <c r="W105" s="10"/>
      <c r="X105" s="10"/>
      <c r="Y105" s="10"/>
      <c r="Z105" s="10"/>
      <c r="AA105" s="10"/>
      <c r="AB105" s="35"/>
      <c r="AC105" s="29"/>
      <c r="AD105" s="8"/>
      <c r="AE105" s="26"/>
      <c r="AF105" s="24">
        <f t="shared" si="5"/>
        <v>0</v>
      </c>
      <c r="AG105" s="24">
        <f t="shared" si="6"/>
        <v>0</v>
      </c>
      <c r="AH105" s="24">
        <f t="shared" si="7"/>
        <v>0</v>
      </c>
      <c r="AI105" s="41" t="str" cm="1">
        <f t="array" ref="AI105">_xlfn.IFS(
SUM(AF105:AH105)=0,"Not Started",
SUM(AF105:AH105)&lt;15,"In Progress",
SUM(AF105:AH105)=15,"Completed",
SUM(AF105:AH105)&gt;15,"Error"
)</f>
        <v>Not Started</v>
      </c>
    </row>
    <row r="106" spans="1:35" ht="13" x14ac:dyDescent="0.25">
      <c r="A106" s="7"/>
      <c r="B106" s="7" t="s">
        <v>2163</v>
      </c>
      <c r="C106" s="7" t="s">
        <v>6795</v>
      </c>
      <c r="D106" s="7" t="s">
        <v>6993</v>
      </c>
      <c r="E106" s="7" t="s">
        <v>8887</v>
      </c>
      <c r="F106" s="7" t="s">
        <v>9091</v>
      </c>
      <c r="G106" s="7" t="s">
        <v>9666</v>
      </c>
      <c r="H106" s="7" t="s">
        <v>9666</v>
      </c>
      <c r="I106" s="7">
        <v>25.347700499999998</v>
      </c>
      <c r="J106" s="7">
        <v>49.557383199999997</v>
      </c>
      <c r="K106" s="7" t="str">
        <f t="shared" si="4"/>
        <v>25.3477005,49.5573832</v>
      </c>
      <c r="L106" s="7" t="s">
        <v>7192</v>
      </c>
      <c r="M106" s="49">
        <v>10006307276</v>
      </c>
      <c r="N106" s="7"/>
      <c r="O106" s="7"/>
      <c r="P106" s="29"/>
      <c r="Q106" s="10"/>
      <c r="R106" s="10"/>
      <c r="S106" s="35"/>
      <c r="T106" s="29"/>
      <c r="U106" s="10"/>
      <c r="V106" s="10"/>
      <c r="W106" s="10"/>
      <c r="X106" s="10"/>
      <c r="Y106" s="10"/>
      <c r="Z106" s="10"/>
      <c r="AA106" s="10"/>
      <c r="AB106" s="35"/>
      <c r="AC106" s="29"/>
      <c r="AD106" s="8"/>
      <c r="AE106" s="26"/>
      <c r="AF106" s="24">
        <f t="shared" si="5"/>
        <v>0</v>
      </c>
      <c r="AG106" s="24">
        <f t="shared" si="6"/>
        <v>0</v>
      </c>
      <c r="AH106" s="24">
        <f t="shared" si="7"/>
        <v>0</v>
      </c>
      <c r="AI106" s="41" t="str" cm="1">
        <f t="array" ref="AI106">_xlfn.IFS(
SUM(AF106:AH106)=0,"Not Started",
SUM(AF106:AH106)&lt;15,"In Progress",
SUM(AF106:AH106)=15,"Completed",
SUM(AF106:AH106)&gt;15,"Error"
)</f>
        <v>Not Started</v>
      </c>
    </row>
    <row r="107" spans="1:35" ht="13" x14ac:dyDescent="0.25">
      <c r="A107" s="7"/>
      <c r="B107" s="7" t="s">
        <v>2164</v>
      </c>
      <c r="C107" s="7" t="s">
        <v>6796</v>
      </c>
      <c r="D107" s="7" t="s">
        <v>6994</v>
      </c>
      <c r="E107" s="7" t="s">
        <v>8887</v>
      </c>
      <c r="F107" s="7" t="s">
        <v>48</v>
      </c>
      <c r="G107" s="7" t="s">
        <v>9666</v>
      </c>
      <c r="H107" s="7" t="s">
        <v>9666</v>
      </c>
      <c r="I107" s="7">
        <v>25.355692099999999</v>
      </c>
      <c r="J107" s="7">
        <v>49.588501899999997</v>
      </c>
      <c r="K107" s="7" t="str">
        <f t="shared" si="4"/>
        <v>25.3556921,49.5885019</v>
      </c>
      <c r="L107" s="7" t="s">
        <v>7193</v>
      </c>
      <c r="M107" s="49">
        <v>10006306054</v>
      </c>
      <c r="N107" s="7"/>
      <c r="O107" s="7"/>
      <c r="P107" s="29"/>
      <c r="Q107" s="10"/>
      <c r="R107" s="10"/>
      <c r="S107" s="35"/>
      <c r="T107" s="29"/>
      <c r="U107" s="10"/>
      <c r="V107" s="10"/>
      <c r="W107" s="10"/>
      <c r="X107" s="10"/>
      <c r="Y107" s="10"/>
      <c r="Z107" s="10"/>
      <c r="AA107" s="10"/>
      <c r="AB107" s="35"/>
      <c r="AC107" s="29"/>
      <c r="AD107" s="8"/>
      <c r="AE107" s="26"/>
      <c r="AF107" s="24">
        <f t="shared" si="5"/>
        <v>0</v>
      </c>
      <c r="AG107" s="24">
        <f t="shared" si="6"/>
        <v>0</v>
      </c>
      <c r="AH107" s="24">
        <f t="shared" si="7"/>
        <v>0</v>
      </c>
      <c r="AI107" s="41" t="str" cm="1">
        <f t="array" ref="AI107">_xlfn.IFS(
SUM(AF107:AH107)=0,"Not Started",
SUM(AF107:AH107)&lt;15,"In Progress",
SUM(AF107:AH107)=15,"Completed",
SUM(AF107:AH107)&gt;15,"Error"
)</f>
        <v>Not Started</v>
      </c>
    </row>
    <row r="108" spans="1:35" ht="13" x14ac:dyDescent="0.25">
      <c r="A108" s="7"/>
      <c r="B108" s="7" t="s">
        <v>2165</v>
      </c>
      <c r="C108" s="7" t="s">
        <v>6797</v>
      </c>
      <c r="D108" s="7" t="s">
        <v>6995</v>
      </c>
      <c r="E108" s="7" t="s">
        <v>9093</v>
      </c>
      <c r="F108" s="7" t="s">
        <v>48</v>
      </c>
      <c r="G108" s="7" t="s">
        <v>9666</v>
      </c>
      <c r="H108" s="7" t="s">
        <v>9666</v>
      </c>
      <c r="I108" s="7">
        <v>25.3592266</v>
      </c>
      <c r="J108" s="7">
        <v>49.611748300000002</v>
      </c>
      <c r="K108" s="7" t="str">
        <f t="shared" si="4"/>
        <v>25.3592266,49.6117483</v>
      </c>
      <c r="L108" s="7" t="s">
        <v>7194</v>
      </c>
      <c r="M108" s="49">
        <v>10006307122</v>
      </c>
      <c r="N108" s="7"/>
      <c r="O108" s="7"/>
      <c r="P108" s="29"/>
      <c r="Q108" s="10"/>
      <c r="R108" s="10"/>
      <c r="S108" s="35"/>
      <c r="T108" s="29"/>
      <c r="U108" s="10"/>
      <c r="V108" s="10"/>
      <c r="W108" s="10"/>
      <c r="X108" s="10"/>
      <c r="Y108" s="10"/>
      <c r="Z108" s="10"/>
      <c r="AA108" s="10"/>
      <c r="AB108" s="35"/>
      <c r="AC108" s="29"/>
      <c r="AD108" s="8"/>
      <c r="AE108" s="26"/>
      <c r="AF108" s="24">
        <f t="shared" si="5"/>
        <v>0</v>
      </c>
      <c r="AG108" s="24">
        <f t="shared" si="6"/>
        <v>0</v>
      </c>
      <c r="AH108" s="24">
        <f t="shared" si="7"/>
        <v>0</v>
      </c>
      <c r="AI108" s="41" t="str" cm="1">
        <f t="array" ref="AI108">_xlfn.IFS(
SUM(AF108:AH108)=0,"Not Started",
SUM(AF108:AH108)&lt;15,"In Progress",
SUM(AF108:AH108)=15,"Completed",
SUM(AF108:AH108)&gt;15,"Error"
)</f>
        <v>Not Started</v>
      </c>
    </row>
    <row r="109" spans="1:35" ht="13" x14ac:dyDescent="0.25">
      <c r="A109" s="7"/>
      <c r="B109" s="7" t="s">
        <v>2166</v>
      </c>
      <c r="C109" s="7" t="s">
        <v>6798</v>
      </c>
      <c r="D109" s="7" t="s">
        <v>6996</v>
      </c>
      <c r="E109" s="7" t="s">
        <v>8891</v>
      </c>
      <c r="F109" s="7" t="s">
        <v>48</v>
      </c>
      <c r="G109" s="7" t="s">
        <v>9666</v>
      </c>
      <c r="H109" s="7" t="s">
        <v>9666</v>
      </c>
      <c r="I109" s="7">
        <v>25.367299899999999</v>
      </c>
      <c r="J109" s="7">
        <v>49.548962500000002</v>
      </c>
      <c r="K109" s="7" t="str">
        <f t="shared" si="4"/>
        <v>25.3672999,49.5489625</v>
      </c>
      <c r="L109" s="7" t="s">
        <v>7195</v>
      </c>
      <c r="M109" s="49">
        <v>10006307042</v>
      </c>
      <c r="N109" s="7"/>
      <c r="O109" s="7"/>
      <c r="P109" s="29"/>
      <c r="Q109" s="10"/>
      <c r="R109" s="10"/>
      <c r="S109" s="35"/>
      <c r="T109" s="29"/>
      <c r="U109" s="10"/>
      <c r="V109" s="10"/>
      <c r="W109" s="10"/>
      <c r="X109" s="10"/>
      <c r="Y109" s="10"/>
      <c r="Z109" s="10"/>
      <c r="AA109" s="10"/>
      <c r="AB109" s="35"/>
      <c r="AC109" s="29"/>
      <c r="AD109" s="8"/>
      <c r="AE109" s="26"/>
      <c r="AF109" s="24">
        <f t="shared" si="5"/>
        <v>0</v>
      </c>
      <c r="AG109" s="24">
        <f t="shared" si="6"/>
        <v>0</v>
      </c>
      <c r="AH109" s="24">
        <f t="shared" si="7"/>
        <v>0</v>
      </c>
      <c r="AI109" s="41" t="str" cm="1">
        <f t="array" ref="AI109">_xlfn.IFS(
SUM(AF109:AH109)=0,"Not Started",
SUM(AF109:AH109)&lt;15,"In Progress",
SUM(AF109:AH109)=15,"Completed",
SUM(AF109:AH109)&gt;15,"Error"
)</f>
        <v>Not Started</v>
      </c>
    </row>
    <row r="110" spans="1:35" ht="13" x14ac:dyDescent="0.25">
      <c r="A110" s="7"/>
      <c r="B110" s="7" t="s">
        <v>2167</v>
      </c>
      <c r="C110" s="7" t="s">
        <v>6799</v>
      </c>
      <c r="D110" s="7" t="s">
        <v>6997</v>
      </c>
      <c r="E110" s="7" t="s">
        <v>9095</v>
      </c>
      <c r="F110" s="7" t="s">
        <v>48</v>
      </c>
      <c r="G110" s="7" t="s">
        <v>9666</v>
      </c>
      <c r="H110" s="7" t="s">
        <v>9666</v>
      </c>
      <c r="I110" s="7">
        <v>25.3551444</v>
      </c>
      <c r="J110" s="7">
        <v>49.588026499999998</v>
      </c>
      <c r="K110" s="7" t="str">
        <f t="shared" si="4"/>
        <v>25.3551444,49.5880265</v>
      </c>
      <c r="L110" s="7" t="s">
        <v>7196</v>
      </c>
      <c r="M110" s="49">
        <v>10006305262</v>
      </c>
      <c r="N110" s="7"/>
      <c r="O110" s="7"/>
      <c r="P110" s="29"/>
      <c r="Q110" s="10"/>
      <c r="R110" s="10"/>
      <c r="S110" s="35"/>
      <c r="T110" s="29"/>
      <c r="U110" s="10"/>
      <c r="V110" s="10"/>
      <c r="W110" s="10"/>
      <c r="X110" s="10"/>
      <c r="Y110" s="10"/>
      <c r="Z110" s="10"/>
      <c r="AA110" s="10"/>
      <c r="AB110" s="35"/>
      <c r="AC110" s="29"/>
      <c r="AD110" s="8"/>
      <c r="AE110" s="26"/>
      <c r="AF110" s="24">
        <f t="shared" si="5"/>
        <v>0</v>
      </c>
      <c r="AG110" s="24">
        <f t="shared" si="6"/>
        <v>0</v>
      </c>
      <c r="AH110" s="24">
        <f t="shared" si="7"/>
        <v>0</v>
      </c>
      <c r="AI110" s="41" t="str" cm="1">
        <f t="array" ref="AI110">_xlfn.IFS(
SUM(AF110:AH110)=0,"Not Started",
SUM(AF110:AH110)&lt;15,"In Progress",
SUM(AF110:AH110)=15,"Completed",
SUM(AF110:AH110)&gt;15,"Error"
)</f>
        <v>Not Started</v>
      </c>
    </row>
    <row r="111" spans="1:35" ht="13" x14ac:dyDescent="0.25">
      <c r="A111" s="7"/>
      <c r="B111" s="7" t="s">
        <v>2168</v>
      </c>
      <c r="C111" s="7" t="s">
        <v>6800</v>
      </c>
      <c r="D111" s="7" t="s">
        <v>6998</v>
      </c>
      <c r="E111" s="7" t="s">
        <v>8888</v>
      </c>
      <c r="F111" s="7" t="s">
        <v>44</v>
      </c>
      <c r="G111" s="7" t="s">
        <v>9666</v>
      </c>
      <c r="H111" s="7" t="s">
        <v>9666</v>
      </c>
      <c r="I111" s="7">
        <v>25.4564342</v>
      </c>
      <c r="J111" s="7">
        <v>49.611477999999998</v>
      </c>
      <c r="K111" s="7" t="str">
        <f t="shared" si="4"/>
        <v>25.4564342,49.611478</v>
      </c>
      <c r="L111" s="7" t="s">
        <v>7197</v>
      </c>
      <c r="M111" s="49">
        <v>10006321767</v>
      </c>
      <c r="N111" s="7"/>
      <c r="O111" s="7"/>
      <c r="P111" s="29"/>
      <c r="Q111" s="10"/>
      <c r="R111" s="10"/>
      <c r="S111" s="35"/>
      <c r="T111" s="29"/>
      <c r="U111" s="10"/>
      <c r="V111" s="10"/>
      <c r="W111" s="10"/>
      <c r="X111" s="10"/>
      <c r="Y111" s="10"/>
      <c r="Z111" s="10"/>
      <c r="AA111" s="10"/>
      <c r="AB111" s="35"/>
      <c r="AC111" s="29"/>
      <c r="AD111" s="8"/>
      <c r="AE111" s="26"/>
      <c r="AF111" s="24">
        <f t="shared" si="5"/>
        <v>0</v>
      </c>
      <c r="AG111" s="24">
        <f t="shared" si="6"/>
        <v>0</v>
      </c>
      <c r="AH111" s="24">
        <f t="shared" si="7"/>
        <v>0</v>
      </c>
      <c r="AI111" s="41" t="str" cm="1">
        <f t="array" ref="AI111">_xlfn.IFS(
SUM(AF111:AH111)=0,"Not Started",
SUM(AF111:AH111)&lt;15,"In Progress",
SUM(AF111:AH111)=15,"Completed",
SUM(AF111:AH111)&gt;15,"Error"
)</f>
        <v>Not Started</v>
      </c>
    </row>
    <row r="112" spans="1:35" ht="13" x14ac:dyDescent="0.25">
      <c r="A112" s="7"/>
      <c r="B112" s="7" t="s">
        <v>2169</v>
      </c>
      <c r="C112" s="7" t="s">
        <v>6801</v>
      </c>
      <c r="D112" s="7" t="s">
        <v>6999</v>
      </c>
      <c r="E112" s="7" t="s">
        <v>51</v>
      </c>
      <c r="F112" s="7" t="s">
        <v>48</v>
      </c>
      <c r="G112" s="7" t="s">
        <v>9666</v>
      </c>
      <c r="H112" s="7" t="s">
        <v>9666</v>
      </c>
      <c r="I112" s="7">
        <v>25.406924799999999</v>
      </c>
      <c r="J112" s="7">
        <v>49.598857899999999</v>
      </c>
      <c r="K112" s="7" t="str">
        <f t="shared" si="4"/>
        <v>25.4069248,49.5988579</v>
      </c>
      <c r="L112" s="7" t="s">
        <v>7198</v>
      </c>
      <c r="M112" s="49">
        <v>10018995873</v>
      </c>
      <c r="N112" s="7"/>
      <c r="O112" s="7"/>
      <c r="P112" s="29"/>
      <c r="Q112" s="10"/>
      <c r="R112" s="10"/>
      <c r="S112" s="35"/>
      <c r="T112" s="29"/>
      <c r="U112" s="10"/>
      <c r="V112" s="10"/>
      <c r="W112" s="10"/>
      <c r="X112" s="10"/>
      <c r="Y112" s="10"/>
      <c r="Z112" s="10"/>
      <c r="AA112" s="10"/>
      <c r="AB112" s="35"/>
      <c r="AC112" s="29"/>
      <c r="AD112" s="8"/>
      <c r="AE112" s="26"/>
      <c r="AF112" s="24">
        <f t="shared" si="5"/>
        <v>0</v>
      </c>
      <c r="AG112" s="24">
        <f t="shared" si="6"/>
        <v>0</v>
      </c>
      <c r="AH112" s="24">
        <f t="shared" si="7"/>
        <v>0</v>
      </c>
      <c r="AI112" s="41" t="str" cm="1">
        <f t="array" ref="AI112">_xlfn.IFS(
SUM(AF112:AH112)=0,"Not Started",
SUM(AF112:AH112)&lt;15,"In Progress",
SUM(AF112:AH112)=15,"Completed",
SUM(AF112:AH112)&gt;15,"Error"
)</f>
        <v>Not Started</v>
      </c>
    </row>
    <row r="113" spans="1:35" ht="13" x14ac:dyDescent="0.25">
      <c r="A113" s="7"/>
      <c r="B113" s="7" t="s">
        <v>2170</v>
      </c>
      <c r="C113" s="7" t="s">
        <v>6802</v>
      </c>
      <c r="D113" s="7" t="s">
        <v>7000</v>
      </c>
      <c r="E113" s="7" t="s">
        <v>9092</v>
      </c>
      <c r="F113" s="7" t="s">
        <v>48</v>
      </c>
      <c r="G113" s="7" t="s">
        <v>9666</v>
      </c>
      <c r="H113" s="7" t="s">
        <v>9666</v>
      </c>
      <c r="I113" s="7">
        <v>25.4268298</v>
      </c>
      <c r="J113" s="7">
        <v>49.578623999999998</v>
      </c>
      <c r="K113" s="7" t="str">
        <f t="shared" si="4"/>
        <v>25.4268298,49.578624</v>
      </c>
      <c r="L113" s="7" t="s">
        <v>7199</v>
      </c>
      <c r="M113" s="49">
        <v>10105429034</v>
      </c>
      <c r="N113" s="7"/>
      <c r="O113" s="7"/>
      <c r="P113" s="29"/>
      <c r="Q113" s="10"/>
      <c r="R113" s="10"/>
      <c r="S113" s="35"/>
      <c r="T113" s="29"/>
      <c r="U113" s="10"/>
      <c r="V113" s="10"/>
      <c r="W113" s="10"/>
      <c r="X113" s="10"/>
      <c r="Y113" s="10"/>
      <c r="Z113" s="10"/>
      <c r="AA113" s="10"/>
      <c r="AB113" s="35"/>
      <c r="AC113" s="29"/>
      <c r="AD113" s="8"/>
      <c r="AE113" s="26"/>
      <c r="AF113" s="24">
        <f t="shared" si="5"/>
        <v>0</v>
      </c>
      <c r="AG113" s="24">
        <f t="shared" si="6"/>
        <v>0</v>
      </c>
      <c r="AH113" s="24">
        <f t="shared" si="7"/>
        <v>0</v>
      </c>
      <c r="AI113" s="41" t="str" cm="1">
        <f t="array" ref="AI113">_xlfn.IFS(
SUM(AF113:AH113)=0,"Not Started",
SUM(AF113:AH113)&lt;15,"In Progress",
SUM(AF113:AH113)=15,"Completed",
SUM(AF113:AH113)&gt;15,"Error"
)</f>
        <v>Not Started</v>
      </c>
    </row>
    <row r="114" spans="1:35" ht="13" x14ac:dyDescent="0.25">
      <c r="A114" s="7"/>
      <c r="B114" s="7" t="s">
        <v>2171</v>
      </c>
      <c r="C114" s="7" t="s">
        <v>6803</v>
      </c>
      <c r="D114" s="7" t="s">
        <v>7001</v>
      </c>
      <c r="E114" s="7" t="s">
        <v>43</v>
      </c>
      <c r="F114" s="7" t="s">
        <v>48</v>
      </c>
      <c r="G114" s="7" t="s">
        <v>9666</v>
      </c>
      <c r="H114" s="7" t="s">
        <v>9666</v>
      </c>
      <c r="I114" s="7" t="s">
        <v>9496</v>
      </c>
      <c r="J114" s="7" t="s">
        <v>9497</v>
      </c>
      <c r="K114" s="7" t="str">
        <f t="shared" si="4"/>
        <v>23.2593246,48.9846839</v>
      </c>
      <c r="L114" s="7" t="s">
        <v>7200</v>
      </c>
      <c r="M114" s="49" t="s">
        <v>7201</v>
      </c>
      <c r="N114" s="7"/>
      <c r="O114" s="7"/>
      <c r="P114" s="29"/>
      <c r="Q114" s="10"/>
      <c r="R114" s="10"/>
      <c r="S114" s="35"/>
      <c r="T114" s="29"/>
      <c r="U114" s="10"/>
      <c r="V114" s="10"/>
      <c r="W114" s="10"/>
      <c r="X114" s="10"/>
      <c r="Y114" s="10"/>
      <c r="Z114" s="10"/>
      <c r="AA114" s="10"/>
      <c r="AB114" s="35"/>
      <c r="AC114" s="29"/>
      <c r="AD114" s="8"/>
      <c r="AE114" s="26"/>
      <c r="AF114" s="24">
        <f t="shared" si="5"/>
        <v>0</v>
      </c>
      <c r="AG114" s="24">
        <f t="shared" si="6"/>
        <v>0</v>
      </c>
      <c r="AH114" s="24">
        <f t="shared" si="7"/>
        <v>0</v>
      </c>
      <c r="AI114" s="41" t="str" cm="1">
        <f t="array" ref="AI114">_xlfn.IFS(
SUM(AF114:AH114)=0,"Not Started",
SUM(AF114:AH114)&lt;15,"In Progress",
SUM(AF114:AH114)=15,"Completed",
SUM(AF114:AH114)&gt;15,"Error"
)</f>
        <v>Not Started</v>
      </c>
    </row>
    <row r="115" spans="1:35" ht="13" x14ac:dyDescent="0.25">
      <c r="A115" s="7"/>
      <c r="B115" s="7" t="s">
        <v>2172</v>
      </c>
      <c r="C115" s="7" t="s">
        <v>6804</v>
      </c>
      <c r="D115" s="7" t="s">
        <v>7002</v>
      </c>
      <c r="E115" s="7" t="s">
        <v>43</v>
      </c>
      <c r="F115" s="7" t="s">
        <v>48</v>
      </c>
      <c r="G115" s="7" t="s">
        <v>9666</v>
      </c>
      <c r="H115" s="7" t="s">
        <v>9666</v>
      </c>
      <c r="I115" s="7" t="s">
        <v>9498</v>
      </c>
      <c r="J115" s="7" t="s">
        <v>9499</v>
      </c>
      <c r="K115" s="7" t="str">
        <f t="shared" si="4"/>
        <v>25.3678836,49.5812751</v>
      </c>
      <c r="L115" s="7" t="s">
        <v>7202</v>
      </c>
      <c r="M115" s="49" t="s">
        <v>7203</v>
      </c>
      <c r="N115" s="7"/>
      <c r="O115" s="7"/>
      <c r="P115" s="29"/>
      <c r="Q115" s="10"/>
      <c r="R115" s="10"/>
      <c r="S115" s="35"/>
      <c r="T115" s="29"/>
      <c r="U115" s="10"/>
      <c r="V115" s="10"/>
      <c r="W115" s="10"/>
      <c r="X115" s="10"/>
      <c r="Y115" s="10"/>
      <c r="Z115" s="10"/>
      <c r="AA115" s="10"/>
      <c r="AB115" s="35"/>
      <c r="AC115" s="29"/>
      <c r="AD115" s="8"/>
      <c r="AE115" s="26"/>
      <c r="AF115" s="24">
        <f t="shared" si="5"/>
        <v>0</v>
      </c>
      <c r="AG115" s="24">
        <f t="shared" si="6"/>
        <v>0</v>
      </c>
      <c r="AH115" s="24">
        <f t="shared" si="7"/>
        <v>0</v>
      </c>
      <c r="AI115" s="41" t="str" cm="1">
        <f t="array" ref="AI115">_xlfn.IFS(
SUM(AF115:AH115)=0,"Not Started",
SUM(AF115:AH115)&lt;15,"In Progress",
SUM(AF115:AH115)=15,"Completed",
SUM(AF115:AH115)&gt;15,"Error"
)</f>
        <v>Not Started</v>
      </c>
    </row>
    <row r="116" spans="1:35" ht="13" x14ac:dyDescent="0.25">
      <c r="A116" s="7"/>
      <c r="B116" s="7" t="s">
        <v>2173</v>
      </c>
      <c r="C116" s="7" t="s">
        <v>6805</v>
      </c>
      <c r="D116" s="7" t="s">
        <v>7003</v>
      </c>
      <c r="E116" s="7" t="s">
        <v>43</v>
      </c>
      <c r="F116" s="7" t="s">
        <v>48</v>
      </c>
      <c r="G116" s="7" t="s">
        <v>9666</v>
      </c>
      <c r="H116" s="7" t="s">
        <v>9666</v>
      </c>
      <c r="I116" s="7" t="s">
        <v>9500</v>
      </c>
      <c r="J116" s="7" t="s">
        <v>9501</v>
      </c>
      <c r="K116" s="7" t="str">
        <f t="shared" si="4"/>
        <v>25.3472354,49.5694113</v>
      </c>
      <c r="L116" s="7" t="s">
        <v>7204</v>
      </c>
      <c r="M116" s="49" t="s">
        <v>7205</v>
      </c>
      <c r="N116" s="7"/>
      <c r="O116" s="7"/>
      <c r="P116" s="29"/>
      <c r="Q116" s="10"/>
      <c r="R116" s="10"/>
      <c r="S116" s="35"/>
      <c r="T116" s="29"/>
      <c r="U116" s="10"/>
      <c r="V116" s="10"/>
      <c r="W116" s="10"/>
      <c r="X116" s="10"/>
      <c r="Y116" s="10"/>
      <c r="Z116" s="10"/>
      <c r="AA116" s="10"/>
      <c r="AB116" s="35"/>
      <c r="AC116" s="29"/>
      <c r="AD116" s="8"/>
      <c r="AE116" s="26"/>
      <c r="AF116" s="24">
        <f t="shared" si="5"/>
        <v>0</v>
      </c>
      <c r="AG116" s="24">
        <f t="shared" si="6"/>
        <v>0</v>
      </c>
      <c r="AH116" s="24">
        <f t="shared" si="7"/>
        <v>0</v>
      </c>
      <c r="AI116" s="41" t="str" cm="1">
        <f t="array" ref="AI116">_xlfn.IFS(
SUM(AF116:AH116)=0,"Not Started",
SUM(AF116:AH116)&lt;15,"In Progress",
SUM(AF116:AH116)=15,"Completed",
SUM(AF116:AH116)&gt;15,"Error"
)</f>
        <v>Not Started</v>
      </c>
    </row>
    <row r="117" spans="1:35" ht="13" x14ac:dyDescent="0.25">
      <c r="A117" s="7"/>
      <c r="B117" s="7" t="s">
        <v>2174</v>
      </c>
      <c r="C117" s="7" t="s">
        <v>6806</v>
      </c>
      <c r="D117" s="7" t="s">
        <v>7004</v>
      </c>
      <c r="E117" s="7" t="s">
        <v>43</v>
      </c>
      <c r="F117" s="7" t="s">
        <v>48</v>
      </c>
      <c r="G117" s="7" t="s">
        <v>9666</v>
      </c>
      <c r="H117" s="7" t="s">
        <v>9666</v>
      </c>
      <c r="I117" s="7" t="s">
        <v>9502</v>
      </c>
      <c r="J117" s="7" t="s">
        <v>9503</v>
      </c>
      <c r="K117" s="7" t="str">
        <f t="shared" si="4"/>
        <v>25.3497661,49.6049774</v>
      </c>
      <c r="L117" s="7" t="s">
        <v>7206</v>
      </c>
      <c r="M117" s="49" t="s">
        <v>7207</v>
      </c>
      <c r="N117" s="7"/>
      <c r="O117" s="7"/>
      <c r="P117" s="29"/>
      <c r="Q117" s="10"/>
      <c r="R117" s="10"/>
      <c r="S117" s="35"/>
      <c r="T117" s="29"/>
      <c r="U117" s="10"/>
      <c r="V117" s="10"/>
      <c r="W117" s="10"/>
      <c r="X117" s="10"/>
      <c r="Y117" s="10"/>
      <c r="Z117" s="10"/>
      <c r="AA117" s="10"/>
      <c r="AB117" s="35"/>
      <c r="AC117" s="29"/>
      <c r="AD117" s="8"/>
      <c r="AE117" s="26"/>
      <c r="AF117" s="24">
        <f t="shared" si="5"/>
        <v>0</v>
      </c>
      <c r="AG117" s="24">
        <f t="shared" si="6"/>
        <v>0</v>
      </c>
      <c r="AH117" s="24">
        <f t="shared" si="7"/>
        <v>0</v>
      </c>
      <c r="AI117" s="41" t="str" cm="1">
        <f t="array" ref="AI117">_xlfn.IFS(
SUM(AF117:AH117)=0,"Not Started",
SUM(AF117:AH117)&lt;15,"In Progress",
SUM(AF117:AH117)=15,"Completed",
SUM(AF117:AH117)&gt;15,"Error"
)</f>
        <v>Not Started</v>
      </c>
    </row>
    <row r="118" spans="1:35" ht="13" x14ac:dyDescent="0.25">
      <c r="A118" s="7"/>
      <c r="B118" s="7" t="s">
        <v>2175</v>
      </c>
      <c r="C118" s="7" t="s">
        <v>6807</v>
      </c>
      <c r="D118" s="7" t="s">
        <v>7005</v>
      </c>
      <c r="E118" s="7" t="s">
        <v>43</v>
      </c>
      <c r="F118" s="7" t="s">
        <v>48</v>
      </c>
      <c r="G118" s="7" t="s">
        <v>9666</v>
      </c>
      <c r="H118" s="7" t="s">
        <v>9666</v>
      </c>
      <c r="I118" s="7" t="s">
        <v>9504</v>
      </c>
      <c r="J118" s="7" t="s">
        <v>9505</v>
      </c>
      <c r="K118" s="7" t="str">
        <f t="shared" si="4"/>
        <v>25.3497564,49.6049559</v>
      </c>
      <c r="L118" s="7" t="s">
        <v>7208</v>
      </c>
      <c r="M118" s="49" t="s">
        <v>7209</v>
      </c>
      <c r="N118" s="7"/>
      <c r="O118" s="7"/>
      <c r="P118" s="29"/>
      <c r="Q118" s="10"/>
      <c r="R118" s="10"/>
      <c r="S118" s="35"/>
      <c r="T118" s="29"/>
      <c r="U118" s="10"/>
      <c r="V118" s="10"/>
      <c r="W118" s="10"/>
      <c r="X118" s="10"/>
      <c r="Y118" s="10"/>
      <c r="Z118" s="10"/>
      <c r="AA118" s="10"/>
      <c r="AB118" s="35"/>
      <c r="AC118" s="29"/>
      <c r="AD118" s="8"/>
      <c r="AE118" s="26"/>
      <c r="AF118" s="24">
        <f t="shared" si="5"/>
        <v>0</v>
      </c>
      <c r="AG118" s="24">
        <f t="shared" si="6"/>
        <v>0</v>
      </c>
      <c r="AH118" s="24">
        <f t="shared" si="7"/>
        <v>0</v>
      </c>
      <c r="AI118" s="41" t="str" cm="1">
        <f t="array" ref="AI118">_xlfn.IFS(
SUM(AF118:AH118)=0,"Not Started",
SUM(AF118:AH118)&lt;15,"In Progress",
SUM(AF118:AH118)=15,"Completed",
SUM(AF118:AH118)&gt;15,"Error"
)</f>
        <v>Not Started</v>
      </c>
    </row>
    <row r="119" spans="1:35" ht="13" x14ac:dyDescent="0.25">
      <c r="A119" s="7"/>
      <c r="B119" s="7" t="s">
        <v>2176</v>
      </c>
      <c r="C119" s="7" t="s">
        <v>6808</v>
      </c>
      <c r="D119" s="7" t="s">
        <v>7006</v>
      </c>
      <c r="E119" s="7" t="s">
        <v>47</v>
      </c>
      <c r="F119" s="7" t="s">
        <v>48</v>
      </c>
      <c r="G119" s="7" t="s">
        <v>9666</v>
      </c>
      <c r="H119" s="7" t="s">
        <v>9666</v>
      </c>
      <c r="I119" s="7" t="s">
        <v>9506</v>
      </c>
      <c r="J119" s="7" t="s">
        <v>9507</v>
      </c>
      <c r="K119" s="7" t="str">
        <f t="shared" si="4"/>
        <v>25.3512398,49.5714605</v>
      </c>
      <c r="L119" s="7" t="s">
        <v>7210</v>
      </c>
      <c r="M119" s="49" t="s">
        <v>7211</v>
      </c>
      <c r="N119" s="7"/>
      <c r="O119" s="7"/>
      <c r="P119" s="29"/>
      <c r="Q119" s="10"/>
      <c r="R119" s="10"/>
      <c r="S119" s="35"/>
      <c r="T119" s="29"/>
      <c r="U119" s="10"/>
      <c r="V119" s="10"/>
      <c r="W119" s="10"/>
      <c r="X119" s="10"/>
      <c r="Y119" s="10"/>
      <c r="Z119" s="10"/>
      <c r="AA119" s="10"/>
      <c r="AB119" s="35"/>
      <c r="AC119" s="29"/>
      <c r="AD119" s="8"/>
      <c r="AE119" s="26"/>
      <c r="AF119" s="24">
        <f t="shared" si="5"/>
        <v>0</v>
      </c>
      <c r="AG119" s="24">
        <f t="shared" si="6"/>
        <v>0</v>
      </c>
      <c r="AH119" s="24">
        <f t="shared" si="7"/>
        <v>0</v>
      </c>
      <c r="AI119" s="41" t="str" cm="1">
        <f t="array" ref="AI119">_xlfn.IFS(
SUM(AF119:AH119)=0,"Not Started",
SUM(AF119:AH119)&lt;15,"In Progress",
SUM(AF119:AH119)=15,"Completed",
SUM(AF119:AH119)&gt;15,"Error"
)</f>
        <v>Not Started</v>
      </c>
    </row>
    <row r="120" spans="1:35" ht="13" x14ac:dyDescent="0.25">
      <c r="A120" s="7"/>
      <c r="B120" s="7" t="s">
        <v>2177</v>
      </c>
      <c r="C120" s="7" t="s">
        <v>6809</v>
      </c>
      <c r="D120" s="7" t="s">
        <v>7007</v>
      </c>
      <c r="E120" s="7" t="s">
        <v>51</v>
      </c>
      <c r="F120" s="7" t="s">
        <v>48</v>
      </c>
      <c r="G120" s="7" t="s">
        <v>9666</v>
      </c>
      <c r="H120" s="7" t="s">
        <v>9666</v>
      </c>
      <c r="I120" s="7" t="s">
        <v>9508</v>
      </c>
      <c r="J120" s="7" t="s">
        <v>9509</v>
      </c>
      <c r="K120" s="7" t="str">
        <f t="shared" si="4"/>
        <v>25.3901519,49.5980787</v>
      </c>
      <c r="L120" s="7" t="s">
        <v>7212</v>
      </c>
      <c r="M120" s="49" t="s">
        <v>7213</v>
      </c>
      <c r="N120" s="7"/>
      <c r="O120" s="7"/>
      <c r="P120" s="29"/>
      <c r="Q120" s="10"/>
      <c r="R120" s="10"/>
      <c r="S120" s="35"/>
      <c r="T120" s="29"/>
      <c r="U120" s="10"/>
      <c r="V120" s="10"/>
      <c r="W120" s="10"/>
      <c r="X120" s="10"/>
      <c r="Y120" s="10"/>
      <c r="Z120" s="10"/>
      <c r="AA120" s="10"/>
      <c r="AB120" s="35"/>
      <c r="AC120" s="29"/>
      <c r="AD120" s="8"/>
      <c r="AE120" s="26"/>
      <c r="AF120" s="24">
        <f t="shared" si="5"/>
        <v>0</v>
      </c>
      <c r="AG120" s="24">
        <f t="shared" si="6"/>
        <v>0</v>
      </c>
      <c r="AH120" s="24">
        <f t="shared" si="7"/>
        <v>0</v>
      </c>
      <c r="AI120" s="41" t="str" cm="1">
        <f t="array" ref="AI120">_xlfn.IFS(
SUM(AF120:AH120)=0,"Not Started",
SUM(AF120:AH120)&lt;15,"In Progress",
SUM(AF120:AH120)=15,"Completed",
SUM(AF120:AH120)&gt;15,"Error"
)</f>
        <v>Not Started</v>
      </c>
    </row>
    <row r="121" spans="1:35" ht="13" x14ac:dyDescent="0.25">
      <c r="A121" s="7"/>
      <c r="B121" s="7" t="s">
        <v>2178</v>
      </c>
      <c r="C121" s="7" t="s">
        <v>6810</v>
      </c>
      <c r="D121" s="7" t="s">
        <v>7008</v>
      </c>
      <c r="E121" s="7" t="s">
        <v>43</v>
      </c>
      <c r="F121" s="7" t="s">
        <v>48</v>
      </c>
      <c r="G121" s="7" t="s">
        <v>9666</v>
      </c>
      <c r="H121" s="7" t="s">
        <v>9666</v>
      </c>
      <c r="I121" s="7" t="s">
        <v>9510</v>
      </c>
      <c r="J121" s="7" t="s">
        <v>9511</v>
      </c>
      <c r="K121" s="7" t="str">
        <f t="shared" si="4"/>
        <v>25.321296,49.58697</v>
      </c>
      <c r="L121" s="7" t="s">
        <v>7214</v>
      </c>
      <c r="M121" s="49" t="s">
        <v>7215</v>
      </c>
      <c r="N121" s="7"/>
      <c r="O121" s="7"/>
      <c r="P121" s="29"/>
      <c r="Q121" s="10"/>
      <c r="R121" s="10"/>
      <c r="S121" s="35"/>
      <c r="T121" s="29"/>
      <c r="U121" s="10"/>
      <c r="V121" s="10"/>
      <c r="W121" s="10"/>
      <c r="X121" s="10"/>
      <c r="Y121" s="10"/>
      <c r="Z121" s="10"/>
      <c r="AA121" s="10"/>
      <c r="AB121" s="35"/>
      <c r="AC121" s="29"/>
      <c r="AD121" s="8"/>
      <c r="AE121" s="26"/>
      <c r="AF121" s="24">
        <f t="shared" si="5"/>
        <v>0</v>
      </c>
      <c r="AG121" s="24">
        <f t="shared" si="6"/>
        <v>0</v>
      </c>
      <c r="AH121" s="24">
        <f t="shared" si="7"/>
        <v>0</v>
      </c>
      <c r="AI121" s="41" t="str" cm="1">
        <f t="array" ref="AI121">_xlfn.IFS(
SUM(AF121:AH121)=0,"Not Started",
SUM(AF121:AH121)&lt;15,"In Progress",
SUM(AF121:AH121)=15,"Completed",
SUM(AF121:AH121)&gt;15,"Error"
)</f>
        <v>Not Started</v>
      </c>
    </row>
    <row r="122" spans="1:35" ht="13" x14ac:dyDescent="0.25">
      <c r="A122" s="7"/>
      <c r="B122" s="7" t="s">
        <v>2179</v>
      </c>
      <c r="C122" s="7" t="s">
        <v>6811</v>
      </c>
      <c r="D122" s="7" t="s">
        <v>7009</v>
      </c>
      <c r="E122" s="7" t="s">
        <v>47</v>
      </c>
      <c r="F122" s="7" t="s">
        <v>48</v>
      </c>
      <c r="G122" s="7" t="s">
        <v>9666</v>
      </c>
      <c r="H122" s="7" t="s">
        <v>9666</v>
      </c>
      <c r="I122" s="7" t="s">
        <v>9512</v>
      </c>
      <c r="J122" s="7" t="s">
        <v>9513</v>
      </c>
      <c r="K122" s="7" t="str">
        <f t="shared" si="4"/>
        <v>23.302372,48.972517</v>
      </c>
      <c r="L122" s="7" t="s">
        <v>7216</v>
      </c>
      <c r="M122" s="49" t="s">
        <v>7217</v>
      </c>
      <c r="N122" s="7"/>
      <c r="O122" s="7"/>
      <c r="P122" s="29"/>
      <c r="Q122" s="10"/>
      <c r="R122" s="10"/>
      <c r="S122" s="35"/>
      <c r="T122" s="29"/>
      <c r="U122" s="10"/>
      <c r="V122" s="10"/>
      <c r="W122" s="10"/>
      <c r="X122" s="10"/>
      <c r="Y122" s="10"/>
      <c r="Z122" s="10"/>
      <c r="AA122" s="10"/>
      <c r="AB122" s="35"/>
      <c r="AC122" s="29"/>
      <c r="AD122" s="8"/>
      <c r="AE122" s="26"/>
      <c r="AF122" s="24">
        <f t="shared" si="5"/>
        <v>0</v>
      </c>
      <c r="AG122" s="24">
        <f t="shared" si="6"/>
        <v>0</v>
      </c>
      <c r="AH122" s="24">
        <f t="shared" si="7"/>
        <v>0</v>
      </c>
      <c r="AI122" s="41" t="str" cm="1">
        <f t="array" ref="AI122">_xlfn.IFS(
SUM(AF122:AH122)=0,"Not Started",
SUM(AF122:AH122)&lt;15,"In Progress",
SUM(AF122:AH122)=15,"Completed",
SUM(AF122:AH122)&gt;15,"Error"
)</f>
        <v>Not Started</v>
      </c>
    </row>
    <row r="123" spans="1:35" ht="13" x14ac:dyDescent="0.25">
      <c r="A123" s="7"/>
      <c r="B123" s="7" t="s">
        <v>2180</v>
      </c>
      <c r="C123" s="7" t="s">
        <v>6812</v>
      </c>
      <c r="D123" s="7" t="s">
        <v>7010</v>
      </c>
      <c r="E123" s="7" t="s">
        <v>43</v>
      </c>
      <c r="F123" s="7" t="s">
        <v>44</v>
      </c>
      <c r="G123" s="7" t="s">
        <v>9666</v>
      </c>
      <c r="H123" s="7" t="s">
        <v>9666</v>
      </c>
      <c r="I123" s="7" t="s">
        <v>9514</v>
      </c>
      <c r="J123" s="7" t="s">
        <v>9515</v>
      </c>
      <c r="K123" s="7" t="str">
        <f t="shared" si="4"/>
        <v>24.135791,49.054298</v>
      </c>
      <c r="L123" s="7" t="s">
        <v>7218</v>
      </c>
      <c r="M123" s="49" t="s">
        <v>7219</v>
      </c>
      <c r="N123" s="7"/>
      <c r="O123" s="7"/>
      <c r="P123" s="29"/>
      <c r="Q123" s="10"/>
      <c r="R123" s="10"/>
      <c r="S123" s="35"/>
      <c r="T123" s="29"/>
      <c r="U123" s="10"/>
      <c r="V123" s="10"/>
      <c r="W123" s="10"/>
      <c r="X123" s="10"/>
      <c r="Y123" s="10"/>
      <c r="Z123" s="10"/>
      <c r="AA123" s="10"/>
      <c r="AB123" s="35"/>
      <c r="AC123" s="29"/>
      <c r="AD123" s="8"/>
      <c r="AE123" s="26"/>
      <c r="AF123" s="24">
        <f t="shared" si="5"/>
        <v>0</v>
      </c>
      <c r="AG123" s="24">
        <f t="shared" si="6"/>
        <v>0</v>
      </c>
      <c r="AH123" s="24">
        <f t="shared" si="7"/>
        <v>0</v>
      </c>
      <c r="AI123" s="41" t="str" cm="1">
        <f t="array" ref="AI123">_xlfn.IFS(
SUM(AF123:AH123)=0,"Not Started",
SUM(AF123:AH123)&lt;15,"In Progress",
SUM(AF123:AH123)=15,"Completed",
SUM(AF123:AH123)&gt;15,"Error"
)</f>
        <v>Not Started</v>
      </c>
    </row>
    <row r="124" spans="1:35" ht="13" x14ac:dyDescent="0.25">
      <c r="A124" s="7"/>
      <c r="B124" s="7" t="s">
        <v>2181</v>
      </c>
      <c r="C124" s="7" t="s">
        <v>6813</v>
      </c>
      <c r="D124" s="7" t="s">
        <v>7011</v>
      </c>
      <c r="E124" s="7" t="s">
        <v>43</v>
      </c>
      <c r="F124" s="7" t="s">
        <v>44</v>
      </c>
      <c r="G124" s="7" t="s">
        <v>9666</v>
      </c>
      <c r="H124" s="7" t="s">
        <v>9666</v>
      </c>
      <c r="I124" s="7" t="s">
        <v>9516</v>
      </c>
      <c r="J124" s="7" t="s">
        <v>9517</v>
      </c>
      <c r="K124" s="7" t="str">
        <f t="shared" si="4"/>
        <v>25.3474778,49.5683706</v>
      </c>
      <c r="L124" s="7" t="s">
        <v>7220</v>
      </c>
      <c r="M124" s="49" t="s">
        <v>7221</v>
      </c>
      <c r="N124" s="7"/>
      <c r="O124" s="7"/>
      <c r="P124" s="29"/>
      <c r="Q124" s="10"/>
      <c r="R124" s="10"/>
      <c r="S124" s="35"/>
      <c r="T124" s="29"/>
      <c r="U124" s="10"/>
      <c r="V124" s="10"/>
      <c r="W124" s="10"/>
      <c r="X124" s="10"/>
      <c r="Y124" s="10"/>
      <c r="Z124" s="10"/>
      <c r="AA124" s="10"/>
      <c r="AB124" s="35"/>
      <c r="AC124" s="29"/>
      <c r="AD124" s="8"/>
      <c r="AE124" s="26"/>
      <c r="AF124" s="24">
        <f t="shared" si="5"/>
        <v>0</v>
      </c>
      <c r="AG124" s="24">
        <f t="shared" si="6"/>
        <v>0</v>
      </c>
      <c r="AH124" s="24">
        <f t="shared" si="7"/>
        <v>0</v>
      </c>
      <c r="AI124" s="41" t="str" cm="1">
        <f t="array" ref="AI124">_xlfn.IFS(
SUM(AF124:AH124)=0,"Not Started",
SUM(AF124:AH124)&lt;15,"In Progress",
SUM(AF124:AH124)=15,"Completed",
SUM(AF124:AH124)&gt;15,"Error"
)</f>
        <v>Not Started</v>
      </c>
    </row>
    <row r="125" spans="1:35" ht="13" x14ac:dyDescent="0.25">
      <c r="A125" s="7"/>
      <c r="B125" s="7" t="s">
        <v>2182</v>
      </c>
      <c r="C125" s="7" t="s">
        <v>6814</v>
      </c>
      <c r="D125" s="7" t="s">
        <v>7012</v>
      </c>
      <c r="E125" s="7" t="s">
        <v>43</v>
      </c>
      <c r="F125" s="7" t="s">
        <v>44</v>
      </c>
      <c r="G125" s="7" t="s">
        <v>9666</v>
      </c>
      <c r="H125" s="7" t="s">
        <v>9666</v>
      </c>
      <c r="I125" s="7" t="s">
        <v>9518</v>
      </c>
      <c r="J125" s="7" t="s">
        <v>9519</v>
      </c>
      <c r="K125" s="7" t="str">
        <f t="shared" si="4"/>
        <v>25.359393,49.625625</v>
      </c>
      <c r="L125" s="7" t="s">
        <v>7222</v>
      </c>
      <c r="M125" s="49" t="s">
        <v>7223</v>
      </c>
      <c r="N125" s="7"/>
      <c r="O125" s="7"/>
      <c r="P125" s="29"/>
      <c r="Q125" s="10"/>
      <c r="R125" s="10"/>
      <c r="S125" s="35"/>
      <c r="T125" s="29"/>
      <c r="U125" s="10"/>
      <c r="V125" s="10"/>
      <c r="W125" s="10"/>
      <c r="X125" s="10"/>
      <c r="Y125" s="10"/>
      <c r="Z125" s="10"/>
      <c r="AA125" s="10"/>
      <c r="AB125" s="35"/>
      <c r="AC125" s="29"/>
      <c r="AD125" s="8"/>
      <c r="AE125" s="26"/>
      <c r="AF125" s="24">
        <f t="shared" si="5"/>
        <v>0</v>
      </c>
      <c r="AG125" s="24">
        <f t="shared" si="6"/>
        <v>0</v>
      </c>
      <c r="AH125" s="24">
        <f t="shared" si="7"/>
        <v>0</v>
      </c>
      <c r="AI125" s="41" t="str" cm="1">
        <f t="array" ref="AI125">_xlfn.IFS(
SUM(AF125:AH125)=0,"Not Started",
SUM(AF125:AH125)&lt;15,"In Progress",
SUM(AF125:AH125)=15,"Completed",
SUM(AF125:AH125)&gt;15,"Error"
)</f>
        <v>Not Started</v>
      </c>
    </row>
    <row r="126" spans="1:35" ht="13" x14ac:dyDescent="0.25">
      <c r="A126" s="7"/>
      <c r="B126" s="7" t="s">
        <v>2183</v>
      </c>
      <c r="C126" s="7" t="s">
        <v>6815</v>
      </c>
      <c r="D126" s="7" t="s">
        <v>7013</v>
      </c>
      <c r="E126" s="7" t="s">
        <v>43</v>
      </c>
      <c r="F126" s="7" t="s">
        <v>44</v>
      </c>
      <c r="G126" s="7" t="s">
        <v>9666</v>
      </c>
      <c r="H126" s="7" t="s">
        <v>9666</v>
      </c>
      <c r="I126" s="7" t="s">
        <v>9520</v>
      </c>
      <c r="J126" s="7" t="s">
        <v>9521</v>
      </c>
      <c r="K126" s="7" t="str">
        <f t="shared" si="4"/>
        <v>25.349317,49.63552</v>
      </c>
      <c r="L126" s="7" t="s">
        <v>7224</v>
      </c>
      <c r="M126" s="49" t="s">
        <v>7225</v>
      </c>
      <c r="N126" s="7"/>
      <c r="O126" s="7"/>
      <c r="P126" s="29"/>
      <c r="Q126" s="10"/>
      <c r="R126" s="10"/>
      <c r="S126" s="35"/>
      <c r="T126" s="29"/>
      <c r="U126" s="10"/>
      <c r="V126" s="10"/>
      <c r="W126" s="10"/>
      <c r="X126" s="10"/>
      <c r="Y126" s="10"/>
      <c r="Z126" s="10"/>
      <c r="AA126" s="10"/>
      <c r="AB126" s="35"/>
      <c r="AC126" s="29"/>
      <c r="AD126" s="8"/>
      <c r="AE126" s="26"/>
      <c r="AF126" s="24">
        <f t="shared" si="5"/>
        <v>0</v>
      </c>
      <c r="AG126" s="24">
        <f t="shared" si="6"/>
        <v>0</v>
      </c>
      <c r="AH126" s="24">
        <f t="shared" si="7"/>
        <v>0</v>
      </c>
      <c r="AI126" s="41" t="str" cm="1">
        <f t="array" ref="AI126">_xlfn.IFS(
SUM(AF126:AH126)=0,"Not Started",
SUM(AF126:AH126)&lt;15,"In Progress",
SUM(AF126:AH126)=15,"Completed",
SUM(AF126:AH126)&gt;15,"Error"
)</f>
        <v>Not Started</v>
      </c>
    </row>
    <row r="127" spans="1:35" ht="13" x14ac:dyDescent="0.25">
      <c r="A127" s="7"/>
      <c r="B127" s="7" t="s">
        <v>2184</v>
      </c>
      <c r="C127" s="7" t="s">
        <v>6816</v>
      </c>
      <c r="D127" s="7" t="s">
        <v>7014</v>
      </c>
      <c r="E127" s="7" t="s">
        <v>43</v>
      </c>
      <c r="F127" s="7" t="s">
        <v>48</v>
      </c>
      <c r="G127" s="7" t="s">
        <v>9666</v>
      </c>
      <c r="H127" s="7" t="s">
        <v>9666</v>
      </c>
      <c r="I127" s="7" t="s">
        <v>9522</v>
      </c>
      <c r="J127" s="7" t="s">
        <v>9523</v>
      </c>
      <c r="K127" s="7" t="str">
        <f t="shared" si="4"/>
        <v>25.3748367,49.5566869</v>
      </c>
      <c r="L127" s="7" t="s">
        <v>7226</v>
      </c>
      <c r="M127" s="49" t="s">
        <v>7227</v>
      </c>
      <c r="N127" s="7"/>
      <c r="O127" s="7"/>
      <c r="P127" s="29"/>
      <c r="Q127" s="10"/>
      <c r="R127" s="10"/>
      <c r="S127" s="35"/>
      <c r="T127" s="29"/>
      <c r="U127" s="10"/>
      <c r="V127" s="10"/>
      <c r="W127" s="10"/>
      <c r="X127" s="10"/>
      <c r="Y127" s="10"/>
      <c r="Z127" s="10"/>
      <c r="AA127" s="10"/>
      <c r="AB127" s="35"/>
      <c r="AC127" s="29"/>
      <c r="AD127" s="8"/>
      <c r="AE127" s="26"/>
      <c r="AF127" s="24">
        <f t="shared" si="5"/>
        <v>0</v>
      </c>
      <c r="AG127" s="24">
        <f t="shared" si="6"/>
        <v>0</v>
      </c>
      <c r="AH127" s="24">
        <f t="shared" si="7"/>
        <v>0</v>
      </c>
      <c r="AI127" s="41" t="str" cm="1">
        <f t="array" ref="AI127">_xlfn.IFS(
SUM(AF127:AH127)=0,"Not Started",
SUM(AF127:AH127)&lt;15,"In Progress",
SUM(AF127:AH127)=15,"Completed",
SUM(AF127:AH127)&gt;15,"Error"
)</f>
        <v>Not Started</v>
      </c>
    </row>
    <row r="128" spans="1:35" ht="13" x14ac:dyDescent="0.25">
      <c r="A128" s="7"/>
      <c r="B128" s="7" t="s">
        <v>2185</v>
      </c>
      <c r="C128" s="7" t="s">
        <v>6817</v>
      </c>
      <c r="D128" s="7" t="s">
        <v>7015</v>
      </c>
      <c r="E128" s="7" t="s">
        <v>43</v>
      </c>
      <c r="F128" s="7" t="s">
        <v>44</v>
      </c>
      <c r="G128" s="7" t="s">
        <v>9666</v>
      </c>
      <c r="H128" s="7" t="s">
        <v>9666</v>
      </c>
      <c r="I128" s="7" t="s">
        <v>9524</v>
      </c>
      <c r="J128" s="7" t="s">
        <v>9525</v>
      </c>
      <c r="K128" s="7" t="str">
        <f t="shared" si="4"/>
        <v>25.3579393,49.6361339</v>
      </c>
      <c r="L128" s="7" t="s">
        <v>7228</v>
      </c>
      <c r="M128" s="49" t="s">
        <v>7229</v>
      </c>
      <c r="N128" s="7"/>
      <c r="O128" s="7"/>
      <c r="P128" s="29"/>
      <c r="Q128" s="10"/>
      <c r="R128" s="10"/>
      <c r="S128" s="35"/>
      <c r="T128" s="29"/>
      <c r="U128" s="10"/>
      <c r="V128" s="10"/>
      <c r="W128" s="10"/>
      <c r="X128" s="10"/>
      <c r="Y128" s="10"/>
      <c r="Z128" s="10"/>
      <c r="AA128" s="10"/>
      <c r="AB128" s="35"/>
      <c r="AC128" s="29"/>
      <c r="AD128" s="8"/>
      <c r="AE128" s="26"/>
      <c r="AF128" s="24">
        <f t="shared" si="5"/>
        <v>0</v>
      </c>
      <c r="AG128" s="24">
        <f t="shared" si="6"/>
        <v>0</v>
      </c>
      <c r="AH128" s="24">
        <f t="shared" si="7"/>
        <v>0</v>
      </c>
      <c r="AI128" s="41" t="str" cm="1">
        <f t="array" ref="AI128">_xlfn.IFS(
SUM(AF128:AH128)=0,"Not Started",
SUM(AF128:AH128)&lt;15,"In Progress",
SUM(AF128:AH128)=15,"Completed",
SUM(AF128:AH128)&gt;15,"Error"
)</f>
        <v>Not Started</v>
      </c>
    </row>
    <row r="129" spans="1:35" ht="13" x14ac:dyDescent="0.25">
      <c r="A129" s="7"/>
      <c r="B129" s="7" t="s">
        <v>2186</v>
      </c>
      <c r="C129" s="7" t="s">
        <v>4938</v>
      </c>
      <c r="D129" s="7" t="s">
        <v>7016</v>
      </c>
      <c r="E129" s="7" t="s">
        <v>43</v>
      </c>
      <c r="F129" s="7" t="s">
        <v>44</v>
      </c>
      <c r="G129" s="7" t="s">
        <v>9666</v>
      </c>
      <c r="H129" s="7" t="s">
        <v>9666</v>
      </c>
      <c r="I129" s="7" t="s">
        <v>9526</v>
      </c>
      <c r="J129" s="7" t="s">
        <v>9527</v>
      </c>
      <c r="K129" s="7" t="str">
        <f t="shared" si="4"/>
        <v>25.359339,49.574434</v>
      </c>
      <c r="L129" s="7" t="s">
        <v>7230</v>
      </c>
      <c r="M129" s="49" t="s">
        <v>7231</v>
      </c>
      <c r="N129" s="7"/>
      <c r="O129" s="7"/>
      <c r="P129" s="29"/>
      <c r="Q129" s="10"/>
      <c r="R129" s="10"/>
      <c r="S129" s="35"/>
      <c r="T129" s="29"/>
      <c r="U129" s="10"/>
      <c r="V129" s="10"/>
      <c r="W129" s="10"/>
      <c r="X129" s="10"/>
      <c r="Y129" s="10"/>
      <c r="Z129" s="10"/>
      <c r="AA129" s="10"/>
      <c r="AB129" s="35"/>
      <c r="AC129" s="29"/>
      <c r="AD129" s="8"/>
      <c r="AE129" s="26"/>
      <c r="AF129" s="24">
        <f t="shared" si="5"/>
        <v>0</v>
      </c>
      <c r="AG129" s="24">
        <f t="shared" si="6"/>
        <v>0</v>
      </c>
      <c r="AH129" s="24">
        <f t="shared" si="7"/>
        <v>0</v>
      </c>
      <c r="AI129" s="41" t="str" cm="1">
        <f t="array" ref="AI129">_xlfn.IFS(
SUM(AF129:AH129)=0,"Not Started",
SUM(AF129:AH129)&lt;15,"In Progress",
SUM(AF129:AH129)=15,"Completed",
SUM(AF129:AH129)&gt;15,"Error"
)</f>
        <v>Not Started</v>
      </c>
    </row>
    <row r="130" spans="1:35" ht="13" x14ac:dyDescent="0.25">
      <c r="A130" s="7"/>
      <c r="B130" s="7" t="s">
        <v>2187</v>
      </c>
      <c r="C130" s="7" t="s">
        <v>6818</v>
      </c>
      <c r="D130" s="7" t="s">
        <v>7017</v>
      </c>
      <c r="E130" s="7" t="s">
        <v>43</v>
      </c>
      <c r="F130" s="7" t="s">
        <v>44</v>
      </c>
      <c r="G130" s="7" t="s">
        <v>9666</v>
      </c>
      <c r="H130" s="7" t="s">
        <v>9666</v>
      </c>
      <c r="I130" s="7" t="s">
        <v>9528</v>
      </c>
      <c r="J130" s="7" t="s">
        <v>9529</v>
      </c>
      <c r="K130" s="7" t="str">
        <f t="shared" si="4"/>
        <v>25.36959,49.607566</v>
      </c>
      <c r="L130" s="7" t="s">
        <v>7232</v>
      </c>
      <c r="M130" s="49" t="s">
        <v>7233</v>
      </c>
      <c r="N130" s="7"/>
      <c r="O130" s="7"/>
      <c r="P130" s="29"/>
      <c r="Q130" s="10"/>
      <c r="R130" s="10"/>
      <c r="S130" s="35"/>
      <c r="T130" s="29"/>
      <c r="U130" s="10"/>
      <c r="V130" s="10"/>
      <c r="W130" s="10"/>
      <c r="X130" s="10"/>
      <c r="Y130" s="10"/>
      <c r="Z130" s="10"/>
      <c r="AA130" s="10"/>
      <c r="AB130" s="35"/>
      <c r="AC130" s="29"/>
      <c r="AD130" s="8"/>
      <c r="AE130" s="26"/>
      <c r="AF130" s="24">
        <f t="shared" si="5"/>
        <v>0</v>
      </c>
      <c r="AG130" s="24">
        <f t="shared" si="6"/>
        <v>0</v>
      </c>
      <c r="AH130" s="24">
        <f t="shared" si="7"/>
        <v>0</v>
      </c>
      <c r="AI130" s="41" t="str" cm="1">
        <f t="array" ref="AI130">_xlfn.IFS(
SUM(AF130:AH130)=0,"Not Started",
SUM(AF130:AH130)&lt;15,"In Progress",
SUM(AF130:AH130)=15,"Completed",
SUM(AF130:AH130)&gt;15,"Error"
)</f>
        <v>Not Started</v>
      </c>
    </row>
    <row r="131" spans="1:35" ht="13" x14ac:dyDescent="0.25">
      <c r="A131" s="7"/>
      <c r="B131" s="7" t="s">
        <v>2188</v>
      </c>
      <c r="C131" s="7" t="s">
        <v>6819</v>
      </c>
      <c r="D131" s="7" t="s">
        <v>7018</v>
      </c>
      <c r="E131" s="7" t="s">
        <v>43</v>
      </c>
      <c r="F131" s="7" t="s">
        <v>44</v>
      </c>
      <c r="G131" s="7" t="s">
        <v>9666</v>
      </c>
      <c r="H131" s="7" t="s">
        <v>9666</v>
      </c>
      <c r="I131" s="7" t="s">
        <v>9528</v>
      </c>
      <c r="J131" s="7" t="s">
        <v>9529</v>
      </c>
      <c r="K131" s="7" t="str">
        <f t="shared" si="4"/>
        <v>25.36959,49.607566</v>
      </c>
      <c r="L131" s="7" t="s">
        <v>7234</v>
      </c>
      <c r="M131" s="49" t="s">
        <v>7235</v>
      </c>
      <c r="N131" s="7"/>
      <c r="O131" s="7"/>
      <c r="P131" s="29"/>
      <c r="Q131" s="10"/>
      <c r="R131" s="10"/>
      <c r="S131" s="35"/>
      <c r="T131" s="29"/>
      <c r="U131" s="10"/>
      <c r="V131" s="10"/>
      <c r="W131" s="10"/>
      <c r="X131" s="10"/>
      <c r="Y131" s="10"/>
      <c r="Z131" s="10"/>
      <c r="AA131" s="10"/>
      <c r="AB131" s="35"/>
      <c r="AC131" s="29"/>
      <c r="AD131" s="8"/>
      <c r="AE131" s="26"/>
      <c r="AF131" s="24">
        <f t="shared" si="5"/>
        <v>0</v>
      </c>
      <c r="AG131" s="24">
        <f t="shared" si="6"/>
        <v>0</v>
      </c>
      <c r="AH131" s="24">
        <f t="shared" si="7"/>
        <v>0</v>
      </c>
      <c r="AI131" s="41" t="str" cm="1">
        <f t="array" ref="AI131">_xlfn.IFS(
SUM(AF131:AH131)=0,"Not Started",
SUM(AF131:AH131)&lt;15,"In Progress",
SUM(AF131:AH131)=15,"Completed",
SUM(AF131:AH131)&gt;15,"Error"
)</f>
        <v>Not Started</v>
      </c>
    </row>
    <row r="132" spans="1:35" ht="13" x14ac:dyDescent="0.25">
      <c r="A132" s="7"/>
      <c r="B132" s="7" t="s">
        <v>2189</v>
      </c>
      <c r="C132" s="7" t="s">
        <v>6820</v>
      </c>
      <c r="D132" s="7" t="s">
        <v>7019</v>
      </c>
      <c r="E132" s="7" t="s">
        <v>43</v>
      </c>
      <c r="F132" s="7" t="s">
        <v>44</v>
      </c>
      <c r="G132" s="7" t="s">
        <v>9666</v>
      </c>
      <c r="H132" s="7" t="s">
        <v>9666</v>
      </c>
      <c r="I132" s="7" t="s">
        <v>9530</v>
      </c>
      <c r="J132" s="7" t="s">
        <v>9531</v>
      </c>
      <c r="K132" s="7" t="str">
        <f t="shared" si="4"/>
        <v>25.388546,49.592683</v>
      </c>
      <c r="L132" s="7" t="s">
        <v>7236</v>
      </c>
      <c r="M132" s="49" t="s">
        <v>7237</v>
      </c>
      <c r="N132" s="7"/>
      <c r="O132" s="7"/>
      <c r="P132" s="29"/>
      <c r="Q132" s="10"/>
      <c r="R132" s="10"/>
      <c r="S132" s="35"/>
      <c r="T132" s="29"/>
      <c r="U132" s="10"/>
      <c r="V132" s="10"/>
      <c r="W132" s="10"/>
      <c r="X132" s="10"/>
      <c r="Y132" s="10"/>
      <c r="Z132" s="10"/>
      <c r="AA132" s="10"/>
      <c r="AB132" s="35"/>
      <c r="AC132" s="29"/>
      <c r="AD132" s="8"/>
      <c r="AE132" s="26"/>
      <c r="AF132" s="24">
        <f t="shared" si="5"/>
        <v>0</v>
      </c>
      <c r="AG132" s="24">
        <f t="shared" si="6"/>
        <v>0</v>
      </c>
      <c r="AH132" s="24">
        <f t="shared" si="7"/>
        <v>0</v>
      </c>
      <c r="AI132" s="41" t="str" cm="1">
        <f t="array" ref="AI132">_xlfn.IFS(
SUM(AF132:AH132)=0,"Not Started",
SUM(AF132:AH132)&lt;15,"In Progress",
SUM(AF132:AH132)=15,"Completed",
SUM(AF132:AH132)&gt;15,"Error"
)</f>
        <v>Not Started</v>
      </c>
    </row>
    <row r="133" spans="1:35" ht="13" x14ac:dyDescent="0.25">
      <c r="A133" s="7"/>
      <c r="B133" s="7" t="s">
        <v>2190</v>
      </c>
      <c r="C133" s="7" t="s">
        <v>6821</v>
      </c>
      <c r="D133" s="7" t="s">
        <v>7020</v>
      </c>
      <c r="E133" s="7" t="s">
        <v>43</v>
      </c>
      <c r="F133" s="7" t="s">
        <v>44</v>
      </c>
      <c r="G133" s="7" t="s">
        <v>9666</v>
      </c>
      <c r="H133" s="7" t="s">
        <v>9666</v>
      </c>
      <c r="I133" s="7" t="s">
        <v>9532</v>
      </c>
      <c r="J133" s="7" t="s">
        <v>9533</v>
      </c>
      <c r="K133" s="7" t="str">
        <f t="shared" ref="K133:K196" si="8">_xlfn.CONCAT(I133,",",J133)</f>
        <v>25.360778,49.557327</v>
      </c>
      <c r="L133" s="7" t="s">
        <v>7238</v>
      </c>
      <c r="M133" s="49" t="s">
        <v>7239</v>
      </c>
      <c r="N133" s="7"/>
      <c r="O133" s="7"/>
      <c r="P133" s="29"/>
      <c r="Q133" s="10"/>
      <c r="R133" s="10"/>
      <c r="S133" s="35"/>
      <c r="T133" s="29"/>
      <c r="U133" s="10"/>
      <c r="V133" s="10"/>
      <c r="W133" s="10"/>
      <c r="X133" s="10"/>
      <c r="Y133" s="10"/>
      <c r="Z133" s="10"/>
      <c r="AA133" s="10"/>
      <c r="AB133" s="35"/>
      <c r="AC133" s="29"/>
      <c r="AD133" s="8"/>
      <c r="AE133" s="26"/>
      <c r="AF133" s="24">
        <f t="shared" ref="AF133:AF196" si="9">COUNTIF(P133:AD133,$AF$2)</f>
        <v>0</v>
      </c>
      <c r="AG133" s="24">
        <f t="shared" ref="AG133:AG196" si="10">COUNTIF(P133:AD133,$AG$2)</f>
        <v>0</v>
      </c>
      <c r="AH133" s="24">
        <f t="shared" ref="AH133:AH196" si="11">COUNTIF(P133:AD133,$AH$2)</f>
        <v>0</v>
      </c>
      <c r="AI133" s="41" t="str" cm="1">
        <f t="array" ref="AI133">_xlfn.IFS(
SUM(AF133:AH133)=0,"Not Started",
SUM(AF133:AH133)&lt;15,"In Progress",
SUM(AF133:AH133)=15,"Completed",
SUM(AF133:AH133)&gt;15,"Error"
)</f>
        <v>Not Started</v>
      </c>
    </row>
    <row r="134" spans="1:35" ht="13" x14ac:dyDescent="0.25">
      <c r="A134" s="7"/>
      <c r="B134" s="7" t="s">
        <v>2191</v>
      </c>
      <c r="C134" s="7" t="s">
        <v>6822</v>
      </c>
      <c r="D134" s="7" t="s">
        <v>7021</v>
      </c>
      <c r="E134" s="7" t="s">
        <v>43</v>
      </c>
      <c r="F134" s="7" t="s">
        <v>44</v>
      </c>
      <c r="G134" s="7" t="s">
        <v>9666</v>
      </c>
      <c r="H134" s="7" t="s">
        <v>9666</v>
      </c>
      <c r="I134" s="7" t="s">
        <v>9534</v>
      </c>
      <c r="J134" s="7" t="s">
        <v>9535</v>
      </c>
      <c r="K134" s="7" t="str">
        <f t="shared" si="8"/>
        <v>25.353901,49.56342</v>
      </c>
      <c r="L134" s="7" t="s">
        <v>7240</v>
      </c>
      <c r="M134" s="49" t="s">
        <v>7241</v>
      </c>
      <c r="N134" s="7"/>
      <c r="O134" s="7"/>
      <c r="P134" s="29"/>
      <c r="Q134" s="10"/>
      <c r="R134" s="10"/>
      <c r="S134" s="35"/>
      <c r="T134" s="29"/>
      <c r="U134" s="10"/>
      <c r="V134" s="10"/>
      <c r="W134" s="10"/>
      <c r="X134" s="10"/>
      <c r="Y134" s="10"/>
      <c r="Z134" s="10"/>
      <c r="AA134" s="10"/>
      <c r="AB134" s="35"/>
      <c r="AC134" s="29"/>
      <c r="AD134" s="8"/>
      <c r="AE134" s="26"/>
      <c r="AF134" s="24">
        <f t="shared" si="9"/>
        <v>0</v>
      </c>
      <c r="AG134" s="24">
        <f t="shared" si="10"/>
        <v>0</v>
      </c>
      <c r="AH134" s="24">
        <f t="shared" si="11"/>
        <v>0</v>
      </c>
      <c r="AI134" s="41" t="str" cm="1">
        <f t="array" ref="AI134">_xlfn.IFS(
SUM(AF134:AH134)=0,"Not Started",
SUM(AF134:AH134)&lt;15,"In Progress",
SUM(AF134:AH134)=15,"Completed",
SUM(AF134:AH134)&gt;15,"Error"
)</f>
        <v>Not Started</v>
      </c>
    </row>
    <row r="135" spans="1:35" ht="13" x14ac:dyDescent="0.25">
      <c r="A135" s="7"/>
      <c r="B135" s="7" t="s">
        <v>2192</v>
      </c>
      <c r="C135" s="7" t="s">
        <v>6823</v>
      </c>
      <c r="D135" s="7" t="s">
        <v>7022</v>
      </c>
      <c r="E135" s="7" t="s">
        <v>43</v>
      </c>
      <c r="F135" s="7" t="s">
        <v>44</v>
      </c>
      <c r="G135" s="7" t="s">
        <v>9666</v>
      </c>
      <c r="H135" s="7" t="s">
        <v>9666</v>
      </c>
      <c r="I135" s="7" t="s">
        <v>9536</v>
      </c>
      <c r="J135" s="7" t="s">
        <v>9537</v>
      </c>
      <c r="K135" s="7" t="str">
        <f t="shared" si="8"/>
        <v>25.365464,49.570944</v>
      </c>
      <c r="L135" s="7" t="s">
        <v>7242</v>
      </c>
      <c r="M135" s="49" t="s">
        <v>7243</v>
      </c>
      <c r="N135" s="7"/>
      <c r="O135" s="7"/>
      <c r="P135" s="29"/>
      <c r="Q135" s="10"/>
      <c r="R135" s="10"/>
      <c r="S135" s="35"/>
      <c r="T135" s="29"/>
      <c r="U135" s="10"/>
      <c r="V135" s="10"/>
      <c r="W135" s="10"/>
      <c r="X135" s="10"/>
      <c r="Y135" s="10"/>
      <c r="Z135" s="10"/>
      <c r="AA135" s="10"/>
      <c r="AB135" s="35"/>
      <c r="AC135" s="29"/>
      <c r="AD135" s="8"/>
      <c r="AE135" s="26"/>
      <c r="AF135" s="24">
        <f t="shared" si="9"/>
        <v>0</v>
      </c>
      <c r="AG135" s="24">
        <f t="shared" si="10"/>
        <v>0</v>
      </c>
      <c r="AH135" s="24">
        <f t="shared" si="11"/>
        <v>0</v>
      </c>
      <c r="AI135" s="41" t="str" cm="1">
        <f t="array" ref="AI135">_xlfn.IFS(
SUM(AF135:AH135)=0,"Not Started",
SUM(AF135:AH135)&lt;15,"In Progress",
SUM(AF135:AH135)=15,"Completed",
SUM(AF135:AH135)&gt;15,"Error"
)</f>
        <v>Not Started</v>
      </c>
    </row>
    <row r="136" spans="1:35" ht="13" x14ac:dyDescent="0.25">
      <c r="A136" s="7"/>
      <c r="B136" s="7" t="s">
        <v>2193</v>
      </c>
      <c r="C136" s="7" t="s">
        <v>6824</v>
      </c>
      <c r="D136" s="7" t="s">
        <v>7023</v>
      </c>
      <c r="E136" s="7" t="s">
        <v>47</v>
      </c>
      <c r="F136" s="7" t="s">
        <v>44</v>
      </c>
      <c r="G136" s="7" t="s">
        <v>9666</v>
      </c>
      <c r="H136" s="7" t="s">
        <v>9666</v>
      </c>
      <c r="I136" s="7" t="s">
        <v>9538</v>
      </c>
      <c r="J136" s="7" t="s">
        <v>9539</v>
      </c>
      <c r="K136" s="7" t="str">
        <f t="shared" si="8"/>
        <v>25.346671,49.549165</v>
      </c>
      <c r="L136" s="7" t="s">
        <v>7244</v>
      </c>
      <c r="M136" s="49" t="s">
        <v>7245</v>
      </c>
      <c r="N136" s="7"/>
      <c r="O136" s="7"/>
      <c r="P136" s="29"/>
      <c r="Q136" s="10"/>
      <c r="R136" s="10"/>
      <c r="S136" s="35"/>
      <c r="T136" s="29"/>
      <c r="U136" s="10"/>
      <c r="V136" s="10"/>
      <c r="W136" s="10"/>
      <c r="X136" s="10"/>
      <c r="Y136" s="10"/>
      <c r="Z136" s="10"/>
      <c r="AA136" s="10"/>
      <c r="AB136" s="35"/>
      <c r="AC136" s="29"/>
      <c r="AD136" s="8"/>
      <c r="AE136" s="26"/>
      <c r="AF136" s="24">
        <f t="shared" si="9"/>
        <v>0</v>
      </c>
      <c r="AG136" s="24">
        <f t="shared" si="10"/>
        <v>0</v>
      </c>
      <c r="AH136" s="24">
        <f t="shared" si="11"/>
        <v>0</v>
      </c>
      <c r="AI136" s="41" t="str" cm="1">
        <f t="array" ref="AI136">_xlfn.IFS(
SUM(AF136:AH136)=0,"Not Started",
SUM(AF136:AH136)&lt;15,"In Progress",
SUM(AF136:AH136)=15,"Completed",
SUM(AF136:AH136)&gt;15,"Error"
)</f>
        <v>Not Started</v>
      </c>
    </row>
    <row r="137" spans="1:35" ht="13" x14ac:dyDescent="0.25">
      <c r="A137" s="7"/>
      <c r="B137" s="7" t="s">
        <v>2194</v>
      </c>
      <c r="C137" s="7" t="s">
        <v>6825</v>
      </c>
      <c r="D137" s="7" t="s">
        <v>7024</v>
      </c>
      <c r="E137" s="7" t="s">
        <v>43</v>
      </c>
      <c r="F137" s="7" t="s">
        <v>44</v>
      </c>
      <c r="G137" s="7" t="s">
        <v>9666</v>
      </c>
      <c r="H137" s="7" t="s">
        <v>9666</v>
      </c>
      <c r="I137" s="7" t="s">
        <v>9540</v>
      </c>
      <c r="J137" s="7" t="s">
        <v>9541</v>
      </c>
      <c r="K137" s="7" t="str">
        <f t="shared" si="8"/>
        <v>25.360524,49.584142</v>
      </c>
      <c r="L137" s="7" t="s">
        <v>7246</v>
      </c>
      <c r="M137" s="49" t="s">
        <v>7247</v>
      </c>
      <c r="N137" s="7"/>
      <c r="O137" s="7"/>
      <c r="P137" s="29"/>
      <c r="Q137" s="10"/>
      <c r="R137" s="10"/>
      <c r="S137" s="35"/>
      <c r="T137" s="29"/>
      <c r="U137" s="10"/>
      <c r="V137" s="10"/>
      <c r="W137" s="10"/>
      <c r="X137" s="10"/>
      <c r="Y137" s="10"/>
      <c r="Z137" s="10"/>
      <c r="AA137" s="10"/>
      <c r="AB137" s="35"/>
      <c r="AC137" s="29"/>
      <c r="AD137" s="8"/>
      <c r="AE137" s="26"/>
      <c r="AF137" s="24">
        <f t="shared" si="9"/>
        <v>0</v>
      </c>
      <c r="AG137" s="24">
        <f t="shared" si="10"/>
        <v>0</v>
      </c>
      <c r="AH137" s="24">
        <f t="shared" si="11"/>
        <v>0</v>
      </c>
      <c r="AI137" s="41" t="str" cm="1">
        <f t="array" ref="AI137">_xlfn.IFS(
SUM(AF137:AH137)=0,"Not Started",
SUM(AF137:AH137)&lt;15,"In Progress",
SUM(AF137:AH137)=15,"Completed",
SUM(AF137:AH137)&gt;15,"Error"
)</f>
        <v>Not Started</v>
      </c>
    </row>
    <row r="138" spans="1:35" ht="13" x14ac:dyDescent="0.25">
      <c r="A138" s="7"/>
      <c r="B138" s="7" t="s">
        <v>2195</v>
      </c>
      <c r="C138" s="7" t="s">
        <v>6826</v>
      </c>
      <c r="D138" s="7" t="s">
        <v>7025</v>
      </c>
      <c r="E138" s="7" t="s">
        <v>51</v>
      </c>
      <c r="F138" s="7" t="s">
        <v>44</v>
      </c>
      <c r="G138" s="7" t="s">
        <v>9666</v>
      </c>
      <c r="H138" s="7" t="s">
        <v>9666</v>
      </c>
      <c r="I138" s="7" t="s">
        <v>9542</v>
      </c>
      <c r="J138" s="7" t="s">
        <v>9543</v>
      </c>
      <c r="K138" s="7" t="str">
        <f t="shared" si="8"/>
        <v>25.336824,49568915</v>
      </c>
      <c r="L138" s="7" t="s">
        <v>7248</v>
      </c>
      <c r="M138" s="49" t="s">
        <v>7249</v>
      </c>
      <c r="N138" s="7"/>
      <c r="O138" s="7"/>
      <c r="P138" s="29"/>
      <c r="Q138" s="10"/>
      <c r="R138" s="10"/>
      <c r="S138" s="35"/>
      <c r="T138" s="29"/>
      <c r="U138" s="10"/>
      <c r="V138" s="10"/>
      <c r="W138" s="10"/>
      <c r="X138" s="10"/>
      <c r="Y138" s="10"/>
      <c r="Z138" s="10"/>
      <c r="AA138" s="10"/>
      <c r="AB138" s="35"/>
      <c r="AC138" s="37"/>
      <c r="AD138" s="8"/>
      <c r="AE138" s="26"/>
      <c r="AF138" s="24">
        <f t="shared" si="9"/>
        <v>0</v>
      </c>
      <c r="AG138" s="24">
        <f t="shared" si="10"/>
        <v>0</v>
      </c>
      <c r="AH138" s="24">
        <f t="shared" si="11"/>
        <v>0</v>
      </c>
      <c r="AI138" s="41" t="str" cm="1">
        <f t="array" ref="AI138">_xlfn.IFS(
SUM(AF138:AH138)=0,"Not Started",
SUM(AF138:AH138)&lt;15,"In Progress",
SUM(AF138:AH138)=15,"Completed",
SUM(AF138:AH138)&gt;15,"Error"
)</f>
        <v>Not Started</v>
      </c>
    </row>
    <row r="139" spans="1:35" ht="13" x14ac:dyDescent="0.25">
      <c r="A139" s="7"/>
      <c r="B139" s="7" t="s">
        <v>2196</v>
      </c>
      <c r="C139" s="7" t="s">
        <v>6827</v>
      </c>
      <c r="D139" s="7" t="s">
        <v>7026</v>
      </c>
      <c r="E139" s="7" t="s">
        <v>51</v>
      </c>
      <c r="F139" s="7" t="s">
        <v>44</v>
      </c>
      <c r="G139" s="7" t="s">
        <v>9666</v>
      </c>
      <c r="H139" s="7" t="s">
        <v>9666</v>
      </c>
      <c r="I139" s="7" t="s">
        <v>9536</v>
      </c>
      <c r="J139" s="7" t="s">
        <v>9537</v>
      </c>
      <c r="K139" s="7" t="str">
        <f t="shared" si="8"/>
        <v>25.365464,49.570944</v>
      </c>
      <c r="L139" s="7" t="s">
        <v>7250</v>
      </c>
      <c r="M139" s="49" t="s">
        <v>7251</v>
      </c>
      <c r="N139" s="7"/>
      <c r="O139" s="7"/>
      <c r="P139" s="29"/>
      <c r="Q139" s="10"/>
      <c r="R139" s="10"/>
      <c r="S139" s="35"/>
      <c r="T139" s="29"/>
      <c r="U139" s="10"/>
      <c r="V139" s="10"/>
      <c r="W139" s="10"/>
      <c r="X139" s="10"/>
      <c r="Y139" s="10"/>
      <c r="Z139" s="10"/>
      <c r="AA139" s="10"/>
      <c r="AB139" s="35"/>
      <c r="AC139" s="37"/>
      <c r="AD139" s="8"/>
      <c r="AE139" s="26"/>
      <c r="AF139" s="24">
        <f t="shared" si="9"/>
        <v>0</v>
      </c>
      <c r="AG139" s="24">
        <f t="shared" si="10"/>
        <v>0</v>
      </c>
      <c r="AH139" s="24">
        <f t="shared" si="11"/>
        <v>0</v>
      </c>
      <c r="AI139" s="41" t="str" cm="1">
        <f t="array" ref="AI139">_xlfn.IFS(
SUM(AF139:AH139)=0,"Not Started",
SUM(AF139:AH139)&lt;15,"In Progress",
SUM(AF139:AH139)=15,"Completed",
SUM(AF139:AH139)&gt;15,"Error"
)</f>
        <v>Not Started</v>
      </c>
    </row>
    <row r="140" spans="1:35" ht="13" x14ac:dyDescent="0.25">
      <c r="A140" s="7"/>
      <c r="B140" s="7" t="s">
        <v>2197</v>
      </c>
      <c r="C140" s="7" t="s">
        <v>6828</v>
      </c>
      <c r="D140" s="7" t="s">
        <v>7027</v>
      </c>
      <c r="E140" s="7" t="s">
        <v>47</v>
      </c>
      <c r="F140" s="7" t="s">
        <v>44</v>
      </c>
      <c r="G140" s="7" t="s">
        <v>9666</v>
      </c>
      <c r="H140" s="7" t="s">
        <v>9666</v>
      </c>
      <c r="I140" s="7" t="s">
        <v>9544</v>
      </c>
      <c r="J140" s="7" t="s">
        <v>9545</v>
      </c>
      <c r="K140" s="7" t="str">
        <f t="shared" si="8"/>
        <v>25.35318,49.563207</v>
      </c>
      <c r="L140" s="7" t="s">
        <v>7252</v>
      </c>
      <c r="M140" s="49" t="s">
        <v>7253</v>
      </c>
      <c r="N140" s="7"/>
      <c r="O140" s="7"/>
      <c r="P140" s="29"/>
      <c r="Q140" s="10"/>
      <c r="R140" s="10"/>
      <c r="S140" s="35"/>
      <c r="T140" s="29"/>
      <c r="U140" s="10"/>
      <c r="V140" s="10"/>
      <c r="W140" s="10"/>
      <c r="X140" s="10"/>
      <c r="Y140" s="10"/>
      <c r="Z140" s="10"/>
      <c r="AA140" s="10"/>
      <c r="AB140" s="35"/>
      <c r="AC140" s="29"/>
      <c r="AD140" s="8"/>
      <c r="AE140" s="26"/>
      <c r="AF140" s="24">
        <f t="shared" si="9"/>
        <v>0</v>
      </c>
      <c r="AG140" s="24">
        <f t="shared" si="10"/>
        <v>0</v>
      </c>
      <c r="AH140" s="24">
        <f t="shared" si="11"/>
        <v>0</v>
      </c>
      <c r="AI140" s="41" t="str" cm="1">
        <f t="array" ref="AI140">_xlfn.IFS(
SUM(AF140:AH140)=0,"Not Started",
SUM(AF140:AH140)&lt;15,"In Progress",
SUM(AF140:AH140)=15,"Completed",
SUM(AF140:AH140)&gt;15,"Error"
)</f>
        <v>Not Started</v>
      </c>
    </row>
    <row r="141" spans="1:35" ht="13" x14ac:dyDescent="0.25">
      <c r="A141" s="7"/>
      <c r="B141" s="7" t="s">
        <v>2198</v>
      </c>
      <c r="C141" s="7" t="s">
        <v>6829</v>
      </c>
      <c r="D141" s="7" t="s">
        <v>7028</v>
      </c>
      <c r="E141" s="7" t="s">
        <v>51</v>
      </c>
      <c r="F141" s="7" t="s">
        <v>44</v>
      </c>
      <c r="G141" s="7" t="s">
        <v>9666</v>
      </c>
      <c r="H141" s="7" t="s">
        <v>9666</v>
      </c>
      <c r="I141" s="7" t="s">
        <v>9546</v>
      </c>
      <c r="J141" s="7" t="s">
        <v>9547</v>
      </c>
      <c r="K141" s="7" t="str">
        <f t="shared" si="8"/>
        <v>25.3583368,49.5980465</v>
      </c>
      <c r="L141" s="7" t="s">
        <v>7254</v>
      </c>
      <c r="M141" s="49" t="s">
        <v>7255</v>
      </c>
      <c r="N141" s="7"/>
      <c r="O141" s="7"/>
      <c r="P141" s="29"/>
      <c r="Q141" s="10"/>
      <c r="R141" s="10"/>
      <c r="S141" s="35"/>
      <c r="T141" s="29"/>
      <c r="U141" s="10"/>
      <c r="V141" s="10"/>
      <c r="W141" s="10"/>
      <c r="X141" s="10"/>
      <c r="Y141" s="10"/>
      <c r="Z141" s="10"/>
      <c r="AA141" s="10"/>
      <c r="AB141" s="35"/>
      <c r="AC141" s="37"/>
      <c r="AD141" s="8"/>
      <c r="AE141" s="26"/>
      <c r="AF141" s="24">
        <f t="shared" si="9"/>
        <v>0</v>
      </c>
      <c r="AG141" s="24">
        <f t="shared" si="10"/>
        <v>0</v>
      </c>
      <c r="AH141" s="24">
        <f t="shared" si="11"/>
        <v>0</v>
      </c>
      <c r="AI141" s="41" t="str" cm="1">
        <f t="array" ref="AI141">_xlfn.IFS(
SUM(AF141:AH141)=0,"Not Started",
SUM(AF141:AH141)&lt;15,"In Progress",
SUM(AF141:AH141)=15,"Completed",
SUM(AF141:AH141)&gt;15,"Error"
)</f>
        <v>Not Started</v>
      </c>
    </row>
    <row r="142" spans="1:35" ht="13" x14ac:dyDescent="0.25">
      <c r="A142" s="7"/>
      <c r="B142" s="7" t="s">
        <v>2199</v>
      </c>
      <c r="C142" s="7" t="s">
        <v>6830</v>
      </c>
      <c r="D142" s="7" t="s">
        <v>7029</v>
      </c>
      <c r="E142" s="7" t="s">
        <v>47</v>
      </c>
      <c r="F142" s="7" t="s">
        <v>44</v>
      </c>
      <c r="G142" s="7" t="s">
        <v>9666</v>
      </c>
      <c r="H142" s="7" t="s">
        <v>9666</v>
      </c>
      <c r="I142" s="7" t="s">
        <v>9548</v>
      </c>
      <c r="J142" s="7" t="s">
        <v>9549</v>
      </c>
      <c r="K142" s="7" t="str">
        <f t="shared" si="8"/>
        <v>25.3585113,49.6340418</v>
      </c>
      <c r="L142" s="7" t="s">
        <v>7256</v>
      </c>
      <c r="M142" s="49" t="s">
        <v>7257</v>
      </c>
      <c r="N142" s="7"/>
      <c r="O142" s="7"/>
      <c r="P142" s="29"/>
      <c r="Q142" s="10"/>
      <c r="R142" s="10"/>
      <c r="S142" s="35"/>
      <c r="T142" s="29"/>
      <c r="U142" s="10"/>
      <c r="V142" s="10"/>
      <c r="W142" s="10"/>
      <c r="X142" s="10"/>
      <c r="Y142" s="10"/>
      <c r="Z142" s="10"/>
      <c r="AA142" s="10"/>
      <c r="AB142" s="35"/>
      <c r="AC142" s="29"/>
      <c r="AD142" s="8"/>
      <c r="AE142" s="26"/>
      <c r="AF142" s="24">
        <f t="shared" si="9"/>
        <v>0</v>
      </c>
      <c r="AG142" s="24">
        <f t="shared" si="10"/>
        <v>0</v>
      </c>
      <c r="AH142" s="24">
        <f t="shared" si="11"/>
        <v>0</v>
      </c>
      <c r="AI142" s="41" t="str" cm="1">
        <f t="array" ref="AI142">_xlfn.IFS(
SUM(AF142:AH142)=0,"Not Started",
SUM(AF142:AH142)&lt;15,"In Progress",
SUM(AF142:AH142)=15,"Completed",
SUM(AF142:AH142)&gt;15,"Error"
)</f>
        <v>Not Started</v>
      </c>
    </row>
    <row r="143" spans="1:35" ht="13" x14ac:dyDescent="0.25">
      <c r="A143" s="7"/>
      <c r="B143" s="7" t="s">
        <v>2200</v>
      </c>
      <c r="C143" s="7" t="s">
        <v>6831</v>
      </c>
      <c r="D143" s="7" t="s">
        <v>7030</v>
      </c>
      <c r="E143" s="7" t="s">
        <v>47</v>
      </c>
      <c r="F143" s="7" t="s">
        <v>44</v>
      </c>
      <c r="G143" s="7" t="s">
        <v>9666</v>
      </c>
      <c r="H143" s="7" t="s">
        <v>9666</v>
      </c>
      <c r="I143" s="7" t="s">
        <v>9550</v>
      </c>
      <c r="J143" s="7" t="s">
        <v>9551</v>
      </c>
      <c r="K143" s="7" t="str">
        <f t="shared" si="8"/>
        <v>25.3706998,49.5921081</v>
      </c>
      <c r="L143" s="7" t="s">
        <v>7258</v>
      </c>
      <c r="M143" s="49" t="s">
        <v>7259</v>
      </c>
      <c r="N143" s="7"/>
      <c r="O143" s="7"/>
      <c r="P143" s="29"/>
      <c r="Q143" s="10"/>
      <c r="R143" s="10"/>
      <c r="S143" s="35"/>
      <c r="T143" s="29"/>
      <c r="U143" s="10"/>
      <c r="V143" s="10"/>
      <c r="W143" s="10"/>
      <c r="X143" s="10"/>
      <c r="Y143" s="10"/>
      <c r="Z143" s="10"/>
      <c r="AA143" s="10"/>
      <c r="AB143" s="35"/>
      <c r="AC143" s="37"/>
      <c r="AD143" s="8"/>
      <c r="AE143" s="26"/>
      <c r="AF143" s="24">
        <f t="shared" si="9"/>
        <v>0</v>
      </c>
      <c r="AG143" s="24">
        <f t="shared" si="10"/>
        <v>0</v>
      </c>
      <c r="AH143" s="24">
        <f t="shared" si="11"/>
        <v>0</v>
      </c>
      <c r="AI143" s="41" t="str" cm="1">
        <f t="array" ref="AI143">_xlfn.IFS(
SUM(AF143:AH143)=0,"Not Started",
SUM(AF143:AH143)&lt;15,"In Progress",
SUM(AF143:AH143)=15,"Completed",
SUM(AF143:AH143)&gt;15,"Error"
)</f>
        <v>Not Started</v>
      </c>
    </row>
    <row r="144" spans="1:35" ht="13" x14ac:dyDescent="0.25">
      <c r="A144" s="7"/>
      <c r="B144" s="7" t="s">
        <v>2201</v>
      </c>
      <c r="C144" s="7" t="s">
        <v>6832</v>
      </c>
      <c r="D144" s="7" t="s">
        <v>7031</v>
      </c>
      <c r="E144" s="7" t="s">
        <v>43</v>
      </c>
      <c r="F144" s="7" t="s">
        <v>44</v>
      </c>
      <c r="G144" s="7" t="s">
        <v>9666</v>
      </c>
      <c r="H144" s="7" t="s">
        <v>9666</v>
      </c>
      <c r="I144" s="7" t="s">
        <v>9552</v>
      </c>
      <c r="J144" s="7" t="s">
        <v>9553</v>
      </c>
      <c r="K144" s="7" t="str">
        <f t="shared" si="8"/>
        <v>25.352339,49.601925</v>
      </c>
      <c r="L144" s="7" t="s">
        <v>7260</v>
      </c>
      <c r="M144" s="49" t="s">
        <v>7261</v>
      </c>
      <c r="N144" s="7"/>
      <c r="O144" s="7"/>
      <c r="P144" s="29"/>
      <c r="Q144" s="10"/>
      <c r="R144" s="10"/>
      <c r="S144" s="35"/>
      <c r="T144" s="29"/>
      <c r="U144" s="10"/>
      <c r="V144" s="10"/>
      <c r="W144" s="10"/>
      <c r="X144" s="10"/>
      <c r="Y144" s="10"/>
      <c r="Z144" s="10"/>
      <c r="AA144" s="10"/>
      <c r="AB144" s="35"/>
      <c r="AC144" s="29"/>
      <c r="AD144" s="8"/>
      <c r="AE144" s="26"/>
      <c r="AF144" s="24">
        <f t="shared" si="9"/>
        <v>0</v>
      </c>
      <c r="AG144" s="24">
        <f t="shared" si="10"/>
        <v>0</v>
      </c>
      <c r="AH144" s="24">
        <f t="shared" si="11"/>
        <v>0</v>
      </c>
      <c r="AI144" s="41" t="str" cm="1">
        <f t="array" ref="AI144">_xlfn.IFS(
SUM(AF144:AH144)=0,"Not Started",
SUM(AF144:AH144)&lt;15,"In Progress",
SUM(AF144:AH144)=15,"Completed",
SUM(AF144:AH144)&gt;15,"Error"
)</f>
        <v>Not Started</v>
      </c>
    </row>
    <row r="145" spans="1:35" ht="13" x14ac:dyDescent="0.25">
      <c r="A145" s="7"/>
      <c r="B145" s="7" t="s">
        <v>2202</v>
      </c>
      <c r="C145" s="7" t="s">
        <v>6833</v>
      </c>
      <c r="D145" s="7" t="s">
        <v>7032</v>
      </c>
      <c r="E145" s="7"/>
      <c r="F145" s="7" t="s">
        <v>44</v>
      </c>
      <c r="G145" s="7" t="s">
        <v>9666</v>
      </c>
      <c r="H145" s="7" t="s">
        <v>9666</v>
      </c>
      <c r="I145" s="7" t="s">
        <v>9554</v>
      </c>
      <c r="J145" s="7" t="s">
        <v>9555</v>
      </c>
      <c r="K145" s="7" t="str">
        <f t="shared" si="8"/>
        <v>25.3337088,49.5860195</v>
      </c>
      <c r="L145" s="7" t="s">
        <v>7262</v>
      </c>
      <c r="M145" s="49" t="s">
        <v>7263</v>
      </c>
      <c r="N145" s="7"/>
      <c r="O145" s="7"/>
      <c r="P145" s="29"/>
      <c r="Q145" s="10"/>
      <c r="R145" s="10"/>
      <c r="S145" s="35"/>
      <c r="T145" s="29"/>
      <c r="U145" s="10"/>
      <c r="V145" s="10"/>
      <c r="W145" s="10"/>
      <c r="X145" s="10"/>
      <c r="Y145" s="10"/>
      <c r="Z145" s="10"/>
      <c r="AA145" s="10"/>
      <c r="AB145" s="35"/>
      <c r="AC145" s="37"/>
      <c r="AD145" s="8"/>
      <c r="AE145" s="26"/>
      <c r="AF145" s="24">
        <f t="shared" si="9"/>
        <v>0</v>
      </c>
      <c r="AG145" s="24">
        <f t="shared" si="10"/>
        <v>0</v>
      </c>
      <c r="AH145" s="24">
        <f t="shared" si="11"/>
        <v>0</v>
      </c>
      <c r="AI145" s="41" t="str" cm="1">
        <f t="array" ref="AI145">_xlfn.IFS(
SUM(AF145:AH145)=0,"Not Started",
SUM(AF145:AH145)&lt;15,"In Progress",
SUM(AF145:AH145)=15,"Completed",
SUM(AF145:AH145)&gt;15,"Error"
)</f>
        <v>Not Started</v>
      </c>
    </row>
    <row r="146" spans="1:35" ht="13" x14ac:dyDescent="0.25">
      <c r="A146" s="7"/>
      <c r="B146" s="7" t="s">
        <v>2203</v>
      </c>
      <c r="C146" s="7" t="s">
        <v>6834</v>
      </c>
      <c r="D146" s="7" t="s">
        <v>7033</v>
      </c>
      <c r="E146" s="7" t="s">
        <v>43</v>
      </c>
      <c r="F146" s="7" t="s">
        <v>44</v>
      </c>
      <c r="G146" s="7" t="s">
        <v>9666</v>
      </c>
      <c r="H146" s="7" t="s">
        <v>9666</v>
      </c>
      <c r="I146" s="7" t="s">
        <v>9556</v>
      </c>
      <c r="J146" s="7" t="s">
        <v>9557</v>
      </c>
      <c r="K146" s="7" t="str">
        <f t="shared" si="8"/>
        <v>25.3645657,49.574883</v>
      </c>
      <c r="L146" s="7" t="s">
        <v>7264</v>
      </c>
      <c r="M146" s="49" t="s">
        <v>7265</v>
      </c>
      <c r="N146" s="7"/>
      <c r="O146" s="7"/>
      <c r="P146" s="29"/>
      <c r="Q146" s="10"/>
      <c r="R146" s="10"/>
      <c r="S146" s="35"/>
      <c r="T146" s="29"/>
      <c r="U146" s="10"/>
      <c r="V146" s="10"/>
      <c r="W146" s="10"/>
      <c r="X146" s="10"/>
      <c r="Y146" s="10"/>
      <c r="Z146" s="10"/>
      <c r="AA146" s="10"/>
      <c r="AB146" s="35"/>
      <c r="AC146" s="37"/>
      <c r="AD146" s="8"/>
      <c r="AE146" s="26"/>
      <c r="AF146" s="24">
        <f t="shared" si="9"/>
        <v>0</v>
      </c>
      <c r="AG146" s="24">
        <f t="shared" si="10"/>
        <v>0</v>
      </c>
      <c r="AH146" s="24">
        <f t="shared" si="11"/>
        <v>0</v>
      </c>
      <c r="AI146" s="41" t="str" cm="1">
        <f t="array" ref="AI146">_xlfn.IFS(
SUM(AF146:AH146)=0,"Not Started",
SUM(AF146:AH146)&lt;15,"In Progress",
SUM(AF146:AH146)=15,"Completed",
SUM(AF146:AH146)&gt;15,"Error"
)</f>
        <v>Not Started</v>
      </c>
    </row>
    <row r="147" spans="1:35" ht="13" x14ac:dyDescent="0.25">
      <c r="A147" s="7"/>
      <c r="B147" s="7" t="s">
        <v>2204</v>
      </c>
      <c r="C147" s="7" t="s">
        <v>6835</v>
      </c>
      <c r="D147" s="7" t="s">
        <v>7034</v>
      </c>
      <c r="E147" s="7" t="s">
        <v>47</v>
      </c>
      <c r="F147" s="7" t="s">
        <v>44</v>
      </c>
      <c r="G147" s="7" t="s">
        <v>9666</v>
      </c>
      <c r="H147" s="7" t="s">
        <v>9666</v>
      </c>
      <c r="I147" s="7" t="s">
        <v>9558</v>
      </c>
      <c r="J147" s="7" t="s">
        <v>9559</v>
      </c>
      <c r="K147" s="7" t="str">
        <f t="shared" si="8"/>
        <v>25.3595002,49.6034646</v>
      </c>
      <c r="L147" s="7" t="s">
        <v>7266</v>
      </c>
      <c r="M147" s="49" t="s">
        <v>7267</v>
      </c>
      <c r="N147" s="7"/>
      <c r="O147" s="7"/>
      <c r="P147" s="29"/>
      <c r="Q147" s="10"/>
      <c r="R147" s="10"/>
      <c r="S147" s="35"/>
      <c r="T147" s="29"/>
      <c r="U147" s="10"/>
      <c r="V147" s="10"/>
      <c r="W147" s="10"/>
      <c r="X147" s="10"/>
      <c r="Y147" s="10"/>
      <c r="Z147" s="10"/>
      <c r="AA147" s="10"/>
      <c r="AB147" s="35"/>
      <c r="AC147" s="29"/>
      <c r="AD147" s="8"/>
      <c r="AE147" s="26"/>
      <c r="AF147" s="24">
        <f t="shared" si="9"/>
        <v>0</v>
      </c>
      <c r="AG147" s="24">
        <f t="shared" si="10"/>
        <v>0</v>
      </c>
      <c r="AH147" s="24">
        <f t="shared" si="11"/>
        <v>0</v>
      </c>
      <c r="AI147" s="41" t="str" cm="1">
        <f t="array" ref="AI147">_xlfn.IFS(
SUM(AF147:AH147)=0,"Not Started",
SUM(AF147:AH147)&lt;15,"In Progress",
SUM(AF147:AH147)=15,"Completed",
SUM(AF147:AH147)&gt;15,"Error"
)</f>
        <v>Not Started</v>
      </c>
    </row>
    <row r="148" spans="1:35" ht="13" x14ac:dyDescent="0.25">
      <c r="A148" s="7"/>
      <c r="B148" s="7" t="s">
        <v>2205</v>
      </c>
      <c r="C148" s="7" t="s">
        <v>6836</v>
      </c>
      <c r="D148" s="7" t="s">
        <v>7035</v>
      </c>
      <c r="E148" s="7" t="s">
        <v>47</v>
      </c>
      <c r="F148" s="7" t="s">
        <v>44</v>
      </c>
      <c r="G148" s="7" t="s">
        <v>9666</v>
      </c>
      <c r="H148" s="7" t="s">
        <v>9666</v>
      </c>
      <c r="I148" s="7" t="s">
        <v>9560</v>
      </c>
      <c r="J148" s="7" t="s">
        <v>9561</v>
      </c>
      <c r="K148" s="7" t="str">
        <f t="shared" si="8"/>
        <v>25.3287147,49.6172941</v>
      </c>
      <c r="L148" s="7" t="s">
        <v>7268</v>
      </c>
      <c r="M148" s="49" t="s">
        <v>7269</v>
      </c>
      <c r="N148" s="7"/>
      <c r="O148" s="7"/>
      <c r="P148" s="29"/>
      <c r="Q148" s="10"/>
      <c r="R148" s="10"/>
      <c r="S148" s="35"/>
      <c r="T148" s="29"/>
      <c r="U148" s="10"/>
      <c r="V148" s="10"/>
      <c r="W148" s="10"/>
      <c r="X148" s="10"/>
      <c r="Y148" s="10"/>
      <c r="Z148" s="10"/>
      <c r="AA148" s="10"/>
      <c r="AB148" s="35"/>
      <c r="AC148" s="29"/>
      <c r="AD148" s="8"/>
      <c r="AE148" s="26"/>
      <c r="AF148" s="24">
        <f t="shared" si="9"/>
        <v>0</v>
      </c>
      <c r="AG148" s="24">
        <f t="shared" si="10"/>
        <v>0</v>
      </c>
      <c r="AH148" s="24">
        <f t="shared" si="11"/>
        <v>0</v>
      </c>
      <c r="AI148" s="41" t="str" cm="1">
        <f t="array" ref="AI148">_xlfn.IFS(
SUM(AF148:AH148)=0,"Not Started",
SUM(AF148:AH148)&lt;15,"In Progress",
SUM(AF148:AH148)=15,"Completed",
SUM(AF148:AH148)&gt;15,"Error"
)</f>
        <v>Not Started</v>
      </c>
    </row>
    <row r="149" spans="1:35" ht="13" x14ac:dyDescent="0.25">
      <c r="A149" s="7"/>
      <c r="B149" s="7" t="s">
        <v>2206</v>
      </c>
      <c r="C149" s="7" t="s">
        <v>6837</v>
      </c>
      <c r="D149" s="7" t="s">
        <v>7036</v>
      </c>
      <c r="E149" s="7" t="s">
        <v>47</v>
      </c>
      <c r="F149" s="7" t="s">
        <v>44</v>
      </c>
      <c r="G149" s="7" t="s">
        <v>9666</v>
      </c>
      <c r="H149" s="7" t="s">
        <v>9666</v>
      </c>
      <c r="I149" s="7" t="s">
        <v>9562</v>
      </c>
      <c r="J149" s="7" t="s">
        <v>9563</v>
      </c>
      <c r="K149" s="7" t="str">
        <f t="shared" si="8"/>
        <v>25.334549,49.577389</v>
      </c>
      <c r="L149" s="7" t="s">
        <v>7270</v>
      </c>
      <c r="M149" s="49" t="s">
        <v>7271</v>
      </c>
      <c r="N149" s="7"/>
      <c r="O149" s="7"/>
      <c r="P149" s="29"/>
      <c r="Q149" s="10"/>
      <c r="R149" s="10"/>
      <c r="S149" s="35"/>
      <c r="T149" s="29"/>
      <c r="U149" s="10"/>
      <c r="V149" s="10"/>
      <c r="W149" s="10"/>
      <c r="X149" s="10"/>
      <c r="Y149" s="10"/>
      <c r="Z149" s="10"/>
      <c r="AA149" s="10"/>
      <c r="AB149" s="35"/>
      <c r="AC149" s="37"/>
      <c r="AD149" s="8"/>
      <c r="AE149" s="26"/>
      <c r="AF149" s="24">
        <f t="shared" si="9"/>
        <v>0</v>
      </c>
      <c r="AG149" s="24">
        <f t="shared" si="10"/>
        <v>0</v>
      </c>
      <c r="AH149" s="24">
        <f t="shared" si="11"/>
        <v>0</v>
      </c>
      <c r="AI149" s="41" t="str" cm="1">
        <f t="array" ref="AI149">_xlfn.IFS(
SUM(AF149:AH149)=0,"Not Started",
SUM(AF149:AH149)&lt;15,"In Progress",
SUM(AF149:AH149)=15,"Completed",
SUM(AF149:AH149)&gt;15,"Error"
)</f>
        <v>Not Started</v>
      </c>
    </row>
    <row r="150" spans="1:35" ht="13" x14ac:dyDescent="0.25">
      <c r="A150" s="7"/>
      <c r="B150" s="7" t="s">
        <v>2207</v>
      </c>
      <c r="C150" s="7" t="s">
        <v>6838</v>
      </c>
      <c r="D150" s="7" t="s">
        <v>7037</v>
      </c>
      <c r="E150" s="7" t="s">
        <v>43</v>
      </c>
      <c r="F150" s="7" t="s">
        <v>48</v>
      </c>
      <c r="G150" s="7" t="s">
        <v>9666</v>
      </c>
      <c r="H150" s="7" t="s">
        <v>9666</v>
      </c>
      <c r="I150" s="7" t="s">
        <v>9564</v>
      </c>
      <c r="J150" s="7" t="s">
        <v>9565</v>
      </c>
      <c r="K150" s="7" t="str">
        <f t="shared" si="8"/>
        <v>25.3337666,49.6081876</v>
      </c>
      <c r="L150" s="7" t="s">
        <v>7272</v>
      </c>
      <c r="M150" s="49" t="s">
        <v>7273</v>
      </c>
      <c r="N150" s="7"/>
      <c r="O150" s="7"/>
      <c r="P150" s="29"/>
      <c r="Q150" s="10"/>
      <c r="R150" s="10"/>
      <c r="S150" s="35"/>
      <c r="T150" s="29"/>
      <c r="U150" s="10"/>
      <c r="V150" s="10"/>
      <c r="W150" s="10"/>
      <c r="X150" s="10"/>
      <c r="Y150" s="10"/>
      <c r="Z150" s="10"/>
      <c r="AA150" s="10"/>
      <c r="AB150" s="35"/>
      <c r="AC150" s="37"/>
      <c r="AD150" s="8"/>
      <c r="AE150" s="26"/>
      <c r="AF150" s="24">
        <f t="shared" si="9"/>
        <v>0</v>
      </c>
      <c r="AG150" s="24">
        <f t="shared" si="10"/>
        <v>0</v>
      </c>
      <c r="AH150" s="24">
        <f t="shared" si="11"/>
        <v>0</v>
      </c>
      <c r="AI150" s="41" t="str" cm="1">
        <f t="array" ref="AI150">_xlfn.IFS(
SUM(AF150:AH150)=0,"Not Started",
SUM(AF150:AH150)&lt;15,"In Progress",
SUM(AF150:AH150)=15,"Completed",
SUM(AF150:AH150)&gt;15,"Error"
)</f>
        <v>Not Started</v>
      </c>
    </row>
    <row r="151" spans="1:35" ht="13" x14ac:dyDescent="0.25">
      <c r="A151" s="7"/>
      <c r="B151" s="7" t="s">
        <v>2208</v>
      </c>
      <c r="C151" s="7" t="s">
        <v>6839</v>
      </c>
      <c r="D151" s="7" t="s">
        <v>7038</v>
      </c>
      <c r="E151" s="7" t="s">
        <v>43</v>
      </c>
      <c r="F151" s="7" t="s">
        <v>44</v>
      </c>
      <c r="G151" s="7" t="s">
        <v>9666</v>
      </c>
      <c r="H151" s="7" t="s">
        <v>9666</v>
      </c>
      <c r="I151" s="7" t="s">
        <v>9566</v>
      </c>
      <c r="J151" s="7" t="s">
        <v>9567</v>
      </c>
      <c r="K151" s="7" t="str">
        <f t="shared" si="8"/>
        <v>25.3468185,49.596405</v>
      </c>
      <c r="L151" s="7" t="s">
        <v>7274</v>
      </c>
      <c r="M151" s="49" t="s">
        <v>7275</v>
      </c>
      <c r="N151" s="7"/>
      <c r="O151" s="7"/>
      <c r="P151" s="29"/>
      <c r="Q151" s="10"/>
      <c r="R151" s="10"/>
      <c r="S151" s="35"/>
      <c r="T151" s="29"/>
      <c r="U151" s="10"/>
      <c r="V151" s="10"/>
      <c r="W151" s="10"/>
      <c r="X151" s="10"/>
      <c r="Y151" s="10"/>
      <c r="Z151" s="10"/>
      <c r="AA151" s="10"/>
      <c r="AB151" s="35"/>
      <c r="AC151" s="29"/>
      <c r="AD151" s="8"/>
      <c r="AE151" s="26"/>
      <c r="AF151" s="24">
        <f t="shared" si="9"/>
        <v>0</v>
      </c>
      <c r="AG151" s="24">
        <f t="shared" si="10"/>
        <v>0</v>
      </c>
      <c r="AH151" s="24">
        <f t="shared" si="11"/>
        <v>0</v>
      </c>
      <c r="AI151" s="41" t="str" cm="1">
        <f t="array" ref="AI151">_xlfn.IFS(
SUM(AF151:AH151)=0,"Not Started",
SUM(AF151:AH151)&lt;15,"In Progress",
SUM(AF151:AH151)=15,"Completed",
SUM(AF151:AH151)&gt;15,"Error"
)</f>
        <v>Not Started</v>
      </c>
    </row>
    <row r="152" spans="1:35" ht="13" x14ac:dyDescent="0.25">
      <c r="A152" s="7"/>
      <c r="B152" s="7" t="s">
        <v>2209</v>
      </c>
      <c r="C152" s="7" t="s">
        <v>6840</v>
      </c>
      <c r="D152" s="7" t="s">
        <v>7039</v>
      </c>
      <c r="E152" s="7" t="s">
        <v>47</v>
      </c>
      <c r="F152" s="7" t="s">
        <v>44</v>
      </c>
      <c r="G152" s="7" t="s">
        <v>9666</v>
      </c>
      <c r="H152" s="7" t="s">
        <v>9666</v>
      </c>
      <c r="I152" s="7" t="s">
        <v>9568</v>
      </c>
      <c r="J152" s="7" t="s">
        <v>9569</v>
      </c>
      <c r="K152" s="7" t="str">
        <f t="shared" si="8"/>
        <v>25.3592433,49.6307695</v>
      </c>
      <c r="L152" s="7" t="s">
        <v>7276</v>
      </c>
      <c r="M152" s="49" t="s">
        <v>7277</v>
      </c>
      <c r="N152" s="7"/>
      <c r="O152" s="7"/>
      <c r="P152" s="29"/>
      <c r="Q152" s="10"/>
      <c r="R152" s="10"/>
      <c r="S152" s="35"/>
      <c r="T152" s="29"/>
      <c r="U152" s="10"/>
      <c r="V152" s="10"/>
      <c r="W152" s="10"/>
      <c r="X152" s="10"/>
      <c r="Y152" s="10"/>
      <c r="Z152" s="10"/>
      <c r="AA152" s="10"/>
      <c r="AB152" s="35"/>
      <c r="AC152" s="37"/>
      <c r="AD152" s="8"/>
      <c r="AE152" s="26"/>
      <c r="AF152" s="24">
        <f t="shared" si="9"/>
        <v>0</v>
      </c>
      <c r="AG152" s="24">
        <f t="shared" si="10"/>
        <v>0</v>
      </c>
      <c r="AH152" s="24">
        <f t="shared" si="11"/>
        <v>0</v>
      </c>
      <c r="AI152" s="41" t="str" cm="1">
        <f t="array" ref="AI152">_xlfn.IFS(
SUM(AF152:AH152)=0,"Not Started",
SUM(AF152:AH152)&lt;15,"In Progress",
SUM(AF152:AH152)=15,"Completed",
SUM(AF152:AH152)&gt;15,"Error"
)</f>
        <v>Not Started</v>
      </c>
    </row>
    <row r="153" spans="1:35" ht="13" x14ac:dyDescent="0.25">
      <c r="A153" s="7"/>
      <c r="B153" s="7" t="s">
        <v>2210</v>
      </c>
      <c r="C153" s="7" t="s">
        <v>6841</v>
      </c>
      <c r="D153" s="7" t="s">
        <v>7040</v>
      </c>
      <c r="E153" s="7" t="s">
        <v>51</v>
      </c>
      <c r="F153" s="7" t="s">
        <v>44</v>
      </c>
      <c r="G153" s="7" t="s">
        <v>9666</v>
      </c>
      <c r="H153" s="7" t="s">
        <v>9666</v>
      </c>
      <c r="I153" s="7" t="s">
        <v>9570</v>
      </c>
      <c r="J153" s="7" t="s">
        <v>9571</v>
      </c>
      <c r="K153" s="7" t="str">
        <f t="shared" si="8"/>
        <v>25.4530594,49.6403611</v>
      </c>
      <c r="L153" s="7" t="s">
        <v>7278</v>
      </c>
      <c r="M153" s="49" t="s">
        <v>7279</v>
      </c>
      <c r="N153" s="7"/>
      <c r="O153" s="7"/>
      <c r="P153" s="29"/>
      <c r="Q153" s="10"/>
      <c r="R153" s="10"/>
      <c r="S153" s="35"/>
      <c r="T153" s="29"/>
      <c r="U153" s="10"/>
      <c r="V153" s="10"/>
      <c r="W153" s="10"/>
      <c r="X153" s="10"/>
      <c r="Y153" s="10"/>
      <c r="Z153" s="10"/>
      <c r="AA153" s="10"/>
      <c r="AB153" s="35"/>
      <c r="AC153" s="29"/>
      <c r="AD153" s="8"/>
      <c r="AE153" s="26"/>
      <c r="AF153" s="24">
        <f t="shared" si="9"/>
        <v>0</v>
      </c>
      <c r="AG153" s="24">
        <f t="shared" si="10"/>
        <v>0</v>
      </c>
      <c r="AH153" s="24">
        <f t="shared" si="11"/>
        <v>0</v>
      </c>
      <c r="AI153" s="41" t="str" cm="1">
        <f t="array" ref="AI153">_xlfn.IFS(
SUM(AF153:AH153)=0,"Not Started",
SUM(AF153:AH153)&lt;15,"In Progress",
SUM(AF153:AH153)=15,"Completed",
SUM(AF153:AH153)&gt;15,"Error"
)</f>
        <v>Not Started</v>
      </c>
    </row>
    <row r="154" spans="1:35" ht="13" x14ac:dyDescent="0.25">
      <c r="A154" s="7"/>
      <c r="B154" s="7" t="s">
        <v>2211</v>
      </c>
      <c r="C154" s="7" t="s">
        <v>6842</v>
      </c>
      <c r="D154" s="7" t="s">
        <v>7041</v>
      </c>
      <c r="E154" s="7" t="s">
        <v>43</v>
      </c>
      <c r="F154" s="7" t="s">
        <v>44</v>
      </c>
      <c r="G154" s="7" t="s">
        <v>9666</v>
      </c>
      <c r="H154" s="7" t="s">
        <v>9666</v>
      </c>
      <c r="I154" s="7" t="s">
        <v>9570</v>
      </c>
      <c r="J154" s="7" t="s">
        <v>9571</v>
      </c>
      <c r="K154" s="7" t="str">
        <f t="shared" si="8"/>
        <v>25.4530594,49.6403611</v>
      </c>
      <c r="L154" s="7" t="s">
        <v>7280</v>
      </c>
      <c r="M154" s="49" t="s">
        <v>7281</v>
      </c>
      <c r="N154" s="7"/>
      <c r="O154" s="7"/>
      <c r="P154" s="29"/>
      <c r="Q154" s="10"/>
      <c r="R154" s="10"/>
      <c r="S154" s="35"/>
      <c r="T154" s="29"/>
      <c r="U154" s="10"/>
      <c r="V154" s="10"/>
      <c r="W154" s="10"/>
      <c r="X154" s="10"/>
      <c r="Y154" s="10"/>
      <c r="Z154" s="10"/>
      <c r="AA154" s="10"/>
      <c r="AB154" s="35"/>
      <c r="AC154" s="37"/>
      <c r="AD154" s="8"/>
      <c r="AE154" s="26"/>
      <c r="AF154" s="24">
        <f t="shared" si="9"/>
        <v>0</v>
      </c>
      <c r="AG154" s="24">
        <f t="shared" si="10"/>
        <v>0</v>
      </c>
      <c r="AH154" s="24">
        <f t="shared" si="11"/>
        <v>0</v>
      </c>
      <c r="AI154" s="41" t="str" cm="1">
        <f t="array" ref="AI154">_xlfn.IFS(
SUM(AF154:AH154)=0,"Not Started",
SUM(AF154:AH154)&lt;15,"In Progress",
SUM(AF154:AH154)=15,"Completed",
SUM(AF154:AH154)&gt;15,"Error"
)</f>
        <v>Not Started</v>
      </c>
    </row>
    <row r="155" spans="1:35" ht="13" x14ac:dyDescent="0.25">
      <c r="A155" s="7"/>
      <c r="B155" s="7" t="s">
        <v>2212</v>
      </c>
      <c r="C155" s="7" t="s">
        <v>6843</v>
      </c>
      <c r="D155" s="7" t="s">
        <v>7042</v>
      </c>
      <c r="E155" s="7" t="s">
        <v>51</v>
      </c>
      <c r="F155" s="7" t="s">
        <v>44</v>
      </c>
      <c r="G155" s="7" t="s">
        <v>9666</v>
      </c>
      <c r="H155" s="7" t="s">
        <v>9666</v>
      </c>
      <c r="I155" s="7" t="s">
        <v>9572</v>
      </c>
      <c r="J155" s="7" t="s">
        <v>9573</v>
      </c>
      <c r="K155" s="7" t="str">
        <f t="shared" si="8"/>
        <v>25.361471,49.54293</v>
      </c>
      <c r="L155" s="7" t="s">
        <v>7282</v>
      </c>
      <c r="M155" s="49" t="s">
        <v>7283</v>
      </c>
      <c r="N155" s="7"/>
      <c r="O155" s="7"/>
      <c r="P155" s="29"/>
      <c r="Q155" s="10"/>
      <c r="R155" s="10"/>
      <c r="S155" s="35"/>
      <c r="T155" s="29"/>
      <c r="U155" s="10"/>
      <c r="V155" s="10"/>
      <c r="W155" s="10"/>
      <c r="X155" s="10"/>
      <c r="Y155" s="10"/>
      <c r="Z155" s="10"/>
      <c r="AA155" s="10"/>
      <c r="AB155" s="35"/>
      <c r="AC155" s="29"/>
      <c r="AD155" s="8"/>
      <c r="AE155" s="26"/>
      <c r="AF155" s="24">
        <f t="shared" si="9"/>
        <v>0</v>
      </c>
      <c r="AG155" s="24">
        <f t="shared" si="10"/>
        <v>0</v>
      </c>
      <c r="AH155" s="24">
        <f t="shared" si="11"/>
        <v>0</v>
      </c>
      <c r="AI155" s="41" t="str" cm="1">
        <f t="array" ref="AI155">_xlfn.IFS(
SUM(AF155:AH155)=0,"Not Started",
SUM(AF155:AH155)&lt;15,"In Progress",
SUM(AF155:AH155)=15,"Completed",
SUM(AF155:AH155)&gt;15,"Error"
)</f>
        <v>Not Started</v>
      </c>
    </row>
    <row r="156" spans="1:35" ht="13" x14ac:dyDescent="0.25">
      <c r="A156" s="7"/>
      <c r="B156" s="7" t="s">
        <v>2213</v>
      </c>
      <c r="C156" s="7" t="s">
        <v>6844</v>
      </c>
      <c r="D156" s="7" t="s">
        <v>7043</v>
      </c>
      <c r="E156" s="7" t="s">
        <v>43</v>
      </c>
      <c r="F156" s="7" t="s">
        <v>44</v>
      </c>
      <c r="G156" s="7" t="s">
        <v>9666</v>
      </c>
      <c r="H156" s="7" t="s">
        <v>9666</v>
      </c>
      <c r="I156" s="7" t="s">
        <v>9574</v>
      </c>
      <c r="J156" s="7" t="s">
        <v>9575</v>
      </c>
      <c r="K156" s="7" t="str">
        <f t="shared" si="8"/>
        <v>25.610605,49.5634782</v>
      </c>
      <c r="L156" s="7" t="s">
        <v>7284</v>
      </c>
      <c r="M156" s="49" t="s">
        <v>7285</v>
      </c>
      <c r="N156" s="7"/>
      <c r="O156" s="7"/>
      <c r="P156" s="29"/>
      <c r="Q156" s="10"/>
      <c r="R156" s="10"/>
      <c r="S156" s="35"/>
      <c r="T156" s="29"/>
      <c r="U156" s="10"/>
      <c r="V156" s="10"/>
      <c r="W156" s="10"/>
      <c r="X156" s="10"/>
      <c r="Y156" s="10"/>
      <c r="Z156" s="10"/>
      <c r="AA156" s="10"/>
      <c r="AB156" s="35"/>
      <c r="AC156" s="29"/>
      <c r="AD156" s="8"/>
      <c r="AE156" s="26"/>
      <c r="AF156" s="24">
        <f t="shared" si="9"/>
        <v>0</v>
      </c>
      <c r="AG156" s="24">
        <f t="shared" si="10"/>
        <v>0</v>
      </c>
      <c r="AH156" s="24">
        <f t="shared" si="11"/>
        <v>0</v>
      </c>
      <c r="AI156" s="41" t="str" cm="1">
        <f t="array" ref="AI156">_xlfn.IFS(
SUM(AF156:AH156)=0,"Not Started",
SUM(AF156:AH156)&lt;15,"In Progress",
SUM(AF156:AH156)=15,"Completed",
SUM(AF156:AH156)&gt;15,"Error"
)</f>
        <v>Not Started</v>
      </c>
    </row>
    <row r="157" spans="1:35" ht="13" x14ac:dyDescent="0.25">
      <c r="A157" s="7"/>
      <c r="B157" s="7" t="s">
        <v>2214</v>
      </c>
      <c r="C157" s="7" t="s">
        <v>6845</v>
      </c>
      <c r="D157" s="7" t="s">
        <v>7044</v>
      </c>
      <c r="E157" s="7" t="s">
        <v>43</v>
      </c>
      <c r="F157" s="7" t="s">
        <v>44</v>
      </c>
      <c r="G157" s="7" t="s">
        <v>9666</v>
      </c>
      <c r="H157" s="7" t="s">
        <v>9666</v>
      </c>
      <c r="I157" s="7" t="s">
        <v>9576</v>
      </c>
      <c r="J157" s="7" t="s">
        <v>9577</v>
      </c>
      <c r="K157" s="7" t="str">
        <f t="shared" si="8"/>
        <v>25.4326413,49.6269822</v>
      </c>
      <c r="L157" s="7" t="s">
        <v>7286</v>
      </c>
      <c r="M157" s="49" t="s">
        <v>7287</v>
      </c>
      <c r="N157" s="7"/>
      <c r="O157" s="7"/>
      <c r="P157" s="29"/>
      <c r="Q157" s="10"/>
      <c r="R157" s="10"/>
      <c r="S157" s="35"/>
      <c r="T157" s="29"/>
      <c r="U157" s="10"/>
      <c r="V157" s="10"/>
      <c r="W157" s="10"/>
      <c r="X157" s="10"/>
      <c r="Y157" s="10"/>
      <c r="Z157" s="10"/>
      <c r="AA157" s="10"/>
      <c r="AB157" s="35"/>
      <c r="AC157" s="37"/>
      <c r="AD157" s="8"/>
      <c r="AE157" s="26"/>
      <c r="AF157" s="24">
        <f t="shared" si="9"/>
        <v>0</v>
      </c>
      <c r="AG157" s="24">
        <f t="shared" si="10"/>
        <v>0</v>
      </c>
      <c r="AH157" s="24">
        <f t="shared" si="11"/>
        <v>0</v>
      </c>
      <c r="AI157" s="41" t="str" cm="1">
        <f t="array" ref="AI157">_xlfn.IFS(
SUM(AF157:AH157)=0,"Not Started",
SUM(AF157:AH157)&lt;15,"In Progress",
SUM(AF157:AH157)=15,"Completed",
SUM(AF157:AH157)&gt;15,"Error"
)</f>
        <v>Not Started</v>
      </c>
    </row>
    <row r="158" spans="1:35" ht="13" x14ac:dyDescent="0.25">
      <c r="A158" s="7"/>
      <c r="B158" s="7" t="s">
        <v>2215</v>
      </c>
      <c r="C158" s="7" t="s">
        <v>6846</v>
      </c>
      <c r="D158" s="7" t="s">
        <v>7045</v>
      </c>
      <c r="E158" s="7" t="s">
        <v>43</v>
      </c>
      <c r="F158" s="7" t="s">
        <v>44</v>
      </c>
      <c r="G158" s="7" t="s">
        <v>9666</v>
      </c>
      <c r="H158" s="7" t="s">
        <v>9666</v>
      </c>
      <c r="I158" s="7" t="s">
        <v>9578</v>
      </c>
      <c r="J158" s="7" t="s">
        <v>9579</v>
      </c>
      <c r="K158" s="7" t="str">
        <f t="shared" si="8"/>
        <v>25.4692451,49.6176508</v>
      </c>
      <c r="L158" s="7" t="s">
        <v>7288</v>
      </c>
      <c r="M158" s="49" t="s">
        <v>7289</v>
      </c>
      <c r="N158" s="7"/>
      <c r="O158" s="7"/>
      <c r="P158" s="29"/>
      <c r="Q158" s="10"/>
      <c r="R158" s="10"/>
      <c r="S158" s="35"/>
      <c r="T158" s="29"/>
      <c r="U158" s="10"/>
      <c r="V158" s="10"/>
      <c r="W158" s="10"/>
      <c r="X158" s="10"/>
      <c r="Y158" s="10"/>
      <c r="Z158" s="10"/>
      <c r="AA158" s="10"/>
      <c r="AB158" s="35"/>
      <c r="AC158" s="29"/>
      <c r="AD158" s="8"/>
      <c r="AE158" s="26"/>
      <c r="AF158" s="24">
        <f t="shared" si="9"/>
        <v>0</v>
      </c>
      <c r="AG158" s="24">
        <f t="shared" si="10"/>
        <v>0</v>
      </c>
      <c r="AH158" s="24">
        <f t="shared" si="11"/>
        <v>0</v>
      </c>
      <c r="AI158" s="41" t="str" cm="1">
        <f t="array" ref="AI158">_xlfn.IFS(
SUM(AF158:AH158)=0,"Not Started",
SUM(AF158:AH158)&lt;15,"In Progress",
SUM(AF158:AH158)=15,"Completed",
SUM(AF158:AH158)&gt;15,"Error"
)</f>
        <v>Not Started</v>
      </c>
    </row>
    <row r="159" spans="1:35" ht="13" x14ac:dyDescent="0.25">
      <c r="A159" s="7"/>
      <c r="B159" s="7" t="s">
        <v>2216</v>
      </c>
      <c r="C159" s="7" t="s">
        <v>6847</v>
      </c>
      <c r="D159" s="7" t="s">
        <v>7046</v>
      </c>
      <c r="E159" s="7" t="s">
        <v>43</v>
      </c>
      <c r="F159" s="7" t="s">
        <v>44</v>
      </c>
      <c r="G159" s="7" t="s">
        <v>9666</v>
      </c>
      <c r="H159" s="7" t="s">
        <v>9666</v>
      </c>
      <c r="I159" s="7" t="s">
        <v>9580</v>
      </c>
      <c r="J159" s="7" t="s">
        <v>9581</v>
      </c>
      <c r="K159" s="7" t="str">
        <f t="shared" si="8"/>
        <v>25.6182767,49.5666896</v>
      </c>
      <c r="L159" s="7" t="s">
        <v>7290</v>
      </c>
      <c r="M159" s="49" t="s">
        <v>7291</v>
      </c>
      <c r="N159" s="7"/>
      <c r="O159" s="7"/>
      <c r="P159" s="29"/>
      <c r="Q159" s="10"/>
      <c r="R159" s="10"/>
      <c r="S159" s="35"/>
      <c r="T159" s="29"/>
      <c r="U159" s="10"/>
      <c r="V159" s="10"/>
      <c r="W159" s="10"/>
      <c r="X159" s="10"/>
      <c r="Y159" s="10"/>
      <c r="Z159" s="10"/>
      <c r="AA159" s="10"/>
      <c r="AB159" s="35"/>
      <c r="AC159" s="37"/>
      <c r="AD159" s="8"/>
      <c r="AE159" s="26"/>
      <c r="AF159" s="24">
        <f t="shared" si="9"/>
        <v>0</v>
      </c>
      <c r="AG159" s="24">
        <f t="shared" si="10"/>
        <v>0</v>
      </c>
      <c r="AH159" s="24">
        <f t="shared" si="11"/>
        <v>0</v>
      </c>
      <c r="AI159" s="41" t="str" cm="1">
        <f t="array" ref="AI159">_xlfn.IFS(
SUM(AF159:AH159)=0,"Not Started",
SUM(AF159:AH159)&lt;15,"In Progress",
SUM(AF159:AH159)=15,"Completed",
SUM(AF159:AH159)&gt;15,"Error"
)</f>
        <v>Not Started</v>
      </c>
    </row>
    <row r="160" spans="1:35" ht="13" x14ac:dyDescent="0.25">
      <c r="A160" s="7"/>
      <c r="B160" s="7" t="s">
        <v>2217</v>
      </c>
      <c r="C160" s="7" t="s">
        <v>6848</v>
      </c>
      <c r="D160" s="7" t="s">
        <v>7047</v>
      </c>
      <c r="E160" s="7" t="s">
        <v>43</v>
      </c>
      <c r="F160" s="7" t="s">
        <v>44</v>
      </c>
      <c r="G160" s="7" t="s">
        <v>9666</v>
      </c>
      <c r="H160" s="7" t="s">
        <v>9666</v>
      </c>
      <c r="I160" s="7" t="s">
        <v>9582</v>
      </c>
      <c r="J160" s="7" t="s">
        <v>9583</v>
      </c>
      <c r="K160" s="7" t="str">
        <f t="shared" si="8"/>
        <v>25.5982295,49.5637847</v>
      </c>
      <c r="L160" s="7" t="s">
        <v>7292</v>
      </c>
      <c r="M160" s="49" t="s">
        <v>7293</v>
      </c>
      <c r="N160" s="7"/>
      <c r="O160" s="7"/>
      <c r="P160" s="29"/>
      <c r="Q160" s="10"/>
      <c r="R160" s="10"/>
      <c r="S160" s="35"/>
      <c r="T160" s="29"/>
      <c r="U160" s="10"/>
      <c r="V160" s="10"/>
      <c r="W160" s="10"/>
      <c r="X160" s="10"/>
      <c r="Y160" s="10"/>
      <c r="Z160" s="10"/>
      <c r="AA160" s="10"/>
      <c r="AB160" s="35"/>
      <c r="AC160" s="29"/>
      <c r="AD160" s="8"/>
      <c r="AE160" s="26"/>
      <c r="AF160" s="24">
        <f t="shared" si="9"/>
        <v>0</v>
      </c>
      <c r="AG160" s="24">
        <f t="shared" si="10"/>
        <v>0</v>
      </c>
      <c r="AH160" s="24">
        <f t="shared" si="11"/>
        <v>0</v>
      </c>
      <c r="AI160" s="41" t="str" cm="1">
        <f t="array" ref="AI160">_xlfn.IFS(
SUM(AF160:AH160)=0,"Not Started",
SUM(AF160:AH160)&lt;15,"In Progress",
SUM(AF160:AH160)=15,"Completed",
SUM(AF160:AH160)&gt;15,"Error"
)</f>
        <v>Not Started</v>
      </c>
    </row>
    <row r="161" spans="1:35" ht="13" x14ac:dyDescent="0.25">
      <c r="A161" s="7"/>
      <c r="B161" s="7" t="s">
        <v>2218</v>
      </c>
      <c r="C161" s="7" t="s">
        <v>6849</v>
      </c>
      <c r="D161" s="7" t="s">
        <v>7048</v>
      </c>
      <c r="E161" s="7" t="s">
        <v>43</v>
      </c>
      <c r="F161" s="7" t="s">
        <v>48</v>
      </c>
      <c r="G161" s="7" t="s">
        <v>9666</v>
      </c>
      <c r="H161" s="7" t="s">
        <v>9666</v>
      </c>
      <c r="I161" s="7" t="s">
        <v>9584</v>
      </c>
      <c r="J161" s="7" t="s">
        <v>9585</v>
      </c>
      <c r="K161" s="7" t="str">
        <f t="shared" si="8"/>
        <v>25.4806,49.558276</v>
      </c>
      <c r="L161" s="7" t="s">
        <v>7294</v>
      </c>
      <c r="M161" s="49" t="s">
        <v>7295</v>
      </c>
      <c r="N161" s="7"/>
      <c r="O161" s="7"/>
      <c r="P161" s="29"/>
      <c r="Q161" s="10"/>
      <c r="R161" s="10"/>
      <c r="S161" s="35"/>
      <c r="T161" s="29"/>
      <c r="U161" s="10"/>
      <c r="V161" s="10"/>
      <c r="W161" s="10"/>
      <c r="X161" s="10"/>
      <c r="Y161" s="10"/>
      <c r="Z161" s="10"/>
      <c r="AA161" s="10"/>
      <c r="AB161" s="35"/>
      <c r="AC161" s="29"/>
      <c r="AD161" s="8"/>
      <c r="AE161" s="26"/>
      <c r="AF161" s="24">
        <f t="shared" si="9"/>
        <v>0</v>
      </c>
      <c r="AG161" s="24">
        <f t="shared" si="10"/>
        <v>0</v>
      </c>
      <c r="AH161" s="24">
        <f t="shared" si="11"/>
        <v>0</v>
      </c>
      <c r="AI161" s="41" t="str" cm="1">
        <f t="array" ref="AI161">_xlfn.IFS(
SUM(AF161:AH161)=0,"Not Started",
SUM(AF161:AH161)&lt;15,"In Progress",
SUM(AF161:AH161)=15,"Completed",
SUM(AF161:AH161)&gt;15,"Error"
)</f>
        <v>Not Started</v>
      </c>
    </row>
    <row r="162" spans="1:35" ht="13" x14ac:dyDescent="0.25">
      <c r="A162" s="7"/>
      <c r="B162" s="7" t="s">
        <v>2219</v>
      </c>
      <c r="C162" s="7" t="s">
        <v>6850</v>
      </c>
      <c r="D162" s="7" t="s">
        <v>7049</v>
      </c>
      <c r="E162" s="7" t="s">
        <v>43</v>
      </c>
      <c r="F162" s="7" t="s">
        <v>44</v>
      </c>
      <c r="G162" s="7" t="s">
        <v>9666</v>
      </c>
      <c r="H162" s="7" t="s">
        <v>9666</v>
      </c>
      <c r="I162" s="7" t="s">
        <v>9586</v>
      </c>
      <c r="J162" s="7" t="s">
        <v>9587</v>
      </c>
      <c r="K162" s="7" t="str">
        <f t="shared" si="8"/>
        <v>25.4367349,49.6707451</v>
      </c>
      <c r="L162" s="7" t="s">
        <v>7296</v>
      </c>
      <c r="M162" s="49" t="s">
        <v>7297</v>
      </c>
      <c r="N162" s="7"/>
      <c r="O162" s="7"/>
      <c r="P162" s="29"/>
      <c r="Q162" s="10"/>
      <c r="R162" s="10"/>
      <c r="S162" s="35"/>
      <c r="T162" s="29"/>
      <c r="U162" s="10"/>
      <c r="V162" s="10"/>
      <c r="W162" s="10"/>
      <c r="X162" s="10"/>
      <c r="Y162" s="10"/>
      <c r="Z162" s="10"/>
      <c r="AA162" s="10"/>
      <c r="AB162" s="35"/>
      <c r="AC162" s="37"/>
      <c r="AD162" s="8"/>
      <c r="AE162" s="26"/>
      <c r="AF162" s="24">
        <f t="shared" si="9"/>
        <v>0</v>
      </c>
      <c r="AG162" s="24">
        <f t="shared" si="10"/>
        <v>0</v>
      </c>
      <c r="AH162" s="24">
        <f t="shared" si="11"/>
        <v>0</v>
      </c>
      <c r="AI162" s="41" t="str" cm="1">
        <f t="array" ref="AI162">_xlfn.IFS(
SUM(AF162:AH162)=0,"Not Started",
SUM(AF162:AH162)&lt;15,"In Progress",
SUM(AF162:AH162)=15,"Completed",
SUM(AF162:AH162)&gt;15,"Error"
)</f>
        <v>Not Started</v>
      </c>
    </row>
    <row r="163" spans="1:35" ht="13" x14ac:dyDescent="0.25">
      <c r="A163" s="7"/>
      <c r="B163" s="7" t="s">
        <v>2220</v>
      </c>
      <c r="C163" s="7" t="s">
        <v>6851</v>
      </c>
      <c r="D163" s="7" t="s">
        <v>7050</v>
      </c>
      <c r="E163" s="7" t="s">
        <v>51</v>
      </c>
      <c r="F163" s="7" t="s">
        <v>44</v>
      </c>
      <c r="G163" s="7" t="s">
        <v>9666</v>
      </c>
      <c r="H163" s="7" t="s">
        <v>9666</v>
      </c>
      <c r="I163" s="7" t="s">
        <v>9588</v>
      </c>
      <c r="J163" s="7" t="s">
        <v>9589</v>
      </c>
      <c r="K163" s="7" t="str">
        <f t="shared" si="8"/>
        <v>25.6044275,49.5678341</v>
      </c>
      <c r="L163" s="7" t="s">
        <v>7298</v>
      </c>
      <c r="M163" s="49" t="s">
        <v>7299</v>
      </c>
      <c r="N163" s="7"/>
      <c r="O163" s="7"/>
      <c r="P163" s="29"/>
      <c r="Q163" s="10"/>
      <c r="R163" s="10"/>
      <c r="S163" s="35"/>
      <c r="T163" s="29"/>
      <c r="U163" s="10"/>
      <c r="V163" s="10"/>
      <c r="W163" s="10"/>
      <c r="X163" s="10"/>
      <c r="Y163" s="10"/>
      <c r="Z163" s="10"/>
      <c r="AA163" s="10"/>
      <c r="AB163" s="35"/>
      <c r="AC163" s="37"/>
      <c r="AD163" s="8"/>
      <c r="AE163" s="26"/>
      <c r="AF163" s="24">
        <f t="shared" si="9"/>
        <v>0</v>
      </c>
      <c r="AG163" s="24">
        <f t="shared" si="10"/>
        <v>0</v>
      </c>
      <c r="AH163" s="24">
        <f t="shared" si="11"/>
        <v>0</v>
      </c>
      <c r="AI163" s="41" t="str" cm="1">
        <f t="array" ref="AI163">_xlfn.IFS(
SUM(AF163:AH163)=0,"Not Started",
SUM(AF163:AH163)&lt;15,"In Progress",
SUM(AF163:AH163)=15,"Completed",
SUM(AF163:AH163)&gt;15,"Error"
)</f>
        <v>Not Started</v>
      </c>
    </row>
    <row r="164" spans="1:35" ht="13" x14ac:dyDescent="0.25">
      <c r="A164" s="7"/>
      <c r="B164" s="7" t="s">
        <v>2221</v>
      </c>
      <c r="C164" s="7" t="s">
        <v>6852</v>
      </c>
      <c r="D164" s="7" t="s">
        <v>7051</v>
      </c>
      <c r="E164" s="7" t="s">
        <v>51</v>
      </c>
      <c r="F164" s="7" t="s">
        <v>44</v>
      </c>
      <c r="G164" s="7" t="s">
        <v>9666</v>
      </c>
      <c r="H164" s="7" t="s">
        <v>9666</v>
      </c>
      <c r="I164" s="7" t="s">
        <v>9590</v>
      </c>
      <c r="J164" s="7" t="s">
        <v>9591</v>
      </c>
      <c r="K164" s="7" t="str">
        <f t="shared" si="8"/>
        <v>25.4279418,49.6561774</v>
      </c>
      <c r="L164" s="7" t="s">
        <v>7300</v>
      </c>
      <c r="M164" s="49" t="s">
        <v>7301</v>
      </c>
      <c r="N164" s="7"/>
      <c r="O164" s="7"/>
      <c r="P164" s="29"/>
      <c r="Q164" s="10"/>
      <c r="R164" s="10"/>
      <c r="S164" s="35"/>
      <c r="T164" s="29"/>
      <c r="U164" s="10"/>
      <c r="V164" s="10"/>
      <c r="W164" s="10"/>
      <c r="X164" s="10"/>
      <c r="Y164" s="10"/>
      <c r="Z164" s="10"/>
      <c r="AA164" s="10"/>
      <c r="AB164" s="35"/>
      <c r="AC164" s="29"/>
      <c r="AD164" s="8"/>
      <c r="AE164" s="26"/>
      <c r="AF164" s="24">
        <f t="shared" si="9"/>
        <v>0</v>
      </c>
      <c r="AG164" s="24">
        <f t="shared" si="10"/>
        <v>0</v>
      </c>
      <c r="AH164" s="24">
        <f t="shared" si="11"/>
        <v>0</v>
      </c>
      <c r="AI164" s="41" t="str" cm="1">
        <f t="array" ref="AI164">_xlfn.IFS(
SUM(AF164:AH164)=0,"Not Started",
SUM(AF164:AH164)&lt;15,"In Progress",
SUM(AF164:AH164)=15,"Completed",
SUM(AF164:AH164)&gt;15,"Error"
)</f>
        <v>Not Started</v>
      </c>
    </row>
    <row r="165" spans="1:35" ht="13" x14ac:dyDescent="0.25">
      <c r="A165" s="7"/>
      <c r="B165" s="7" t="s">
        <v>2222</v>
      </c>
      <c r="C165" s="7" t="s">
        <v>6853</v>
      </c>
      <c r="D165" s="7" t="s">
        <v>7052</v>
      </c>
      <c r="E165" s="7" t="s">
        <v>51</v>
      </c>
      <c r="F165" s="7" t="s">
        <v>44</v>
      </c>
      <c r="G165" s="7" t="s">
        <v>9666</v>
      </c>
      <c r="H165" s="7" t="s">
        <v>9666</v>
      </c>
      <c r="I165" s="7" t="s">
        <v>9592</v>
      </c>
      <c r="J165" s="7" t="s">
        <v>9593</v>
      </c>
      <c r="K165" s="7" t="str">
        <f t="shared" si="8"/>
        <v>25.468413,49.6257591</v>
      </c>
      <c r="L165" s="7" t="s">
        <v>7302</v>
      </c>
      <c r="M165" s="49" t="s">
        <v>7303</v>
      </c>
      <c r="N165" s="7"/>
      <c r="O165" s="7"/>
      <c r="P165" s="29"/>
      <c r="Q165" s="10"/>
      <c r="R165" s="10"/>
      <c r="S165" s="35"/>
      <c r="T165" s="29"/>
      <c r="U165" s="10"/>
      <c r="V165" s="10"/>
      <c r="W165" s="10"/>
      <c r="X165" s="10"/>
      <c r="Y165" s="10"/>
      <c r="Z165" s="10"/>
      <c r="AA165" s="10"/>
      <c r="AB165" s="35"/>
      <c r="AC165" s="37"/>
      <c r="AD165" s="8"/>
      <c r="AE165" s="26"/>
      <c r="AF165" s="24">
        <f t="shared" si="9"/>
        <v>0</v>
      </c>
      <c r="AG165" s="24">
        <f t="shared" si="10"/>
        <v>0</v>
      </c>
      <c r="AH165" s="24">
        <f t="shared" si="11"/>
        <v>0</v>
      </c>
      <c r="AI165" s="41" t="str" cm="1">
        <f t="array" ref="AI165">_xlfn.IFS(
SUM(AF165:AH165)=0,"Not Started",
SUM(AF165:AH165)&lt;15,"In Progress",
SUM(AF165:AH165)=15,"Completed",
SUM(AF165:AH165)&gt;15,"Error"
)</f>
        <v>Not Started</v>
      </c>
    </row>
    <row r="166" spans="1:35" ht="13" x14ac:dyDescent="0.25">
      <c r="A166" s="7"/>
      <c r="B166" s="7" t="s">
        <v>2223</v>
      </c>
      <c r="C166" s="7" t="s">
        <v>6854</v>
      </c>
      <c r="D166" s="7" t="s">
        <v>7053</v>
      </c>
      <c r="E166" s="7" t="s">
        <v>51</v>
      </c>
      <c r="F166" s="7" t="s">
        <v>44</v>
      </c>
      <c r="G166" s="7" t="s">
        <v>9666</v>
      </c>
      <c r="H166" s="7" t="s">
        <v>9666</v>
      </c>
      <c r="I166" s="7" t="s">
        <v>9594</v>
      </c>
      <c r="J166" s="7" t="s">
        <v>9595</v>
      </c>
      <c r="K166" s="7" t="str">
        <f t="shared" si="8"/>
        <v>25.4347777,49.6231606</v>
      </c>
      <c r="L166" s="7" t="s">
        <v>7304</v>
      </c>
      <c r="M166" s="49" t="s">
        <v>7305</v>
      </c>
      <c r="N166" s="7"/>
      <c r="O166" s="7"/>
      <c r="P166" s="29"/>
      <c r="Q166" s="10"/>
      <c r="R166" s="10"/>
      <c r="S166" s="35"/>
      <c r="T166" s="29"/>
      <c r="U166" s="10"/>
      <c r="V166" s="10"/>
      <c r="W166" s="10"/>
      <c r="X166" s="10"/>
      <c r="Y166" s="10"/>
      <c r="Z166" s="10"/>
      <c r="AA166" s="10"/>
      <c r="AB166" s="35"/>
      <c r="AC166" s="29"/>
      <c r="AD166" s="8"/>
      <c r="AE166" s="26"/>
      <c r="AF166" s="24">
        <f t="shared" si="9"/>
        <v>0</v>
      </c>
      <c r="AG166" s="24">
        <f t="shared" si="10"/>
        <v>0</v>
      </c>
      <c r="AH166" s="24">
        <f t="shared" si="11"/>
        <v>0</v>
      </c>
      <c r="AI166" s="41" t="str" cm="1">
        <f t="array" ref="AI166">_xlfn.IFS(
SUM(AF166:AH166)=0,"Not Started",
SUM(AF166:AH166)&lt;15,"In Progress",
SUM(AF166:AH166)=15,"Completed",
SUM(AF166:AH166)&gt;15,"Error"
)</f>
        <v>Not Started</v>
      </c>
    </row>
    <row r="167" spans="1:35" ht="13" x14ac:dyDescent="0.25">
      <c r="A167" s="7"/>
      <c r="B167" s="7" t="s">
        <v>2224</v>
      </c>
      <c r="C167" s="7" t="s">
        <v>6855</v>
      </c>
      <c r="D167" s="7" t="s">
        <v>7054</v>
      </c>
      <c r="E167" s="7" t="s">
        <v>51</v>
      </c>
      <c r="F167" s="7" t="s">
        <v>44</v>
      </c>
      <c r="G167" s="7" t="s">
        <v>9666</v>
      </c>
      <c r="H167" s="7" t="s">
        <v>9666</v>
      </c>
      <c r="I167" s="7" t="s">
        <v>9596</v>
      </c>
      <c r="J167" s="7" t="s">
        <v>9597</v>
      </c>
      <c r="K167" s="7" t="str">
        <f t="shared" si="8"/>
        <v>25.457351,49.611426</v>
      </c>
      <c r="L167" s="7" t="s">
        <v>7306</v>
      </c>
      <c r="M167" s="49" t="s">
        <v>7307</v>
      </c>
      <c r="N167" s="7"/>
      <c r="O167" s="7"/>
      <c r="P167" s="29"/>
      <c r="Q167" s="10"/>
      <c r="R167" s="10"/>
      <c r="S167" s="35"/>
      <c r="T167" s="29"/>
      <c r="U167" s="10"/>
      <c r="V167" s="10"/>
      <c r="W167" s="10"/>
      <c r="X167" s="10"/>
      <c r="Y167" s="10"/>
      <c r="Z167" s="10"/>
      <c r="AA167" s="10"/>
      <c r="AB167" s="35"/>
      <c r="AC167" s="29"/>
      <c r="AD167" s="8"/>
      <c r="AE167" s="26"/>
      <c r="AF167" s="24">
        <f t="shared" si="9"/>
        <v>0</v>
      </c>
      <c r="AG167" s="24">
        <f t="shared" si="10"/>
        <v>0</v>
      </c>
      <c r="AH167" s="24">
        <f t="shared" si="11"/>
        <v>0</v>
      </c>
      <c r="AI167" s="41" t="str" cm="1">
        <f t="array" ref="AI167">_xlfn.IFS(
SUM(AF167:AH167)=0,"Not Started",
SUM(AF167:AH167)&lt;15,"In Progress",
SUM(AF167:AH167)=15,"Completed",
SUM(AF167:AH167)&gt;15,"Error"
)</f>
        <v>Not Started</v>
      </c>
    </row>
    <row r="168" spans="1:35" ht="13" x14ac:dyDescent="0.25">
      <c r="A168" s="7"/>
      <c r="B168" s="7" t="s">
        <v>2225</v>
      </c>
      <c r="C168" s="7" t="s">
        <v>6856</v>
      </c>
      <c r="D168" s="7" t="s">
        <v>7055</v>
      </c>
      <c r="E168" s="7" t="s">
        <v>43</v>
      </c>
      <c r="F168" s="7" t="s">
        <v>44</v>
      </c>
      <c r="G168" s="7" t="s">
        <v>9666</v>
      </c>
      <c r="H168" s="7" t="s">
        <v>9666</v>
      </c>
      <c r="I168" s="7" t="s">
        <v>9598</v>
      </c>
      <c r="J168" s="7" t="s">
        <v>9599</v>
      </c>
      <c r="K168" s="7" t="str">
        <f t="shared" si="8"/>
        <v>25.6212259,49.5606867</v>
      </c>
      <c r="L168" s="7" t="s">
        <v>7308</v>
      </c>
      <c r="M168" s="49" t="s">
        <v>7309</v>
      </c>
      <c r="N168" s="7"/>
      <c r="O168" s="7"/>
      <c r="P168" s="29"/>
      <c r="Q168" s="10"/>
      <c r="R168" s="10"/>
      <c r="S168" s="35"/>
      <c r="T168" s="29"/>
      <c r="U168" s="10"/>
      <c r="V168" s="10"/>
      <c r="W168" s="10"/>
      <c r="X168" s="10"/>
      <c r="Y168" s="10"/>
      <c r="Z168" s="10"/>
      <c r="AA168" s="10"/>
      <c r="AB168" s="35"/>
      <c r="AC168" s="37"/>
      <c r="AD168" s="8"/>
      <c r="AE168" s="26"/>
      <c r="AF168" s="24">
        <f t="shared" si="9"/>
        <v>0</v>
      </c>
      <c r="AG168" s="24">
        <f t="shared" si="10"/>
        <v>0</v>
      </c>
      <c r="AH168" s="24">
        <f t="shared" si="11"/>
        <v>0</v>
      </c>
      <c r="AI168" s="41" t="str" cm="1">
        <f t="array" ref="AI168">_xlfn.IFS(
SUM(AF168:AH168)=0,"Not Started",
SUM(AF168:AH168)&lt;15,"In Progress",
SUM(AF168:AH168)=15,"Completed",
SUM(AF168:AH168)&gt;15,"Error"
)</f>
        <v>Not Started</v>
      </c>
    </row>
    <row r="169" spans="1:35" ht="13" x14ac:dyDescent="0.25">
      <c r="A169" s="7"/>
      <c r="B169" s="7" t="s">
        <v>2226</v>
      </c>
      <c r="C169" s="7" t="s">
        <v>6857</v>
      </c>
      <c r="D169" s="7" t="s">
        <v>7056</v>
      </c>
      <c r="E169" s="7" t="s">
        <v>51</v>
      </c>
      <c r="F169" s="7" t="s">
        <v>44</v>
      </c>
      <c r="G169" s="7" t="s">
        <v>9666</v>
      </c>
      <c r="H169" s="7" t="s">
        <v>9666</v>
      </c>
      <c r="I169" s="7" t="s">
        <v>9600</v>
      </c>
      <c r="J169" s="7" t="s">
        <v>9601</v>
      </c>
      <c r="K169" s="7" t="str">
        <f t="shared" si="8"/>
        <v>25.5986164,49.5653219</v>
      </c>
      <c r="L169" s="7" t="s">
        <v>7310</v>
      </c>
      <c r="M169" s="49" t="s">
        <v>7311</v>
      </c>
      <c r="N169" s="7"/>
      <c r="O169" s="7"/>
      <c r="P169" s="29"/>
      <c r="Q169" s="10"/>
      <c r="R169" s="10"/>
      <c r="S169" s="35"/>
      <c r="T169" s="29"/>
      <c r="U169" s="10"/>
      <c r="V169" s="10"/>
      <c r="W169" s="10"/>
      <c r="X169" s="10"/>
      <c r="Y169" s="10"/>
      <c r="Z169" s="10"/>
      <c r="AA169" s="10"/>
      <c r="AB169" s="35"/>
      <c r="AC169" s="29"/>
      <c r="AD169" s="8"/>
      <c r="AE169" s="26"/>
      <c r="AF169" s="24">
        <f t="shared" si="9"/>
        <v>0</v>
      </c>
      <c r="AG169" s="24">
        <f t="shared" si="10"/>
        <v>0</v>
      </c>
      <c r="AH169" s="24">
        <f t="shared" si="11"/>
        <v>0</v>
      </c>
      <c r="AI169" s="41" t="str" cm="1">
        <f t="array" ref="AI169">_xlfn.IFS(
SUM(AF169:AH169)=0,"Not Started",
SUM(AF169:AH169)&lt;15,"In Progress",
SUM(AF169:AH169)=15,"Completed",
SUM(AF169:AH169)&gt;15,"Error"
)</f>
        <v>Not Started</v>
      </c>
    </row>
    <row r="170" spans="1:35" ht="13" x14ac:dyDescent="0.25">
      <c r="A170" s="7"/>
      <c r="B170" s="7" t="s">
        <v>2227</v>
      </c>
      <c r="C170" s="7" t="s">
        <v>6858</v>
      </c>
      <c r="D170" s="7" t="s">
        <v>7057</v>
      </c>
      <c r="E170" s="7" t="s">
        <v>47</v>
      </c>
      <c r="F170" s="7" t="s">
        <v>44</v>
      </c>
      <c r="G170" s="7" t="s">
        <v>9666</v>
      </c>
      <c r="H170" s="7" t="s">
        <v>9666</v>
      </c>
      <c r="I170" s="7" t="s">
        <v>9602</v>
      </c>
      <c r="J170" s="7" t="s">
        <v>9603</v>
      </c>
      <c r="K170" s="7" t="str">
        <f t="shared" si="8"/>
        <v>25.5068322,49.5958954</v>
      </c>
      <c r="L170" s="7" t="s">
        <v>7312</v>
      </c>
      <c r="M170" s="49" t="s">
        <v>7313</v>
      </c>
      <c r="N170" s="7"/>
      <c r="O170" s="7"/>
      <c r="P170" s="29"/>
      <c r="Q170" s="10"/>
      <c r="R170" s="10"/>
      <c r="S170" s="35"/>
      <c r="T170" s="29"/>
      <c r="U170" s="10"/>
      <c r="V170" s="10"/>
      <c r="W170" s="10"/>
      <c r="X170" s="10"/>
      <c r="Y170" s="10"/>
      <c r="Z170" s="10"/>
      <c r="AA170" s="10"/>
      <c r="AB170" s="39"/>
      <c r="AC170" s="37"/>
      <c r="AD170" s="8"/>
      <c r="AE170" s="26"/>
      <c r="AF170" s="24">
        <f t="shared" si="9"/>
        <v>0</v>
      </c>
      <c r="AG170" s="24">
        <f t="shared" si="10"/>
        <v>0</v>
      </c>
      <c r="AH170" s="24">
        <f t="shared" si="11"/>
        <v>0</v>
      </c>
      <c r="AI170" s="41" t="str" cm="1">
        <f t="array" ref="AI170">_xlfn.IFS(
SUM(AF170:AH170)=0,"Not Started",
SUM(AF170:AH170)&lt;15,"In Progress",
SUM(AF170:AH170)=15,"Completed",
SUM(AF170:AH170)&gt;15,"Error"
)</f>
        <v>Not Started</v>
      </c>
    </row>
    <row r="171" spans="1:35" ht="13" x14ac:dyDescent="0.25">
      <c r="A171" s="7"/>
      <c r="B171" s="7" t="s">
        <v>2228</v>
      </c>
      <c r="C171" s="7" t="s">
        <v>6859</v>
      </c>
      <c r="D171" s="7" t="s">
        <v>7058</v>
      </c>
      <c r="E171" s="7" t="s">
        <v>47</v>
      </c>
      <c r="F171" s="7" t="s">
        <v>44</v>
      </c>
      <c r="G171" s="7" t="s">
        <v>9666</v>
      </c>
      <c r="H171" s="7" t="s">
        <v>9666</v>
      </c>
      <c r="I171" s="7" t="s">
        <v>9604</v>
      </c>
      <c r="J171" s="7" t="s">
        <v>9605</v>
      </c>
      <c r="K171" s="7" t="str">
        <f t="shared" si="8"/>
        <v>25.489166,49.565415</v>
      </c>
      <c r="L171" s="7" t="s">
        <v>7314</v>
      </c>
      <c r="M171" s="49" t="s">
        <v>7315</v>
      </c>
      <c r="N171" s="7"/>
      <c r="O171" s="7"/>
      <c r="P171" s="29"/>
      <c r="Q171" s="10"/>
      <c r="R171" s="10"/>
      <c r="S171" s="35"/>
      <c r="T171" s="29"/>
      <c r="U171" s="10"/>
      <c r="V171" s="10"/>
      <c r="W171" s="10"/>
      <c r="X171" s="10"/>
      <c r="Y171" s="10"/>
      <c r="Z171" s="10"/>
      <c r="AA171" s="10"/>
      <c r="AB171" s="35"/>
      <c r="AC171" s="37"/>
      <c r="AD171" s="8"/>
      <c r="AE171" s="26"/>
      <c r="AF171" s="24">
        <f t="shared" si="9"/>
        <v>0</v>
      </c>
      <c r="AG171" s="24">
        <f t="shared" si="10"/>
        <v>0</v>
      </c>
      <c r="AH171" s="24">
        <f t="shared" si="11"/>
        <v>0</v>
      </c>
      <c r="AI171" s="41" t="str" cm="1">
        <f t="array" ref="AI171">_xlfn.IFS(
SUM(AF171:AH171)=0,"Not Started",
SUM(AF171:AH171)&lt;15,"In Progress",
SUM(AF171:AH171)=15,"Completed",
SUM(AF171:AH171)&gt;15,"Error"
)</f>
        <v>Not Started</v>
      </c>
    </row>
    <row r="172" spans="1:35" ht="13" x14ac:dyDescent="0.25">
      <c r="A172" s="7"/>
      <c r="B172" s="7" t="s">
        <v>2229</v>
      </c>
      <c r="C172" s="7" t="s">
        <v>6860</v>
      </c>
      <c r="D172" s="7" t="s">
        <v>7059</v>
      </c>
      <c r="E172" s="7" t="s">
        <v>47</v>
      </c>
      <c r="F172" s="7" t="s">
        <v>48</v>
      </c>
      <c r="G172" s="7" t="s">
        <v>9666</v>
      </c>
      <c r="H172" s="7" t="s">
        <v>9666</v>
      </c>
      <c r="I172" s="7" t="s">
        <v>9606</v>
      </c>
      <c r="J172" s="7" t="s">
        <v>9607</v>
      </c>
      <c r="K172" s="7" t="str">
        <f t="shared" si="8"/>
        <v>25.594758,49.558495</v>
      </c>
      <c r="L172" s="7" t="s">
        <v>7316</v>
      </c>
      <c r="M172" s="49" t="s">
        <v>7317</v>
      </c>
      <c r="N172" s="7"/>
      <c r="O172" s="7"/>
      <c r="P172" s="29"/>
      <c r="Q172" s="10"/>
      <c r="R172" s="10"/>
      <c r="S172" s="35"/>
      <c r="T172" s="29"/>
      <c r="U172" s="10"/>
      <c r="V172" s="10"/>
      <c r="W172" s="10"/>
      <c r="X172" s="10"/>
      <c r="Y172" s="10"/>
      <c r="Z172" s="10"/>
      <c r="AA172" s="10"/>
      <c r="AB172" s="39"/>
      <c r="AC172" s="37"/>
      <c r="AD172" s="8"/>
      <c r="AE172" s="26"/>
      <c r="AF172" s="24">
        <f t="shared" si="9"/>
        <v>0</v>
      </c>
      <c r="AG172" s="24">
        <f t="shared" si="10"/>
        <v>0</v>
      </c>
      <c r="AH172" s="24">
        <f t="shared" si="11"/>
        <v>0</v>
      </c>
      <c r="AI172" s="41" t="str" cm="1">
        <f t="array" ref="AI172">_xlfn.IFS(
SUM(AF172:AH172)=0,"Not Started",
SUM(AF172:AH172)&lt;15,"In Progress",
SUM(AF172:AH172)=15,"Completed",
SUM(AF172:AH172)&gt;15,"Error"
)</f>
        <v>Not Started</v>
      </c>
    </row>
    <row r="173" spans="1:35" ht="13" x14ac:dyDescent="0.25">
      <c r="A173" s="7"/>
      <c r="B173" s="7" t="s">
        <v>2230</v>
      </c>
      <c r="C173" s="7" t="s">
        <v>6861</v>
      </c>
      <c r="D173" s="7" t="s">
        <v>7060</v>
      </c>
      <c r="E173" s="7" t="s">
        <v>43</v>
      </c>
      <c r="F173" s="7" t="s">
        <v>48</v>
      </c>
      <c r="G173" s="7" t="s">
        <v>9666</v>
      </c>
      <c r="H173" s="7" t="s">
        <v>9666</v>
      </c>
      <c r="I173" s="7" t="s">
        <v>9608</v>
      </c>
      <c r="J173" s="7" t="s">
        <v>9609</v>
      </c>
      <c r="K173" s="7" t="str">
        <f t="shared" si="8"/>
        <v>25.617029,49.563795</v>
      </c>
      <c r="L173" s="7" t="s">
        <v>7318</v>
      </c>
      <c r="M173" s="49" t="s">
        <v>7319</v>
      </c>
      <c r="N173" s="7"/>
      <c r="O173" s="7"/>
      <c r="P173" s="29"/>
      <c r="Q173" s="10"/>
      <c r="R173" s="10"/>
      <c r="S173" s="35"/>
      <c r="T173" s="29"/>
      <c r="U173" s="10"/>
      <c r="V173" s="10"/>
      <c r="W173" s="10"/>
      <c r="X173" s="10"/>
      <c r="Y173" s="10"/>
      <c r="Z173" s="10"/>
      <c r="AA173" s="10"/>
      <c r="AB173" s="39"/>
      <c r="AC173" s="37"/>
      <c r="AD173" s="8"/>
      <c r="AE173" s="26"/>
      <c r="AF173" s="24">
        <f t="shared" si="9"/>
        <v>0</v>
      </c>
      <c r="AG173" s="24">
        <f t="shared" si="10"/>
        <v>0</v>
      </c>
      <c r="AH173" s="24">
        <f t="shared" si="11"/>
        <v>0</v>
      </c>
      <c r="AI173" s="41" t="str" cm="1">
        <f t="array" ref="AI173">_xlfn.IFS(
SUM(AF173:AH173)=0,"Not Started",
SUM(AF173:AH173)&lt;15,"In Progress",
SUM(AF173:AH173)=15,"Completed",
SUM(AF173:AH173)&gt;15,"Error"
)</f>
        <v>Not Started</v>
      </c>
    </row>
    <row r="174" spans="1:35" ht="13" x14ac:dyDescent="0.25">
      <c r="A174" s="7"/>
      <c r="B174" s="7" t="s">
        <v>2231</v>
      </c>
      <c r="C174" s="7" t="s">
        <v>6862</v>
      </c>
      <c r="D174" s="7" t="s">
        <v>7061</v>
      </c>
      <c r="E174" s="7" t="s">
        <v>43</v>
      </c>
      <c r="F174" s="7" t="s">
        <v>48</v>
      </c>
      <c r="G174" s="7" t="s">
        <v>9666</v>
      </c>
      <c r="H174" s="7" t="s">
        <v>9666</v>
      </c>
      <c r="I174" s="7" t="s">
        <v>9610</v>
      </c>
      <c r="J174" s="7" t="s">
        <v>9611</v>
      </c>
      <c r="K174" s="7" t="str">
        <f t="shared" si="8"/>
        <v>25.441108,49.657605</v>
      </c>
      <c r="L174" s="7" t="s">
        <v>7320</v>
      </c>
      <c r="M174" s="49" t="s">
        <v>7321</v>
      </c>
      <c r="N174" s="7"/>
      <c r="O174" s="7"/>
      <c r="P174" s="29"/>
      <c r="Q174" s="10"/>
      <c r="R174" s="10"/>
      <c r="S174" s="35"/>
      <c r="T174" s="29"/>
      <c r="U174" s="10"/>
      <c r="V174" s="10"/>
      <c r="W174" s="10"/>
      <c r="X174" s="10"/>
      <c r="Y174" s="10"/>
      <c r="Z174" s="10"/>
      <c r="AA174" s="10"/>
      <c r="AB174" s="39"/>
      <c r="AC174" s="37"/>
      <c r="AD174" s="8"/>
      <c r="AE174" s="26"/>
      <c r="AF174" s="24">
        <f t="shared" si="9"/>
        <v>0</v>
      </c>
      <c r="AG174" s="24">
        <f t="shared" si="10"/>
        <v>0</v>
      </c>
      <c r="AH174" s="24">
        <f t="shared" si="11"/>
        <v>0</v>
      </c>
      <c r="AI174" s="41" t="str" cm="1">
        <f t="array" ref="AI174">_xlfn.IFS(
SUM(AF174:AH174)=0,"Not Started",
SUM(AF174:AH174)&lt;15,"In Progress",
SUM(AF174:AH174)=15,"Completed",
SUM(AF174:AH174)&gt;15,"Error"
)</f>
        <v>Not Started</v>
      </c>
    </row>
    <row r="175" spans="1:35" ht="13" x14ac:dyDescent="0.25">
      <c r="A175" s="7"/>
      <c r="B175" s="7" t="s">
        <v>2232</v>
      </c>
      <c r="C175" s="7" t="s">
        <v>6863</v>
      </c>
      <c r="D175" s="7" t="s">
        <v>7062</v>
      </c>
      <c r="E175" s="7" t="s">
        <v>43</v>
      </c>
      <c r="F175" s="7" t="s">
        <v>48</v>
      </c>
      <c r="G175" s="7" t="s">
        <v>9666</v>
      </c>
      <c r="H175" s="7" t="s">
        <v>9666</v>
      </c>
      <c r="I175" s="7" t="s">
        <v>9612</v>
      </c>
      <c r="J175" s="7" t="s">
        <v>9613</v>
      </c>
      <c r="K175" s="7" t="str">
        <f t="shared" si="8"/>
        <v>25.431464,49.627853</v>
      </c>
      <c r="L175" s="7" t="s">
        <v>7322</v>
      </c>
      <c r="M175" s="49" t="s">
        <v>7323</v>
      </c>
      <c r="N175" s="7"/>
      <c r="O175" s="7"/>
      <c r="P175" s="29"/>
      <c r="Q175" s="10"/>
      <c r="R175" s="10"/>
      <c r="S175" s="35"/>
      <c r="T175" s="29"/>
      <c r="U175" s="10"/>
      <c r="V175" s="10"/>
      <c r="W175" s="10"/>
      <c r="X175" s="10"/>
      <c r="Y175" s="10"/>
      <c r="Z175" s="10"/>
      <c r="AA175" s="10"/>
      <c r="AB175" s="39"/>
      <c r="AC175" s="37"/>
      <c r="AD175" s="8"/>
      <c r="AE175" s="26"/>
      <c r="AF175" s="24">
        <f t="shared" si="9"/>
        <v>0</v>
      </c>
      <c r="AG175" s="24">
        <f t="shared" si="10"/>
        <v>0</v>
      </c>
      <c r="AH175" s="24">
        <f t="shared" si="11"/>
        <v>0</v>
      </c>
      <c r="AI175" s="41" t="str" cm="1">
        <f t="array" ref="AI175">_xlfn.IFS(
SUM(AF175:AH175)=0,"Not Started",
SUM(AF175:AH175)&lt;15,"In Progress",
SUM(AF175:AH175)=15,"Completed",
SUM(AF175:AH175)&gt;15,"Error"
)</f>
        <v>Not Started</v>
      </c>
    </row>
    <row r="176" spans="1:35" ht="13" x14ac:dyDescent="0.25">
      <c r="A176" s="7"/>
      <c r="B176" s="7" t="s">
        <v>2233</v>
      </c>
      <c r="C176" s="7" t="s">
        <v>6864</v>
      </c>
      <c r="D176" s="7" t="s">
        <v>7063</v>
      </c>
      <c r="E176" s="7" t="s">
        <v>43</v>
      </c>
      <c r="F176" s="7" t="s">
        <v>48</v>
      </c>
      <c r="G176" s="7" t="s">
        <v>9666</v>
      </c>
      <c r="H176" s="7" t="s">
        <v>9666</v>
      </c>
      <c r="I176" s="7" t="s">
        <v>9614</v>
      </c>
      <c r="J176" s="7" t="s">
        <v>9615</v>
      </c>
      <c r="K176" s="7" t="str">
        <f t="shared" si="8"/>
        <v>25.433045,49.626449</v>
      </c>
      <c r="L176" s="7" t="s">
        <v>7324</v>
      </c>
      <c r="M176" s="49" t="s">
        <v>7325</v>
      </c>
      <c r="N176" s="7"/>
      <c r="O176" s="7"/>
      <c r="P176" s="29"/>
      <c r="Q176" s="10"/>
      <c r="R176" s="10"/>
      <c r="S176" s="35"/>
      <c r="T176" s="29"/>
      <c r="U176" s="10"/>
      <c r="V176" s="10"/>
      <c r="W176" s="10"/>
      <c r="X176" s="10"/>
      <c r="Y176" s="10"/>
      <c r="Z176" s="10"/>
      <c r="AA176" s="10"/>
      <c r="AB176" s="35"/>
      <c r="AC176" s="37"/>
      <c r="AD176" s="8"/>
      <c r="AE176" s="26"/>
      <c r="AF176" s="24">
        <f t="shared" si="9"/>
        <v>0</v>
      </c>
      <c r="AG176" s="24">
        <f t="shared" si="10"/>
        <v>0</v>
      </c>
      <c r="AH176" s="24">
        <f t="shared" si="11"/>
        <v>0</v>
      </c>
      <c r="AI176" s="41" t="str" cm="1">
        <f t="array" ref="AI176">_xlfn.IFS(
SUM(AF176:AH176)=0,"Not Started",
SUM(AF176:AH176)&lt;15,"In Progress",
SUM(AF176:AH176)=15,"Completed",
SUM(AF176:AH176)&gt;15,"Error"
)</f>
        <v>Not Started</v>
      </c>
    </row>
    <row r="177" spans="1:35" ht="13" x14ac:dyDescent="0.25">
      <c r="A177" s="7"/>
      <c r="B177" s="7" t="s">
        <v>2234</v>
      </c>
      <c r="C177" s="7" t="s">
        <v>6865</v>
      </c>
      <c r="D177" s="7" t="s">
        <v>7064</v>
      </c>
      <c r="E177" s="7" t="s">
        <v>47</v>
      </c>
      <c r="F177" s="7" t="s">
        <v>48</v>
      </c>
      <c r="G177" s="7" t="s">
        <v>9666</v>
      </c>
      <c r="H177" s="7" t="s">
        <v>9666</v>
      </c>
      <c r="I177" s="7" t="s">
        <v>9616</v>
      </c>
      <c r="J177" s="7" t="s">
        <v>9617</v>
      </c>
      <c r="K177" s="7" t="str">
        <f t="shared" si="8"/>
        <v>25.437106,49.670893</v>
      </c>
      <c r="L177" s="7" t="s">
        <v>7326</v>
      </c>
      <c r="M177" s="49" t="s">
        <v>7327</v>
      </c>
      <c r="N177" s="7"/>
      <c r="O177" s="7"/>
      <c r="P177" s="29"/>
      <c r="Q177" s="10"/>
      <c r="R177" s="10"/>
      <c r="S177" s="35"/>
      <c r="T177" s="29"/>
      <c r="U177" s="10"/>
      <c r="V177" s="10"/>
      <c r="W177" s="10"/>
      <c r="X177" s="10"/>
      <c r="Y177" s="10"/>
      <c r="Z177" s="10"/>
      <c r="AA177" s="10"/>
      <c r="AB177" s="39"/>
      <c r="AC177" s="37"/>
      <c r="AD177" s="8"/>
      <c r="AE177" s="26"/>
      <c r="AF177" s="24">
        <f t="shared" si="9"/>
        <v>0</v>
      </c>
      <c r="AG177" s="24">
        <f t="shared" si="10"/>
        <v>0</v>
      </c>
      <c r="AH177" s="24">
        <f t="shared" si="11"/>
        <v>0</v>
      </c>
      <c r="AI177" s="41" t="str" cm="1">
        <f t="array" ref="AI177">_xlfn.IFS(
SUM(AF177:AH177)=0,"Not Started",
SUM(AF177:AH177)&lt;15,"In Progress",
SUM(AF177:AH177)=15,"Completed",
SUM(AF177:AH177)&gt;15,"Error"
)</f>
        <v>Not Started</v>
      </c>
    </row>
    <row r="178" spans="1:35" ht="13" x14ac:dyDescent="0.25">
      <c r="A178" s="7"/>
      <c r="B178" s="7" t="s">
        <v>2235</v>
      </c>
      <c r="C178" s="7" t="s">
        <v>6866</v>
      </c>
      <c r="D178" s="7" t="s">
        <v>7065</v>
      </c>
      <c r="E178" s="7" t="s">
        <v>47</v>
      </c>
      <c r="F178" s="7" t="s">
        <v>48</v>
      </c>
      <c r="G178" s="7" t="s">
        <v>9666</v>
      </c>
      <c r="H178" s="7" t="s">
        <v>9666</v>
      </c>
      <c r="I178" s="7" t="s">
        <v>9618</v>
      </c>
      <c r="J178" s="7" t="s">
        <v>9619</v>
      </c>
      <c r="K178" s="7" t="str">
        <f t="shared" si="8"/>
        <v>25.440756,49.651997</v>
      </c>
      <c r="L178" s="7" t="s">
        <v>7328</v>
      </c>
      <c r="M178" s="49" t="s">
        <v>7329</v>
      </c>
      <c r="N178" s="7"/>
      <c r="O178" s="7"/>
      <c r="P178" s="29"/>
      <c r="Q178" s="10"/>
      <c r="R178" s="10"/>
      <c r="S178" s="35"/>
      <c r="T178" s="29"/>
      <c r="U178" s="10"/>
      <c r="V178" s="10"/>
      <c r="W178" s="10"/>
      <c r="X178" s="10"/>
      <c r="Y178" s="10"/>
      <c r="Z178" s="10"/>
      <c r="AA178" s="10"/>
      <c r="AB178" s="39"/>
      <c r="AC178" s="37"/>
      <c r="AD178" s="8"/>
      <c r="AE178" s="26"/>
      <c r="AF178" s="24">
        <f t="shared" si="9"/>
        <v>0</v>
      </c>
      <c r="AG178" s="24">
        <f t="shared" si="10"/>
        <v>0</v>
      </c>
      <c r="AH178" s="24">
        <f t="shared" si="11"/>
        <v>0</v>
      </c>
      <c r="AI178" s="41" t="str" cm="1">
        <f t="array" ref="AI178">_xlfn.IFS(
SUM(AF178:AH178)=0,"Not Started",
SUM(AF178:AH178)&lt;15,"In Progress",
SUM(AF178:AH178)=15,"Completed",
SUM(AF178:AH178)&gt;15,"Error"
)</f>
        <v>Not Started</v>
      </c>
    </row>
    <row r="179" spans="1:35" ht="13" x14ac:dyDescent="0.25">
      <c r="A179" s="7"/>
      <c r="B179" s="7" t="s">
        <v>2236</v>
      </c>
      <c r="C179" s="7" t="s">
        <v>6867</v>
      </c>
      <c r="D179" s="7" t="s">
        <v>7066</v>
      </c>
      <c r="E179" s="7" t="s">
        <v>47</v>
      </c>
      <c r="F179" s="7" t="s">
        <v>48</v>
      </c>
      <c r="G179" s="7" t="s">
        <v>9666</v>
      </c>
      <c r="H179" s="7" t="s">
        <v>9666</v>
      </c>
      <c r="I179" s="7" t="s">
        <v>9620</v>
      </c>
      <c r="J179" s="7" t="s">
        <v>9621</v>
      </c>
      <c r="K179" s="7" t="str">
        <f t="shared" si="8"/>
        <v>25.515266,49.55542</v>
      </c>
      <c r="L179" s="7" t="s">
        <v>7330</v>
      </c>
      <c r="M179" s="49" t="s">
        <v>7331</v>
      </c>
      <c r="N179" s="7"/>
      <c r="O179" s="7"/>
      <c r="P179" s="29"/>
      <c r="Q179" s="10"/>
      <c r="R179" s="10"/>
      <c r="S179" s="35"/>
      <c r="T179" s="29"/>
      <c r="U179" s="10"/>
      <c r="V179" s="10"/>
      <c r="W179" s="10"/>
      <c r="X179" s="10"/>
      <c r="Y179" s="10"/>
      <c r="Z179" s="10"/>
      <c r="AA179" s="10"/>
      <c r="AB179" s="35"/>
      <c r="AC179" s="37"/>
      <c r="AD179" s="8"/>
      <c r="AE179" s="26"/>
      <c r="AF179" s="24">
        <f t="shared" si="9"/>
        <v>0</v>
      </c>
      <c r="AG179" s="24">
        <f t="shared" si="10"/>
        <v>0</v>
      </c>
      <c r="AH179" s="24">
        <f t="shared" si="11"/>
        <v>0</v>
      </c>
      <c r="AI179" s="41" t="str" cm="1">
        <f t="array" ref="AI179">_xlfn.IFS(
SUM(AF179:AH179)=0,"Not Started",
SUM(AF179:AH179)&lt;15,"In Progress",
SUM(AF179:AH179)=15,"Completed",
SUM(AF179:AH179)&gt;15,"Error"
)</f>
        <v>Not Started</v>
      </c>
    </row>
    <row r="180" spans="1:35" ht="13" x14ac:dyDescent="0.25">
      <c r="A180" s="7"/>
      <c r="B180" s="7" t="s">
        <v>2237</v>
      </c>
      <c r="C180" s="7" t="s">
        <v>6868</v>
      </c>
      <c r="D180" s="7" t="s">
        <v>7067</v>
      </c>
      <c r="E180" s="7" t="s">
        <v>43</v>
      </c>
      <c r="F180" s="7" t="s">
        <v>48</v>
      </c>
      <c r="G180" s="7" t="s">
        <v>9666</v>
      </c>
      <c r="H180" s="7" t="s">
        <v>9666</v>
      </c>
      <c r="I180" s="7" t="s">
        <v>9622</v>
      </c>
      <c r="J180" s="7" t="s">
        <v>9623</v>
      </c>
      <c r="K180" s="7" t="str">
        <f t="shared" si="8"/>
        <v>25.515066,49.553095</v>
      </c>
      <c r="L180" s="7" t="s">
        <v>7332</v>
      </c>
      <c r="M180" s="49" t="s">
        <v>7333</v>
      </c>
      <c r="N180" s="7"/>
      <c r="O180" s="7"/>
      <c r="P180" s="29"/>
      <c r="Q180" s="10"/>
      <c r="R180" s="10"/>
      <c r="S180" s="35"/>
      <c r="T180" s="29"/>
      <c r="U180" s="10"/>
      <c r="V180" s="10"/>
      <c r="W180" s="10"/>
      <c r="X180" s="10"/>
      <c r="Y180" s="10"/>
      <c r="Z180" s="10"/>
      <c r="AA180" s="10"/>
      <c r="AB180" s="35"/>
      <c r="AC180" s="37"/>
      <c r="AD180" s="8"/>
      <c r="AE180" s="26"/>
      <c r="AF180" s="24">
        <f t="shared" si="9"/>
        <v>0</v>
      </c>
      <c r="AG180" s="24">
        <f t="shared" si="10"/>
        <v>0</v>
      </c>
      <c r="AH180" s="24">
        <f t="shared" si="11"/>
        <v>0</v>
      </c>
      <c r="AI180" s="41" t="str" cm="1">
        <f t="array" ref="AI180">_xlfn.IFS(
SUM(AF180:AH180)=0,"Not Started",
SUM(AF180:AH180)&lt;15,"In Progress",
SUM(AF180:AH180)=15,"Completed",
SUM(AF180:AH180)&gt;15,"Error"
)</f>
        <v>Not Started</v>
      </c>
    </row>
    <row r="181" spans="1:35" ht="13" x14ac:dyDescent="0.25">
      <c r="A181" s="7"/>
      <c r="B181" s="7" t="s">
        <v>2238</v>
      </c>
      <c r="C181" s="7" t="s">
        <v>6869</v>
      </c>
      <c r="D181" s="7" t="s">
        <v>7068</v>
      </c>
      <c r="E181" s="7" t="s">
        <v>47</v>
      </c>
      <c r="F181" s="7" t="s">
        <v>48</v>
      </c>
      <c r="G181" s="7" t="s">
        <v>9666</v>
      </c>
      <c r="H181" s="7" t="s">
        <v>9666</v>
      </c>
      <c r="I181" s="7" t="s">
        <v>9624</v>
      </c>
      <c r="J181" s="7" t="s">
        <v>9625</v>
      </c>
      <c r="K181" s="7" t="str">
        <f t="shared" si="8"/>
        <v>25.516046,49.548723</v>
      </c>
      <c r="L181" s="7" t="s">
        <v>7334</v>
      </c>
      <c r="M181" s="49" t="s">
        <v>7335</v>
      </c>
      <c r="N181" s="7"/>
      <c r="O181" s="7"/>
      <c r="P181" s="29"/>
      <c r="Q181" s="10"/>
      <c r="R181" s="10"/>
      <c r="S181" s="35"/>
      <c r="T181" s="29"/>
      <c r="U181" s="10"/>
      <c r="V181" s="10"/>
      <c r="W181" s="10"/>
      <c r="X181" s="10"/>
      <c r="Y181" s="10"/>
      <c r="Z181" s="10"/>
      <c r="AA181" s="10"/>
      <c r="AB181" s="35"/>
      <c r="AC181" s="37"/>
      <c r="AD181" s="8"/>
      <c r="AE181" s="26"/>
      <c r="AF181" s="24">
        <f t="shared" si="9"/>
        <v>0</v>
      </c>
      <c r="AG181" s="24">
        <f t="shared" si="10"/>
        <v>0</v>
      </c>
      <c r="AH181" s="24">
        <f t="shared" si="11"/>
        <v>0</v>
      </c>
      <c r="AI181" s="41" t="str" cm="1">
        <f t="array" ref="AI181">_xlfn.IFS(
SUM(AF181:AH181)=0,"Not Started",
SUM(AF181:AH181)&lt;15,"In Progress",
SUM(AF181:AH181)=15,"Completed",
SUM(AF181:AH181)&gt;15,"Error"
)</f>
        <v>Not Started</v>
      </c>
    </row>
    <row r="182" spans="1:35" ht="13" x14ac:dyDescent="0.25">
      <c r="A182" s="7"/>
      <c r="B182" s="7" t="s">
        <v>2239</v>
      </c>
      <c r="C182" s="7" t="s">
        <v>6870</v>
      </c>
      <c r="D182" s="7" t="s">
        <v>7069</v>
      </c>
      <c r="E182" s="7" t="s">
        <v>47</v>
      </c>
      <c r="F182" s="7" t="s">
        <v>48</v>
      </c>
      <c r="G182" s="7" t="s">
        <v>9666</v>
      </c>
      <c r="H182" s="7" t="s">
        <v>9666</v>
      </c>
      <c r="I182" s="7" t="s">
        <v>9626</v>
      </c>
      <c r="J182" s="7" t="s">
        <v>9627</v>
      </c>
      <c r="K182" s="7" t="str">
        <f t="shared" si="8"/>
        <v>25.467887,49.616161</v>
      </c>
      <c r="L182" s="7" t="s">
        <v>7336</v>
      </c>
      <c r="M182" s="49" t="s">
        <v>7337</v>
      </c>
      <c r="N182" s="7"/>
      <c r="O182" s="7"/>
      <c r="P182" s="29"/>
      <c r="Q182" s="10"/>
      <c r="R182" s="10"/>
      <c r="S182" s="35"/>
      <c r="T182" s="29"/>
      <c r="U182" s="10"/>
      <c r="V182" s="10"/>
      <c r="W182" s="10"/>
      <c r="X182" s="10"/>
      <c r="Y182" s="10"/>
      <c r="Z182" s="10"/>
      <c r="AA182" s="10"/>
      <c r="AB182" s="35"/>
      <c r="AC182" s="37"/>
      <c r="AD182" s="8"/>
      <c r="AE182" s="26"/>
      <c r="AF182" s="24">
        <f t="shared" si="9"/>
        <v>0</v>
      </c>
      <c r="AG182" s="24">
        <f t="shared" si="10"/>
        <v>0</v>
      </c>
      <c r="AH182" s="24">
        <f t="shared" si="11"/>
        <v>0</v>
      </c>
      <c r="AI182" s="41" t="str" cm="1">
        <f t="array" ref="AI182">_xlfn.IFS(
SUM(AF182:AH182)=0,"Not Started",
SUM(AF182:AH182)&lt;15,"In Progress",
SUM(AF182:AH182)=15,"Completed",
SUM(AF182:AH182)&gt;15,"Error"
)</f>
        <v>Not Started</v>
      </c>
    </row>
    <row r="183" spans="1:35" ht="13" x14ac:dyDescent="0.25">
      <c r="A183" s="7"/>
      <c r="B183" s="7" t="s">
        <v>2240</v>
      </c>
      <c r="C183" s="7" t="s">
        <v>6871</v>
      </c>
      <c r="D183" s="7" t="s">
        <v>7070</v>
      </c>
      <c r="E183" s="7" t="s">
        <v>43</v>
      </c>
      <c r="F183" s="7" t="s">
        <v>48</v>
      </c>
      <c r="G183" s="7" t="s">
        <v>9666</v>
      </c>
      <c r="H183" s="7" t="s">
        <v>9666</v>
      </c>
      <c r="I183" s="7" t="s">
        <v>9628</v>
      </c>
      <c r="J183" s="7" t="s">
        <v>9629</v>
      </c>
      <c r="K183" s="7" t="str">
        <f t="shared" si="8"/>
        <v>25.4183829,49.5759344</v>
      </c>
      <c r="L183" s="7" t="s">
        <v>7338</v>
      </c>
      <c r="M183" s="49" t="s">
        <v>7339</v>
      </c>
      <c r="N183" s="7"/>
      <c r="O183" s="7"/>
      <c r="P183" s="29"/>
      <c r="Q183" s="10"/>
      <c r="R183" s="10"/>
      <c r="S183" s="35"/>
      <c r="T183" s="29"/>
      <c r="U183" s="10"/>
      <c r="V183" s="10"/>
      <c r="W183" s="10"/>
      <c r="X183" s="10"/>
      <c r="Y183" s="10"/>
      <c r="Z183" s="10"/>
      <c r="AA183" s="10"/>
      <c r="AB183" s="35"/>
      <c r="AC183" s="37"/>
      <c r="AD183" s="8"/>
      <c r="AE183" s="26"/>
      <c r="AF183" s="24">
        <f t="shared" si="9"/>
        <v>0</v>
      </c>
      <c r="AG183" s="24">
        <f t="shared" si="10"/>
        <v>0</v>
      </c>
      <c r="AH183" s="24">
        <f t="shared" si="11"/>
        <v>0</v>
      </c>
      <c r="AI183" s="41" t="str" cm="1">
        <f t="array" ref="AI183">_xlfn.IFS(
SUM(AF183:AH183)=0,"Not Started",
SUM(AF183:AH183)&lt;15,"In Progress",
SUM(AF183:AH183)=15,"Completed",
SUM(AF183:AH183)&gt;15,"Error"
)</f>
        <v>Not Started</v>
      </c>
    </row>
    <row r="184" spans="1:35" ht="13" x14ac:dyDescent="0.25">
      <c r="A184" s="7"/>
      <c r="B184" s="7" t="s">
        <v>2241</v>
      </c>
      <c r="C184" s="7" t="s">
        <v>6872</v>
      </c>
      <c r="D184" s="7" t="s">
        <v>7071</v>
      </c>
      <c r="E184" s="7" t="s">
        <v>51</v>
      </c>
      <c r="F184" s="7" t="s">
        <v>48</v>
      </c>
      <c r="G184" s="7" t="s">
        <v>9666</v>
      </c>
      <c r="H184" s="7" t="s">
        <v>9666</v>
      </c>
      <c r="I184" s="7" t="s">
        <v>9630</v>
      </c>
      <c r="J184" s="7" t="s">
        <v>9631</v>
      </c>
      <c r="K184" s="7" t="str">
        <f t="shared" si="8"/>
        <v>25.3097229,49.585513</v>
      </c>
      <c r="L184" s="7" t="s">
        <v>7340</v>
      </c>
      <c r="M184" s="49" t="s">
        <v>7341</v>
      </c>
      <c r="N184" s="7"/>
      <c r="O184" s="7"/>
      <c r="P184" s="29"/>
      <c r="Q184" s="10"/>
      <c r="R184" s="10"/>
      <c r="S184" s="35"/>
      <c r="T184" s="29"/>
      <c r="U184" s="10"/>
      <c r="V184" s="10"/>
      <c r="W184" s="10"/>
      <c r="X184" s="10"/>
      <c r="Y184" s="10"/>
      <c r="Z184" s="8"/>
      <c r="AA184" s="10"/>
      <c r="AB184" s="39"/>
      <c r="AC184" s="37"/>
      <c r="AD184" s="8"/>
      <c r="AE184" s="26"/>
      <c r="AF184" s="24">
        <f t="shared" si="9"/>
        <v>0</v>
      </c>
      <c r="AG184" s="24">
        <f t="shared" si="10"/>
        <v>0</v>
      </c>
      <c r="AH184" s="24">
        <f t="shared" si="11"/>
        <v>0</v>
      </c>
      <c r="AI184" s="41" t="str" cm="1">
        <f t="array" ref="AI184">_xlfn.IFS(
SUM(AF184:AH184)=0,"Not Started",
SUM(AF184:AH184)&lt;15,"In Progress",
SUM(AF184:AH184)=15,"Completed",
SUM(AF184:AH184)&gt;15,"Error"
)</f>
        <v>Not Started</v>
      </c>
    </row>
    <row r="185" spans="1:35" ht="13" x14ac:dyDescent="0.25">
      <c r="A185" s="7"/>
      <c r="B185" s="7" t="s">
        <v>2242</v>
      </c>
      <c r="C185" s="7" t="s">
        <v>6873</v>
      </c>
      <c r="D185" s="7" t="s">
        <v>7072</v>
      </c>
      <c r="E185" s="7"/>
      <c r="F185" s="7" t="s">
        <v>48</v>
      </c>
      <c r="G185" s="7" t="s">
        <v>9666</v>
      </c>
      <c r="H185" s="7" t="s">
        <v>9666</v>
      </c>
      <c r="I185" s="7" t="s">
        <v>9632</v>
      </c>
      <c r="J185" s="7" t="s">
        <v>9633</v>
      </c>
      <c r="K185" s="7" t="str">
        <f t="shared" si="8"/>
        <v>25.3683486,49.590538</v>
      </c>
      <c r="L185" s="7" t="s">
        <v>7342</v>
      </c>
      <c r="M185" s="49" t="s">
        <v>7343</v>
      </c>
      <c r="N185" s="7"/>
      <c r="O185" s="7"/>
      <c r="P185" s="29"/>
      <c r="Q185" s="10"/>
      <c r="R185" s="10"/>
      <c r="S185" s="35"/>
      <c r="T185" s="29"/>
      <c r="U185" s="10"/>
      <c r="V185" s="10"/>
      <c r="W185" s="10"/>
      <c r="X185" s="10"/>
      <c r="Y185" s="10"/>
      <c r="Z185" s="8"/>
      <c r="AA185" s="10"/>
      <c r="AB185" s="39"/>
      <c r="AC185" s="37"/>
      <c r="AD185" s="8"/>
      <c r="AE185" s="26"/>
      <c r="AF185" s="24">
        <f t="shared" si="9"/>
        <v>0</v>
      </c>
      <c r="AG185" s="24">
        <f t="shared" si="10"/>
        <v>0</v>
      </c>
      <c r="AH185" s="24">
        <f t="shared" si="11"/>
        <v>0</v>
      </c>
      <c r="AI185" s="41" t="str" cm="1">
        <f t="array" ref="AI185">_xlfn.IFS(
SUM(AF185:AH185)=0,"Not Started",
SUM(AF185:AH185)&lt;15,"In Progress",
SUM(AF185:AH185)=15,"Completed",
SUM(AF185:AH185)&gt;15,"Error"
)</f>
        <v>Not Started</v>
      </c>
    </row>
    <row r="186" spans="1:35" ht="14.5" customHeight="1" x14ac:dyDescent="0.25">
      <c r="A186" s="7"/>
      <c r="B186" s="7" t="s">
        <v>2243</v>
      </c>
      <c r="C186" s="7" t="s">
        <v>6874</v>
      </c>
      <c r="D186" s="7" t="s">
        <v>7073</v>
      </c>
      <c r="E186" s="7" t="s">
        <v>43</v>
      </c>
      <c r="F186" s="7" t="s">
        <v>48</v>
      </c>
      <c r="G186" s="7" t="s">
        <v>9666</v>
      </c>
      <c r="H186" s="7" t="s">
        <v>9666</v>
      </c>
      <c r="I186" s="7" t="s">
        <v>9634</v>
      </c>
      <c r="J186" s="7" t="s">
        <v>9635</v>
      </c>
      <c r="K186" s="7" t="str">
        <f t="shared" si="8"/>
        <v>25.4155388,49.7193226</v>
      </c>
      <c r="L186" s="7" t="s">
        <v>7344</v>
      </c>
      <c r="M186" s="49" t="s">
        <v>7345</v>
      </c>
      <c r="N186" s="7"/>
      <c r="O186" s="7"/>
      <c r="P186" s="29"/>
      <c r="Q186" s="10"/>
      <c r="R186" s="10"/>
      <c r="S186" s="35"/>
      <c r="T186" s="29"/>
      <c r="U186" s="10"/>
      <c r="V186" s="10"/>
      <c r="W186" s="10"/>
      <c r="X186" s="10"/>
      <c r="Y186" s="10"/>
      <c r="Z186" s="8"/>
      <c r="AA186" s="10"/>
      <c r="AB186" s="39"/>
      <c r="AC186" s="37"/>
      <c r="AD186" s="8"/>
      <c r="AE186" s="26"/>
      <c r="AF186" s="24">
        <f t="shared" si="9"/>
        <v>0</v>
      </c>
      <c r="AG186" s="24">
        <f t="shared" si="10"/>
        <v>0</v>
      </c>
      <c r="AH186" s="24">
        <f t="shared" si="11"/>
        <v>0</v>
      </c>
      <c r="AI186" s="41" t="str" cm="1">
        <f t="array" ref="AI186">_xlfn.IFS(
SUM(AF186:AH186)=0,"Not Started",
SUM(AF186:AH186)&lt;15,"In Progress",
SUM(AF186:AH186)=15,"Completed",
SUM(AF186:AH186)&gt;15,"Error"
)</f>
        <v>Not Started</v>
      </c>
    </row>
    <row r="187" spans="1:35" ht="14.5" customHeight="1" x14ac:dyDescent="0.25">
      <c r="A187" s="7"/>
      <c r="B187" s="7" t="s">
        <v>2244</v>
      </c>
      <c r="C187" s="7" t="s">
        <v>8886</v>
      </c>
      <c r="D187" s="7" t="s">
        <v>8885</v>
      </c>
      <c r="E187" s="7"/>
      <c r="F187" s="7"/>
      <c r="G187" s="7" t="s">
        <v>9666</v>
      </c>
      <c r="H187" s="7" t="s">
        <v>9666</v>
      </c>
      <c r="I187" s="7"/>
      <c r="J187" s="7"/>
      <c r="K187" s="7" t="str">
        <f t="shared" si="8"/>
        <v>,</v>
      </c>
      <c r="L187" s="7"/>
      <c r="M187" s="32"/>
      <c r="N187" s="7"/>
      <c r="O187" s="7"/>
      <c r="P187" s="29"/>
      <c r="Q187" s="10"/>
      <c r="R187" s="10"/>
      <c r="S187" s="35"/>
      <c r="T187" s="29"/>
      <c r="U187" s="10"/>
      <c r="V187" s="10"/>
      <c r="W187" s="10"/>
      <c r="X187" s="10"/>
      <c r="Y187" s="10"/>
      <c r="Z187" s="10"/>
      <c r="AA187" s="10"/>
      <c r="AB187" s="35"/>
      <c r="AC187" s="37"/>
      <c r="AD187" s="8"/>
      <c r="AE187" s="26"/>
      <c r="AF187" s="24">
        <f t="shared" si="9"/>
        <v>0</v>
      </c>
      <c r="AG187" s="24">
        <f t="shared" si="10"/>
        <v>0</v>
      </c>
      <c r="AH187" s="24">
        <f t="shared" si="11"/>
        <v>0</v>
      </c>
      <c r="AI187" s="41" t="str" cm="1">
        <f t="array" ref="AI187">_xlfn.IFS(
SUM(AF187:AH187)=0,"Not Started",
SUM(AF187:AH187)&lt;15,"In Progress",
SUM(AF187:AH187)=15,"Completed",
SUM(AF187:AH187)&gt;15,"Error"
)</f>
        <v>Not Started</v>
      </c>
    </row>
    <row r="188" spans="1:35" ht="13" x14ac:dyDescent="0.25">
      <c r="A188" s="7"/>
      <c r="B188" s="7" t="s">
        <v>2245</v>
      </c>
      <c r="C188" s="7" t="s">
        <v>6875</v>
      </c>
      <c r="D188" s="7" t="s">
        <v>7074</v>
      </c>
      <c r="E188" s="7" t="s">
        <v>43</v>
      </c>
      <c r="F188" s="7" t="s">
        <v>44</v>
      </c>
      <c r="G188" s="7" t="s">
        <v>9666</v>
      </c>
      <c r="H188" s="7" t="s">
        <v>9666</v>
      </c>
      <c r="I188" s="7" t="s">
        <v>9636</v>
      </c>
      <c r="J188" s="7" t="s">
        <v>9637</v>
      </c>
      <c r="K188" s="7" t="str">
        <f t="shared" si="8"/>
        <v>25.3261061,49.5726728</v>
      </c>
      <c r="L188" s="7" t="s">
        <v>7346</v>
      </c>
      <c r="M188" s="32" t="s">
        <v>7347</v>
      </c>
      <c r="N188" s="7"/>
      <c r="O188" s="7"/>
      <c r="P188" s="29"/>
      <c r="Q188" s="10"/>
      <c r="R188" s="10"/>
      <c r="S188" s="35"/>
      <c r="T188" s="29"/>
      <c r="U188" s="10"/>
      <c r="V188" s="10"/>
      <c r="W188" s="10"/>
      <c r="X188" s="10"/>
      <c r="Y188" s="10"/>
      <c r="Z188" s="8"/>
      <c r="AA188" s="10"/>
      <c r="AB188" s="39"/>
      <c r="AC188" s="37"/>
      <c r="AD188" s="8"/>
      <c r="AE188" s="26"/>
      <c r="AF188" s="24">
        <f t="shared" si="9"/>
        <v>0</v>
      </c>
      <c r="AG188" s="24">
        <f t="shared" si="10"/>
        <v>0</v>
      </c>
      <c r="AH188" s="24">
        <f t="shared" si="11"/>
        <v>0</v>
      </c>
      <c r="AI188" s="41" t="str" cm="1">
        <f t="array" ref="AI188">_xlfn.IFS(
SUM(AF188:AH188)=0,"Not Started",
SUM(AF188:AH188)&lt;15,"In Progress",
SUM(AF188:AH188)=15,"Completed",
SUM(AF188:AH188)&gt;15,"Error"
)</f>
        <v>Not Started</v>
      </c>
    </row>
    <row r="189" spans="1:35" ht="13" x14ac:dyDescent="0.25">
      <c r="A189" s="7"/>
      <c r="B189" s="7" t="s">
        <v>2246</v>
      </c>
      <c r="C189" s="7" t="s">
        <v>6876</v>
      </c>
      <c r="D189" s="7" t="s">
        <v>7075</v>
      </c>
      <c r="E189" s="7" t="s">
        <v>51</v>
      </c>
      <c r="F189" s="7" t="s">
        <v>48</v>
      </c>
      <c r="G189" s="7" t="s">
        <v>9666</v>
      </c>
      <c r="H189" s="7" t="s">
        <v>9666</v>
      </c>
      <c r="I189" s="7" t="s">
        <v>9638</v>
      </c>
      <c r="J189" s="7" t="s">
        <v>9639</v>
      </c>
      <c r="K189" s="7" t="str">
        <f t="shared" si="8"/>
        <v>25.2620091,49.6898416</v>
      </c>
      <c r="L189" s="7" t="s">
        <v>7348</v>
      </c>
      <c r="M189" s="32" t="s">
        <v>7349</v>
      </c>
      <c r="N189" s="7"/>
      <c r="O189" s="7"/>
      <c r="P189" s="29"/>
      <c r="Q189" s="10"/>
      <c r="R189" s="10"/>
      <c r="S189" s="35"/>
      <c r="T189" s="29"/>
      <c r="U189" s="10"/>
      <c r="V189" s="10"/>
      <c r="W189" s="10"/>
      <c r="X189" s="10"/>
      <c r="Y189" s="10"/>
      <c r="Z189" s="8"/>
      <c r="AA189" s="10"/>
      <c r="AB189" s="39"/>
      <c r="AC189" s="37"/>
      <c r="AD189" s="8"/>
      <c r="AE189" s="26"/>
      <c r="AF189" s="24">
        <f t="shared" si="9"/>
        <v>0</v>
      </c>
      <c r="AG189" s="24">
        <f t="shared" si="10"/>
        <v>0</v>
      </c>
      <c r="AH189" s="24">
        <f t="shared" si="11"/>
        <v>0</v>
      </c>
      <c r="AI189" s="41" t="str" cm="1">
        <f t="array" ref="AI189">_xlfn.IFS(
SUM(AF189:AH189)=0,"Not Started",
SUM(AF189:AH189)&lt;15,"In Progress",
SUM(AF189:AH189)=15,"Completed",
SUM(AF189:AH189)&gt;15,"Error"
)</f>
        <v>Not Started</v>
      </c>
    </row>
    <row r="190" spans="1:35" ht="13" x14ac:dyDescent="0.25">
      <c r="A190" s="7"/>
      <c r="B190" s="7" t="s">
        <v>2247</v>
      </c>
      <c r="C190" s="7" t="s">
        <v>6877</v>
      </c>
      <c r="D190" s="7" t="s">
        <v>7076</v>
      </c>
      <c r="E190" s="7"/>
      <c r="F190" s="7" t="s">
        <v>48</v>
      </c>
      <c r="G190" s="7" t="s">
        <v>9666</v>
      </c>
      <c r="H190" s="7" t="s">
        <v>9666</v>
      </c>
      <c r="I190" s="7" t="s">
        <v>9638</v>
      </c>
      <c r="J190" s="7" t="s">
        <v>9639</v>
      </c>
      <c r="K190" s="7" t="str">
        <f t="shared" si="8"/>
        <v>25.2620091,49.6898416</v>
      </c>
      <c r="L190" s="7" t="s">
        <v>7350</v>
      </c>
      <c r="M190" s="32" t="s">
        <v>7351</v>
      </c>
      <c r="N190" s="7"/>
      <c r="O190" s="7"/>
      <c r="P190" s="29"/>
      <c r="Q190" s="10"/>
      <c r="R190" s="10"/>
      <c r="S190" s="35"/>
      <c r="T190" s="29"/>
      <c r="U190" s="10"/>
      <c r="V190" s="10"/>
      <c r="W190" s="10"/>
      <c r="X190" s="10"/>
      <c r="Y190" s="10"/>
      <c r="Z190" s="10"/>
      <c r="AA190" s="10"/>
      <c r="AB190" s="35"/>
      <c r="AC190" s="37"/>
      <c r="AD190" s="8"/>
      <c r="AE190" s="26"/>
      <c r="AF190" s="24">
        <f t="shared" si="9"/>
        <v>0</v>
      </c>
      <c r="AG190" s="24">
        <f t="shared" si="10"/>
        <v>0</v>
      </c>
      <c r="AH190" s="24">
        <f t="shared" si="11"/>
        <v>0</v>
      </c>
      <c r="AI190" s="41" t="str" cm="1">
        <f t="array" ref="AI190">_xlfn.IFS(
SUM(AF190:AH190)=0,"Not Started",
SUM(AF190:AH190)&lt;15,"In Progress",
SUM(AF190:AH190)=15,"Completed",
SUM(AF190:AH190)&gt;15,"Error"
)</f>
        <v>Not Started</v>
      </c>
    </row>
    <row r="191" spans="1:35" ht="13" x14ac:dyDescent="0.25">
      <c r="A191" s="7"/>
      <c r="B191" s="7" t="s">
        <v>2248</v>
      </c>
      <c r="C191" s="7" t="s">
        <v>6878</v>
      </c>
      <c r="D191" s="7" t="s">
        <v>7077</v>
      </c>
      <c r="E191" s="7" t="s">
        <v>51</v>
      </c>
      <c r="F191" s="7" t="s">
        <v>48</v>
      </c>
      <c r="G191" s="7" t="s">
        <v>9666</v>
      </c>
      <c r="H191" s="7" t="s">
        <v>9666</v>
      </c>
      <c r="I191" s="7" t="s">
        <v>9640</v>
      </c>
      <c r="J191" s="7" t="s">
        <v>9641</v>
      </c>
      <c r="K191" s="7" t="str">
        <f t="shared" si="8"/>
        <v>25.419263,49.551057</v>
      </c>
      <c r="L191" s="7" t="s">
        <v>7352</v>
      </c>
      <c r="M191" s="32" t="s">
        <v>7353</v>
      </c>
      <c r="N191" s="7"/>
      <c r="O191" s="7"/>
      <c r="P191" s="29"/>
      <c r="Q191" s="10"/>
      <c r="R191" s="10"/>
      <c r="S191" s="35"/>
      <c r="T191" s="29"/>
      <c r="U191" s="10"/>
      <c r="V191" s="10"/>
      <c r="W191" s="10"/>
      <c r="X191" s="10"/>
      <c r="Y191" s="10"/>
      <c r="Z191" s="8"/>
      <c r="AA191" s="10"/>
      <c r="AB191" s="39"/>
      <c r="AC191" s="37"/>
      <c r="AD191" s="8"/>
      <c r="AE191" s="26"/>
      <c r="AF191" s="24">
        <f t="shared" si="9"/>
        <v>0</v>
      </c>
      <c r="AG191" s="24">
        <f t="shared" si="10"/>
        <v>0</v>
      </c>
      <c r="AH191" s="24">
        <f t="shared" si="11"/>
        <v>0</v>
      </c>
      <c r="AI191" s="41" t="str" cm="1">
        <f t="array" ref="AI191">_xlfn.IFS(
SUM(AF191:AH191)=0,"Not Started",
SUM(AF191:AH191)&lt;15,"In Progress",
SUM(AF191:AH191)=15,"Completed",
SUM(AF191:AH191)&gt;15,"Error"
)</f>
        <v>Not Started</v>
      </c>
    </row>
    <row r="192" spans="1:35" ht="13" x14ac:dyDescent="0.25">
      <c r="A192" s="7"/>
      <c r="B192" s="7" t="s">
        <v>2249</v>
      </c>
      <c r="C192" s="7" t="s">
        <v>6879</v>
      </c>
      <c r="D192" s="7" t="s">
        <v>7078</v>
      </c>
      <c r="E192" s="7"/>
      <c r="F192" s="7" t="s">
        <v>48</v>
      </c>
      <c r="G192" s="7" t="s">
        <v>9666</v>
      </c>
      <c r="H192" s="7" t="s">
        <v>9666</v>
      </c>
      <c r="I192" s="7" t="s">
        <v>9642</v>
      </c>
      <c r="J192" s="7" t="s">
        <v>9643</v>
      </c>
      <c r="K192" s="7" t="str">
        <f t="shared" si="8"/>
        <v>25.6156067,49.5634696</v>
      </c>
      <c r="L192" s="7" t="s">
        <v>7354</v>
      </c>
      <c r="M192" s="32" t="s">
        <v>7355</v>
      </c>
      <c r="N192" s="7"/>
      <c r="O192" s="7"/>
      <c r="P192" s="29"/>
      <c r="Q192" s="10"/>
      <c r="R192" s="10"/>
      <c r="S192" s="35"/>
      <c r="T192" s="29"/>
      <c r="U192" s="10"/>
      <c r="V192" s="10"/>
      <c r="W192" s="10"/>
      <c r="X192" s="10"/>
      <c r="Y192" s="10"/>
      <c r="Z192" s="8"/>
      <c r="AA192" s="10"/>
      <c r="AB192" s="39"/>
      <c r="AC192" s="37"/>
      <c r="AD192" s="8"/>
      <c r="AE192" s="26"/>
      <c r="AF192" s="24">
        <f t="shared" si="9"/>
        <v>0</v>
      </c>
      <c r="AG192" s="24">
        <f t="shared" si="10"/>
        <v>0</v>
      </c>
      <c r="AH192" s="24">
        <f t="shared" si="11"/>
        <v>0</v>
      </c>
      <c r="AI192" s="41" t="str" cm="1">
        <f t="array" ref="AI192">_xlfn.IFS(
SUM(AF192:AH192)=0,"Not Started",
SUM(AF192:AH192)&lt;15,"In Progress",
SUM(AF192:AH192)=15,"Completed",
SUM(AF192:AH192)&gt;15,"Error"
)</f>
        <v>Not Started</v>
      </c>
    </row>
    <row r="193" spans="1:35" ht="13" x14ac:dyDescent="0.25">
      <c r="A193" s="7"/>
      <c r="B193" s="7" t="s">
        <v>2250</v>
      </c>
      <c r="C193" s="7" t="s">
        <v>6880</v>
      </c>
      <c r="D193" s="7" t="s">
        <v>7079</v>
      </c>
      <c r="E193" s="7" t="s">
        <v>47</v>
      </c>
      <c r="F193" s="7" t="s">
        <v>48</v>
      </c>
      <c r="G193" s="7" t="s">
        <v>9666</v>
      </c>
      <c r="H193" s="7" t="s">
        <v>9666</v>
      </c>
      <c r="I193" s="7" t="s">
        <v>9644</v>
      </c>
      <c r="J193" s="7" t="s">
        <v>9645</v>
      </c>
      <c r="K193" s="7" t="str">
        <f t="shared" si="8"/>
        <v>25.9331218,48.9638533</v>
      </c>
      <c r="L193" s="7" t="s">
        <v>7356</v>
      </c>
      <c r="M193" s="32" t="s">
        <v>7357</v>
      </c>
      <c r="N193" s="7"/>
      <c r="O193" s="7"/>
      <c r="P193" s="29"/>
      <c r="Q193" s="10"/>
      <c r="R193" s="10"/>
      <c r="S193" s="35"/>
      <c r="T193" s="29"/>
      <c r="U193" s="10"/>
      <c r="V193" s="10"/>
      <c r="W193" s="10"/>
      <c r="X193" s="10"/>
      <c r="Y193" s="10"/>
      <c r="Z193" s="8"/>
      <c r="AA193" s="10"/>
      <c r="AB193" s="39"/>
      <c r="AC193" s="37"/>
      <c r="AD193" s="8"/>
      <c r="AE193" s="26"/>
      <c r="AF193" s="24">
        <f t="shared" si="9"/>
        <v>0</v>
      </c>
      <c r="AG193" s="24">
        <f t="shared" si="10"/>
        <v>0</v>
      </c>
      <c r="AH193" s="24">
        <f t="shared" si="11"/>
        <v>0</v>
      </c>
      <c r="AI193" s="41" t="str" cm="1">
        <f t="array" ref="AI193">_xlfn.IFS(
SUM(AF193:AH193)=0,"Not Started",
SUM(AF193:AH193)&lt;15,"In Progress",
SUM(AF193:AH193)=15,"Completed",
SUM(AF193:AH193)&gt;15,"Error"
)</f>
        <v>Not Started</v>
      </c>
    </row>
    <row r="194" spans="1:35" ht="13" x14ac:dyDescent="0.25">
      <c r="A194" s="7"/>
      <c r="B194" s="7" t="s">
        <v>2251</v>
      </c>
      <c r="C194" s="7" t="s">
        <v>6881</v>
      </c>
      <c r="D194" s="7" t="s">
        <v>7080</v>
      </c>
      <c r="E194" s="7" t="s">
        <v>51</v>
      </c>
      <c r="F194" s="7" t="s">
        <v>48</v>
      </c>
      <c r="G194" s="7" t="s">
        <v>9666</v>
      </c>
      <c r="H194" s="7" t="s">
        <v>9666</v>
      </c>
      <c r="I194" s="7" t="s">
        <v>9646</v>
      </c>
      <c r="J194" s="7" t="s">
        <v>9647</v>
      </c>
      <c r="K194" s="7" t="str">
        <f t="shared" si="8"/>
        <v>25.484703,49.59878</v>
      </c>
      <c r="L194" s="7" t="s">
        <v>7358</v>
      </c>
      <c r="M194" s="32" t="s">
        <v>7359</v>
      </c>
      <c r="N194" s="7"/>
      <c r="O194" s="7"/>
      <c r="P194" s="29"/>
      <c r="Q194" s="10"/>
      <c r="R194" s="10"/>
      <c r="S194" s="35"/>
      <c r="T194" s="29"/>
      <c r="U194" s="10"/>
      <c r="V194" s="10"/>
      <c r="W194" s="10"/>
      <c r="X194" s="10"/>
      <c r="Y194" s="10"/>
      <c r="Z194" s="10"/>
      <c r="AA194" s="10"/>
      <c r="AB194" s="35"/>
      <c r="AC194" s="37"/>
      <c r="AD194" s="8"/>
      <c r="AE194" s="26"/>
      <c r="AF194" s="24">
        <f t="shared" si="9"/>
        <v>0</v>
      </c>
      <c r="AG194" s="24">
        <f t="shared" si="10"/>
        <v>0</v>
      </c>
      <c r="AH194" s="24">
        <f t="shared" si="11"/>
        <v>0</v>
      </c>
      <c r="AI194" s="41" t="str" cm="1">
        <f t="array" ref="AI194">_xlfn.IFS(
SUM(AF194:AH194)=0,"Not Started",
SUM(AF194:AH194)&lt;15,"In Progress",
SUM(AF194:AH194)=15,"Completed",
SUM(AF194:AH194)&gt;15,"Error"
)</f>
        <v>Not Started</v>
      </c>
    </row>
    <row r="195" spans="1:35" ht="13" x14ac:dyDescent="0.25">
      <c r="A195" s="7"/>
      <c r="B195" s="7" t="s">
        <v>2252</v>
      </c>
      <c r="C195" s="7" t="s">
        <v>6882</v>
      </c>
      <c r="D195" s="7" t="s">
        <v>7081</v>
      </c>
      <c r="E195" s="7" t="s">
        <v>43</v>
      </c>
      <c r="F195" s="7" t="s">
        <v>48</v>
      </c>
      <c r="G195" s="7" t="s">
        <v>9666</v>
      </c>
      <c r="H195" s="7" t="s">
        <v>9666</v>
      </c>
      <c r="I195" s="7" t="s">
        <v>9648</v>
      </c>
      <c r="J195" s="7" t="s">
        <v>9649</v>
      </c>
      <c r="K195" s="7" t="str">
        <f t="shared" si="8"/>
        <v>25.513752,49.620446</v>
      </c>
      <c r="L195" s="7" t="s">
        <v>7360</v>
      </c>
      <c r="M195" s="32" t="s">
        <v>7361</v>
      </c>
      <c r="N195" s="7"/>
      <c r="O195" s="7"/>
      <c r="P195" s="29"/>
      <c r="Q195" s="10"/>
      <c r="R195" s="10"/>
      <c r="S195" s="35"/>
      <c r="T195" s="29"/>
      <c r="U195" s="10"/>
      <c r="V195" s="10"/>
      <c r="W195" s="10"/>
      <c r="X195" s="10"/>
      <c r="Y195" s="10"/>
      <c r="Z195" s="8"/>
      <c r="AA195" s="10"/>
      <c r="AB195" s="39"/>
      <c r="AC195" s="37"/>
      <c r="AD195" s="8"/>
      <c r="AE195" s="26"/>
      <c r="AF195" s="24">
        <f t="shared" si="9"/>
        <v>0</v>
      </c>
      <c r="AG195" s="24">
        <f t="shared" si="10"/>
        <v>0</v>
      </c>
      <c r="AH195" s="24">
        <f t="shared" si="11"/>
        <v>0</v>
      </c>
      <c r="AI195" s="41" t="str" cm="1">
        <f t="array" ref="AI195">_xlfn.IFS(
SUM(AF195:AH195)=0,"Not Started",
SUM(AF195:AH195)&lt;15,"In Progress",
SUM(AF195:AH195)=15,"Completed",
SUM(AF195:AH195)&gt;15,"Error"
)</f>
        <v>Not Started</v>
      </c>
    </row>
    <row r="196" spans="1:35" ht="13" x14ac:dyDescent="0.25">
      <c r="A196" s="7"/>
      <c r="B196" s="7" t="s">
        <v>2253</v>
      </c>
      <c r="C196" s="7" t="s">
        <v>6883</v>
      </c>
      <c r="D196" s="7" t="s">
        <v>7082</v>
      </c>
      <c r="E196" s="7" t="s">
        <v>43</v>
      </c>
      <c r="F196" s="7" t="s">
        <v>48</v>
      </c>
      <c r="G196" s="7" t="s">
        <v>9666</v>
      </c>
      <c r="H196" s="7" t="s">
        <v>9666</v>
      </c>
      <c r="I196" s="7" t="s">
        <v>9650</v>
      </c>
      <c r="J196" s="7" t="s">
        <v>9651</v>
      </c>
      <c r="K196" s="7" t="str">
        <f t="shared" si="8"/>
        <v>25.5308779,49.6039859</v>
      </c>
      <c r="L196" s="7" t="s">
        <v>7362</v>
      </c>
      <c r="M196" s="32" t="s">
        <v>7363</v>
      </c>
      <c r="N196" s="7"/>
      <c r="O196" s="7"/>
      <c r="P196" s="29"/>
      <c r="Q196" s="10"/>
      <c r="R196" s="10"/>
      <c r="S196" s="35"/>
      <c r="T196" s="29"/>
      <c r="U196" s="10"/>
      <c r="V196" s="10"/>
      <c r="W196" s="10"/>
      <c r="X196" s="10"/>
      <c r="Y196" s="10"/>
      <c r="Z196" s="10"/>
      <c r="AA196" s="10"/>
      <c r="AB196" s="35"/>
      <c r="AC196" s="37"/>
      <c r="AD196" s="8"/>
      <c r="AE196" s="26"/>
      <c r="AF196" s="24">
        <f t="shared" si="9"/>
        <v>0</v>
      </c>
      <c r="AG196" s="24">
        <f t="shared" si="10"/>
        <v>0</v>
      </c>
      <c r="AH196" s="24">
        <f t="shared" si="11"/>
        <v>0</v>
      </c>
      <c r="AI196" s="41" t="str" cm="1">
        <f t="array" ref="AI196">_xlfn.IFS(
SUM(AF196:AH196)=0,"Not Started",
SUM(AF196:AH196)&lt;15,"In Progress",
SUM(AF196:AH196)=15,"Completed",
SUM(AF196:AH196)&gt;15,"Error"
)</f>
        <v>Not Started</v>
      </c>
    </row>
    <row r="197" spans="1:35" ht="13" x14ac:dyDescent="0.25">
      <c r="A197" s="7"/>
      <c r="B197" s="7" t="s">
        <v>2254</v>
      </c>
      <c r="C197" s="7" t="s">
        <v>6884</v>
      </c>
      <c r="D197" s="7" t="s">
        <v>7083</v>
      </c>
      <c r="E197" s="7" t="s">
        <v>43</v>
      </c>
      <c r="F197" s="7" t="s">
        <v>48</v>
      </c>
      <c r="G197" s="7" t="s">
        <v>9666</v>
      </c>
      <c r="H197" s="7" t="s">
        <v>9666</v>
      </c>
      <c r="I197" s="7" t="s">
        <v>9652</v>
      </c>
      <c r="J197" s="7" t="s">
        <v>9653</v>
      </c>
      <c r="K197" s="7" t="str">
        <f t="shared" ref="K197:K204" si="12">_xlfn.CONCAT(I197,",",J197)</f>
        <v>19.70696,53.9621187</v>
      </c>
      <c r="L197" s="7" t="s">
        <v>7364</v>
      </c>
      <c r="M197" s="32" t="s">
        <v>7365</v>
      </c>
      <c r="N197" s="7"/>
      <c r="O197" s="7"/>
      <c r="P197" s="29"/>
      <c r="Q197" s="10"/>
      <c r="R197" s="10"/>
      <c r="S197" s="35"/>
      <c r="T197" s="29"/>
      <c r="U197" s="10"/>
      <c r="V197" s="10"/>
      <c r="W197" s="10"/>
      <c r="X197" s="10"/>
      <c r="Y197" s="10"/>
      <c r="Z197" s="8"/>
      <c r="AA197" s="10"/>
      <c r="AB197" s="39"/>
      <c r="AC197" s="37"/>
      <c r="AD197" s="8"/>
      <c r="AE197" s="26"/>
      <c r="AF197" s="24">
        <f t="shared" ref="AF197:AF204" si="13">COUNTIF(P197:AD197,$AF$2)</f>
        <v>0</v>
      </c>
      <c r="AG197" s="24">
        <f t="shared" ref="AG197:AG204" si="14">COUNTIF(P197:AD197,$AG$2)</f>
        <v>0</v>
      </c>
      <c r="AH197" s="24">
        <f t="shared" ref="AH197:AH204" si="15">COUNTIF(P197:AD197,$AH$2)</f>
        <v>0</v>
      </c>
      <c r="AI197" s="41" t="str" cm="1">
        <f t="array" ref="AI197">_xlfn.IFS(
SUM(AF197:AH197)=0,"Not Started",
SUM(AF197:AH197)&lt;15,"In Progress",
SUM(AF197:AH197)=15,"Completed",
SUM(AF197:AH197)&gt;15,"Error"
)</f>
        <v>Not Started</v>
      </c>
    </row>
    <row r="198" spans="1:35" ht="13" x14ac:dyDescent="0.25">
      <c r="A198" s="7"/>
      <c r="B198" s="7" t="s">
        <v>2255</v>
      </c>
      <c r="C198" s="7" t="s">
        <v>6885</v>
      </c>
      <c r="D198" s="7" t="s">
        <v>7084</v>
      </c>
      <c r="E198" s="7" t="s">
        <v>43</v>
      </c>
      <c r="F198" s="7" t="s">
        <v>48</v>
      </c>
      <c r="G198" s="7" t="s">
        <v>9666</v>
      </c>
      <c r="H198" s="7" t="s">
        <v>9666</v>
      </c>
      <c r="I198" s="7" t="s">
        <v>9654</v>
      </c>
      <c r="J198" s="7" t="s">
        <v>9655</v>
      </c>
      <c r="K198" s="7" t="str">
        <f t="shared" si="12"/>
        <v>25.3399523,49.5584052</v>
      </c>
      <c r="L198" s="7" t="s">
        <v>7366</v>
      </c>
      <c r="M198" s="32" t="s">
        <v>7367</v>
      </c>
      <c r="N198" s="7"/>
      <c r="O198" s="7"/>
      <c r="P198" s="29"/>
      <c r="Q198" s="10"/>
      <c r="R198" s="10"/>
      <c r="S198" s="35"/>
      <c r="T198" s="29"/>
      <c r="U198" s="10"/>
      <c r="V198" s="10"/>
      <c r="W198" s="10"/>
      <c r="X198" s="10"/>
      <c r="Y198" s="10"/>
      <c r="Z198" s="8"/>
      <c r="AA198" s="10"/>
      <c r="AB198" s="39"/>
      <c r="AC198" s="37"/>
      <c r="AD198" s="8"/>
      <c r="AE198" s="26"/>
      <c r="AF198" s="24">
        <f t="shared" si="13"/>
        <v>0</v>
      </c>
      <c r="AG198" s="24">
        <f t="shared" si="14"/>
        <v>0</v>
      </c>
      <c r="AH198" s="24">
        <f t="shared" si="15"/>
        <v>0</v>
      </c>
      <c r="AI198" s="41" t="str" cm="1">
        <f t="array" ref="AI198">_xlfn.IFS(
SUM(AF198:AH198)=0,"Not Started",
SUM(AF198:AH198)&lt;15,"In Progress",
SUM(AF198:AH198)=15,"Completed",
SUM(AF198:AH198)&gt;15,"Error"
)</f>
        <v>Not Started</v>
      </c>
    </row>
    <row r="199" spans="1:35" ht="13" x14ac:dyDescent="0.25">
      <c r="A199" s="7"/>
      <c r="B199" s="7" t="s">
        <v>2256</v>
      </c>
      <c r="C199" s="7" t="s">
        <v>6886</v>
      </c>
      <c r="D199" s="7" t="s">
        <v>7085</v>
      </c>
      <c r="E199" s="7" t="s">
        <v>43</v>
      </c>
      <c r="F199" s="7" t="s">
        <v>44</v>
      </c>
      <c r="G199" s="7" t="s">
        <v>9666</v>
      </c>
      <c r="H199" s="7" t="s">
        <v>9666</v>
      </c>
      <c r="I199" s="7" t="s">
        <v>9656</v>
      </c>
      <c r="J199" s="7" t="s">
        <v>9657</v>
      </c>
      <c r="K199" s="7" t="str">
        <f t="shared" si="12"/>
        <v>25.4474792,49.5953965</v>
      </c>
      <c r="L199" s="7" t="s">
        <v>7368</v>
      </c>
      <c r="M199" s="32" t="s">
        <v>7369</v>
      </c>
      <c r="N199" s="7"/>
      <c r="O199" s="7"/>
      <c r="P199" s="29"/>
      <c r="Q199" s="10"/>
      <c r="R199" s="10"/>
      <c r="S199" s="35"/>
      <c r="T199" s="29"/>
      <c r="U199" s="10"/>
      <c r="V199" s="10"/>
      <c r="W199" s="10"/>
      <c r="X199" s="10"/>
      <c r="Y199" s="10"/>
      <c r="Z199" s="10"/>
      <c r="AA199" s="10"/>
      <c r="AB199" s="35"/>
      <c r="AC199" s="37"/>
      <c r="AD199" s="8"/>
      <c r="AE199" s="26"/>
      <c r="AF199" s="24">
        <f t="shared" si="13"/>
        <v>0</v>
      </c>
      <c r="AG199" s="24">
        <f t="shared" si="14"/>
        <v>0</v>
      </c>
      <c r="AH199" s="24">
        <f t="shared" si="15"/>
        <v>0</v>
      </c>
      <c r="AI199" s="41" t="str" cm="1">
        <f t="array" ref="AI199">_xlfn.IFS(
SUM(AF199:AH199)=0,"Not Started",
SUM(AF199:AH199)&lt;15,"In Progress",
SUM(AF199:AH199)=15,"Completed",
SUM(AF199:AH199)&gt;15,"Error"
)</f>
        <v>Not Started</v>
      </c>
    </row>
    <row r="200" spans="1:35" ht="13" x14ac:dyDescent="0.25">
      <c r="A200" s="7"/>
      <c r="B200" s="7" t="s">
        <v>2257</v>
      </c>
      <c r="C200" s="7" t="s">
        <v>6887</v>
      </c>
      <c r="D200" s="7" t="s">
        <v>7086</v>
      </c>
      <c r="E200" s="7" t="s">
        <v>47</v>
      </c>
      <c r="F200" s="7" t="s">
        <v>48</v>
      </c>
      <c r="G200" s="7" t="s">
        <v>9666</v>
      </c>
      <c r="H200" s="7" t="s">
        <v>9666</v>
      </c>
      <c r="I200" s="7" t="s">
        <v>9658</v>
      </c>
      <c r="J200" s="7" t="s">
        <v>9659</v>
      </c>
      <c r="K200" s="7" t="str">
        <f t="shared" si="12"/>
        <v>25.505995,49.601099</v>
      </c>
      <c r="L200" s="7" t="s">
        <v>7370</v>
      </c>
      <c r="M200" s="32" t="s">
        <v>7371</v>
      </c>
      <c r="N200" s="7"/>
      <c r="O200" s="7"/>
      <c r="P200" s="29"/>
      <c r="Q200" s="10"/>
      <c r="R200" s="10"/>
      <c r="S200" s="35"/>
      <c r="T200" s="29"/>
      <c r="U200" s="10"/>
      <c r="V200" s="10"/>
      <c r="W200" s="10"/>
      <c r="X200" s="10"/>
      <c r="Y200" s="10"/>
      <c r="Z200" s="8"/>
      <c r="AA200" s="10"/>
      <c r="AB200" s="39"/>
      <c r="AC200" s="37"/>
      <c r="AD200" s="8"/>
      <c r="AE200" s="26"/>
      <c r="AF200" s="24">
        <f t="shared" si="13"/>
        <v>0</v>
      </c>
      <c r="AG200" s="24">
        <f t="shared" si="14"/>
        <v>0</v>
      </c>
      <c r="AH200" s="24">
        <f t="shared" si="15"/>
        <v>0</v>
      </c>
      <c r="AI200" s="41" t="str" cm="1">
        <f t="array" ref="AI200">_xlfn.IFS(
SUM(AF200:AH200)=0,"Not Started",
SUM(AF200:AH200)&lt;15,"In Progress",
SUM(AF200:AH200)=15,"Completed",
SUM(AF200:AH200)&gt;15,"Error"
)</f>
        <v>Not Started</v>
      </c>
    </row>
    <row r="201" spans="1:35" ht="13" x14ac:dyDescent="0.25">
      <c r="A201" s="7"/>
      <c r="B201" s="7" t="s">
        <v>2258</v>
      </c>
      <c r="C201" s="7" t="s">
        <v>6888</v>
      </c>
      <c r="D201" s="7" t="s">
        <v>7087</v>
      </c>
      <c r="E201" s="7" t="s">
        <v>51</v>
      </c>
      <c r="F201" s="7" t="s">
        <v>44</v>
      </c>
      <c r="G201" s="7" t="s">
        <v>9666</v>
      </c>
      <c r="H201" s="7" t="s">
        <v>9666</v>
      </c>
      <c r="I201" s="7" t="s">
        <v>9660</v>
      </c>
      <c r="J201" s="7" t="s">
        <v>9661</v>
      </c>
      <c r="K201" s="7" t="str">
        <f t="shared" si="12"/>
        <v>25.36443,49.5780641</v>
      </c>
      <c r="L201" s="7" t="s">
        <v>7372</v>
      </c>
      <c r="M201" s="32" t="s">
        <v>7373</v>
      </c>
      <c r="N201" s="7"/>
      <c r="O201" s="7"/>
      <c r="P201" s="29"/>
      <c r="Q201" s="10"/>
      <c r="R201" s="10"/>
      <c r="S201" s="35"/>
      <c r="T201" s="29"/>
      <c r="U201" s="10"/>
      <c r="V201" s="10"/>
      <c r="W201" s="10"/>
      <c r="X201" s="10"/>
      <c r="Y201" s="10"/>
      <c r="Z201" s="10"/>
      <c r="AA201" s="10"/>
      <c r="AB201" s="35"/>
      <c r="AC201" s="37"/>
      <c r="AD201" s="8"/>
      <c r="AE201" s="26"/>
      <c r="AF201" s="24">
        <f t="shared" si="13"/>
        <v>0</v>
      </c>
      <c r="AG201" s="24">
        <f t="shared" si="14"/>
        <v>0</v>
      </c>
      <c r="AH201" s="24">
        <f t="shared" si="15"/>
        <v>0</v>
      </c>
      <c r="AI201" s="41" t="str" cm="1">
        <f t="array" ref="AI201">_xlfn.IFS(
SUM(AF201:AH201)=0,"Not Started",
SUM(AF201:AH201)&lt;15,"In Progress",
SUM(AF201:AH201)=15,"Completed",
SUM(AF201:AH201)&gt;15,"Error"
)</f>
        <v>Not Started</v>
      </c>
    </row>
    <row r="202" spans="1:35" ht="13" x14ac:dyDescent="0.25">
      <c r="A202" s="7"/>
      <c r="B202" s="7" t="s">
        <v>2259</v>
      </c>
      <c r="C202" s="7" t="s">
        <v>6889</v>
      </c>
      <c r="D202" s="7" t="s">
        <v>7088</v>
      </c>
      <c r="E202" s="7" t="s">
        <v>43</v>
      </c>
      <c r="F202" s="7" t="s">
        <v>44</v>
      </c>
      <c r="G202" s="7" t="s">
        <v>9666</v>
      </c>
      <c r="H202" s="7" t="s">
        <v>9666</v>
      </c>
      <c r="I202" s="7" t="s">
        <v>9662</v>
      </c>
      <c r="J202" s="7" t="s">
        <v>9663</v>
      </c>
      <c r="K202" s="7" t="str">
        <f t="shared" si="12"/>
        <v>49.59875,25.38302</v>
      </c>
      <c r="L202" s="7" t="s">
        <v>7374</v>
      </c>
      <c r="M202" s="32" t="s">
        <v>7375</v>
      </c>
      <c r="N202" s="7"/>
      <c r="O202" s="7"/>
      <c r="P202" s="29"/>
      <c r="Q202" s="10"/>
      <c r="R202" s="10"/>
      <c r="S202" s="35"/>
      <c r="T202" s="29"/>
      <c r="U202" s="10"/>
      <c r="V202" s="10"/>
      <c r="W202" s="10"/>
      <c r="X202" s="10"/>
      <c r="Y202" s="10"/>
      <c r="Z202" s="10"/>
      <c r="AA202" s="10"/>
      <c r="AB202" s="39"/>
      <c r="AC202" s="37"/>
      <c r="AD202" s="8"/>
      <c r="AE202" s="26"/>
      <c r="AF202" s="24">
        <f t="shared" si="13"/>
        <v>0</v>
      </c>
      <c r="AG202" s="24">
        <f t="shared" si="14"/>
        <v>0</v>
      </c>
      <c r="AH202" s="24">
        <f t="shared" si="15"/>
        <v>0</v>
      </c>
      <c r="AI202" s="41" t="str" cm="1">
        <f t="array" ref="AI202">_xlfn.IFS(
SUM(AF202:AH202)=0,"Not Started",
SUM(AF202:AH202)&lt;15,"In Progress",
SUM(AF202:AH202)=15,"Completed",
SUM(AF202:AH202)&gt;15,"Error"
)</f>
        <v>Not Started</v>
      </c>
    </row>
    <row r="203" spans="1:35" ht="13" x14ac:dyDescent="0.25">
      <c r="A203" s="7"/>
      <c r="B203" s="7" t="s">
        <v>2260</v>
      </c>
      <c r="C203" s="7" t="s">
        <v>6890</v>
      </c>
      <c r="D203" s="7" t="s">
        <v>7089</v>
      </c>
      <c r="E203" s="7" t="s">
        <v>51</v>
      </c>
      <c r="F203" s="7" t="s">
        <v>44</v>
      </c>
      <c r="G203" s="7" t="s">
        <v>9666</v>
      </c>
      <c r="H203" s="7" t="s">
        <v>9666</v>
      </c>
      <c r="I203" s="7" t="s">
        <v>9664</v>
      </c>
      <c r="J203" s="7" t="s">
        <v>9665</v>
      </c>
      <c r="K203" s="7" t="str">
        <f t="shared" si="12"/>
        <v>25.359985,49.630952</v>
      </c>
      <c r="L203" s="7" t="s">
        <v>7376</v>
      </c>
      <c r="M203" s="32" t="s">
        <v>7377</v>
      </c>
      <c r="N203" s="7"/>
      <c r="O203" s="7"/>
      <c r="P203" s="30"/>
      <c r="Q203" s="21"/>
      <c r="R203" s="21"/>
      <c r="S203" s="36"/>
      <c r="T203" s="30"/>
      <c r="U203" s="21"/>
      <c r="V203" s="21"/>
      <c r="W203" s="10"/>
      <c r="X203" s="10"/>
      <c r="Y203" s="10"/>
      <c r="Z203" s="21"/>
      <c r="AA203" s="21"/>
      <c r="AB203" s="36"/>
      <c r="AC203" s="38"/>
      <c r="AD203" s="22"/>
      <c r="AE203" s="27"/>
      <c r="AF203" s="24">
        <f t="shared" si="13"/>
        <v>0</v>
      </c>
      <c r="AG203" s="24">
        <f t="shared" si="14"/>
        <v>0</v>
      </c>
      <c r="AH203" s="24">
        <f t="shared" si="15"/>
        <v>0</v>
      </c>
      <c r="AI203" s="41" t="str" cm="1">
        <f t="array" ref="AI203">_xlfn.IFS(
SUM(AF203:AH203)=0,"Not Started",
SUM(AF203:AH203)&lt;15,"In Progress",
SUM(AF203:AH203)=15,"Completed",
SUM(AF203:AH203)&gt;15,"Error"
)</f>
        <v>Not Started</v>
      </c>
    </row>
    <row r="204" spans="1:35" ht="15.75" customHeight="1" x14ac:dyDescent="0.25">
      <c r="A204" s="7" t="s">
        <v>251</v>
      </c>
      <c r="B204" s="7"/>
      <c r="C204" s="7"/>
      <c r="D204" s="7"/>
      <c r="E204" s="7"/>
      <c r="F204" s="7"/>
      <c r="G204" s="7"/>
      <c r="H204" s="7"/>
      <c r="I204" s="7"/>
      <c r="J204" s="7"/>
      <c r="K204" s="7" t="str">
        <f t="shared" si="12"/>
        <v>,</v>
      </c>
      <c r="L204" s="7"/>
      <c r="M204" s="32"/>
      <c r="N204" s="257" t="s">
        <v>251</v>
      </c>
      <c r="O204" s="67" t="s">
        <v>11</v>
      </c>
      <c r="P204" s="72">
        <f t="shared" ref="P204:AB204" si="16">COUNTIF(P$3:P$203,"Completed")</f>
        <v>0</v>
      </c>
      <c r="Q204" s="72">
        <f t="shared" si="16"/>
        <v>0</v>
      </c>
      <c r="R204" s="72">
        <f t="shared" si="16"/>
        <v>0</v>
      </c>
      <c r="S204" s="72">
        <f t="shared" si="16"/>
        <v>0</v>
      </c>
      <c r="T204" s="72">
        <f t="shared" si="16"/>
        <v>0</v>
      </c>
      <c r="U204" s="72">
        <f t="shared" si="16"/>
        <v>0</v>
      </c>
      <c r="V204" s="72">
        <f t="shared" si="16"/>
        <v>0</v>
      </c>
      <c r="W204" s="72">
        <f t="shared" si="16"/>
        <v>0</v>
      </c>
      <c r="X204" s="72">
        <f t="shared" si="16"/>
        <v>0</v>
      </c>
      <c r="Y204" s="72">
        <f t="shared" si="16"/>
        <v>0</v>
      </c>
      <c r="Z204" s="72">
        <f t="shared" si="16"/>
        <v>0</v>
      </c>
      <c r="AA204" s="72">
        <f t="shared" si="16"/>
        <v>0</v>
      </c>
      <c r="AB204" s="72">
        <f t="shared" si="16"/>
        <v>0</v>
      </c>
      <c r="AC204" s="72">
        <f>COUNTIF(AC$2:AC$203,"Completed")</f>
        <v>0</v>
      </c>
      <c r="AD204" s="72">
        <f>COUNTIF(AD$2:AD$203,"Completed")</f>
        <v>0</v>
      </c>
      <c r="AE204" s="72">
        <f>COUNTIF(AE$2:AE$203,"Completed")</f>
        <v>0</v>
      </c>
      <c r="AF204" s="24">
        <f t="shared" si="13"/>
        <v>0</v>
      </c>
      <c r="AG204" s="24">
        <f t="shared" si="14"/>
        <v>0</v>
      </c>
      <c r="AH204" s="24">
        <f t="shared" si="15"/>
        <v>0</v>
      </c>
      <c r="AI204" s="40" cm="1">
        <f t="array" ref="AI204">SUM(P204:AD204/15)</f>
        <v>0</v>
      </c>
    </row>
    <row r="205" spans="1:35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32"/>
      <c r="N205" s="258"/>
      <c r="O205" s="67" t="s">
        <v>10</v>
      </c>
      <c r="P205" s="73">
        <f t="shared" ref="P205:AB205" si="17">COUNTIF(P$3:P$203,"In Progress")</f>
        <v>0</v>
      </c>
      <c r="Q205" s="73">
        <f t="shared" si="17"/>
        <v>0</v>
      </c>
      <c r="R205" s="73">
        <f t="shared" si="17"/>
        <v>0</v>
      </c>
      <c r="S205" s="73">
        <f t="shared" si="17"/>
        <v>0</v>
      </c>
      <c r="T205" s="73">
        <f t="shared" si="17"/>
        <v>0</v>
      </c>
      <c r="U205" s="73">
        <f t="shared" si="17"/>
        <v>0</v>
      </c>
      <c r="V205" s="73">
        <f t="shared" si="17"/>
        <v>0</v>
      </c>
      <c r="W205" s="73">
        <f t="shared" si="17"/>
        <v>0</v>
      </c>
      <c r="X205" s="73">
        <f t="shared" si="17"/>
        <v>0</v>
      </c>
      <c r="Y205" s="73">
        <f t="shared" si="17"/>
        <v>0</v>
      </c>
      <c r="Z205" s="73">
        <f t="shared" si="17"/>
        <v>0</v>
      </c>
      <c r="AA205" s="73">
        <f t="shared" si="17"/>
        <v>0</v>
      </c>
      <c r="AB205" s="73">
        <f t="shared" si="17"/>
        <v>0</v>
      </c>
      <c r="AC205" s="73">
        <f>COUNTIF(AC$2:AC$203,"In Progress")</f>
        <v>0</v>
      </c>
      <c r="AD205" s="73">
        <f>COUNTIF(AD$2:AD$203,"In Progress")</f>
        <v>0</v>
      </c>
      <c r="AE205" s="73">
        <f>COUNTIF(AE$2:AE$203,"In Progress")</f>
        <v>0</v>
      </c>
    </row>
    <row r="206" spans="1:35" ht="15.75" customHeight="1" x14ac:dyDescent="0.25">
      <c r="N206" s="259"/>
      <c r="O206" s="67" t="s">
        <v>9</v>
      </c>
      <c r="P206" s="74">
        <f t="shared" ref="P206:AB206" si="18">COUNTIF(P$3:P$203,"Not Started")</f>
        <v>0</v>
      </c>
      <c r="Q206" s="74">
        <f t="shared" si="18"/>
        <v>0</v>
      </c>
      <c r="R206" s="74">
        <f t="shared" si="18"/>
        <v>0</v>
      </c>
      <c r="S206" s="74">
        <f t="shared" si="18"/>
        <v>0</v>
      </c>
      <c r="T206" s="74">
        <f t="shared" si="18"/>
        <v>0</v>
      </c>
      <c r="U206" s="74">
        <f t="shared" si="18"/>
        <v>0</v>
      </c>
      <c r="V206" s="74">
        <f t="shared" si="18"/>
        <v>0</v>
      </c>
      <c r="W206" s="74">
        <f t="shared" si="18"/>
        <v>0</v>
      </c>
      <c r="X206" s="74">
        <f t="shared" si="18"/>
        <v>0</v>
      </c>
      <c r="Y206" s="74">
        <f t="shared" si="18"/>
        <v>0</v>
      </c>
      <c r="Z206" s="74">
        <f t="shared" si="18"/>
        <v>0</v>
      </c>
      <c r="AA206" s="74">
        <f t="shared" si="18"/>
        <v>0</v>
      </c>
      <c r="AB206" s="74">
        <f t="shared" si="18"/>
        <v>0</v>
      </c>
      <c r="AC206" s="74">
        <f>COUNTIF(AC$2:AC$203,"Not Started")</f>
        <v>0</v>
      </c>
      <c r="AD206" s="74">
        <f>COUNTIF(AD$2:AD$203,"Not Started")</f>
        <v>0</v>
      </c>
      <c r="AE206" s="74">
        <f>COUNTIF(AE$2:AE$203,"Not Started")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4:AE4 B5:J203 L5:AE203 K5:K204" name="Range1"/>
  </protectedRanges>
  <mergeCells count="14">
    <mergeCell ref="N204:N206"/>
    <mergeCell ref="AI2:AI3"/>
    <mergeCell ref="A2:A3"/>
    <mergeCell ref="B2:N2"/>
    <mergeCell ref="O2:O3"/>
    <mergeCell ref="P2:S2"/>
    <mergeCell ref="T2:AB2"/>
    <mergeCell ref="AC2:AC3"/>
    <mergeCell ref="I3:J3"/>
    <mergeCell ref="AD2:AD3"/>
    <mergeCell ref="AE2:AE3"/>
    <mergeCell ref="AF2:AF3"/>
    <mergeCell ref="AG2:AG3"/>
    <mergeCell ref="AH2:AH3"/>
  </mergeCells>
  <phoneticPr fontId="14" type="noConversion"/>
  <conditionalFormatting sqref="AF5:AH204 P4:AH4 P5:AE203">
    <cfRule type="cellIs" dxfId="187" priority="20" operator="equal">
      <formula>"In Progress"</formula>
    </cfRule>
    <cfRule type="cellIs" dxfId="186" priority="21" operator="equal">
      <formula>"Completed"</formula>
    </cfRule>
  </conditionalFormatting>
  <conditionalFormatting sqref="P4:AB203">
    <cfRule type="cellIs" dxfId="185" priority="16" operator="equal">
      <formula>"Not Started"</formula>
    </cfRule>
  </conditionalFormatting>
  <conditionalFormatting sqref="AI4:AI203">
    <cfRule type="cellIs" dxfId="184" priority="17" operator="equal">
      <formula>"In Progress"</formula>
    </cfRule>
    <cfRule type="cellIs" dxfId="183" priority="18" operator="equal">
      <formula>"Completed"</formula>
    </cfRule>
    <cfRule type="cellIs" dxfId="182" priority="19" operator="equal">
      <formula>"Not Started"</formula>
    </cfRule>
  </conditionalFormatting>
  <conditionalFormatting sqref="M4:M205">
    <cfRule type="cellIs" dxfId="181" priority="5" operator="equal">
      <formula>"In Progress"</formula>
    </cfRule>
    <cfRule type="cellIs" dxfId="180" priority="6" operator="equal">
      <formula>"Completed"</formula>
    </cfRule>
  </conditionalFormatting>
  <conditionalFormatting sqref="A4:A205 N4:N203">
    <cfRule type="cellIs" dxfId="179" priority="3" operator="equal">
      <formula>"In Progress"</formula>
    </cfRule>
    <cfRule type="cellIs" dxfId="178" priority="4" operator="equal">
      <formula>"Completed"</formula>
    </cfRule>
  </conditionalFormatting>
  <conditionalFormatting sqref="O4:O203 B4:L205">
    <cfRule type="cellIs" dxfId="177" priority="1" operator="equal">
      <formula>"In Progress"</formula>
    </cfRule>
    <cfRule type="cellIs" dxfId="176" priority="2" operator="equal">
      <formula>"Completed"</formula>
    </cfRule>
  </conditionalFormatting>
  <dataValidations count="3">
    <dataValidation type="list" allowBlank="1" showInputMessage="1" showErrorMessage="1" sqref="E4:E203" xr:uid="{3A701F96-FDA2-45A8-A35A-409C0A27D444}">
      <formula1>$AL$4:$AL$7</formula1>
    </dataValidation>
    <dataValidation type="list" allowBlank="1" showInputMessage="1" showErrorMessage="1" sqref="F4:F203" xr:uid="{201F3186-5B79-4014-B320-9F209D123AA6}">
      <formula1>$AM$4:$AM$6</formula1>
    </dataValidation>
    <dataValidation type="list" allowBlank="1" showInputMessage="1" showErrorMessage="1" sqref="P4:AD203" xr:uid="{B124F07F-C7D4-47B7-822C-C83F351D0CBC}">
      <formula1>$AN$4:$AN$7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A22E-33C6-4282-A530-66D6F6891080}">
  <sheetPr>
    <outlinePr summaryBelow="0" summaryRight="0"/>
  </sheetPr>
  <dimension ref="A1:AL204"/>
  <sheetViews>
    <sheetView showGridLines="0" zoomScale="92" zoomScaleNormal="92" workbookViewId="0">
      <selection activeCell="F10" sqref="F10:F11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39" style="1" bestFit="1" customWidth="1"/>
    <col min="4" max="4" width="30.6328125" style="1" customWidth="1"/>
    <col min="5" max="5" width="28.1796875" style="1" customWidth="1"/>
    <col min="6" max="6" width="32.453125" style="1" customWidth="1"/>
    <col min="7" max="7" width="21.6328125" style="1" bestFit="1" customWidth="1"/>
    <col min="8" max="8" width="17.1796875" style="1" bestFit="1" customWidth="1"/>
    <col min="9" max="9" width="37.54296875" style="1" bestFit="1" customWidth="1"/>
    <col min="10" max="10" width="17.81640625" style="1" bestFit="1" customWidth="1"/>
    <col min="11" max="11" width="18.54296875" style="1" customWidth="1"/>
    <col min="12" max="16" width="12.54296875" style="1"/>
    <col min="17" max="17" width="14.81640625" style="1" customWidth="1"/>
    <col min="18" max="18" width="14.7265625" style="1" customWidth="1"/>
    <col min="19" max="19" width="12.54296875" style="1"/>
    <col min="20" max="20" width="15.81640625" style="1" customWidth="1"/>
    <col min="21" max="21" width="20.1796875" style="1" customWidth="1"/>
    <col min="22" max="35" width="12.54296875" style="1"/>
    <col min="36" max="36" width="37.81640625" style="1" hidden="1" customWidth="1"/>
    <col min="37" max="37" width="18.453125" style="1" hidden="1" customWidth="1"/>
    <col min="38" max="38" width="0" style="1" hidden="1" customWidth="1"/>
    <col min="39" max="16384" width="12.54296875" style="1"/>
  </cols>
  <sheetData>
    <row r="1" spans="1:38" ht="37" customHeight="1" x14ac:dyDescent="0.25">
      <c r="C1" s="44" t="s">
        <v>0</v>
      </c>
      <c r="D1" s="45">
        <v>46152</v>
      </c>
    </row>
    <row r="2" spans="1:38" ht="13" customHeight="1" x14ac:dyDescent="0.25">
      <c r="A2" s="236" t="s">
        <v>1</v>
      </c>
      <c r="B2" s="274" t="s">
        <v>2</v>
      </c>
      <c r="C2" s="274"/>
      <c r="D2" s="275"/>
      <c r="E2" s="275"/>
      <c r="F2" s="275"/>
      <c r="G2" s="275"/>
      <c r="H2" s="275"/>
      <c r="I2" s="275"/>
      <c r="J2" s="275"/>
      <c r="K2" s="275"/>
      <c r="L2" s="275"/>
      <c r="M2" s="240" t="s">
        <v>3</v>
      </c>
      <c r="N2" s="241" t="s">
        <v>4</v>
      </c>
      <c r="O2" s="242"/>
      <c r="P2" s="242"/>
      <c r="Q2" s="242"/>
      <c r="R2" s="243" t="s">
        <v>5</v>
      </c>
      <c r="S2" s="243"/>
      <c r="T2" s="243"/>
      <c r="U2" s="243"/>
      <c r="V2" s="243"/>
      <c r="W2" s="243"/>
      <c r="X2" s="243"/>
      <c r="Y2" s="243"/>
      <c r="Z2" s="243"/>
      <c r="AA2" s="244" t="s">
        <v>6</v>
      </c>
      <c r="AB2" s="251" t="s">
        <v>7</v>
      </c>
      <c r="AC2" s="252" t="s">
        <v>8</v>
      </c>
      <c r="AD2" s="235" t="s">
        <v>9</v>
      </c>
      <c r="AE2" s="235" t="s">
        <v>10</v>
      </c>
      <c r="AF2" s="235" t="s">
        <v>11</v>
      </c>
      <c r="AG2" s="235" t="s">
        <v>12</v>
      </c>
    </row>
    <row r="3" spans="1:38" s="2" customFormat="1" ht="39" x14ac:dyDescent="0.25">
      <c r="A3" s="236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187" t="s">
        <v>2663</v>
      </c>
      <c r="J3" s="23" t="s">
        <v>21</v>
      </c>
      <c r="K3" s="23" t="s">
        <v>22</v>
      </c>
      <c r="L3" s="23" t="s">
        <v>23</v>
      </c>
      <c r="M3" s="240"/>
      <c r="N3" s="42" t="s">
        <v>24</v>
      </c>
      <c r="O3" s="42" t="s">
        <v>25</v>
      </c>
      <c r="P3" s="42" t="s">
        <v>26</v>
      </c>
      <c r="Q3" s="42" t="s">
        <v>27</v>
      </c>
      <c r="R3" s="43" t="s">
        <v>28</v>
      </c>
      <c r="S3" s="43" t="s">
        <v>29</v>
      </c>
      <c r="T3" s="43" t="s">
        <v>30</v>
      </c>
      <c r="U3" s="43" t="s">
        <v>31</v>
      </c>
      <c r="V3" s="43" t="s">
        <v>32</v>
      </c>
      <c r="W3" s="43" t="s">
        <v>33</v>
      </c>
      <c r="X3" s="43" t="s">
        <v>34</v>
      </c>
      <c r="Y3" s="43" t="s">
        <v>35</v>
      </c>
      <c r="Z3" s="43" t="s">
        <v>36</v>
      </c>
      <c r="AA3" s="244"/>
      <c r="AB3" s="251"/>
      <c r="AC3" s="252"/>
      <c r="AD3" s="235"/>
      <c r="AE3" s="235"/>
      <c r="AF3" s="235"/>
      <c r="AG3" s="235"/>
      <c r="AJ3" s="5" t="s">
        <v>16</v>
      </c>
      <c r="AK3" s="5" t="s">
        <v>17</v>
      </c>
      <c r="AL3" s="5" t="s">
        <v>37</v>
      </c>
    </row>
    <row r="4" spans="1:38" ht="20.5" customHeight="1" x14ac:dyDescent="0.25">
      <c r="A4" s="247" t="s">
        <v>2261</v>
      </c>
      <c r="B4" s="14" t="s">
        <v>2262</v>
      </c>
      <c r="C4" s="138" t="s">
        <v>10610</v>
      </c>
      <c r="D4" s="138" t="s">
        <v>10611</v>
      </c>
      <c r="E4" s="138" t="s">
        <v>10612</v>
      </c>
      <c r="F4" s="138" t="s">
        <v>10613</v>
      </c>
      <c r="G4" s="138" t="s">
        <v>10614</v>
      </c>
      <c r="H4" s="138" t="s">
        <v>10615</v>
      </c>
      <c r="I4" s="138" t="s">
        <v>10616</v>
      </c>
      <c r="J4" s="138" t="s">
        <v>10617</v>
      </c>
      <c r="K4" s="138">
        <v>10041399860</v>
      </c>
      <c r="L4" s="138" t="s">
        <v>10618</v>
      </c>
      <c r="M4" s="31"/>
      <c r="N4" s="28"/>
      <c r="O4" s="17"/>
      <c r="P4" s="17"/>
      <c r="Q4" s="34"/>
      <c r="R4" s="28"/>
      <c r="S4" s="17"/>
      <c r="T4" s="17"/>
      <c r="U4" s="17"/>
      <c r="V4" s="17"/>
      <c r="W4" s="17"/>
      <c r="X4" s="17"/>
      <c r="Y4" s="18"/>
      <c r="Z4" s="34"/>
      <c r="AA4" s="28"/>
      <c r="AB4" s="15"/>
      <c r="AC4" s="25"/>
      <c r="AD4" s="24">
        <f>COUNTIF(N4:AB4,$AD$2)</f>
        <v>0</v>
      </c>
      <c r="AE4" s="24">
        <f>COUNTIF(N4:AB4,$AE$2)</f>
        <v>0</v>
      </c>
      <c r="AF4" s="24">
        <f>COUNTIF(N4:AB4,$AF$2)</f>
        <v>0</v>
      </c>
      <c r="AG4" s="41" t="str" cm="1">
        <f t="array" ref="AG4">_xlfn.IFS(
SUM(AD4:AF4)=0,"Not Started",
SUM(AD4:AF4)&lt;15,"In Progress",
SUM(AD4:AF4)=15,"Completed",
SUM(AD4:AF4)&gt;15,"Error"
)</f>
        <v>Not Started</v>
      </c>
      <c r="AJ4" s="3" t="s">
        <v>43</v>
      </c>
      <c r="AK4" s="3" t="s">
        <v>44</v>
      </c>
      <c r="AL4" s="3" t="s">
        <v>9</v>
      </c>
    </row>
    <row r="5" spans="1:38" ht="13" x14ac:dyDescent="0.25">
      <c r="A5" s="248"/>
      <c r="B5" s="7" t="s">
        <v>2263</v>
      </c>
      <c r="C5" s="138" t="s">
        <v>10619</v>
      </c>
      <c r="D5" s="138" t="s">
        <v>10620</v>
      </c>
      <c r="E5" s="138" t="s">
        <v>10612</v>
      </c>
      <c r="F5" s="138" t="s">
        <v>10613</v>
      </c>
      <c r="G5" s="138" t="s">
        <v>10614</v>
      </c>
      <c r="H5" s="138" t="s">
        <v>10615</v>
      </c>
      <c r="I5" s="138" t="s">
        <v>10621</v>
      </c>
      <c r="J5" s="138" t="s">
        <v>10622</v>
      </c>
      <c r="K5" s="138">
        <v>10041343621</v>
      </c>
      <c r="L5" s="138" t="s">
        <v>10623</v>
      </c>
      <c r="M5" s="32"/>
      <c r="N5" s="29"/>
      <c r="O5" s="10"/>
      <c r="P5" s="10"/>
      <c r="Q5" s="35"/>
      <c r="R5" s="29"/>
      <c r="S5" s="10"/>
      <c r="T5" s="10"/>
      <c r="U5" s="10"/>
      <c r="V5" s="10"/>
      <c r="W5" s="10"/>
      <c r="X5" s="10"/>
      <c r="Y5" s="10"/>
      <c r="Z5" s="35"/>
      <c r="AA5" s="29"/>
      <c r="AB5" s="8"/>
      <c r="AC5" s="26"/>
      <c r="AD5" s="24">
        <f t="shared" ref="AD5:AD68" si="0">COUNTIF(N5:AB5,$AD$2)</f>
        <v>0</v>
      </c>
      <c r="AE5" s="24">
        <f t="shared" ref="AE5:AE68" si="1">COUNTIF(N5:AB5,$AE$2)</f>
        <v>0</v>
      </c>
      <c r="AF5" s="24">
        <f t="shared" ref="AF5:AF68" si="2">COUNTIF(N5:AB5,$AF$2)</f>
        <v>0</v>
      </c>
      <c r="AG5" s="41" t="str" cm="1">
        <f t="array" ref="AG5">_xlfn.IFS(
SUM(AD5:AF5)=0,"Not Started",
SUM(AD5:AF5)&lt;15,"In Progress",
SUM(AD5:AF5)=15,"Completed",
SUM(AD5:AF5)&gt;15,"Error"
)</f>
        <v>Not Started</v>
      </c>
      <c r="AJ5" s="3" t="s">
        <v>47</v>
      </c>
      <c r="AK5" s="3" t="s">
        <v>48</v>
      </c>
      <c r="AL5" s="3" t="s">
        <v>10</v>
      </c>
    </row>
    <row r="6" spans="1:38" ht="13" x14ac:dyDescent="0.25">
      <c r="A6" s="248"/>
      <c r="B6" s="14" t="s">
        <v>2264</v>
      </c>
      <c r="C6" s="138" t="s">
        <v>10624</v>
      </c>
      <c r="D6" s="138" t="s">
        <v>10625</v>
      </c>
      <c r="E6" s="138" t="s">
        <v>10612</v>
      </c>
      <c r="F6" s="138" t="s">
        <v>10613</v>
      </c>
      <c r="G6" s="138" t="s">
        <v>10614</v>
      </c>
      <c r="H6" s="138" t="s">
        <v>10615</v>
      </c>
      <c r="I6" s="138" t="s">
        <v>10626</v>
      </c>
      <c r="J6" s="138" t="s">
        <v>10627</v>
      </c>
      <c r="K6" s="138">
        <v>100416.23299999999</v>
      </c>
      <c r="L6" s="138" t="s">
        <v>10628</v>
      </c>
      <c r="M6" s="32"/>
      <c r="N6" s="29"/>
      <c r="O6" s="10"/>
      <c r="P6" s="10"/>
      <c r="Q6" s="35"/>
      <c r="R6" s="29"/>
      <c r="S6" s="10"/>
      <c r="T6" s="10"/>
      <c r="U6" s="10"/>
      <c r="V6" s="10"/>
      <c r="W6" s="10"/>
      <c r="X6" s="10"/>
      <c r="Y6" s="10"/>
      <c r="Z6" s="35"/>
      <c r="AA6" s="29"/>
      <c r="AB6" s="8"/>
      <c r="AC6" s="26"/>
      <c r="AD6" s="24">
        <f t="shared" si="0"/>
        <v>0</v>
      </c>
      <c r="AE6" s="24">
        <f t="shared" si="1"/>
        <v>0</v>
      </c>
      <c r="AF6" s="24">
        <f t="shared" si="2"/>
        <v>0</v>
      </c>
      <c r="AG6" s="41" t="str" cm="1">
        <f t="array" ref="AG6">_xlfn.IFS(
SUM(AD6:AF6)=0,"Not Started",
SUM(AD6:AF6)&lt;15,"In Progress",
SUM(AD6:AF6)=15,"Completed",
SUM(AD6:AF6)&gt;15,"Error"
)</f>
        <v>Not Started</v>
      </c>
      <c r="AJ6" s="3" t="s">
        <v>51</v>
      </c>
      <c r="AK6" s="3" t="s">
        <v>52</v>
      </c>
      <c r="AL6" s="3" t="s">
        <v>11</v>
      </c>
    </row>
    <row r="7" spans="1:38" ht="13" x14ac:dyDescent="0.25">
      <c r="A7" s="248"/>
      <c r="B7" s="7" t="s">
        <v>2265</v>
      </c>
      <c r="C7" s="138" t="s">
        <v>10629</v>
      </c>
      <c r="D7" s="138" t="s">
        <v>10630</v>
      </c>
      <c r="E7" s="138" t="s">
        <v>10631</v>
      </c>
      <c r="F7" s="138" t="s">
        <v>10613</v>
      </c>
      <c r="G7" s="138" t="s">
        <v>10614</v>
      </c>
      <c r="H7" s="138" t="s">
        <v>10615</v>
      </c>
      <c r="I7" s="138" t="s">
        <v>10632</v>
      </c>
      <c r="J7" s="138" t="s">
        <v>10633</v>
      </c>
      <c r="K7" s="138">
        <v>10041765943</v>
      </c>
      <c r="L7" s="138" t="s">
        <v>10634</v>
      </c>
      <c r="M7" s="32"/>
      <c r="N7" s="29"/>
      <c r="O7" s="10"/>
      <c r="P7" s="10"/>
      <c r="Q7" s="35"/>
      <c r="R7" s="29"/>
      <c r="S7" s="10"/>
      <c r="T7" s="10"/>
      <c r="U7" s="10"/>
      <c r="V7" s="10"/>
      <c r="W7" s="10"/>
      <c r="X7" s="10"/>
      <c r="Y7" s="10"/>
      <c r="Z7" s="35"/>
      <c r="AA7" s="29"/>
      <c r="AB7" s="8"/>
      <c r="AC7" s="26"/>
      <c r="AD7" s="24">
        <f t="shared" si="0"/>
        <v>0</v>
      </c>
      <c r="AE7" s="24">
        <f t="shared" si="1"/>
        <v>0</v>
      </c>
      <c r="AF7" s="24">
        <f t="shared" si="2"/>
        <v>0</v>
      </c>
      <c r="AG7" s="41" t="str" cm="1">
        <f t="array" ref="AG7">_xlfn.IFS(
SUM(AD7:AF7)=0,"Not Started",
SUM(AD7:AF7)&lt;15,"In Progress",
SUM(AD7:AF7)=15,"Completed",
SUM(AD7:AF7)&gt;15,"Error"
)</f>
        <v>Not Started</v>
      </c>
      <c r="AJ7" s="3" t="s">
        <v>52</v>
      </c>
      <c r="AK7" s="3"/>
      <c r="AL7" s="3" t="s">
        <v>52</v>
      </c>
    </row>
    <row r="8" spans="1:38" ht="13" x14ac:dyDescent="0.25">
      <c r="A8" s="248"/>
      <c r="B8" s="14" t="s">
        <v>2266</v>
      </c>
      <c r="C8" s="138" t="s">
        <v>10635</v>
      </c>
      <c r="D8" s="138" t="s">
        <v>10636</v>
      </c>
      <c r="E8" s="138" t="s">
        <v>10612</v>
      </c>
      <c r="F8" s="138" t="s">
        <v>10613</v>
      </c>
      <c r="G8" s="138" t="s">
        <v>10614</v>
      </c>
      <c r="H8" s="138" t="s">
        <v>10615</v>
      </c>
      <c r="I8" s="138" t="s">
        <v>10637</v>
      </c>
      <c r="J8" s="138" t="s">
        <v>10638</v>
      </c>
      <c r="K8" s="138">
        <v>10041765818</v>
      </c>
      <c r="L8" s="138" t="s">
        <v>10639</v>
      </c>
      <c r="M8" s="32"/>
      <c r="N8" s="29"/>
      <c r="O8" s="10"/>
      <c r="P8" s="10"/>
      <c r="Q8" s="35"/>
      <c r="R8" s="29"/>
      <c r="S8" s="10"/>
      <c r="T8" s="10"/>
      <c r="U8" s="10"/>
      <c r="V8" s="10"/>
      <c r="W8" s="10"/>
      <c r="X8" s="10"/>
      <c r="Y8" s="10"/>
      <c r="Z8" s="35"/>
      <c r="AA8" s="29"/>
      <c r="AB8" s="8"/>
      <c r="AC8" s="26"/>
      <c r="AD8" s="24">
        <f t="shared" si="0"/>
        <v>0</v>
      </c>
      <c r="AE8" s="24">
        <f t="shared" si="1"/>
        <v>0</v>
      </c>
      <c r="AF8" s="24">
        <f t="shared" si="2"/>
        <v>0</v>
      </c>
      <c r="AG8" s="41" t="str" cm="1">
        <f t="array" ref="AG8">_xlfn.IFS(
SUM(AD8:AF8)=0,"Not Started",
SUM(AD8:AF8)&lt;15,"In Progress",
SUM(AD8:AF8)=15,"Completed",
SUM(AD8:AF8)&gt;15,"Error"
)</f>
        <v>Not Started</v>
      </c>
    </row>
    <row r="9" spans="1:38" ht="13" x14ac:dyDescent="0.25">
      <c r="A9" s="248"/>
      <c r="B9" s="7" t="s">
        <v>2267</v>
      </c>
      <c r="C9" s="138" t="s">
        <v>6271</v>
      </c>
      <c r="D9" s="138" t="s">
        <v>10640</v>
      </c>
      <c r="E9" s="138" t="s">
        <v>10612</v>
      </c>
      <c r="F9" s="138" t="s">
        <v>10613</v>
      </c>
      <c r="G9" s="138" t="s">
        <v>10614</v>
      </c>
      <c r="H9" s="138" t="s">
        <v>10615</v>
      </c>
      <c r="I9" s="138" t="s">
        <v>10641</v>
      </c>
      <c r="J9" s="138" t="s">
        <v>10642</v>
      </c>
      <c r="K9" s="138">
        <v>10093027816</v>
      </c>
      <c r="L9" s="138" t="s">
        <v>10643</v>
      </c>
      <c r="M9" s="32"/>
      <c r="N9" s="29"/>
      <c r="O9" s="10"/>
      <c r="P9" s="10"/>
      <c r="Q9" s="35"/>
      <c r="R9" s="29"/>
      <c r="S9" s="10"/>
      <c r="T9" s="10"/>
      <c r="U9" s="10"/>
      <c r="V9" s="10"/>
      <c r="W9" s="10"/>
      <c r="X9" s="10"/>
      <c r="Y9" s="10"/>
      <c r="Z9" s="35"/>
      <c r="AA9" s="29"/>
      <c r="AB9" s="8"/>
      <c r="AC9" s="26"/>
      <c r="AD9" s="24">
        <f t="shared" si="0"/>
        <v>0</v>
      </c>
      <c r="AE9" s="24">
        <f t="shared" si="1"/>
        <v>0</v>
      </c>
      <c r="AF9" s="24">
        <f t="shared" si="2"/>
        <v>0</v>
      </c>
      <c r="AG9" s="41" t="str" cm="1">
        <f t="array" ref="AG9">_xlfn.IFS(
SUM(AD9:AF9)=0,"Not Started",
SUM(AD9:AF9)&lt;15,"In Progress",
SUM(AD9:AF9)=15,"Completed",
SUM(AD9:AF9)&gt;15,"Error"
)</f>
        <v>Not Started</v>
      </c>
    </row>
    <row r="10" spans="1:38" ht="13" x14ac:dyDescent="0.25">
      <c r="A10" s="248"/>
      <c r="B10" s="14" t="s">
        <v>2268</v>
      </c>
      <c r="C10" s="138" t="s">
        <v>10644</v>
      </c>
      <c r="D10" s="138" t="s">
        <v>10645</v>
      </c>
      <c r="E10" s="138" t="s">
        <v>10631</v>
      </c>
      <c r="F10" s="138" t="s">
        <v>10613</v>
      </c>
      <c r="G10" s="138" t="s">
        <v>10614</v>
      </c>
      <c r="H10" s="138" t="s">
        <v>10615</v>
      </c>
      <c r="I10" s="138" t="s">
        <v>10646</v>
      </c>
      <c r="J10" s="138" t="s">
        <v>10647</v>
      </c>
      <c r="K10" s="138">
        <v>10041668851</v>
      </c>
      <c r="L10" s="138" t="s">
        <v>10648</v>
      </c>
      <c r="M10" s="32"/>
      <c r="N10" s="29"/>
      <c r="O10" s="10"/>
      <c r="P10" s="10"/>
      <c r="Q10" s="35"/>
      <c r="R10" s="29"/>
      <c r="S10" s="10"/>
      <c r="T10" s="10"/>
      <c r="U10" s="10"/>
      <c r="V10" s="10"/>
      <c r="W10" s="10"/>
      <c r="X10" s="10"/>
      <c r="Y10" s="10"/>
      <c r="Z10" s="35"/>
      <c r="AA10" s="29"/>
      <c r="AB10" s="8"/>
      <c r="AC10" s="26"/>
      <c r="AD10" s="24">
        <f t="shared" si="0"/>
        <v>0</v>
      </c>
      <c r="AE10" s="24">
        <f t="shared" si="1"/>
        <v>0</v>
      </c>
      <c r="AF10" s="24">
        <f t="shared" si="2"/>
        <v>0</v>
      </c>
      <c r="AG10" s="41" t="str" cm="1">
        <f t="array" ref="AG10">_xlfn.IFS(
SUM(AD10:AF10)=0,"Not Started",
SUM(AD10:AF10)&lt;15,"In Progress",
SUM(AD10:AF10)=15,"Completed",
SUM(AD10:AF10)&gt;15,"Error"
)</f>
        <v>Not Started</v>
      </c>
    </row>
    <row r="11" spans="1:38" ht="13" x14ac:dyDescent="0.25">
      <c r="A11" s="248"/>
      <c r="B11" s="7" t="s">
        <v>2269</v>
      </c>
      <c r="C11" s="138" t="s">
        <v>10649</v>
      </c>
      <c r="D11" s="138" t="s">
        <v>10650</v>
      </c>
      <c r="E11" s="138" t="s">
        <v>10612</v>
      </c>
      <c r="F11" s="138" t="s">
        <v>10613</v>
      </c>
      <c r="G11" s="138" t="s">
        <v>10614</v>
      </c>
      <c r="H11" s="138" t="s">
        <v>10615</v>
      </c>
      <c r="I11" s="138" t="s">
        <v>10651</v>
      </c>
      <c r="J11" s="138" t="s">
        <v>10652</v>
      </c>
      <c r="K11" s="138">
        <v>10041961195</v>
      </c>
      <c r="L11" s="138" t="s">
        <v>10653</v>
      </c>
      <c r="M11" s="32"/>
      <c r="N11" s="29"/>
      <c r="O11" s="10"/>
      <c r="P11" s="10"/>
      <c r="Q11" s="35"/>
      <c r="R11" s="29"/>
      <c r="S11" s="10"/>
      <c r="T11" s="10"/>
      <c r="U11" s="10"/>
      <c r="V11" s="10"/>
      <c r="W11" s="10"/>
      <c r="X11" s="10"/>
      <c r="Y11" s="10"/>
      <c r="Z11" s="35"/>
      <c r="AA11" s="29"/>
      <c r="AB11" s="8"/>
      <c r="AC11" s="26"/>
      <c r="AD11" s="24">
        <f t="shared" si="0"/>
        <v>0</v>
      </c>
      <c r="AE11" s="24">
        <f t="shared" si="1"/>
        <v>0</v>
      </c>
      <c r="AF11" s="24">
        <f t="shared" si="2"/>
        <v>0</v>
      </c>
      <c r="AG11" s="41" t="str" cm="1">
        <f t="array" ref="AG11">_xlfn.IFS(
SUM(AD11:AF11)=0,"Not Started",
SUM(AD11:AF11)&lt;15,"In Progress",
SUM(AD11:AF11)=15,"Completed",
SUM(AD11:AF11)&gt;15,"Error"
)</f>
        <v>Not Started</v>
      </c>
    </row>
    <row r="12" spans="1:38" ht="13" x14ac:dyDescent="0.25">
      <c r="A12" s="248"/>
      <c r="B12" s="14" t="s">
        <v>2270</v>
      </c>
      <c r="C12" s="138" t="s">
        <v>10654</v>
      </c>
      <c r="D12" s="138" t="s">
        <v>10655</v>
      </c>
      <c r="E12" s="138" t="s">
        <v>10612</v>
      </c>
      <c r="F12" s="138" t="s">
        <v>10613</v>
      </c>
      <c r="G12" s="138" t="s">
        <v>10614</v>
      </c>
      <c r="H12" s="138" t="s">
        <v>10615</v>
      </c>
      <c r="I12" s="138" t="s">
        <v>10656</v>
      </c>
      <c r="J12" s="138" t="s">
        <v>10657</v>
      </c>
      <c r="K12" s="138">
        <v>10042000892</v>
      </c>
      <c r="L12" s="138" t="s">
        <v>10658</v>
      </c>
      <c r="M12" s="32"/>
      <c r="N12" s="29"/>
      <c r="O12" s="10"/>
      <c r="P12" s="10"/>
      <c r="Q12" s="35"/>
      <c r="R12" s="29"/>
      <c r="S12" s="10"/>
      <c r="T12" s="10"/>
      <c r="U12" s="10"/>
      <c r="V12" s="10"/>
      <c r="W12" s="10"/>
      <c r="X12" s="10"/>
      <c r="Y12" s="10"/>
      <c r="Z12" s="35"/>
      <c r="AA12" s="29"/>
      <c r="AB12" s="8"/>
      <c r="AC12" s="26"/>
      <c r="AD12" s="24">
        <f t="shared" si="0"/>
        <v>0</v>
      </c>
      <c r="AE12" s="24">
        <f t="shared" si="1"/>
        <v>0</v>
      </c>
      <c r="AF12" s="24">
        <f t="shared" si="2"/>
        <v>0</v>
      </c>
      <c r="AG12" s="41" t="str" cm="1">
        <f t="array" ref="AG12">_xlfn.IFS(
SUM(AD12:AF12)=0,"Not Started",
SUM(AD12:AF12)&lt;15,"In Progress",
SUM(AD12:AF12)=15,"Completed",
SUM(AD12:AF12)&gt;15,"Error"
)</f>
        <v>Not Started</v>
      </c>
    </row>
    <row r="13" spans="1:38" ht="13" x14ac:dyDescent="0.25">
      <c r="A13" s="248"/>
      <c r="B13" s="7" t="s">
        <v>2271</v>
      </c>
      <c r="C13" s="138" t="s">
        <v>10659</v>
      </c>
      <c r="D13" s="138" t="s">
        <v>10660</v>
      </c>
      <c r="E13" s="138" t="s">
        <v>10612</v>
      </c>
      <c r="F13" s="138" t="s">
        <v>10613</v>
      </c>
      <c r="G13" s="138" t="s">
        <v>10614</v>
      </c>
      <c r="H13" s="138" t="s">
        <v>10615</v>
      </c>
      <c r="I13" s="138" t="s">
        <v>10661</v>
      </c>
      <c r="J13" s="138" t="s">
        <v>10662</v>
      </c>
      <c r="K13" s="138">
        <v>10041681708</v>
      </c>
      <c r="L13" s="138" t="s">
        <v>10663</v>
      </c>
      <c r="M13" s="32"/>
      <c r="N13" s="29"/>
      <c r="O13" s="10"/>
      <c r="P13" s="10"/>
      <c r="Q13" s="35"/>
      <c r="R13" s="29"/>
      <c r="S13" s="10"/>
      <c r="T13" s="10"/>
      <c r="U13" s="10"/>
      <c r="V13" s="10"/>
      <c r="W13" s="10"/>
      <c r="X13" s="10"/>
      <c r="Y13" s="10"/>
      <c r="Z13" s="35"/>
      <c r="AA13" s="29"/>
      <c r="AB13" s="8"/>
      <c r="AC13" s="26"/>
      <c r="AD13" s="24">
        <f t="shared" si="0"/>
        <v>0</v>
      </c>
      <c r="AE13" s="24">
        <f t="shared" si="1"/>
        <v>0</v>
      </c>
      <c r="AF13" s="24">
        <f t="shared" si="2"/>
        <v>0</v>
      </c>
      <c r="AG13" s="41" t="str" cm="1">
        <f t="array" ref="AG13">_xlfn.IFS(
SUM(AD13:AF13)=0,"Not Started",
SUM(AD13:AF13)&lt;15,"In Progress",
SUM(AD13:AF13)=15,"Completed",
SUM(AD13:AF13)&gt;15,"Error"
)</f>
        <v>Not Started</v>
      </c>
    </row>
    <row r="14" spans="1:38" ht="15.75" customHeight="1" x14ac:dyDescent="0.25">
      <c r="A14" s="248"/>
      <c r="B14" s="14" t="s">
        <v>2272</v>
      </c>
      <c r="C14" s="138" t="s">
        <v>10664</v>
      </c>
      <c r="D14" s="138" t="s">
        <v>10665</v>
      </c>
      <c r="E14" s="138" t="s">
        <v>10612</v>
      </c>
      <c r="F14" s="138" t="s">
        <v>10613</v>
      </c>
      <c r="G14" s="138" t="s">
        <v>10614</v>
      </c>
      <c r="H14" s="138" t="s">
        <v>10615</v>
      </c>
      <c r="I14" s="138" t="s">
        <v>10666</v>
      </c>
      <c r="J14" s="138" t="s">
        <v>10667</v>
      </c>
      <c r="K14" s="138">
        <v>10041821087</v>
      </c>
      <c r="L14" s="138" t="s">
        <v>10668</v>
      </c>
      <c r="M14" s="32"/>
      <c r="N14" s="29"/>
      <c r="O14" s="10"/>
      <c r="P14" s="10"/>
      <c r="Q14" s="35"/>
      <c r="R14" s="29"/>
      <c r="S14" s="10"/>
      <c r="T14" s="10"/>
      <c r="U14" s="10"/>
      <c r="V14" s="10"/>
      <c r="W14" s="10"/>
      <c r="X14" s="10"/>
      <c r="Y14" s="10"/>
      <c r="Z14" s="35"/>
      <c r="AA14" s="29"/>
      <c r="AB14" s="8"/>
      <c r="AC14" s="26"/>
      <c r="AD14" s="24">
        <f t="shared" si="0"/>
        <v>0</v>
      </c>
      <c r="AE14" s="24">
        <f t="shared" si="1"/>
        <v>0</v>
      </c>
      <c r="AF14" s="24">
        <f t="shared" si="2"/>
        <v>0</v>
      </c>
      <c r="AG14" s="41" t="str" cm="1">
        <f t="array" ref="AG14">_xlfn.IFS(
SUM(AD14:AF14)=0,"Not Started",
SUM(AD14:AF14)&lt;15,"In Progress",
SUM(AD14:AF14)=15,"Completed",
SUM(AD14:AF14)&gt;15,"Error"
)</f>
        <v>Not Started</v>
      </c>
    </row>
    <row r="15" spans="1:38" ht="15.75" customHeight="1" x14ac:dyDescent="0.25">
      <c r="A15" s="248"/>
      <c r="B15" s="7" t="s">
        <v>2273</v>
      </c>
      <c r="C15" s="138" t="s">
        <v>10669</v>
      </c>
      <c r="D15" s="138" t="s">
        <v>10670</v>
      </c>
      <c r="E15" s="138" t="s">
        <v>10612</v>
      </c>
      <c r="F15" s="138" t="s">
        <v>10613</v>
      </c>
      <c r="G15" s="138" t="s">
        <v>10614</v>
      </c>
      <c r="H15" s="138" t="s">
        <v>10615</v>
      </c>
      <c r="I15" s="138" t="s">
        <v>10671</v>
      </c>
      <c r="J15" s="138" t="s">
        <v>10672</v>
      </c>
      <c r="K15" s="138">
        <v>10041343327</v>
      </c>
      <c r="L15" s="138" t="s">
        <v>10673</v>
      </c>
      <c r="M15" s="32"/>
      <c r="N15" s="29"/>
      <c r="O15" s="10"/>
      <c r="P15" s="10"/>
      <c r="Q15" s="35"/>
      <c r="R15" s="29"/>
      <c r="S15" s="10"/>
      <c r="T15" s="10"/>
      <c r="U15" s="10"/>
      <c r="V15" s="10"/>
      <c r="W15" s="10"/>
      <c r="X15" s="10"/>
      <c r="Y15" s="10"/>
      <c r="Z15" s="35"/>
      <c r="AA15" s="29"/>
      <c r="AB15" s="8"/>
      <c r="AC15" s="26"/>
      <c r="AD15" s="24">
        <f t="shared" si="0"/>
        <v>0</v>
      </c>
      <c r="AE15" s="24">
        <f t="shared" si="1"/>
        <v>0</v>
      </c>
      <c r="AF15" s="24">
        <f t="shared" si="2"/>
        <v>0</v>
      </c>
      <c r="AG15" s="41" t="str" cm="1">
        <f t="array" ref="AG15">_xlfn.IFS(
SUM(AD15:AF15)=0,"Not Started",
SUM(AD15:AF15)&lt;15,"In Progress",
SUM(AD15:AF15)=15,"Completed",
SUM(AD15:AF15)&gt;15,"Error"
)</f>
        <v>Not Started</v>
      </c>
    </row>
    <row r="16" spans="1:38" ht="15.75" customHeight="1" x14ac:dyDescent="0.25">
      <c r="A16" s="248"/>
      <c r="B16" s="14" t="s">
        <v>2274</v>
      </c>
      <c r="C16" s="138" t="s">
        <v>10674</v>
      </c>
      <c r="D16" s="138" t="s">
        <v>10675</v>
      </c>
      <c r="E16" s="138" t="s">
        <v>10676</v>
      </c>
      <c r="F16" s="138" t="s">
        <v>10613</v>
      </c>
      <c r="G16" s="138" t="s">
        <v>10614</v>
      </c>
      <c r="H16" s="138" t="s">
        <v>10615</v>
      </c>
      <c r="I16" s="138" t="s">
        <v>10677</v>
      </c>
      <c r="J16" s="138" t="s">
        <v>10678</v>
      </c>
      <c r="K16" s="138">
        <v>10041337929</v>
      </c>
      <c r="L16" s="138" t="s">
        <v>10679</v>
      </c>
      <c r="M16" s="32"/>
      <c r="N16" s="29"/>
      <c r="O16" s="10"/>
      <c r="P16" s="10"/>
      <c r="Q16" s="35"/>
      <c r="R16" s="29"/>
      <c r="S16" s="10"/>
      <c r="T16" s="10"/>
      <c r="U16" s="10"/>
      <c r="V16" s="10"/>
      <c r="W16" s="10"/>
      <c r="X16" s="10"/>
      <c r="Y16" s="10"/>
      <c r="Z16" s="35"/>
      <c r="AA16" s="29"/>
      <c r="AB16" s="8"/>
      <c r="AC16" s="26"/>
      <c r="AD16" s="24">
        <f t="shared" si="0"/>
        <v>0</v>
      </c>
      <c r="AE16" s="24">
        <f t="shared" si="1"/>
        <v>0</v>
      </c>
      <c r="AF16" s="24">
        <f t="shared" si="2"/>
        <v>0</v>
      </c>
      <c r="AG16" s="41" t="str" cm="1">
        <f t="array" ref="AG16">_xlfn.IFS(
SUM(AD16:AF16)=0,"Not Started",
SUM(AD16:AF16)&lt;15,"In Progress",
SUM(AD16:AF16)=15,"Completed",
SUM(AD16:AF16)&gt;15,"Error"
)</f>
        <v>Not Started</v>
      </c>
    </row>
    <row r="17" spans="1:33" ht="15.75" customHeight="1" x14ac:dyDescent="0.25">
      <c r="A17" s="248"/>
      <c r="B17" s="7" t="s">
        <v>2275</v>
      </c>
      <c r="C17" s="138" t="s">
        <v>10680</v>
      </c>
      <c r="D17" s="138" t="s">
        <v>10681</v>
      </c>
      <c r="E17" s="138" t="s">
        <v>10676</v>
      </c>
      <c r="F17" s="138" t="s">
        <v>10613</v>
      </c>
      <c r="G17" s="138" t="s">
        <v>10614</v>
      </c>
      <c r="H17" s="138" t="s">
        <v>10615</v>
      </c>
      <c r="I17" s="138" t="s">
        <v>10682</v>
      </c>
      <c r="J17" s="138" t="s">
        <v>10683</v>
      </c>
      <c r="K17" s="138">
        <v>10041694261</v>
      </c>
      <c r="L17" s="138" t="s">
        <v>10688</v>
      </c>
      <c r="M17" s="32"/>
      <c r="N17" s="29"/>
      <c r="O17" s="10"/>
      <c r="P17" s="10"/>
      <c r="Q17" s="35"/>
      <c r="R17" s="29"/>
      <c r="S17" s="10"/>
      <c r="T17" s="10"/>
      <c r="U17" s="10"/>
      <c r="V17" s="10"/>
      <c r="W17" s="10"/>
      <c r="X17" s="10"/>
      <c r="Y17" s="10"/>
      <c r="Z17" s="35"/>
      <c r="AA17" s="29"/>
      <c r="AB17" s="8"/>
      <c r="AC17" s="26"/>
      <c r="AD17" s="24">
        <f t="shared" si="0"/>
        <v>0</v>
      </c>
      <c r="AE17" s="24">
        <f t="shared" si="1"/>
        <v>0</v>
      </c>
      <c r="AF17" s="24">
        <f t="shared" si="2"/>
        <v>0</v>
      </c>
      <c r="AG17" s="41" t="str" cm="1">
        <f t="array" ref="AG17">_xlfn.IFS(
SUM(AD17:AF17)=0,"Not Started",
SUM(AD17:AF17)&lt;15,"In Progress",
SUM(AD17:AF17)=15,"Completed",
SUM(AD17:AF17)&gt;15,"Error"
)</f>
        <v>Not Started</v>
      </c>
    </row>
    <row r="18" spans="1:33" ht="15.75" customHeight="1" x14ac:dyDescent="0.25">
      <c r="A18" s="248"/>
      <c r="B18" s="14" t="s">
        <v>2276</v>
      </c>
      <c r="C18" s="138" t="s">
        <v>10684</v>
      </c>
      <c r="D18" s="138" t="s">
        <v>10685</v>
      </c>
      <c r="E18" s="138" t="s">
        <v>10631</v>
      </c>
      <c r="F18" s="138" t="s">
        <v>10613</v>
      </c>
      <c r="G18" s="138" t="s">
        <v>10614</v>
      </c>
      <c r="H18" s="138" t="s">
        <v>10615</v>
      </c>
      <c r="I18" s="138" t="s">
        <v>10686</v>
      </c>
      <c r="J18" s="138" t="s">
        <v>10687</v>
      </c>
      <c r="K18" s="138">
        <v>10041497280</v>
      </c>
      <c r="L18" s="138" t="s">
        <v>10692</v>
      </c>
      <c r="M18" s="32"/>
      <c r="N18" s="29"/>
      <c r="O18" s="10"/>
      <c r="P18" s="10"/>
      <c r="Q18" s="35"/>
      <c r="R18" s="29"/>
      <c r="S18" s="10"/>
      <c r="T18" s="10"/>
      <c r="U18" s="10"/>
      <c r="V18" s="10"/>
      <c r="W18" s="10"/>
      <c r="X18" s="10"/>
      <c r="Y18" s="10"/>
      <c r="Z18" s="35"/>
      <c r="AA18" s="29"/>
      <c r="AB18" s="8"/>
      <c r="AC18" s="26"/>
      <c r="AD18" s="24">
        <f t="shared" si="0"/>
        <v>0</v>
      </c>
      <c r="AE18" s="24">
        <f t="shared" si="1"/>
        <v>0</v>
      </c>
      <c r="AF18" s="24">
        <f t="shared" si="2"/>
        <v>0</v>
      </c>
      <c r="AG18" s="41" t="str" cm="1">
        <f t="array" ref="AG18">_xlfn.IFS(
SUM(AD18:AF18)=0,"Not Started",
SUM(AD18:AF18)&lt;15,"In Progress",
SUM(AD18:AF18)=15,"Completed",
SUM(AD18:AF18)&gt;15,"Error"
)</f>
        <v>Not Started</v>
      </c>
    </row>
    <row r="19" spans="1:33" ht="15.75" customHeight="1" x14ac:dyDescent="0.25">
      <c r="A19" s="248"/>
      <c r="B19" s="7" t="s">
        <v>2277</v>
      </c>
      <c r="C19" s="138" t="s">
        <v>6825</v>
      </c>
      <c r="D19" s="138" t="s">
        <v>10689</v>
      </c>
      <c r="E19" s="138" t="s">
        <v>10612</v>
      </c>
      <c r="F19" s="138" t="s">
        <v>10613</v>
      </c>
      <c r="G19" s="138" t="s">
        <v>10614</v>
      </c>
      <c r="H19" s="138" t="s">
        <v>10615</v>
      </c>
      <c r="I19" s="138" t="s">
        <v>10690</v>
      </c>
      <c r="J19" s="138" t="s">
        <v>10691</v>
      </c>
      <c r="K19" s="138">
        <v>10041660351</v>
      </c>
      <c r="L19" s="203">
        <v>46087.612129629626</v>
      </c>
      <c r="M19" s="32"/>
      <c r="N19" s="29"/>
      <c r="O19" s="10"/>
      <c r="P19" s="10"/>
      <c r="Q19" s="35"/>
      <c r="R19" s="29"/>
      <c r="S19" s="10"/>
      <c r="T19" s="10"/>
      <c r="U19" s="10"/>
      <c r="V19" s="10"/>
      <c r="W19" s="10"/>
      <c r="X19" s="10"/>
      <c r="Y19" s="10"/>
      <c r="Z19" s="35"/>
      <c r="AA19" s="29"/>
      <c r="AB19" s="8"/>
      <c r="AC19" s="26"/>
      <c r="AD19" s="24">
        <f t="shared" si="0"/>
        <v>0</v>
      </c>
      <c r="AE19" s="24">
        <f t="shared" si="1"/>
        <v>0</v>
      </c>
      <c r="AF19" s="24">
        <f t="shared" si="2"/>
        <v>0</v>
      </c>
      <c r="AG19" s="41" t="str" cm="1">
        <f t="array" ref="AG19">_xlfn.IFS(
SUM(AD19:AF19)=0,"Not Started",
SUM(AD19:AF19)&lt;15,"In Progress",
SUM(AD19:AF19)=15,"Completed",
SUM(AD19:AF19)&gt;15,"Error"
)</f>
        <v>Not Started</v>
      </c>
    </row>
    <row r="20" spans="1:33" ht="15.75" customHeight="1" x14ac:dyDescent="0.25">
      <c r="A20" s="248"/>
      <c r="B20" s="14" t="s">
        <v>2278</v>
      </c>
      <c r="C20" s="138" t="s">
        <v>10693</v>
      </c>
      <c r="D20" s="138" t="s">
        <v>10694</v>
      </c>
      <c r="E20" s="138" t="s">
        <v>10631</v>
      </c>
      <c r="F20" s="138" t="s">
        <v>10613</v>
      </c>
      <c r="G20" s="138" t="s">
        <v>10614</v>
      </c>
      <c r="H20" s="138" t="s">
        <v>10615</v>
      </c>
      <c r="I20" s="138" t="s">
        <v>10695</v>
      </c>
      <c r="J20" s="138" t="s">
        <v>10696</v>
      </c>
      <c r="K20" s="138">
        <v>10041634754</v>
      </c>
      <c r="L20" s="203">
        <v>46088.61212957176</v>
      </c>
      <c r="M20" s="32"/>
      <c r="N20" s="29"/>
      <c r="O20" s="10"/>
      <c r="P20" s="10"/>
      <c r="Q20" s="35"/>
      <c r="R20" s="29"/>
      <c r="S20" s="10"/>
      <c r="T20" s="10"/>
      <c r="U20" s="10"/>
      <c r="V20" s="10"/>
      <c r="W20" s="10"/>
      <c r="X20" s="10"/>
      <c r="Y20" s="10"/>
      <c r="Z20" s="35"/>
      <c r="AA20" s="29"/>
      <c r="AB20" s="8"/>
      <c r="AC20" s="26"/>
      <c r="AD20" s="24">
        <f t="shared" si="0"/>
        <v>0</v>
      </c>
      <c r="AE20" s="24">
        <f t="shared" si="1"/>
        <v>0</v>
      </c>
      <c r="AF20" s="24">
        <f t="shared" si="2"/>
        <v>0</v>
      </c>
      <c r="AG20" s="41" t="str" cm="1">
        <f t="array" ref="AG20">_xlfn.IFS(
SUM(AD20:AF20)=0,"Not Started",
SUM(AD20:AF20)&lt;15,"In Progress",
SUM(AD20:AF20)=15,"Completed",
SUM(AD20:AF20)&gt;15,"Error"
)</f>
        <v>Not Started</v>
      </c>
    </row>
    <row r="21" spans="1:33" ht="13" x14ac:dyDescent="0.25">
      <c r="A21" s="248"/>
      <c r="B21" s="7" t="s">
        <v>2279</v>
      </c>
      <c r="C21" s="138" t="s">
        <v>10697</v>
      </c>
      <c r="D21" s="138" t="s">
        <v>10698</v>
      </c>
      <c r="E21" s="138" t="s">
        <v>10676</v>
      </c>
      <c r="F21" s="138" t="s">
        <v>10613</v>
      </c>
      <c r="G21" s="138" t="s">
        <v>10614</v>
      </c>
      <c r="H21" s="138" t="s">
        <v>10615</v>
      </c>
      <c r="I21" s="138" t="s">
        <v>10699</v>
      </c>
      <c r="J21" s="138" t="s">
        <v>10700</v>
      </c>
      <c r="K21" s="138">
        <v>10041630094</v>
      </c>
      <c r="L21" s="203">
        <v>46089.61212957176</v>
      </c>
      <c r="M21" s="32"/>
      <c r="N21" s="29"/>
      <c r="O21" s="10"/>
      <c r="P21" s="10"/>
      <c r="Q21" s="35"/>
      <c r="R21" s="29"/>
      <c r="S21" s="10"/>
      <c r="T21" s="10"/>
      <c r="U21" s="10"/>
      <c r="V21" s="10"/>
      <c r="W21" s="10"/>
      <c r="X21" s="10"/>
      <c r="Y21" s="10"/>
      <c r="Z21" s="35"/>
      <c r="AA21" s="29"/>
      <c r="AB21" s="8"/>
      <c r="AC21" s="26"/>
      <c r="AD21" s="24">
        <f t="shared" si="0"/>
        <v>0</v>
      </c>
      <c r="AE21" s="24">
        <f t="shared" si="1"/>
        <v>0</v>
      </c>
      <c r="AF21" s="24">
        <f t="shared" si="2"/>
        <v>0</v>
      </c>
      <c r="AG21" s="41" t="str" cm="1">
        <f t="array" ref="AG21">_xlfn.IFS(
SUM(AD21:AF21)=0,"Not Started",
SUM(AD21:AF21)&lt;15,"In Progress",
SUM(AD21:AF21)=15,"Completed",
SUM(AD21:AF21)&gt;15,"Error"
)</f>
        <v>Not Started</v>
      </c>
    </row>
    <row r="22" spans="1:33" ht="13" x14ac:dyDescent="0.25">
      <c r="A22" s="248"/>
      <c r="B22" s="14" t="s">
        <v>2280</v>
      </c>
      <c r="C22" s="138" t="s">
        <v>10701</v>
      </c>
      <c r="D22" s="138" t="s">
        <v>10702</v>
      </c>
      <c r="E22" s="138" t="s">
        <v>10631</v>
      </c>
      <c r="F22" s="138" t="s">
        <v>10613</v>
      </c>
      <c r="G22" s="138" t="s">
        <v>10614</v>
      </c>
      <c r="H22" s="138" t="s">
        <v>10615</v>
      </c>
      <c r="I22" s="138" t="s">
        <v>10703</v>
      </c>
      <c r="J22" s="138" t="s">
        <v>10704</v>
      </c>
      <c r="K22" s="138">
        <v>10095262726</v>
      </c>
      <c r="L22" s="203">
        <v>46090.61212957176</v>
      </c>
      <c r="M22" s="32"/>
      <c r="N22" s="29"/>
      <c r="O22" s="10"/>
      <c r="P22" s="10"/>
      <c r="Q22" s="35"/>
      <c r="R22" s="29"/>
      <c r="S22" s="10"/>
      <c r="T22" s="10"/>
      <c r="U22" s="10"/>
      <c r="V22" s="10"/>
      <c r="W22" s="10"/>
      <c r="X22" s="10"/>
      <c r="Y22" s="10"/>
      <c r="Z22" s="35"/>
      <c r="AA22" s="29"/>
      <c r="AB22" s="8"/>
      <c r="AC22" s="26"/>
      <c r="AD22" s="24">
        <f t="shared" si="0"/>
        <v>0</v>
      </c>
      <c r="AE22" s="24">
        <f t="shared" si="1"/>
        <v>0</v>
      </c>
      <c r="AF22" s="24">
        <f t="shared" si="2"/>
        <v>0</v>
      </c>
      <c r="AG22" s="41" t="str" cm="1">
        <f t="array" ref="AG22">_xlfn.IFS(
SUM(AD22:AF22)=0,"Not Started",
SUM(AD22:AF22)&lt;15,"In Progress",
SUM(AD22:AF22)=15,"Completed",
SUM(AD22:AF22)&gt;15,"Error"
)</f>
        <v>Not Started</v>
      </c>
    </row>
    <row r="23" spans="1:33" ht="13" x14ac:dyDescent="0.25">
      <c r="A23" s="248"/>
      <c r="B23" s="7" t="s">
        <v>2281</v>
      </c>
      <c r="C23" s="138" t="s">
        <v>10705</v>
      </c>
      <c r="D23" s="138" t="s">
        <v>10706</v>
      </c>
      <c r="E23" s="138" t="s">
        <v>10612</v>
      </c>
      <c r="F23" s="138" t="s">
        <v>10613</v>
      </c>
      <c r="G23" s="138" t="s">
        <v>10614</v>
      </c>
      <c r="H23" s="138" t="s">
        <v>10615</v>
      </c>
      <c r="I23" s="138" t="s">
        <v>10707</v>
      </c>
      <c r="J23" s="138" t="s">
        <v>10708</v>
      </c>
      <c r="K23" s="138">
        <v>10041425487</v>
      </c>
      <c r="L23" s="203">
        <v>46091.61212957176</v>
      </c>
      <c r="M23" s="32"/>
      <c r="N23" s="29"/>
      <c r="O23" s="10"/>
      <c r="P23" s="10"/>
      <c r="Q23" s="35"/>
      <c r="R23" s="29"/>
      <c r="S23" s="10"/>
      <c r="T23" s="10"/>
      <c r="U23" s="10"/>
      <c r="V23" s="10"/>
      <c r="W23" s="10"/>
      <c r="X23" s="10"/>
      <c r="Y23" s="10"/>
      <c r="Z23" s="35"/>
      <c r="AA23" s="29"/>
      <c r="AB23" s="8"/>
      <c r="AC23" s="26"/>
      <c r="AD23" s="24">
        <f t="shared" si="0"/>
        <v>0</v>
      </c>
      <c r="AE23" s="24">
        <f t="shared" si="1"/>
        <v>0</v>
      </c>
      <c r="AF23" s="24">
        <f t="shared" si="2"/>
        <v>0</v>
      </c>
      <c r="AG23" s="41" t="str" cm="1">
        <f t="array" ref="AG23">_xlfn.IFS(
SUM(AD23:AF23)=0,"Not Started",
SUM(AD23:AF23)&lt;15,"In Progress",
SUM(AD23:AF23)=15,"Completed",
SUM(AD23:AF23)&gt;15,"Error"
)</f>
        <v>Not Started</v>
      </c>
    </row>
    <row r="24" spans="1:33" ht="13" x14ac:dyDescent="0.25">
      <c r="A24" s="248"/>
      <c r="B24" s="14" t="s">
        <v>2282</v>
      </c>
      <c r="C24" s="138" t="s">
        <v>10709</v>
      </c>
      <c r="D24" s="138" t="s">
        <v>10710</v>
      </c>
      <c r="E24" s="138" t="s">
        <v>10612</v>
      </c>
      <c r="F24" s="138" t="s">
        <v>10613</v>
      </c>
      <c r="G24" s="138" t="s">
        <v>10614</v>
      </c>
      <c r="H24" s="138" t="s">
        <v>10615</v>
      </c>
      <c r="I24" s="138" t="s">
        <v>10711</v>
      </c>
      <c r="J24" s="138" t="s">
        <v>10712</v>
      </c>
      <c r="K24" s="138">
        <v>10041292184</v>
      </c>
      <c r="L24" s="203">
        <v>46092.61212957176</v>
      </c>
      <c r="M24" s="32"/>
      <c r="N24" s="29"/>
      <c r="O24" s="10"/>
      <c r="P24" s="10"/>
      <c r="Q24" s="35"/>
      <c r="R24" s="29"/>
      <c r="S24" s="10"/>
      <c r="T24" s="10"/>
      <c r="U24" s="10"/>
      <c r="V24" s="10"/>
      <c r="W24" s="10"/>
      <c r="X24" s="10"/>
      <c r="Y24" s="10"/>
      <c r="Z24" s="35"/>
      <c r="AA24" s="29"/>
      <c r="AB24" s="8"/>
      <c r="AC24" s="26"/>
      <c r="AD24" s="24">
        <f t="shared" si="0"/>
        <v>0</v>
      </c>
      <c r="AE24" s="24">
        <f t="shared" si="1"/>
        <v>0</v>
      </c>
      <c r="AF24" s="24">
        <f t="shared" si="2"/>
        <v>0</v>
      </c>
      <c r="AG24" s="41" t="str" cm="1">
        <f t="array" ref="AG24">_xlfn.IFS(
SUM(AD24:AF24)=0,"Not Started",
SUM(AD24:AF24)&lt;15,"In Progress",
SUM(AD24:AF24)=15,"Completed",
SUM(AD24:AF24)&gt;15,"Error"
)</f>
        <v>Not Started</v>
      </c>
    </row>
    <row r="25" spans="1:33" ht="13" x14ac:dyDescent="0.25">
      <c r="A25" s="248"/>
      <c r="B25" s="7" t="s">
        <v>2283</v>
      </c>
      <c r="C25" s="138" t="s">
        <v>10713</v>
      </c>
      <c r="D25" s="138" t="s">
        <v>10714</v>
      </c>
      <c r="E25" s="138" t="s">
        <v>10612</v>
      </c>
      <c r="F25" s="138" t="s">
        <v>10613</v>
      </c>
      <c r="G25" s="138" t="s">
        <v>10614</v>
      </c>
      <c r="H25" s="138" t="s">
        <v>10615</v>
      </c>
      <c r="I25" s="138" t="s">
        <v>10715</v>
      </c>
      <c r="J25" s="138" t="s">
        <v>10716</v>
      </c>
      <c r="K25" s="138">
        <v>10041694485</v>
      </c>
      <c r="L25" s="203">
        <v>46093.61212957176</v>
      </c>
      <c r="M25" s="32"/>
      <c r="N25" s="29"/>
      <c r="O25" s="10"/>
      <c r="P25" s="10"/>
      <c r="Q25" s="35"/>
      <c r="R25" s="29"/>
      <c r="S25" s="10"/>
      <c r="T25" s="10"/>
      <c r="U25" s="10"/>
      <c r="V25" s="10"/>
      <c r="W25" s="10"/>
      <c r="X25" s="10"/>
      <c r="Y25" s="10"/>
      <c r="Z25" s="35"/>
      <c r="AA25" s="29"/>
      <c r="AB25" s="8"/>
      <c r="AC25" s="26"/>
      <c r="AD25" s="24">
        <f t="shared" si="0"/>
        <v>0</v>
      </c>
      <c r="AE25" s="24">
        <f t="shared" si="1"/>
        <v>0</v>
      </c>
      <c r="AF25" s="24">
        <f t="shared" si="2"/>
        <v>0</v>
      </c>
      <c r="AG25" s="41" t="str" cm="1">
        <f t="array" ref="AG25">_xlfn.IFS(
SUM(AD25:AF25)=0,"Not Started",
SUM(AD25:AF25)&lt;15,"In Progress",
SUM(AD25:AF25)=15,"Completed",
SUM(AD25:AF25)&gt;15,"Error"
)</f>
        <v>Not Started</v>
      </c>
    </row>
    <row r="26" spans="1:33" ht="13" x14ac:dyDescent="0.25">
      <c r="A26" s="248"/>
      <c r="B26" s="14" t="s">
        <v>2284</v>
      </c>
      <c r="C26" s="138" t="s">
        <v>10717</v>
      </c>
      <c r="D26" s="138" t="s">
        <v>10718</v>
      </c>
      <c r="E26" s="138" t="s">
        <v>10612</v>
      </c>
      <c r="F26" s="138" t="s">
        <v>10613</v>
      </c>
      <c r="G26" s="138" t="s">
        <v>10614</v>
      </c>
      <c r="H26" s="138" t="s">
        <v>10615</v>
      </c>
      <c r="I26" s="138" t="s">
        <v>10719</v>
      </c>
      <c r="J26" s="138" t="s">
        <v>10720</v>
      </c>
      <c r="K26" s="138">
        <v>10041304392</v>
      </c>
      <c r="L26" s="203">
        <v>46095.61212957176</v>
      </c>
      <c r="M26" s="32"/>
      <c r="N26" s="29"/>
      <c r="O26" s="10"/>
      <c r="P26" s="10"/>
      <c r="Q26" s="35"/>
      <c r="R26" s="29"/>
      <c r="S26" s="10"/>
      <c r="T26" s="10"/>
      <c r="U26" s="10"/>
      <c r="V26" s="10"/>
      <c r="W26" s="10"/>
      <c r="X26" s="10"/>
      <c r="Y26" s="10"/>
      <c r="Z26" s="35"/>
      <c r="AA26" s="29"/>
      <c r="AB26" s="8"/>
      <c r="AC26" s="26"/>
      <c r="AD26" s="24">
        <f t="shared" si="0"/>
        <v>0</v>
      </c>
      <c r="AE26" s="24">
        <f t="shared" si="1"/>
        <v>0</v>
      </c>
      <c r="AF26" s="24">
        <f t="shared" si="2"/>
        <v>0</v>
      </c>
      <c r="AG26" s="41" t="str" cm="1">
        <f t="array" ref="AG26">_xlfn.IFS(
SUM(AD26:AF26)=0,"Not Started",
SUM(AD26:AF26)&lt;15,"In Progress",
SUM(AD26:AF26)=15,"Completed",
SUM(AD26:AF26)&gt;15,"Error"
)</f>
        <v>Not Started</v>
      </c>
    </row>
    <row r="27" spans="1:33" ht="13" x14ac:dyDescent="0.25">
      <c r="A27" s="248"/>
      <c r="B27" s="7" t="s">
        <v>2285</v>
      </c>
      <c r="C27" s="138" t="s">
        <v>10721</v>
      </c>
      <c r="D27" s="138" t="s">
        <v>10722</v>
      </c>
      <c r="E27" s="138" t="s">
        <v>10612</v>
      </c>
      <c r="F27" s="138" t="s">
        <v>10613</v>
      </c>
      <c r="G27" s="138" t="s">
        <v>10614</v>
      </c>
      <c r="H27" s="138" t="s">
        <v>10615</v>
      </c>
      <c r="I27" s="138" t="s">
        <v>10723</v>
      </c>
      <c r="J27" s="138" t="s">
        <v>10724</v>
      </c>
      <c r="K27" s="138">
        <v>10041252877</v>
      </c>
      <c r="L27" s="203">
        <v>46096.61212957176</v>
      </c>
      <c r="M27" s="32"/>
      <c r="N27" s="29"/>
      <c r="O27" s="10"/>
      <c r="P27" s="10"/>
      <c r="Q27" s="35"/>
      <c r="R27" s="29"/>
      <c r="S27" s="10"/>
      <c r="T27" s="10"/>
      <c r="U27" s="10"/>
      <c r="V27" s="10"/>
      <c r="W27" s="10"/>
      <c r="X27" s="10"/>
      <c r="Y27" s="10"/>
      <c r="Z27" s="35"/>
      <c r="AA27" s="29"/>
      <c r="AB27" s="8"/>
      <c r="AC27" s="26"/>
      <c r="AD27" s="24">
        <f t="shared" si="0"/>
        <v>0</v>
      </c>
      <c r="AE27" s="24">
        <f t="shared" si="1"/>
        <v>0</v>
      </c>
      <c r="AF27" s="24">
        <f t="shared" si="2"/>
        <v>0</v>
      </c>
      <c r="AG27" s="41" t="str" cm="1">
        <f t="array" ref="AG27">_xlfn.IFS(
SUM(AD27:AF27)=0,"Not Started",
SUM(AD27:AF27)&lt;15,"In Progress",
SUM(AD27:AF27)=15,"Completed",
SUM(AD27:AF27)&gt;15,"Error"
)</f>
        <v>Not Started</v>
      </c>
    </row>
    <row r="28" spans="1:33" ht="13" x14ac:dyDescent="0.25">
      <c r="A28" s="248"/>
      <c r="B28" s="14" t="s">
        <v>2286</v>
      </c>
      <c r="C28" s="138" t="s">
        <v>10725</v>
      </c>
      <c r="D28" s="138" t="s">
        <v>10726</v>
      </c>
      <c r="E28" s="138" t="s">
        <v>10631</v>
      </c>
      <c r="F28" s="138" t="s">
        <v>10613</v>
      </c>
      <c r="G28" s="138" t="s">
        <v>10614</v>
      </c>
      <c r="H28" s="138" t="s">
        <v>10615</v>
      </c>
      <c r="I28" s="138" t="s">
        <v>10727</v>
      </c>
      <c r="J28" s="138" t="s">
        <v>10728</v>
      </c>
      <c r="K28" s="138">
        <v>10041182020</v>
      </c>
      <c r="L28" s="203">
        <v>46097.61212957176</v>
      </c>
      <c r="M28" s="32"/>
      <c r="N28" s="29"/>
      <c r="O28" s="10"/>
      <c r="P28" s="10"/>
      <c r="Q28" s="35"/>
      <c r="R28" s="29"/>
      <c r="S28" s="10"/>
      <c r="T28" s="10"/>
      <c r="U28" s="10"/>
      <c r="V28" s="10"/>
      <c r="W28" s="10"/>
      <c r="X28" s="10"/>
      <c r="Y28" s="10"/>
      <c r="Z28" s="35"/>
      <c r="AA28" s="29"/>
      <c r="AB28" s="8"/>
      <c r="AC28" s="26"/>
      <c r="AD28" s="24">
        <f t="shared" si="0"/>
        <v>0</v>
      </c>
      <c r="AE28" s="24">
        <f t="shared" si="1"/>
        <v>0</v>
      </c>
      <c r="AF28" s="24">
        <f t="shared" si="2"/>
        <v>0</v>
      </c>
      <c r="AG28" s="41" t="str" cm="1">
        <f t="array" ref="AG28">_xlfn.IFS(
SUM(AD28:AF28)=0,"Not Started",
SUM(AD28:AF28)&lt;15,"In Progress",
SUM(AD28:AF28)=15,"Completed",
SUM(AD28:AF28)&gt;15,"Error"
)</f>
        <v>Not Started</v>
      </c>
    </row>
    <row r="29" spans="1:33" ht="13" x14ac:dyDescent="0.25">
      <c r="A29" s="248"/>
      <c r="B29" s="7" t="s">
        <v>2287</v>
      </c>
      <c r="C29" s="138" t="s">
        <v>10729</v>
      </c>
      <c r="D29" s="138" t="s">
        <v>10730</v>
      </c>
      <c r="E29" s="138" t="s">
        <v>10612</v>
      </c>
      <c r="F29" s="138" t="s">
        <v>10613</v>
      </c>
      <c r="G29" s="138" t="s">
        <v>10614</v>
      </c>
      <c r="H29" s="138" t="s">
        <v>10615</v>
      </c>
      <c r="I29" s="138" t="s">
        <v>10731</v>
      </c>
      <c r="J29" s="138" t="s">
        <v>10732</v>
      </c>
      <c r="K29" s="138">
        <v>10041497931</v>
      </c>
      <c r="L29" s="204">
        <v>46118</v>
      </c>
      <c r="M29" s="32"/>
      <c r="N29" s="29"/>
      <c r="O29" s="10"/>
      <c r="P29" s="10"/>
      <c r="Q29" s="35"/>
      <c r="R29" s="29"/>
      <c r="S29" s="10"/>
      <c r="T29" s="10"/>
      <c r="U29" s="10"/>
      <c r="V29" s="10"/>
      <c r="W29" s="10"/>
      <c r="X29" s="10"/>
      <c r="Y29" s="10"/>
      <c r="Z29" s="35"/>
      <c r="AA29" s="29"/>
      <c r="AB29" s="8"/>
      <c r="AC29" s="26"/>
      <c r="AD29" s="24">
        <f t="shared" si="0"/>
        <v>0</v>
      </c>
      <c r="AE29" s="24">
        <f t="shared" si="1"/>
        <v>0</v>
      </c>
      <c r="AF29" s="24">
        <f t="shared" si="2"/>
        <v>0</v>
      </c>
      <c r="AG29" s="41" t="str" cm="1">
        <f t="array" ref="AG29">_xlfn.IFS(
SUM(AD29:AF29)=0,"Not Started",
SUM(AD29:AF29)&lt;15,"In Progress",
SUM(AD29:AF29)=15,"Completed",
SUM(AD29:AF29)&gt;15,"Error"
)</f>
        <v>Not Started</v>
      </c>
    </row>
    <row r="30" spans="1:33" ht="13" x14ac:dyDescent="0.25">
      <c r="A30" s="248"/>
      <c r="B30" s="14" t="s">
        <v>2288</v>
      </c>
      <c r="C30" s="138" t="s">
        <v>10733</v>
      </c>
      <c r="D30" s="138" t="s">
        <v>10734</v>
      </c>
      <c r="E30" s="138" t="s">
        <v>10612</v>
      </c>
      <c r="F30" s="138" t="s">
        <v>10613</v>
      </c>
      <c r="G30" s="138" t="s">
        <v>10614</v>
      </c>
      <c r="H30" s="138" t="s">
        <v>10615</v>
      </c>
      <c r="I30" s="138" t="s">
        <v>10735</v>
      </c>
      <c r="J30" s="138" t="s">
        <v>10736</v>
      </c>
      <c r="K30" s="138">
        <v>10041862830</v>
      </c>
      <c r="L30" s="204">
        <v>46118</v>
      </c>
      <c r="M30" s="32"/>
      <c r="N30" s="29"/>
      <c r="O30" s="10"/>
      <c r="P30" s="10"/>
      <c r="Q30" s="35"/>
      <c r="R30" s="29"/>
      <c r="S30" s="10"/>
      <c r="T30" s="10"/>
      <c r="U30" s="10"/>
      <c r="V30" s="10"/>
      <c r="W30" s="10"/>
      <c r="X30" s="10"/>
      <c r="Y30" s="10"/>
      <c r="Z30" s="35"/>
      <c r="AA30" s="29"/>
      <c r="AB30" s="8"/>
      <c r="AC30" s="26"/>
      <c r="AD30" s="24">
        <f t="shared" si="0"/>
        <v>0</v>
      </c>
      <c r="AE30" s="24">
        <f t="shared" si="1"/>
        <v>0</v>
      </c>
      <c r="AF30" s="24">
        <f t="shared" si="2"/>
        <v>0</v>
      </c>
      <c r="AG30" s="41" t="str" cm="1">
        <f t="array" ref="AG30">_xlfn.IFS(
SUM(AD30:AF30)=0,"Not Started",
SUM(AD30:AF30)&lt;15,"In Progress",
SUM(AD30:AF30)=15,"Completed",
SUM(AD30:AF30)&gt;15,"Error"
)</f>
        <v>Not Started</v>
      </c>
    </row>
    <row r="31" spans="1:33" ht="13" x14ac:dyDescent="0.25">
      <c r="A31" s="248"/>
      <c r="B31" s="7" t="s">
        <v>2289</v>
      </c>
      <c r="C31" s="138" t="s">
        <v>10737</v>
      </c>
      <c r="D31" s="138" t="s">
        <v>10738</v>
      </c>
      <c r="E31" s="138" t="s">
        <v>10631</v>
      </c>
      <c r="F31" s="138" t="s">
        <v>10613</v>
      </c>
      <c r="G31" s="138" t="s">
        <v>10614</v>
      </c>
      <c r="H31" s="138" t="s">
        <v>10615</v>
      </c>
      <c r="I31" s="138" t="s">
        <v>10739</v>
      </c>
      <c r="J31" s="138" t="s">
        <v>10740</v>
      </c>
      <c r="K31" s="138">
        <v>10041735318</v>
      </c>
      <c r="L31" s="204">
        <v>46118</v>
      </c>
      <c r="M31" s="32"/>
      <c r="N31" s="29"/>
      <c r="O31" s="10"/>
      <c r="P31" s="10"/>
      <c r="Q31" s="35"/>
      <c r="R31" s="29"/>
      <c r="S31" s="10"/>
      <c r="T31" s="10"/>
      <c r="U31" s="10"/>
      <c r="V31" s="10"/>
      <c r="W31" s="10"/>
      <c r="X31" s="10"/>
      <c r="Y31" s="10"/>
      <c r="Z31" s="35"/>
      <c r="AA31" s="29"/>
      <c r="AB31" s="8"/>
      <c r="AC31" s="26"/>
      <c r="AD31" s="24">
        <f t="shared" si="0"/>
        <v>0</v>
      </c>
      <c r="AE31" s="24">
        <f t="shared" si="1"/>
        <v>0</v>
      </c>
      <c r="AF31" s="24">
        <f t="shared" si="2"/>
        <v>0</v>
      </c>
      <c r="AG31" s="41" t="str" cm="1">
        <f t="array" ref="AG31">_xlfn.IFS(
SUM(AD31:AF31)=0,"Not Started",
SUM(AD31:AF31)&lt;15,"In Progress",
SUM(AD31:AF31)=15,"Completed",
SUM(AD31:AF31)&gt;15,"Error"
)</f>
        <v>Not Started</v>
      </c>
    </row>
    <row r="32" spans="1:33" ht="13" x14ac:dyDescent="0.25">
      <c r="A32" s="248"/>
      <c r="B32" s="14" t="s">
        <v>2290</v>
      </c>
      <c r="C32" s="138" t="s">
        <v>10741</v>
      </c>
      <c r="D32" s="138" t="s">
        <v>10742</v>
      </c>
      <c r="E32" s="138" t="s">
        <v>10612</v>
      </c>
      <c r="F32" s="138" t="s">
        <v>10613</v>
      </c>
      <c r="G32" s="138" t="s">
        <v>10614</v>
      </c>
      <c r="H32" s="138" t="s">
        <v>10615</v>
      </c>
      <c r="I32" s="138" t="s">
        <v>10743</v>
      </c>
      <c r="J32" s="138" t="s">
        <v>10744</v>
      </c>
      <c r="K32" s="138">
        <v>10041758831</v>
      </c>
      <c r="L32" s="204">
        <v>46118</v>
      </c>
      <c r="M32" s="32"/>
      <c r="N32" s="29"/>
      <c r="O32" s="10"/>
      <c r="P32" s="10"/>
      <c r="Q32" s="35"/>
      <c r="R32" s="29"/>
      <c r="S32" s="10"/>
      <c r="T32" s="10"/>
      <c r="U32" s="10"/>
      <c r="V32" s="10"/>
      <c r="W32" s="10"/>
      <c r="X32" s="10"/>
      <c r="Y32" s="10"/>
      <c r="Z32" s="35"/>
      <c r="AA32" s="29"/>
      <c r="AB32" s="8"/>
      <c r="AC32" s="26"/>
      <c r="AD32" s="24">
        <f t="shared" si="0"/>
        <v>0</v>
      </c>
      <c r="AE32" s="24">
        <f t="shared" si="1"/>
        <v>0</v>
      </c>
      <c r="AF32" s="24">
        <f t="shared" si="2"/>
        <v>0</v>
      </c>
      <c r="AG32" s="41" t="str" cm="1">
        <f t="array" ref="AG32">_xlfn.IFS(
SUM(AD32:AF32)=0,"Not Started",
SUM(AD32:AF32)&lt;15,"In Progress",
SUM(AD32:AF32)=15,"Completed",
SUM(AD32:AF32)&gt;15,"Error"
)</f>
        <v>Not Started</v>
      </c>
    </row>
    <row r="33" spans="1:33" ht="13" x14ac:dyDescent="0.25">
      <c r="A33" s="248"/>
      <c r="B33" s="7" t="s">
        <v>2291</v>
      </c>
      <c r="C33" s="138" t="s">
        <v>10745</v>
      </c>
      <c r="D33" s="138" t="s">
        <v>10746</v>
      </c>
      <c r="E33" s="138" t="s">
        <v>10612</v>
      </c>
      <c r="F33" s="138" t="s">
        <v>10613</v>
      </c>
      <c r="G33" s="138" t="s">
        <v>10614</v>
      </c>
      <c r="H33" s="138" t="s">
        <v>10615</v>
      </c>
      <c r="I33" s="138" t="s">
        <v>10747</v>
      </c>
      <c r="J33" s="138" t="s">
        <v>10748</v>
      </c>
      <c r="K33" s="138">
        <v>10041291768</v>
      </c>
      <c r="L33" s="204">
        <v>46118</v>
      </c>
      <c r="M33" s="32"/>
      <c r="N33" s="29"/>
      <c r="O33" s="10"/>
      <c r="P33" s="10"/>
      <c r="Q33" s="35"/>
      <c r="R33" s="29"/>
      <c r="S33" s="10"/>
      <c r="T33" s="10"/>
      <c r="U33" s="10"/>
      <c r="V33" s="10"/>
      <c r="W33" s="10"/>
      <c r="X33" s="10"/>
      <c r="Y33" s="10"/>
      <c r="Z33" s="35"/>
      <c r="AA33" s="29"/>
      <c r="AB33" s="8"/>
      <c r="AC33" s="26"/>
      <c r="AD33" s="24">
        <f t="shared" si="0"/>
        <v>0</v>
      </c>
      <c r="AE33" s="24">
        <f t="shared" si="1"/>
        <v>0</v>
      </c>
      <c r="AF33" s="24">
        <f t="shared" si="2"/>
        <v>0</v>
      </c>
      <c r="AG33" s="41" t="str" cm="1">
        <f t="array" ref="AG33">_xlfn.IFS(
SUM(AD33:AF33)=0,"Not Started",
SUM(AD33:AF33)&lt;15,"In Progress",
SUM(AD33:AF33)=15,"Completed",
SUM(AD33:AF33)&gt;15,"Error"
)</f>
        <v>Not Started</v>
      </c>
    </row>
    <row r="34" spans="1:33" ht="13" x14ac:dyDescent="0.25">
      <c r="A34" s="248"/>
      <c r="B34" s="14" t="s">
        <v>2292</v>
      </c>
      <c r="C34" s="138" t="s">
        <v>10749</v>
      </c>
      <c r="D34" s="138" t="s">
        <v>10750</v>
      </c>
      <c r="E34" s="138" t="s">
        <v>10631</v>
      </c>
      <c r="F34" s="138" t="s">
        <v>10613</v>
      </c>
      <c r="G34" s="138" t="s">
        <v>10614</v>
      </c>
      <c r="H34" s="138" t="s">
        <v>10615</v>
      </c>
      <c r="I34" s="138" t="s">
        <v>10751</v>
      </c>
      <c r="J34" s="138" t="s">
        <v>10752</v>
      </c>
      <c r="K34" s="138">
        <v>10041924262</v>
      </c>
      <c r="L34" s="204">
        <v>46119</v>
      </c>
      <c r="M34" s="32"/>
      <c r="N34" s="29"/>
      <c r="O34" s="10"/>
      <c r="P34" s="10"/>
      <c r="Q34" s="35"/>
      <c r="R34" s="29"/>
      <c r="S34" s="10"/>
      <c r="T34" s="10"/>
      <c r="U34" s="10"/>
      <c r="V34" s="10"/>
      <c r="W34" s="10"/>
      <c r="X34" s="10"/>
      <c r="Y34" s="10"/>
      <c r="Z34" s="35"/>
      <c r="AA34" s="29"/>
      <c r="AB34" s="8"/>
      <c r="AC34" s="26"/>
      <c r="AD34" s="24">
        <f t="shared" si="0"/>
        <v>0</v>
      </c>
      <c r="AE34" s="24">
        <f t="shared" si="1"/>
        <v>0</v>
      </c>
      <c r="AF34" s="24">
        <f t="shared" si="2"/>
        <v>0</v>
      </c>
      <c r="AG34" s="41" t="str" cm="1">
        <f t="array" ref="AG34">_xlfn.IFS(
SUM(AD34:AF34)=0,"Not Started",
SUM(AD34:AF34)&lt;15,"In Progress",
SUM(AD34:AF34)=15,"Completed",
SUM(AD34:AF34)&gt;15,"Error"
)</f>
        <v>Not Started</v>
      </c>
    </row>
    <row r="35" spans="1:33" ht="13" x14ac:dyDescent="0.25">
      <c r="A35" s="248"/>
      <c r="B35" s="7" t="s">
        <v>2293</v>
      </c>
      <c r="C35" s="138" t="s">
        <v>10753</v>
      </c>
      <c r="D35" s="138" t="s">
        <v>10754</v>
      </c>
      <c r="E35" s="138" t="s">
        <v>10612</v>
      </c>
      <c r="F35" s="138" t="s">
        <v>10613</v>
      </c>
      <c r="G35" s="138" t="s">
        <v>10614</v>
      </c>
      <c r="H35" s="138" t="s">
        <v>10615</v>
      </c>
      <c r="I35" s="138" t="s">
        <v>10755</v>
      </c>
      <c r="J35" s="138" t="s">
        <v>10756</v>
      </c>
      <c r="K35" s="138">
        <v>10041251913</v>
      </c>
      <c r="L35" s="204">
        <v>46119</v>
      </c>
      <c r="M35" s="32"/>
      <c r="N35" s="29"/>
      <c r="O35" s="10"/>
      <c r="P35" s="10"/>
      <c r="Q35" s="35"/>
      <c r="R35" s="29"/>
      <c r="S35" s="10"/>
      <c r="T35" s="10"/>
      <c r="U35" s="10"/>
      <c r="V35" s="10"/>
      <c r="W35" s="10"/>
      <c r="X35" s="10"/>
      <c r="Y35" s="10"/>
      <c r="Z35" s="35"/>
      <c r="AA35" s="29"/>
      <c r="AB35" s="8"/>
      <c r="AC35" s="26"/>
      <c r="AD35" s="24">
        <f t="shared" si="0"/>
        <v>0</v>
      </c>
      <c r="AE35" s="24">
        <f t="shared" si="1"/>
        <v>0</v>
      </c>
      <c r="AF35" s="24">
        <f t="shared" si="2"/>
        <v>0</v>
      </c>
      <c r="AG35" s="41" t="str" cm="1">
        <f t="array" ref="AG35">_xlfn.IFS(
SUM(AD35:AF35)=0,"Not Started",
SUM(AD35:AF35)&lt;15,"In Progress",
SUM(AD35:AF35)=15,"Completed",
SUM(AD35:AF35)&gt;15,"Error"
)</f>
        <v>Not Started</v>
      </c>
    </row>
    <row r="36" spans="1:33" ht="13" x14ac:dyDescent="0.25">
      <c r="A36" s="248"/>
      <c r="B36" s="14" t="s">
        <v>2294</v>
      </c>
      <c r="C36" s="138" t="s">
        <v>10905</v>
      </c>
      <c r="D36" s="138" t="s">
        <v>10906</v>
      </c>
      <c r="E36" s="138" t="s">
        <v>10612</v>
      </c>
      <c r="F36" s="138" t="s">
        <v>10907</v>
      </c>
      <c r="G36" s="138" t="s">
        <v>10614</v>
      </c>
      <c r="H36" s="138" t="s">
        <v>10615</v>
      </c>
      <c r="I36" s="138" t="s">
        <v>10908</v>
      </c>
      <c r="J36" s="138" t="s">
        <v>10909</v>
      </c>
      <c r="K36" s="138">
        <v>10041924843</v>
      </c>
      <c r="L36" s="204">
        <v>46119</v>
      </c>
      <c r="M36" s="32"/>
      <c r="N36" s="29"/>
      <c r="O36" s="10"/>
      <c r="P36" s="10"/>
      <c r="Q36" s="35"/>
      <c r="R36" s="29"/>
      <c r="S36" s="10"/>
      <c r="T36" s="10"/>
      <c r="U36" s="10"/>
      <c r="V36" s="10"/>
      <c r="W36" s="10"/>
      <c r="X36" s="10"/>
      <c r="Y36" s="10"/>
      <c r="Z36" s="35"/>
      <c r="AA36" s="29"/>
      <c r="AB36" s="8"/>
      <c r="AC36" s="26"/>
      <c r="AD36" s="24">
        <f t="shared" si="0"/>
        <v>0</v>
      </c>
      <c r="AE36" s="24">
        <f t="shared" si="1"/>
        <v>0</v>
      </c>
      <c r="AF36" s="24">
        <f t="shared" si="2"/>
        <v>0</v>
      </c>
      <c r="AG36" s="41" t="str" cm="1">
        <f t="array" ref="AG36">_xlfn.IFS(
SUM(AD36:AF36)=0,"Not Started",
SUM(AD36:AF36)&lt;15,"In Progress",
SUM(AD36:AF36)=15,"Completed",
SUM(AD36:AF36)&gt;15,"Error"
)</f>
        <v>Not Started</v>
      </c>
    </row>
    <row r="37" spans="1:33" ht="13" x14ac:dyDescent="0.25">
      <c r="A37" s="248"/>
      <c r="B37" s="7" t="s">
        <v>2295</v>
      </c>
      <c r="C37" s="138" t="s">
        <v>10910</v>
      </c>
      <c r="D37" s="138" t="s">
        <v>10911</v>
      </c>
      <c r="E37" s="138" t="s">
        <v>10612</v>
      </c>
      <c r="F37" s="138" t="s">
        <v>10907</v>
      </c>
      <c r="G37" s="138" t="s">
        <v>10614</v>
      </c>
      <c r="H37" s="138" t="s">
        <v>10615</v>
      </c>
      <c r="I37" s="138" t="s">
        <v>10908</v>
      </c>
      <c r="J37" s="138" t="s">
        <v>10912</v>
      </c>
      <c r="K37" s="138">
        <v>10041473930</v>
      </c>
      <c r="L37" s="204">
        <v>46119</v>
      </c>
      <c r="M37" s="32"/>
      <c r="N37" s="29"/>
      <c r="O37" s="10"/>
      <c r="P37" s="10"/>
      <c r="Q37" s="35"/>
      <c r="R37" s="29"/>
      <c r="S37" s="10"/>
      <c r="T37" s="10"/>
      <c r="U37" s="10"/>
      <c r="V37" s="10"/>
      <c r="W37" s="10"/>
      <c r="X37" s="10"/>
      <c r="Y37" s="10"/>
      <c r="Z37" s="35"/>
      <c r="AA37" s="29"/>
      <c r="AB37" s="8"/>
      <c r="AC37" s="26"/>
      <c r="AD37" s="24">
        <f t="shared" si="0"/>
        <v>0</v>
      </c>
      <c r="AE37" s="24">
        <f t="shared" si="1"/>
        <v>0</v>
      </c>
      <c r="AF37" s="24">
        <f t="shared" si="2"/>
        <v>0</v>
      </c>
      <c r="AG37" s="41" t="str" cm="1">
        <f t="array" ref="AG37">_xlfn.IFS(
SUM(AD37:AF37)=0,"Not Started",
SUM(AD37:AF37)&lt;15,"In Progress",
SUM(AD37:AF37)=15,"Completed",
SUM(AD37:AF37)&gt;15,"Error"
)</f>
        <v>Not Started</v>
      </c>
    </row>
    <row r="38" spans="1:33" ht="13" x14ac:dyDescent="0.25">
      <c r="A38" s="248"/>
      <c r="B38" s="14" t="s">
        <v>2296</v>
      </c>
      <c r="C38" s="138" t="s">
        <v>10913</v>
      </c>
      <c r="D38" s="138" t="s">
        <v>10914</v>
      </c>
      <c r="E38" s="138" t="s">
        <v>10612</v>
      </c>
      <c r="F38" s="138" t="s">
        <v>10907</v>
      </c>
      <c r="G38" s="138" t="s">
        <v>10614</v>
      </c>
      <c r="H38" s="138" t="s">
        <v>10615</v>
      </c>
      <c r="I38" s="138" t="s">
        <v>10915</v>
      </c>
      <c r="J38" s="138" t="s">
        <v>10916</v>
      </c>
      <c r="K38" s="138">
        <v>10041260977</v>
      </c>
      <c r="L38" s="204">
        <v>46119</v>
      </c>
      <c r="M38" s="32"/>
      <c r="N38" s="29"/>
      <c r="O38" s="10"/>
      <c r="P38" s="10"/>
      <c r="Q38" s="35"/>
      <c r="R38" s="29"/>
      <c r="S38" s="10"/>
      <c r="T38" s="10"/>
      <c r="U38" s="10"/>
      <c r="V38" s="10"/>
      <c r="W38" s="10"/>
      <c r="X38" s="10"/>
      <c r="Y38" s="10"/>
      <c r="Z38" s="35"/>
      <c r="AA38" s="29"/>
      <c r="AB38" s="8"/>
      <c r="AC38" s="26"/>
      <c r="AD38" s="24">
        <f t="shared" si="0"/>
        <v>0</v>
      </c>
      <c r="AE38" s="24">
        <f t="shared" si="1"/>
        <v>0</v>
      </c>
      <c r="AF38" s="24">
        <f t="shared" si="2"/>
        <v>0</v>
      </c>
      <c r="AG38" s="41" t="str" cm="1">
        <f t="array" ref="AG38">_xlfn.IFS(
SUM(AD38:AF38)=0,"Not Started",
SUM(AD38:AF38)&lt;15,"In Progress",
SUM(AD38:AF38)=15,"Completed",
SUM(AD38:AF38)&gt;15,"Error"
)</f>
        <v>Not Started</v>
      </c>
    </row>
    <row r="39" spans="1:33" ht="13" x14ac:dyDescent="0.25">
      <c r="A39" s="248"/>
      <c r="B39" s="7" t="s">
        <v>2297</v>
      </c>
      <c r="C39" s="138" t="s">
        <v>10917</v>
      </c>
      <c r="D39" s="138" t="s">
        <v>10918</v>
      </c>
      <c r="E39" s="138" t="s">
        <v>10631</v>
      </c>
      <c r="F39" s="138" t="s">
        <v>10907</v>
      </c>
      <c r="G39" s="138" t="s">
        <v>10614</v>
      </c>
      <c r="H39" s="138" t="s">
        <v>10615</v>
      </c>
      <c r="I39" s="138" t="s">
        <v>10919</v>
      </c>
      <c r="J39" s="138" t="s">
        <v>10920</v>
      </c>
      <c r="K39" s="138">
        <v>10109290971</v>
      </c>
      <c r="L39" s="204">
        <v>46120</v>
      </c>
      <c r="M39" s="32"/>
      <c r="N39" s="29"/>
      <c r="O39" s="10"/>
      <c r="P39" s="10"/>
      <c r="Q39" s="35"/>
      <c r="R39" s="29"/>
      <c r="S39" s="10"/>
      <c r="T39" s="10"/>
      <c r="U39" s="10"/>
      <c r="V39" s="10"/>
      <c r="W39" s="10"/>
      <c r="X39" s="10"/>
      <c r="Y39" s="10"/>
      <c r="Z39" s="35"/>
      <c r="AA39" s="29"/>
      <c r="AB39" s="8"/>
      <c r="AC39" s="26"/>
      <c r="AD39" s="24">
        <f t="shared" si="0"/>
        <v>0</v>
      </c>
      <c r="AE39" s="24">
        <f t="shared" si="1"/>
        <v>0</v>
      </c>
      <c r="AF39" s="24">
        <f t="shared" si="2"/>
        <v>0</v>
      </c>
      <c r="AG39" s="41" t="str" cm="1">
        <f t="array" ref="AG39">_xlfn.IFS(
SUM(AD39:AF39)=0,"Not Started",
SUM(AD39:AF39)&lt;15,"In Progress",
SUM(AD39:AF39)=15,"Completed",
SUM(AD39:AF39)&gt;15,"Error"
)</f>
        <v>Not Started</v>
      </c>
    </row>
    <row r="40" spans="1:33" ht="13" x14ac:dyDescent="0.25">
      <c r="A40" s="248"/>
      <c r="B40" s="14" t="s">
        <v>2298</v>
      </c>
      <c r="C40" s="138" t="s">
        <v>10921</v>
      </c>
      <c r="D40" s="138" t="s">
        <v>10922</v>
      </c>
      <c r="E40" s="138" t="s">
        <v>10612</v>
      </c>
      <c r="F40" s="138" t="s">
        <v>10907</v>
      </c>
      <c r="G40" s="138" t="s">
        <v>10614</v>
      </c>
      <c r="H40" s="138" t="s">
        <v>10615</v>
      </c>
      <c r="I40" s="138" t="s">
        <v>10923</v>
      </c>
      <c r="J40" s="138" t="s">
        <v>10924</v>
      </c>
      <c r="K40" s="138">
        <v>10041916421</v>
      </c>
      <c r="L40" s="204">
        <v>46120</v>
      </c>
      <c r="M40" s="32"/>
      <c r="N40" s="29"/>
      <c r="O40" s="10"/>
      <c r="P40" s="10"/>
      <c r="Q40" s="35"/>
      <c r="R40" s="29"/>
      <c r="S40" s="10"/>
      <c r="T40" s="10"/>
      <c r="U40" s="10"/>
      <c r="V40" s="10"/>
      <c r="W40" s="10"/>
      <c r="X40" s="10"/>
      <c r="Y40" s="10"/>
      <c r="Z40" s="35"/>
      <c r="AA40" s="29"/>
      <c r="AB40" s="8"/>
      <c r="AC40" s="26"/>
      <c r="AD40" s="24">
        <f t="shared" si="0"/>
        <v>0</v>
      </c>
      <c r="AE40" s="24">
        <f t="shared" si="1"/>
        <v>0</v>
      </c>
      <c r="AF40" s="24">
        <f t="shared" si="2"/>
        <v>0</v>
      </c>
      <c r="AG40" s="41" t="str" cm="1">
        <f t="array" ref="AG40">_xlfn.IFS(
SUM(AD40:AF40)=0,"Not Started",
SUM(AD40:AF40)&lt;15,"In Progress",
SUM(AD40:AF40)=15,"Completed",
SUM(AD40:AF40)&gt;15,"Error"
)</f>
        <v>Not Started</v>
      </c>
    </row>
    <row r="41" spans="1:33" ht="13" x14ac:dyDescent="0.25">
      <c r="A41" s="248"/>
      <c r="B41" s="7" t="s">
        <v>2299</v>
      </c>
      <c r="C41" s="138" t="s">
        <v>10925</v>
      </c>
      <c r="D41" s="138" t="s">
        <v>10926</v>
      </c>
      <c r="E41" s="138" t="s">
        <v>10631</v>
      </c>
      <c r="F41" s="138" t="s">
        <v>10907</v>
      </c>
      <c r="G41" s="138" t="s">
        <v>10614</v>
      </c>
      <c r="H41" s="138" t="s">
        <v>10615</v>
      </c>
      <c r="I41" s="138" t="s">
        <v>10927</v>
      </c>
      <c r="J41" s="138" t="s">
        <v>10928</v>
      </c>
      <c r="K41" s="138">
        <v>10041277114</v>
      </c>
      <c r="L41" s="204">
        <v>46120</v>
      </c>
      <c r="M41" s="32"/>
      <c r="N41" s="29"/>
      <c r="O41" s="10"/>
      <c r="P41" s="10"/>
      <c r="Q41" s="35"/>
      <c r="R41" s="29"/>
      <c r="S41" s="10"/>
      <c r="T41" s="10"/>
      <c r="U41" s="10"/>
      <c r="V41" s="10"/>
      <c r="W41" s="10"/>
      <c r="X41" s="10"/>
      <c r="Y41" s="10"/>
      <c r="Z41" s="35"/>
      <c r="AA41" s="29"/>
      <c r="AB41" s="8"/>
      <c r="AC41" s="26"/>
      <c r="AD41" s="24">
        <f t="shared" si="0"/>
        <v>0</v>
      </c>
      <c r="AE41" s="24">
        <f t="shared" si="1"/>
        <v>0</v>
      </c>
      <c r="AF41" s="24">
        <f t="shared" si="2"/>
        <v>0</v>
      </c>
      <c r="AG41" s="41" t="str" cm="1">
        <f t="array" ref="AG41">_xlfn.IFS(
SUM(AD41:AF41)=0,"Not Started",
SUM(AD41:AF41)&lt;15,"In Progress",
SUM(AD41:AF41)=15,"Completed",
SUM(AD41:AF41)&gt;15,"Error"
)</f>
        <v>Not Started</v>
      </c>
    </row>
    <row r="42" spans="1:33" ht="13" x14ac:dyDescent="0.25">
      <c r="A42" s="248"/>
      <c r="B42" s="14" t="s">
        <v>2300</v>
      </c>
      <c r="C42" s="138" t="s">
        <v>10929</v>
      </c>
      <c r="D42" s="138" t="s">
        <v>10930</v>
      </c>
      <c r="E42" s="138" t="s">
        <v>10612</v>
      </c>
      <c r="F42" s="138" t="s">
        <v>10907</v>
      </c>
      <c r="G42" s="138" t="s">
        <v>10614</v>
      </c>
      <c r="H42" s="138" t="s">
        <v>10615</v>
      </c>
      <c r="I42" s="138" t="s">
        <v>10931</v>
      </c>
      <c r="J42" s="138" t="s">
        <v>10932</v>
      </c>
      <c r="K42" s="138">
        <v>10041528751</v>
      </c>
      <c r="L42" s="204">
        <v>46120</v>
      </c>
      <c r="M42" s="32"/>
      <c r="N42" s="29"/>
      <c r="O42" s="10"/>
      <c r="P42" s="10"/>
      <c r="Q42" s="35"/>
      <c r="R42" s="29"/>
      <c r="S42" s="10"/>
      <c r="T42" s="10"/>
      <c r="U42" s="10"/>
      <c r="V42" s="10"/>
      <c r="W42" s="10"/>
      <c r="X42" s="10"/>
      <c r="Y42" s="10"/>
      <c r="Z42" s="35"/>
      <c r="AA42" s="29"/>
      <c r="AB42" s="8"/>
      <c r="AC42" s="26"/>
      <c r="AD42" s="24">
        <f t="shared" si="0"/>
        <v>0</v>
      </c>
      <c r="AE42" s="24">
        <f t="shared" si="1"/>
        <v>0</v>
      </c>
      <c r="AF42" s="24">
        <f t="shared" si="2"/>
        <v>0</v>
      </c>
      <c r="AG42" s="41" t="str" cm="1">
        <f t="array" ref="AG42">_xlfn.IFS(
SUM(AD42:AF42)=0,"Not Started",
SUM(AD42:AF42)&lt;15,"In Progress",
SUM(AD42:AF42)=15,"Completed",
SUM(AD42:AF42)&gt;15,"Error"
)</f>
        <v>Not Started</v>
      </c>
    </row>
    <row r="43" spans="1:33" ht="13" x14ac:dyDescent="0.25">
      <c r="A43" s="248"/>
      <c r="B43" s="7" t="s">
        <v>2301</v>
      </c>
      <c r="C43" s="138" t="s">
        <v>10933</v>
      </c>
      <c r="D43" s="138" t="s">
        <v>10934</v>
      </c>
      <c r="E43" s="138" t="s">
        <v>10612</v>
      </c>
      <c r="F43" s="138" t="s">
        <v>10907</v>
      </c>
      <c r="G43" s="138" t="s">
        <v>10614</v>
      </c>
      <c r="H43" s="138" t="s">
        <v>10615</v>
      </c>
      <c r="I43" s="138" t="s">
        <v>10935</v>
      </c>
      <c r="J43" s="138" t="s">
        <v>10936</v>
      </c>
      <c r="K43" s="138"/>
      <c r="L43" s="204">
        <v>46120</v>
      </c>
      <c r="M43" s="32"/>
      <c r="N43" s="29"/>
      <c r="O43" s="10"/>
      <c r="P43" s="10"/>
      <c r="Q43" s="35"/>
      <c r="R43" s="29"/>
      <c r="S43" s="10"/>
      <c r="T43" s="10"/>
      <c r="U43" s="10"/>
      <c r="V43" s="10"/>
      <c r="W43" s="10"/>
      <c r="X43" s="10"/>
      <c r="Y43" s="10"/>
      <c r="Z43" s="35"/>
      <c r="AA43" s="29"/>
      <c r="AB43" s="8"/>
      <c r="AC43" s="26"/>
      <c r="AD43" s="24">
        <f t="shared" si="0"/>
        <v>0</v>
      </c>
      <c r="AE43" s="24">
        <f t="shared" si="1"/>
        <v>0</v>
      </c>
      <c r="AF43" s="24">
        <f t="shared" si="2"/>
        <v>0</v>
      </c>
      <c r="AG43" s="41" t="str" cm="1">
        <f t="array" ref="AG43">_xlfn.IFS(
SUM(AD43:AF43)=0,"Not Started",
SUM(AD43:AF43)&lt;15,"In Progress",
SUM(AD43:AF43)=15,"Completed",
SUM(AD43:AF43)&gt;15,"Error"
)</f>
        <v>Not Started</v>
      </c>
    </row>
    <row r="44" spans="1:33" ht="13" x14ac:dyDescent="0.25">
      <c r="A44" s="248"/>
      <c r="B44" s="14" t="s">
        <v>2302</v>
      </c>
      <c r="C44" s="138" t="s">
        <v>10717</v>
      </c>
      <c r="D44" s="138" t="s">
        <v>10937</v>
      </c>
      <c r="E44" s="138" t="s">
        <v>10612</v>
      </c>
      <c r="F44" s="138" t="s">
        <v>10907</v>
      </c>
      <c r="G44" s="138" t="s">
        <v>10614</v>
      </c>
      <c r="H44" s="138" t="s">
        <v>10615</v>
      </c>
      <c r="I44" s="138" t="s">
        <v>10938</v>
      </c>
      <c r="J44" s="138" t="s">
        <v>10939</v>
      </c>
      <c r="K44" s="138">
        <v>10041284404</v>
      </c>
      <c r="L44" s="204">
        <v>46120</v>
      </c>
      <c r="M44" s="32"/>
      <c r="N44" s="29"/>
      <c r="O44" s="10"/>
      <c r="P44" s="10"/>
      <c r="Q44" s="35"/>
      <c r="R44" s="29"/>
      <c r="S44" s="10"/>
      <c r="T44" s="10"/>
      <c r="U44" s="10"/>
      <c r="V44" s="10"/>
      <c r="W44" s="10"/>
      <c r="X44" s="10"/>
      <c r="Y44" s="10"/>
      <c r="Z44" s="35"/>
      <c r="AA44" s="29"/>
      <c r="AB44" s="8"/>
      <c r="AC44" s="26"/>
      <c r="AD44" s="24">
        <f t="shared" si="0"/>
        <v>0</v>
      </c>
      <c r="AE44" s="24">
        <f t="shared" si="1"/>
        <v>0</v>
      </c>
      <c r="AF44" s="24">
        <f t="shared" si="2"/>
        <v>0</v>
      </c>
      <c r="AG44" s="41" t="str" cm="1">
        <f t="array" ref="AG44">_xlfn.IFS(
SUM(AD44:AF44)=0,"Not Started",
SUM(AD44:AF44)&lt;15,"In Progress",
SUM(AD44:AF44)=15,"Completed",
SUM(AD44:AF44)&gt;15,"Error"
)</f>
        <v>Not Started</v>
      </c>
    </row>
    <row r="45" spans="1:33" ht="13" x14ac:dyDescent="0.25">
      <c r="A45" s="248"/>
      <c r="B45" s="7" t="s">
        <v>2303</v>
      </c>
      <c r="C45" s="138" t="s">
        <v>10940</v>
      </c>
      <c r="D45" s="138" t="s">
        <v>10941</v>
      </c>
      <c r="E45" s="138" t="s">
        <v>10612</v>
      </c>
      <c r="F45" s="138" t="s">
        <v>10907</v>
      </c>
      <c r="G45" s="138" t="s">
        <v>10614</v>
      </c>
      <c r="H45" s="138" t="s">
        <v>10615</v>
      </c>
      <c r="I45" s="138" t="s">
        <v>10942</v>
      </c>
      <c r="J45" s="138" t="s">
        <v>10943</v>
      </c>
      <c r="K45" s="138">
        <v>10041694369</v>
      </c>
      <c r="L45" s="204">
        <v>46120</v>
      </c>
      <c r="M45" s="32"/>
      <c r="N45" s="29"/>
      <c r="O45" s="10"/>
      <c r="P45" s="10"/>
      <c r="Q45" s="35"/>
      <c r="R45" s="29"/>
      <c r="S45" s="10"/>
      <c r="T45" s="10"/>
      <c r="U45" s="10"/>
      <c r="V45" s="10"/>
      <c r="W45" s="10"/>
      <c r="X45" s="10"/>
      <c r="Y45" s="10"/>
      <c r="Z45" s="35"/>
      <c r="AA45" s="29"/>
      <c r="AB45" s="8"/>
      <c r="AC45" s="26"/>
      <c r="AD45" s="24">
        <f t="shared" si="0"/>
        <v>0</v>
      </c>
      <c r="AE45" s="24">
        <f t="shared" si="1"/>
        <v>0</v>
      </c>
      <c r="AF45" s="24">
        <f t="shared" si="2"/>
        <v>0</v>
      </c>
      <c r="AG45" s="41" t="str" cm="1">
        <f t="array" ref="AG45">_xlfn.IFS(
SUM(AD45:AF45)=0,"Not Started",
SUM(AD45:AF45)&lt;15,"In Progress",
SUM(AD45:AF45)=15,"Completed",
SUM(AD45:AF45)&gt;15,"Error"
)</f>
        <v>Not Started</v>
      </c>
    </row>
    <row r="46" spans="1:33" ht="13" x14ac:dyDescent="0.25">
      <c r="A46" s="248"/>
      <c r="B46" s="14" t="s">
        <v>2304</v>
      </c>
      <c r="C46" s="138" t="s">
        <v>10944</v>
      </c>
      <c r="D46" s="138" t="s">
        <v>10945</v>
      </c>
      <c r="E46" s="138" t="s">
        <v>10676</v>
      </c>
      <c r="F46" s="138" t="s">
        <v>10907</v>
      </c>
      <c r="G46" s="138" t="s">
        <v>10614</v>
      </c>
      <c r="H46" s="138" t="s">
        <v>10615</v>
      </c>
      <c r="I46" s="138" t="s">
        <v>10946</v>
      </c>
      <c r="J46" s="138" t="s">
        <v>10947</v>
      </c>
      <c r="K46" s="138">
        <v>10041822665</v>
      </c>
      <c r="L46" s="204">
        <v>46120</v>
      </c>
      <c r="M46" s="32"/>
      <c r="N46" s="29"/>
      <c r="O46" s="10"/>
      <c r="P46" s="10"/>
      <c r="Q46" s="35"/>
      <c r="R46" s="29"/>
      <c r="S46" s="10"/>
      <c r="T46" s="10"/>
      <c r="U46" s="10"/>
      <c r="V46" s="10"/>
      <c r="W46" s="10"/>
      <c r="X46" s="10"/>
      <c r="Y46" s="10"/>
      <c r="Z46" s="35"/>
      <c r="AA46" s="29"/>
      <c r="AB46" s="8"/>
      <c r="AC46" s="26"/>
      <c r="AD46" s="24">
        <f t="shared" si="0"/>
        <v>0</v>
      </c>
      <c r="AE46" s="24">
        <f t="shared" si="1"/>
        <v>0</v>
      </c>
      <c r="AF46" s="24">
        <f t="shared" si="2"/>
        <v>0</v>
      </c>
      <c r="AG46" s="41" t="str" cm="1">
        <f t="array" ref="AG46">_xlfn.IFS(
SUM(AD46:AF46)=0,"Not Started",
SUM(AD46:AF46)&lt;15,"In Progress",
SUM(AD46:AF46)=15,"Completed",
SUM(AD46:AF46)&gt;15,"Error"
)</f>
        <v>Not Started</v>
      </c>
    </row>
    <row r="47" spans="1:33" ht="13" x14ac:dyDescent="0.25">
      <c r="A47" s="248"/>
      <c r="B47" s="7" t="s">
        <v>2305</v>
      </c>
      <c r="C47" s="138" t="s">
        <v>10948</v>
      </c>
      <c r="D47" s="138" t="s">
        <v>7676</v>
      </c>
      <c r="E47" s="138" t="s">
        <v>10612</v>
      </c>
      <c r="F47" s="138" t="s">
        <v>10613</v>
      </c>
      <c r="G47" s="138" t="s">
        <v>10614</v>
      </c>
      <c r="H47" s="138" t="s">
        <v>10615</v>
      </c>
      <c r="I47" s="138" t="s">
        <v>10949</v>
      </c>
      <c r="J47" s="138" t="s">
        <v>10950</v>
      </c>
      <c r="K47" s="138">
        <v>10041649532</v>
      </c>
      <c r="L47" s="204">
        <v>46121</v>
      </c>
      <c r="M47" s="32"/>
      <c r="N47" s="29"/>
      <c r="O47" s="10"/>
      <c r="P47" s="10"/>
      <c r="Q47" s="35"/>
      <c r="R47" s="29"/>
      <c r="S47" s="10"/>
      <c r="T47" s="10"/>
      <c r="U47" s="10"/>
      <c r="V47" s="10"/>
      <c r="W47" s="10"/>
      <c r="X47" s="10"/>
      <c r="Y47" s="10"/>
      <c r="Z47" s="35"/>
      <c r="AA47" s="29"/>
      <c r="AB47" s="8"/>
      <c r="AC47" s="26"/>
      <c r="AD47" s="24">
        <f t="shared" si="0"/>
        <v>0</v>
      </c>
      <c r="AE47" s="24">
        <f t="shared" si="1"/>
        <v>0</v>
      </c>
      <c r="AF47" s="24">
        <f t="shared" si="2"/>
        <v>0</v>
      </c>
      <c r="AG47" s="41" t="str" cm="1">
        <f t="array" ref="AG47">_xlfn.IFS(
SUM(AD47:AF47)=0,"Not Started",
SUM(AD47:AF47)&lt;15,"In Progress",
SUM(AD47:AF47)=15,"Completed",
SUM(AD47:AF47)&gt;15,"Error"
)</f>
        <v>Not Started</v>
      </c>
    </row>
    <row r="48" spans="1:33" ht="13" x14ac:dyDescent="0.25">
      <c r="A48" s="248"/>
      <c r="B48" s="14" t="s">
        <v>2306</v>
      </c>
      <c r="C48" s="138" t="s">
        <v>10951</v>
      </c>
      <c r="D48" s="138" t="s">
        <v>10952</v>
      </c>
      <c r="E48" s="138" t="s">
        <v>10631</v>
      </c>
      <c r="F48" s="138" t="s">
        <v>10613</v>
      </c>
      <c r="G48" s="138" t="s">
        <v>10614</v>
      </c>
      <c r="H48" s="138" t="s">
        <v>10615</v>
      </c>
      <c r="I48" s="138" t="s">
        <v>10908</v>
      </c>
      <c r="J48" s="138" t="s">
        <v>10953</v>
      </c>
      <c r="K48" s="138">
        <v>10042000570</v>
      </c>
      <c r="L48" s="204">
        <v>46121</v>
      </c>
      <c r="M48" s="32"/>
      <c r="N48" s="29"/>
      <c r="O48" s="10"/>
      <c r="P48" s="10"/>
      <c r="Q48" s="35"/>
      <c r="R48" s="29"/>
      <c r="S48" s="10"/>
      <c r="T48" s="10"/>
      <c r="U48" s="10"/>
      <c r="V48" s="10"/>
      <c r="W48" s="10"/>
      <c r="X48" s="10"/>
      <c r="Y48" s="10"/>
      <c r="Z48" s="35"/>
      <c r="AA48" s="29"/>
      <c r="AB48" s="8"/>
      <c r="AC48" s="26"/>
      <c r="AD48" s="24">
        <f t="shared" si="0"/>
        <v>0</v>
      </c>
      <c r="AE48" s="24">
        <f t="shared" si="1"/>
        <v>0</v>
      </c>
      <c r="AF48" s="24">
        <f t="shared" si="2"/>
        <v>0</v>
      </c>
      <c r="AG48" s="41" t="str" cm="1">
        <f t="array" ref="AG48">_xlfn.IFS(
SUM(AD48:AF48)=0,"Not Started",
SUM(AD48:AF48)&lt;15,"In Progress",
SUM(AD48:AF48)=15,"Completed",
SUM(AD48:AF48)&gt;15,"Error"
)</f>
        <v>Not Started</v>
      </c>
    </row>
    <row r="49" spans="1:33" ht="13" x14ac:dyDescent="0.25">
      <c r="A49" s="248"/>
      <c r="B49" s="7" t="s">
        <v>2307</v>
      </c>
      <c r="C49" s="138" t="s">
        <v>10954</v>
      </c>
      <c r="D49" s="138" t="s">
        <v>10955</v>
      </c>
      <c r="E49" s="138" t="s">
        <v>10612</v>
      </c>
      <c r="F49" s="138" t="s">
        <v>10907</v>
      </c>
      <c r="G49" s="138" t="s">
        <v>10614</v>
      </c>
      <c r="H49" s="138" t="s">
        <v>10615</v>
      </c>
      <c r="I49" s="138" t="s">
        <v>10956</v>
      </c>
      <c r="J49" s="138" t="s">
        <v>10957</v>
      </c>
      <c r="K49" s="138">
        <v>10041303770</v>
      </c>
      <c r="L49" s="204">
        <v>46121</v>
      </c>
      <c r="M49" s="32"/>
      <c r="N49" s="29"/>
      <c r="O49" s="10"/>
      <c r="P49" s="10"/>
      <c r="Q49" s="35"/>
      <c r="R49" s="29"/>
      <c r="S49" s="10"/>
      <c r="T49" s="10"/>
      <c r="U49" s="10"/>
      <c r="V49" s="10"/>
      <c r="W49" s="10"/>
      <c r="X49" s="10"/>
      <c r="Y49" s="10"/>
      <c r="Z49" s="35"/>
      <c r="AA49" s="29"/>
      <c r="AB49" s="8"/>
      <c r="AC49" s="26"/>
      <c r="AD49" s="24">
        <f t="shared" si="0"/>
        <v>0</v>
      </c>
      <c r="AE49" s="24">
        <f t="shared" si="1"/>
        <v>0</v>
      </c>
      <c r="AF49" s="24">
        <f t="shared" si="2"/>
        <v>0</v>
      </c>
      <c r="AG49" s="41" t="str" cm="1">
        <f t="array" ref="AG49">_xlfn.IFS(
SUM(AD49:AF49)=0,"Not Started",
SUM(AD49:AF49)&lt;15,"In Progress",
SUM(AD49:AF49)=15,"Completed",
SUM(AD49:AF49)&gt;15,"Error"
)</f>
        <v>Not Started</v>
      </c>
    </row>
    <row r="50" spans="1:33" ht="13" x14ac:dyDescent="0.25">
      <c r="A50" s="248"/>
      <c r="B50" s="14" t="s">
        <v>2308</v>
      </c>
      <c r="C50" s="138" t="s">
        <v>10958</v>
      </c>
      <c r="D50" s="138" t="s">
        <v>10959</v>
      </c>
      <c r="E50" s="138" t="s">
        <v>10612</v>
      </c>
      <c r="F50" s="138" t="s">
        <v>10907</v>
      </c>
      <c r="G50" s="138" t="s">
        <v>10614</v>
      </c>
      <c r="H50" s="138" t="s">
        <v>10615</v>
      </c>
      <c r="I50" s="138" t="s">
        <v>10960</v>
      </c>
      <c r="J50" s="138" t="s">
        <v>10961</v>
      </c>
      <c r="K50" s="138">
        <v>10041862348</v>
      </c>
      <c r="L50" s="204">
        <v>46121</v>
      </c>
      <c r="M50" s="32"/>
      <c r="N50" s="29"/>
      <c r="O50" s="10"/>
      <c r="P50" s="10"/>
      <c r="Q50" s="35"/>
      <c r="R50" s="29"/>
      <c r="S50" s="10"/>
      <c r="T50" s="10"/>
      <c r="U50" s="10"/>
      <c r="V50" s="10"/>
      <c r="W50" s="10"/>
      <c r="X50" s="10"/>
      <c r="Y50" s="10"/>
      <c r="Z50" s="35"/>
      <c r="AA50" s="29"/>
      <c r="AB50" s="8"/>
      <c r="AC50" s="26"/>
      <c r="AD50" s="24">
        <f t="shared" si="0"/>
        <v>0</v>
      </c>
      <c r="AE50" s="24">
        <f t="shared" si="1"/>
        <v>0</v>
      </c>
      <c r="AF50" s="24">
        <f t="shared" si="2"/>
        <v>0</v>
      </c>
      <c r="AG50" s="41" t="str" cm="1">
        <f t="array" ref="AG50">_xlfn.IFS(
SUM(AD50:AF50)=0,"Not Started",
SUM(AD50:AF50)&lt;15,"In Progress",
SUM(AD50:AF50)=15,"Completed",
SUM(AD50:AF50)&gt;15,"Error"
)</f>
        <v>Not Started</v>
      </c>
    </row>
    <row r="51" spans="1:33" ht="13" x14ac:dyDescent="0.25">
      <c r="A51" s="248"/>
      <c r="B51" s="7" t="s">
        <v>2309</v>
      </c>
      <c r="C51" s="138" t="s">
        <v>10962</v>
      </c>
      <c r="D51" s="138" t="s">
        <v>10963</v>
      </c>
      <c r="E51" s="138" t="s">
        <v>10631</v>
      </c>
      <c r="F51" s="138" t="s">
        <v>10907</v>
      </c>
      <c r="G51" s="138" t="s">
        <v>10614</v>
      </c>
      <c r="H51" s="138" t="s">
        <v>10615</v>
      </c>
      <c r="I51" s="138" t="s">
        <v>10964</v>
      </c>
      <c r="J51" s="138" t="s">
        <v>10965</v>
      </c>
      <c r="K51" s="138">
        <v>10041682537</v>
      </c>
      <c r="L51" s="204">
        <v>46121</v>
      </c>
      <c r="M51" s="32"/>
      <c r="N51" s="29"/>
      <c r="O51" s="10"/>
      <c r="P51" s="10"/>
      <c r="Q51" s="35"/>
      <c r="R51" s="29"/>
      <c r="S51" s="10"/>
      <c r="T51" s="10"/>
      <c r="U51" s="10"/>
      <c r="V51" s="10"/>
      <c r="W51" s="10"/>
      <c r="X51" s="10"/>
      <c r="Y51" s="10"/>
      <c r="Z51" s="35"/>
      <c r="AA51" s="29"/>
      <c r="AB51" s="8"/>
      <c r="AC51" s="26"/>
      <c r="AD51" s="24">
        <f t="shared" si="0"/>
        <v>0</v>
      </c>
      <c r="AE51" s="24">
        <f t="shared" si="1"/>
        <v>0</v>
      </c>
      <c r="AF51" s="24">
        <f t="shared" si="2"/>
        <v>0</v>
      </c>
      <c r="AG51" s="41" t="str" cm="1">
        <f t="array" ref="AG51">_xlfn.IFS(
SUM(AD51:AF51)=0,"Not Started",
SUM(AD51:AF51)&lt;15,"In Progress",
SUM(AD51:AF51)=15,"Completed",
SUM(AD51:AF51)&gt;15,"Error"
)</f>
        <v>Not Started</v>
      </c>
    </row>
    <row r="52" spans="1:33" ht="13" x14ac:dyDescent="0.25">
      <c r="A52" s="248"/>
      <c r="B52" s="14" t="s">
        <v>2310</v>
      </c>
      <c r="C52" s="138" t="s">
        <v>10966</v>
      </c>
      <c r="D52" s="138" t="s">
        <v>10967</v>
      </c>
      <c r="E52" s="138" t="s">
        <v>10612</v>
      </c>
      <c r="F52" s="138" t="s">
        <v>10907</v>
      </c>
      <c r="G52" s="138" t="s">
        <v>10614</v>
      </c>
      <c r="H52" s="138" t="s">
        <v>10615</v>
      </c>
      <c r="I52" s="138" t="s">
        <v>10968</v>
      </c>
      <c r="J52" s="138" t="s">
        <v>10969</v>
      </c>
      <c r="K52" s="138">
        <v>10084436193</v>
      </c>
      <c r="L52" s="204">
        <v>46121</v>
      </c>
      <c r="M52" s="32"/>
      <c r="N52" s="29"/>
      <c r="O52" s="10"/>
      <c r="P52" s="10"/>
      <c r="Q52" s="35"/>
      <c r="R52" s="29"/>
      <c r="S52" s="10"/>
      <c r="T52" s="10"/>
      <c r="U52" s="10"/>
      <c r="V52" s="10"/>
      <c r="W52" s="10"/>
      <c r="X52" s="10"/>
      <c r="Y52" s="10"/>
      <c r="Z52" s="35"/>
      <c r="AA52" s="29"/>
      <c r="AB52" s="8"/>
      <c r="AC52" s="26"/>
      <c r="AD52" s="24">
        <f t="shared" si="0"/>
        <v>0</v>
      </c>
      <c r="AE52" s="24">
        <f t="shared" si="1"/>
        <v>0</v>
      </c>
      <c r="AF52" s="24">
        <f t="shared" si="2"/>
        <v>0</v>
      </c>
      <c r="AG52" s="41" t="str" cm="1">
        <f t="array" ref="AG52">_xlfn.IFS(
SUM(AD52:AF52)=0,"Not Started",
SUM(AD52:AF52)&lt;15,"In Progress",
SUM(AD52:AF52)=15,"Completed",
SUM(AD52:AF52)&gt;15,"Error"
)</f>
        <v>Not Started</v>
      </c>
    </row>
    <row r="53" spans="1:33" ht="13" x14ac:dyDescent="0.25">
      <c r="A53" s="248"/>
      <c r="B53" s="7" t="s">
        <v>2311</v>
      </c>
      <c r="C53" s="138" t="s">
        <v>10970</v>
      </c>
      <c r="D53" s="138" t="s">
        <v>10971</v>
      </c>
      <c r="E53" s="138" t="s">
        <v>10612</v>
      </c>
      <c r="F53" s="138" t="s">
        <v>10907</v>
      </c>
      <c r="G53" s="138" t="s">
        <v>10614</v>
      </c>
      <c r="H53" s="138" t="s">
        <v>10615</v>
      </c>
      <c r="I53" s="138" t="s">
        <v>10972</v>
      </c>
      <c r="J53" s="138" t="s">
        <v>10973</v>
      </c>
      <c r="K53" s="138">
        <v>10041712574</v>
      </c>
      <c r="L53" s="204">
        <v>46121</v>
      </c>
      <c r="M53" s="32"/>
      <c r="N53" s="29"/>
      <c r="O53" s="10"/>
      <c r="P53" s="10"/>
      <c r="Q53" s="35"/>
      <c r="R53" s="29"/>
      <c r="S53" s="10"/>
      <c r="T53" s="10"/>
      <c r="U53" s="10"/>
      <c r="V53" s="10"/>
      <c r="W53" s="10"/>
      <c r="X53" s="10"/>
      <c r="Y53" s="10"/>
      <c r="Z53" s="35"/>
      <c r="AA53" s="29"/>
      <c r="AB53" s="8"/>
      <c r="AC53" s="26"/>
      <c r="AD53" s="24">
        <f t="shared" si="0"/>
        <v>0</v>
      </c>
      <c r="AE53" s="24">
        <f t="shared" si="1"/>
        <v>0</v>
      </c>
      <c r="AF53" s="24">
        <f t="shared" si="2"/>
        <v>0</v>
      </c>
      <c r="AG53" s="41" t="str" cm="1">
        <f t="array" ref="AG53">_xlfn.IFS(
SUM(AD53:AF53)=0,"Not Started",
SUM(AD53:AF53)&lt;15,"In Progress",
SUM(AD53:AF53)=15,"Completed",
SUM(AD53:AF53)&gt;15,"Error"
)</f>
        <v>Not Started</v>
      </c>
    </row>
    <row r="54" spans="1:33" ht="13" x14ac:dyDescent="0.25">
      <c r="A54" s="248"/>
      <c r="B54" s="14" t="s">
        <v>2312</v>
      </c>
      <c r="C54" s="138" t="s">
        <v>10974</v>
      </c>
      <c r="D54" s="138" t="s">
        <v>10975</v>
      </c>
      <c r="E54" s="138" t="s">
        <v>10631</v>
      </c>
      <c r="F54" s="138" t="s">
        <v>10907</v>
      </c>
      <c r="G54" s="138" t="s">
        <v>10614</v>
      </c>
      <c r="H54" s="138" t="s">
        <v>10615</v>
      </c>
      <c r="I54" s="138" t="s">
        <v>10976</v>
      </c>
      <c r="J54" s="138" t="s">
        <v>10977</v>
      </c>
      <c r="K54" s="138">
        <v>10041638431</v>
      </c>
      <c r="L54" s="204">
        <v>46123</v>
      </c>
      <c r="M54" s="32"/>
      <c r="N54" s="29"/>
      <c r="O54" s="10"/>
      <c r="P54" s="10"/>
      <c r="Q54" s="35"/>
      <c r="R54" s="29"/>
      <c r="S54" s="10"/>
      <c r="T54" s="10"/>
      <c r="U54" s="10"/>
      <c r="V54" s="10"/>
      <c r="W54" s="10"/>
      <c r="X54" s="10"/>
      <c r="Y54" s="10"/>
      <c r="Z54" s="35"/>
      <c r="AA54" s="29"/>
      <c r="AB54" s="8"/>
      <c r="AC54" s="26"/>
      <c r="AD54" s="24">
        <f t="shared" si="0"/>
        <v>0</v>
      </c>
      <c r="AE54" s="24">
        <f t="shared" si="1"/>
        <v>0</v>
      </c>
      <c r="AF54" s="24">
        <f t="shared" si="2"/>
        <v>0</v>
      </c>
      <c r="AG54" s="41" t="str" cm="1">
        <f t="array" ref="AG54">_xlfn.IFS(
SUM(AD54:AF54)=0,"Not Started",
SUM(AD54:AF54)&lt;15,"In Progress",
SUM(AD54:AF54)=15,"Completed",
SUM(AD54:AF54)&gt;15,"Error"
)</f>
        <v>Not Started</v>
      </c>
    </row>
    <row r="55" spans="1:33" ht="13" x14ac:dyDescent="0.25">
      <c r="A55" s="248"/>
      <c r="B55" s="7" t="s">
        <v>2313</v>
      </c>
      <c r="C55" s="138" t="s">
        <v>10978</v>
      </c>
      <c r="D55" s="138" t="s">
        <v>10979</v>
      </c>
      <c r="E55" s="138" t="s">
        <v>10612</v>
      </c>
      <c r="F55" s="138" t="s">
        <v>10907</v>
      </c>
      <c r="G55" s="138" t="s">
        <v>10614</v>
      </c>
      <c r="H55" s="138" t="s">
        <v>10615</v>
      </c>
      <c r="I55" s="138" t="s">
        <v>10980</v>
      </c>
      <c r="J55" s="138" t="s">
        <v>10981</v>
      </c>
      <c r="K55" s="138">
        <v>10041856968</v>
      </c>
      <c r="L55" s="204">
        <v>46123</v>
      </c>
      <c r="M55" s="32"/>
      <c r="N55" s="29"/>
      <c r="O55" s="10"/>
      <c r="P55" s="10"/>
      <c r="Q55" s="35"/>
      <c r="R55" s="29"/>
      <c r="S55" s="10"/>
      <c r="T55" s="10"/>
      <c r="U55" s="10"/>
      <c r="V55" s="10"/>
      <c r="W55" s="10"/>
      <c r="X55" s="10"/>
      <c r="Y55" s="10"/>
      <c r="Z55" s="35"/>
      <c r="AA55" s="29"/>
      <c r="AB55" s="8"/>
      <c r="AC55" s="26"/>
      <c r="AD55" s="24">
        <f t="shared" si="0"/>
        <v>0</v>
      </c>
      <c r="AE55" s="24">
        <f t="shared" si="1"/>
        <v>0</v>
      </c>
      <c r="AF55" s="24">
        <f t="shared" si="2"/>
        <v>0</v>
      </c>
      <c r="AG55" s="41" t="str" cm="1">
        <f t="array" ref="AG55">_xlfn.IFS(
SUM(AD55:AF55)=0,"Not Started",
SUM(AD55:AF55)&lt;15,"In Progress",
SUM(AD55:AF55)=15,"Completed",
SUM(AD55:AF55)&gt;15,"Error"
)</f>
        <v>Not Started</v>
      </c>
    </row>
    <row r="56" spans="1:33" ht="13" x14ac:dyDescent="0.25">
      <c r="A56" s="248"/>
      <c r="B56" s="14" t="s">
        <v>2314</v>
      </c>
      <c r="C56" s="138" t="s">
        <v>10982</v>
      </c>
      <c r="D56" s="138" t="s">
        <v>10983</v>
      </c>
      <c r="E56" s="138" t="s">
        <v>10612</v>
      </c>
      <c r="F56" s="138" t="s">
        <v>10907</v>
      </c>
      <c r="G56" s="138" t="s">
        <v>10614</v>
      </c>
      <c r="H56" s="138" t="s">
        <v>10615</v>
      </c>
      <c r="I56" s="138" t="s">
        <v>10984</v>
      </c>
      <c r="J56" s="138" t="s">
        <v>10985</v>
      </c>
      <c r="K56" s="138">
        <v>10041901544</v>
      </c>
      <c r="L56" s="204">
        <v>46123</v>
      </c>
      <c r="M56" s="32"/>
      <c r="N56" s="29"/>
      <c r="O56" s="10"/>
      <c r="P56" s="10"/>
      <c r="Q56" s="35"/>
      <c r="R56" s="29"/>
      <c r="S56" s="10"/>
      <c r="T56" s="10"/>
      <c r="U56" s="10"/>
      <c r="V56" s="10"/>
      <c r="W56" s="10"/>
      <c r="X56" s="10"/>
      <c r="Y56" s="10"/>
      <c r="Z56" s="35"/>
      <c r="AA56" s="29"/>
      <c r="AB56" s="8"/>
      <c r="AC56" s="26"/>
      <c r="AD56" s="24">
        <f t="shared" si="0"/>
        <v>0</v>
      </c>
      <c r="AE56" s="24">
        <f t="shared" si="1"/>
        <v>0</v>
      </c>
      <c r="AF56" s="24">
        <f t="shared" si="2"/>
        <v>0</v>
      </c>
      <c r="AG56" s="41" t="str" cm="1">
        <f t="array" ref="AG56">_xlfn.IFS(
SUM(AD56:AF56)=0,"Not Started",
SUM(AD56:AF56)&lt;15,"In Progress",
SUM(AD56:AF56)=15,"Completed",
SUM(AD56:AF56)&gt;15,"Error"
)</f>
        <v>Not Started</v>
      </c>
    </row>
    <row r="57" spans="1:33" ht="13" x14ac:dyDescent="0.25">
      <c r="A57" s="248"/>
      <c r="B57" s="7" t="s">
        <v>2315</v>
      </c>
      <c r="C57" s="138" t="s">
        <v>10986</v>
      </c>
      <c r="D57" s="138" t="s">
        <v>10987</v>
      </c>
      <c r="E57" s="138" t="s">
        <v>10676</v>
      </c>
      <c r="F57" s="138" t="s">
        <v>10907</v>
      </c>
      <c r="G57" s="138" t="s">
        <v>10614</v>
      </c>
      <c r="H57" s="138" t="s">
        <v>10615</v>
      </c>
      <c r="I57" s="138" t="s">
        <v>10988</v>
      </c>
      <c r="J57" s="138" t="s">
        <v>10989</v>
      </c>
      <c r="K57" s="138">
        <v>10041507091</v>
      </c>
      <c r="L57" s="204">
        <v>46123</v>
      </c>
      <c r="M57" s="32"/>
      <c r="N57" s="29"/>
      <c r="O57" s="10"/>
      <c r="P57" s="10"/>
      <c r="Q57" s="35"/>
      <c r="R57" s="29"/>
      <c r="S57" s="10"/>
      <c r="T57" s="10"/>
      <c r="U57" s="10"/>
      <c r="V57" s="10"/>
      <c r="W57" s="10"/>
      <c r="X57" s="10"/>
      <c r="Y57" s="10"/>
      <c r="Z57" s="35"/>
      <c r="AA57" s="29"/>
      <c r="AB57" s="8"/>
      <c r="AC57" s="26"/>
      <c r="AD57" s="24">
        <f t="shared" si="0"/>
        <v>0</v>
      </c>
      <c r="AE57" s="24">
        <f t="shared" si="1"/>
        <v>0</v>
      </c>
      <c r="AF57" s="24">
        <f t="shared" si="2"/>
        <v>0</v>
      </c>
      <c r="AG57" s="41" t="str" cm="1">
        <f t="array" ref="AG57">_xlfn.IFS(
SUM(AD57:AF57)=0,"Not Started",
SUM(AD57:AF57)&lt;15,"In Progress",
SUM(AD57:AF57)=15,"Completed",
SUM(AD57:AF57)&gt;15,"Error"
)</f>
        <v>Not Started</v>
      </c>
    </row>
    <row r="58" spans="1:33" ht="13" x14ac:dyDescent="0.25">
      <c r="A58" s="248"/>
      <c r="B58" s="14" t="s">
        <v>2316</v>
      </c>
      <c r="C58" s="138" t="s">
        <v>10990</v>
      </c>
      <c r="D58" s="138" t="s">
        <v>10991</v>
      </c>
      <c r="E58" s="138" t="s">
        <v>10612</v>
      </c>
      <c r="F58" s="138" t="s">
        <v>10907</v>
      </c>
      <c r="G58" s="138" t="s">
        <v>10614</v>
      </c>
      <c r="H58" s="138" t="s">
        <v>10615</v>
      </c>
      <c r="I58" s="138" t="s">
        <v>10992</v>
      </c>
      <c r="J58" s="138" t="s">
        <v>10993</v>
      </c>
      <c r="K58" s="138">
        <v>10041713778</v>
      </c>
      <c r="L58" s="204">
        <v>46124</v>
      </c>
      <c r="M58" s="32"/>
      <c r="N58" s="29"/>
      <c r="O58" s="10"/>
      <c r="P58" s="10"/>
      <c r="Q58" s="35"/>
      <c r="R58" s="29"/>
      <c r="S58" s="10"/>
      <c r="T58" s="10"/>
      <c r="U58" s="10"/>
      <c r="V58" s="10"/>
      <c r="W58" s="10"/>
      <c r="X58" s="10"/>
      <c r="Y58" s="10"/>
      <c r="Z58" s="35"/>
      <c r="AA58" s="29"/>
      <c r="AB58" s="8"/>
      <c r="AC58" s="26"/>
      <c r="AD58" s="24">
        <f t="shared" si="0"/>
        <v>0</v>
      </c>
      <c r="AE58" s="24">
        <f t="shared" si="1"/>
        <v>0</v>
      </c>
      <c r="AF58" s="24">
        <f t="shared" si="2"/>
        <v>0</v>
      </c>
      <c r="AG58" s="41" t="str" cm="1">
        <f t="array" ref="AG58">_xlfn.IFS(
SUM(AD58:AF58)=0,"Not Started",
SUM(AD58:AF58)&lt;15,"In Progress",
SUM(AD58:AF58)=15,"Completed",
SUM(AD58:AF58)&gt;15,"Error"
)</f>
        <v>Not Started</v>
      </c>
    </row>
    <row r="59" spans="1:33" ht="13" x14ac:dyDescent="0.25">
      <c r="A59" s="248"/>
      <c r="B59" s="7" t="s">
        <v>2317</v>
      </c>
      <c r="C59" s="138" t="s">
        <v>10994</v>
      </c>
      <c r="D59" s="138" t="s">
        <v>10995</v>
      </c>
      <c r="E59" s="138" t="s">
        <v>10996</v>
      </c>
      <c r="F59" s="138" t="s">
        <v>10907</v>
      </c>
      <c r="G59" s="138" t="s">
        <v>10614</v>
      </c>
      <c r="H59" s="138" t="s">
        <v>10615</v>
      </c>
      <c r="I59" s="138" t="s">
        <v>10997</v>
      </c>
      <c r="J59" s="138" t="s">
        <v>10998</v>
      </c>
      <c r="K59" s="138">
        <v>10041805271</v>
      </c>
      <c r="L59" s="204">
        <v>46124</v>
      </c>
      <c r="M59" s="32"/>
      <c r="N59" s="29"/>
      <c r="O59" s="10"/>
      <c r="P59" s="10"/>
      <c r="Q59" s="35"/>
      <c r="R59" s="29"/>
      <c r="S59" s="10"/>
      <c r="T59" s="10"/>
      <c r="U59" s="10"/>
      <c r="V59" s="10"/>
      <c r="W59" s="10"/>
      <c r="X59" s="10"/>
      <c r="Y59" s="10"/>
      <c r="Z59" s="35"/>
      <c r="AA59" s="29"/>
      <c r="AB59" s="8"/>
      <c r="AC59" s="26"/>
      <c r="AD59" s="24">
        <f t="shared" si="0"/>
        <v>0</v>
      </c>
      <c r="AE59" s="24">
        <f t="shared" si="1"/>
        <v>0</v>
      </c>
      <c r="AF59" s="24">
        <f t="shared" si="2"/>
        <v>0</v>
      </c>
      <c r="AG59" s="41" t="str" cm="1">
        <f t="array" ref="AG59">_xlfn.IFS(
SUM(AD59:AF59)=0,"Not Started",
SUM(AD59:AF59)&lt;15,"In Progress",
SUM(AD59:AF59)=15,"Completed",
SUM(AD59:AF59)&gt;15,"Error"
)</f>
        <v>Not Started</v>
      </c>
    </row>
    <row r="60" spans="1:33" ht="13" x14ac:dyDescent="0.25">
      <c r="A60" s="248"/>
      <c r="B60" s="14" t="s">
        <v>2318</v>
      </c>
      <c r="C60" s="138" t="s">
        <v>11044</v>
      </c>
      <c r="D60" s="138" t="s">
        <v>11045</v>
      </c>
      <c r="E60" s="138" t="s">
        <v>10612</v>
      </c>
      <c r="F60" s="138" t="s">
        <v>10907</v>
      </c>
      <c r="G60" s="138" t="s">
        <v>10614</v>
      </c>
      <c r="H60" s="138" t="s">
        <v>10615</v>
      </c>
      <c r="I60" s="138" t="s">
        <v>11046</v>
      </c>
      <c r="J60" s="138" t="s">
        <v>11047</v>
      </c>
      <c r="K60" s="138">
        <v>10041394193</v>
      </c>
      <c r="L60" s="204">
        <v>46125</v>
      </c>
      <c r="M60" s="32"/>
      <c r="N60" s="29"/>
      <c r="O60" s="10"/>
      <c r="P60" s="10"/>
      <c r="Q60" s="35"/>
      <c r="R60" s="29"/>
      <c r="S60" s="10"/>
      <c r="T60" s="10"/>
      <c r="U60" s="10"/>
      <c r="V60" s="10"/>
      <c r="W60" s="10"/>
      <c r="X60" s="10"/>
      <c r="Y60" s="10"/>
      <c r="Z60" s="35"/>
      <c r="AA60" s="29"/>
      <c r="AB60" s="8"/>
      <c r="AC60" s="26"/>
      <c r="AD60" s="24">
        <f t="shared" si="0"/>
        <v>0</v>
      </c>
      <c r="AE60" s="24">
        <f t="shared" si="1"/>
        <v>0</v>
      </c>
      <c r="AF60" s="24">
        <f t="shared" si="2"/>
        <v>0</v>
      </c>
      <c r="AG60" s="41" t="str" cm="1">
        <f t="array" ref="AG60">_xlfn.IFS(
SUM(AD60:AF60)=0,"Not Started",
SUM(AD60:AF60)&lt;15,"In Progress",
SUM(AD60:AF60)=15,"Completed",
SUM(AD60:AF60)&gt;15,"Error"
)</f>
        <v>Not Started</v>
      </c>
    </row>
    <row r="61" spans="1:33" ht="13" x14ac:dyDescent="0.25">
      <c r="A61" s="248"/>
      <c r="B61" s="7" t="s">
        <v>2319</v>
      </c>
      <c r="C61" s="138" t="s">
        <v>11048</v>
      </c>
      <c r="D61" s="138" t="s">
        <v>11049</v>
      </c>
      <c r="E61" s="138" t="s">
        <v>11050</v>
      </c>
      <c r="F61" s="138" t="s">
        <v>10907</v>
      </c>
      <c r="G61" s="138" t="s">
        <v>10614</v>
      </c>
      <c r="H61" s="138" t="s">
        <v>10615</v>
      </c>
      <c r="I61" s="138" t="s">
        <v>11051</v>
      </c>
      <c r="J61" s="138" t="s">
        <v>11052</v>
      </c>
      <c r="K61" s="138">
        <v>10103861384</v>
      </c>
      <c r="L61" s="204">
        <v>46125</v>
      </c>
      <c r="M61" s="32"/>
      <c r="N61" s="29"/>
      <c r="O61" s="10"/>
      <c r="P61" s="10"/>
      <c r="Q61" s="35"/>
      <c r="R61" s="29"/>
      <c r="S61" s="10"/>
      <c r="T61" s="10"/>
      <c r="U61" s="10"/>
      <c r="V61" s="10"/>
      <c r="W61" s="10"/>
      <c r="X61" s="10"/>
      <c r="Y61" s="10"/>
      <c r="Z61" s="35"/>
      <c r="AA61" s="29"/>
      <c r="AB61" s="8"/>
      <c r="AC61" s="26"/>
      <c r="AD61" s="24">
        <f t="shared" si="0"/>
        <v>0</v>
      </c>
      <c r="AE61" s="24">
        <f t="shared" si="1"/>
        <v>0</v>
      </c>
      <c r="AF61" s="24">
        <f t="shared" si="2"/>
        <v>0</v>
      </c>
      <c r="AG61" s="41" t="str" cm="1">
        <f t="array" ref="AG61">_xlfn.IFS(
SUM(AD61:AF61)=0,"Not Started",
SUM(AD61:AF61)&lt;15,"In Progress",
SUM(AD61:AF61)=15,"Completed",
SUM(AD61:AF61)&gt;15,"Error"
)</f>
        <v>Not Started</v>
      </c>
    </row>
    <row r="62" spans="1:33" ht="13" x14ac:dyDescent="0.25">
      <c r="A62" s="248"/>
      <c r="B62" s="14" t="s">
        <v>2320</v>
      </c>
      <c r="C62" s="205" t="s">
        <v>11054</v>
      </c>
      <c r="D62" s="77" t="s">
        <v>11055</v>
      </c>
      <c r="E62" s="138" t="s">
        <v>10612</v>
      </c>
      <c r="F62" s="138" t="s">
        <v>10907</v>
      </c>
      <c r="G62" s="138" t="s">
        <v>10614</v>
      </c>
      <c r="H62" s="138" t="s">
        <v>10615</v>
      </c>
      <c r="I62" s="138" t="s">
        <v>11056</v>
      </c>
      <c r="J62" s="138" t="s">
        <v>11057</v>
      </c>
      <c r="K62" s="138">
        <v>10041924521</v>
      </c>
      <c r="L62" s="204">
        <v>46126</v>
      </c>
      <c r="M62" s="32"/>
      <c r="N62" s="29"/>
      <c r="O62" s="10"/>
      <c r="P62" s="10"/>
      <c r="Q62" s="35"/>
      <c r="R62" s="29"/>
      <c r="S62" s="10"/>
      <c r="T62" s="10"/>
      <c r="U62" s="10"/>
      <c r="V62" s="10"/>
      <c r="W62" s="10"/>
      <c r="X62" s="10"/>
      <c r="Y62" s="10"/>
      <c r="Z62" s="35"/>
      <c r="AA62" s="29"/>
      <c r="AB62" s="8"/>
      <c r="AC62" s="26"/>
      <c r="AD62" s="24">
        <f t="shared" si="0"/>
        <v>0</v>
      </c>
      <c r="AE62" s="24">
        <f t="shared" si="1"/>
        <v>0</v>
      </c>
      <c r="AF62" s="24">
        <f t="shared" si="2"/>
        <v>0</v>
      </c>
      <c r="AG62" s="41" t="str" cm="1">
        <f t="array" ref="AG62">_xlfn.IFS(
SUM(AD62:AF62)=0,"Not Started",
SUM(AD62:AF62)&lt;15,"In Progress",
SUM(AD62:AF62)=15,"Completed",
SUM(AD62:AF62)&gt;15,"Error"
)</f>
        <v>Not Started</v>
      </c>
    </row>
    <row r="63" spans="1:33" ht="13" x14ac:dyDescent="0.25">
      <c r="A63" s="248"/>
      <c r="B63" s="7" t="s">
        <v>2321</v>
      </c>
      <c r="C63" s="138" t="s">
        <v>11058</v>
      </c>
      <c r="D63" s="138" t="s">
        <v>11059</v>
      </c>
      <c r="E63" s="138" t="s">
        <v>10612</v>
      </c>
      <c r="F63" s="138" t="s">
        <v>10907</v>
      </c>
      <c r="G63" s="138" t="s">
        <v>10614</v>
      </c>
      <c r="H63" s="138" t="s">
        <v>10615</v>
      </c>
      <c r="I63" s="138" t="s">
        <v>11060</v>
      </c>
      <c r="J63" s="138" t="s">
        <v>11061</v>
      </c>
      <c r="K63" s="138">
        <v>10041817001</v>
      </c>
      <c r="L63" s="204">
        <v>46126</v>
      </c>
      <c r="M63" s="32"/>
      <c r="N63" s="29"/>
      <c r="O63" s="10"/>
      <c r="P63" s="10"/>
      <c r="Q63" s="35"/>
      <c r="R63" s="29"/>
      <c r="S63" s="10"/>
      <c r="T63" s="10"/>
      <c r="U63" s="10"/>
      <c r="V63" s="10"/>
      <c r="W63" s="10"/>
      <c r="X63" s="10"/>
      <c r="Y63" s="10"/>
      <c r="Z63" s="35"/>
      <c r="AA63" s="29"/>
      <c r="AB63" s="8"/>
      <c r="AC63" s="26"/>
      <c r="AD63" s="24">
        <f t="shared" si="0"/>
        <v>0</v>
      </c>
      <c r="AE63" s="24">
        <f t="shared" si="1"/>
        <v>0</v>
      </c>
      <c r="AF63" s="24">
        <f t="shared" si="2"/>
        <v>0</v>
      </c>
      <c r="AG63" s="41" t="str" cm="1">
        <f t="array" ref="AG63">_xlfn.IFS(
SUM(AD63:AF63)=0,"Not Started",
SUM(AD63:AF63)&lt;15,"In Progress",
SUM(AD63:AF63)=15,"Completed",
SUM(AD63:AF63)&gt;15,"Error"
)</f>
        <v>Not Started</v>
      </c>
    </row>
    <row r="64" spans="1:33" ht="13" x14ac:dyDescent="0.25">
      <c r="A64" s="248"/>
      <c r="B64" s="14" t="s">
        <v>2322</v>
      </c>
      <c r="C64" s="138" t="s">
        <v>11157</v>
      </c>
      <c r="D64" s="138" t="s">
        <v>11158</v>
      </c>
      <c r="E64" s="138" t="s">
        <v>10612</v>
      </c>
      <c r="F64" s="138" t="s">
        <v>10613</v>
      </c>
      <c r="G64" s="138" t="s">
        <v>10614</v>
      </c>
      <c r="H64" s="138" t="s">
        <v>10615</v>
      </c>
      <c r="I64" s="138" t="s">
        <v>11159</v>
      </c>
      <c r="J64" s="138" t="s">
        <v>11160</v>
      </c>
      <c r="K64" s="138">
        <v>10041460655</v>
      </c>
      <c r="L64" s="204">
        <v>46127</v>
      </c>
      <c r="M64" s="32"/>
      <c r="N64" s="29"/>
      <c r="O64" s="10"/>
      <c r="P64" s="10"/>
      <c r="Q64" s="35"/>
      <c r="R64" s="29"/>
      <c r="S64" s="10"/>
      <c r="T64" s="10"/>
      <c r="U64" s="10"/>
      <c r="V64" s="10"/>
      <c r="W64" s="10"/>
      <c r="X64" s="10"/>
      <c r="Y64" s="10"/>
      <c r="Z64" s="35"/>
      <c r="AA64" s="29"/>
      <c r="AB64" s="8"/>
      <c r="AC64" s="26"/>
      <c r="AD64" s="24">
        <f t="shared" si="0"/>
        <v>0</v>
      </c>
      <c r="AE64" s="24">
        <f t="shared" si="1"/>
        <v>0</v>
      </c>
      <c r="AF64" s="24">
        <f t="shared" si="2"/>
        <v>0</v>
      </c>
      <c r="AG64" s="41" t="str" cm="1">
        <f t="array" ref="AG64">_xlfn.IFS(
SUM(AD64:AF64)=0,"Not Started",
SUM(AD64:AF64)&lt;15,"In Progress",
SUM(AD64:AF64)=15,"Completed",
SUM(AD64:AF64)&gt;15,"Error"
)</f>
        <v>Not Started</v>
      </c>
    </row>
    <row r="65" spans="1:33" ht="13" x14ac:dyDescent="0.25">
      <c r="A65" s="248"/>
      <c r="B65" s="7" t="s">
        <v>2323</v>
      </c>
      <c r="C65" s="138" t="s">
        <v>11161</v>
      </c>
      <c r="D65" s="138" t="s">
        <v>11162</v>
      </c>
      <c r="E65" s="138" t="s">
        <v>9670</v>
      </c>
      <c r="F65" s="138" t="s">
        <v>10907</v>
      </c>
      <c r="G65" s="138" t="s">
        <v>10614</v>
      </c>
      <c r="H65" s="138" t="s">
        <v>10615</v>
      </c>
      <c r="I65" s="138" t="s">
        <v>11163</v>
      </c>
      <c r="J65" s="138" t="s">
        <v>11164</v>
      </c>
      <c r="K65" s="138">
        <v>10041997877</v>
      </c>
      <c r="L65" s="204">
        <v>46127</v>
      </c>
      <c r="M65" s="32"/>
      <c r="N65" s="29"/>
      <c r="O65" s="10"/>
      <c r="P65" s="10"/>
      <c r="Q65" s="35"/>
      <c r="R65" s="29"/>
      <c r="S65" s="10"/>
      <c r="T65" s="10"/>
      <c r="U65" s="10"/>
      <c r="V65" s="10"/>
      <c r="W65" s="10"/>
      <c r="X65" s="10"/>
      <c r="Y65" s="10"/>
      <c r="Z65" s="35"/>
      <c r="AA65" s="29"/>
      <c r="AB65" s="8"/>
      <c r="AC65" s="26"/>
      <c r="AD65" s="24">
        <f t="shared" si="0"/>
        <v>0</v>
      </c>
      <c r="AE65" s="24">
        <f t="shared" si="1"/>
        <v>0</v>
      </c>
      <c r="AF65" s="24">
        <f t="shared" si="2"/>
        <v>0</v>
      </c>
      <c r="AG65" s="41" t="str" cm="1">
        <f t="array" ref="AG65">_xlfn.IFS(
SUM(AD65:AF65)=0,"Not Started",
SUM(AD65:AF65)&lt;15,"In Progress",
SUM(AD65:AF65)=15,"Completed",
SUM(AD65:AF65)&gt;15,"Error"
)</f>
        <v>Not Started</v>
      </c>
    </row>
    <row r="66" spans="1:33" ht="13" x14ac:dyDescent="0.25">
      <c r="A66" s="248"/>
      <c r="B66" s="14" t="s">
        <v>2324</v>
      </c>
      <c r="C66" s="138" t="s">
        <v>11165</v>
      </c>
      <c r="D66" s="138" t="s">
        <v>11166</v>
      </c>
      <c r="E66" s="138" t="s">
        <v>10676</v>
      </c>
      <c r="F66" s="138" t="s">
        <v>10613</v>
      </c>
      <c r="G66" s="138" t="s">
        <v>10614</v>
      </c>
      <c r="H66" s="138" t="s">
        <v>10615</v>
      </c>
      <c r="I66" s="138" t="s">
        <v>11167</v>
      </c>
      <c r="J66" s="138" t="s">
        <v>11168</v>
      </c>
      <c r="K66" s="138">
        <v>10041706586</v>
      </c>
      <c r="L66" s="204">
        <v>46127</v>
      </c>
      <c r="M66" s="32"/>
      <c r="N66" s="29"/>
      <c r="O66" s="10"/>
      <c r="P66" s="10"/>
      <c r="Q66" s="35"/>
      <c r="R66" s="29"/>
      <c r="S66" s="10"/>
      <c r="T66" s="10"/>
      <c r="U66" s="10"/>
      <c r="V66" s="10"/>
      <c r="W66" s="10"/>
      <c r="X66" s="10"/>
      <c r="Y66" s="10"/>
      <c r="Z66" s="35"/>
      <c r="AA66" s="29"/>
      <c r="AB66" s="8"/>
      <c r="AC66" s="26"/>
      <c r="AD66" s="24">
        <f t="shared" si="0"/>
        <v>0</v>
      </c>
      <c r="AE66" s="24">
        <f t="shared" si="1"/>
        <v>0</v>
      </c>
      <c r="AF66" s="24">
        <f t="shared" si="2"/>
        <v>0</v>
      </c>
      <c r="AG66" s="41" t="str" cm="1">
        <f t="array" ref="AG66">_xlfn.IFS(
SUM(AD66:AF66)=0,"Not Started",
SUM(AD66:AF66)&lt;15,"In Progress",
SUM(AD66:AF66)=15,"Completed",
SUM(AD66:AF66)&gt;15,"Error"
)</f>
        <v>Not Started</v>
      </c>
    </row>
    <row r="67" spans="1:33" ht="13" x14ac:dyDescent="0.25">
      <c r="A67" s="248"/>
      <c r="B67" s="7" t="s">
        <v>2325</v>
      </c>
      <c r="C67" s="138" t="s">
        <v>11169</v>
      </c>
      <c r="D67" s="138" t="s">
        <v>8242</v>
      </c>
      <c r="E67" s="138" t="s">
        <v>10612</v>
      </c>
      <c r="F67" s="138" t="s">
        <v>10613</v>
      </c>
      <c r="G67" s="138" t="s">
        <v>10614</v>
      </c>
      <c r="H67" s="138" t="s">
        <v>10615</v>
      </c>
      <c r="I67" s="138" t="s">
        <v>11170</v>
      </c>
      <c r="J67" s="138" t="s">
        <v>11171</v>
      </c>
      <c r="K67" s="138">
        <v>10092726222</v>
      </c>
      <c r="L67" s="204">
        <v>46127</v>
      </c>
      <c r="M67" s="32"/>
      <c r="N67" s="29"/>
      <c r="O67" s="10"/>
      <c r="P67" s="10"/>
      <c r="Q67" s="35"/>
      <c r="R67" s="29"/>
      <c r="S67" s="10"/>
      <c r="T67" s="10"/>
      <c r="U67" s="10"/>
      <c r="V67" s="10"/>
      <c r="W67" s="10"/>
      <c r="X67" s="10"/>
      <c r="Y67" s="10"/>
      <c r="Z67" s="35"/>
      <c r="AA67" s="29"/>
      <c r="AB67" s="8"/>
      <c r="AC67" s="26"/>
      <c r="AD67" s="24">
        <f t="shared" si="0"/>
        <v>0</v>
      </c>
      <c r="AE67" s="24">
        <f t="shared" si="1"/>
        <v>0</v>
      </c>
      <c r="AF67" s="24">
        <f t="shared" si="2"/>
        <v>0</v>
      </c>
      <c r="AG67" s="41" t="str" cm="1">
        <f t="array" ref="AG67">_xlfn.IFS(
SUM(AD67:AF67)=0,"Not Started",
SUM(AD67:AF67)&lt;15,"In Progress",
SUM(AD67:AF67)=15,"Completed",
SUM(AD67:AF67)&gt;15,"Error"
)</f>
        <v>Not Started</v>
      </c>
    </row>
    <row r="68" spans="1:33" ht="13" x14ac:dyDescent="0.25">
      <c r="A68" s="248"/>
      <c r="B68" s="14" t="s">
        <v>2326</v>
      </c>
      <c r="C68" s="138" t="s">
        <v>11172</v>
      </c>
      <c r="D68" s="138" t="s">
        <v>11173</v>
      </c>
      <c r="E68" s="138" t="s">
        <v>10612</v>
      </c>
      <c r="F68" s="138" t="s">
        <v>10613</v>
      </c>
      <c r="G68" s="138" t="s">
        <v>10614</v>
      </c>
      <c r="H68" s="138" t="s">
        <v>10615</v>
      </c>
      <c r="I68" s="138" t="s">
        <v>11174</v>
      </c>
      <c r="J68" s="138" t="s">
        <v>11175</v>
      </c>
      <c r="K68" s="138">
        <v>10041706666</v>
      </c>
      <c r="L68" s="204">
        <v>46130</v>
      </c>
      <c r="M68" s="32"/>
      <c r="N68" s="29"/>
      <c r="O68" s="10"/>
      <c r="P68" s="10"/>
      <c r="Q68" s="35"/>
      <c r="R68" s="29"/>
      <c r="S68" s="10"/>
      <c r="T68" s="10"/>
      <c r="U68" s="10"/>
      <c r="V68" s="10"/>
      <c r="W68" s="10"/>
      <c r="X68" s="10"/>
      <c r="Y68" s="10"/>
      <c r="Z68" s="35"/>
      <c r="AA68" s="29"/>
      <c r="AB68" s="8"/>
      <c r="AC68" s="26"/>
      <c r="AD68" s="24">
        <f t="shared" si="0"/>
        <v>0</v>
      </c>
      <c r="AE68" s="24">
        <f t="shared" si="1"/>
        <v>0</v>
      </c>
      <c r="AF68" s="24">
        <f t="shared" si="2"/>
        <v>0</v>
      </c>
      <c r="AG68" s="41" t="str" cm="1">
        <f t="array" ref="AG68">_xlfn.IFS(
SUM(AD68:AF68)=0,"Not Started",
SUM(AD68:AF68)&lt;15,"In Progress",
SUM(AD68:AF68)=15,"Completed",
SUM(AD68:AF68)&gt;15,"Error"
)</f>
        <v>Not Started</v>
      </c>
    </row>
    <row r="69" spans="1:33" ht="13" x14ac:dyDescent="0.25">
      <c r="A69" s="248"/>
      <c r="B69" s="7" t="s">
        <v>2327</v>
      </c>
      <c r="C69" s="138" t="s">
        <v>11176</v>
      </c>
      <c r="D69" s="138" t="s">
        <v>11177</v>
      </c>
      <c r="E69" s="138" t="s">
        <v>10631</v>
      </c>
      <c r="F69" s="138" t="s">
        <v>10613</v>
      </c>
      <c r="G69" s="138" t="s">
        <v>10614</v>
      </c>
      <c r="H69" s="138" t="s">
        <v>10615</v>
      </c>
      <c r="I69" s="138" t="s">
        <v>11178</v>
      </c>
      <c r="J69" s="138" t="s">
        <v>11179</v>
      </c>
      <c r="K69" s="138">
        <v>10041488951</v>
      </c>
      <c r="L69" s="204">
        <v>46130</v>
      </c>
      <c r="M69" s="32"/>
      <c r="N69" s="29"/>
      <c r="O69" s="10"/>
      <c r="P69" s="10"/>
      <c r="Q69" s="35"/>
      <c r="R69" s="29"/>
      <c r="S69" s="10"/>
      <c r="T69" s="10"/>
      <c r="U69" s="10"/>
      <c r="V69" s="10"/>
      <c r="W69" s="10"/>
      <c r="X69" s="10"/>
      <c r="Y69" s="10"/>
      <c r="Z69" s="35"/>
      <c r="AA69" s="29"/>
      <c r="AB69" s="8"/>
      <c r="AC69" s="26"/>
      <c r="AD69" s="24">
        <f t="shared" ref="AD69:AD132" si="3">COUNTIF(N69:AB69,$AD$2)</f>
        <v>0</v>
      </c>
      <c r="AE69" s="24">
        <f t="shared" ref="AE69:AE132" si="4">COUNTIF(N69:AB69,$AE$2)</f>
        <v>0</v>
      </c>
      <c r="AF69" s="24">
        <f t="shared" ref="AF69:AF132" si="5">COUNTIF(N69:AB69,$AF$2)</f>
        <v>0</v>
      </c>
      <c r="AG69" s="41" t="str" cm="1">
        <f t="array" ref="AG69">_xlfn.IFS(
SUM(AD69:AF69)=0,"Not Started",
SUM(AD69:AF69)&lt;15,"In Progress",
SUM(AD69:AF69)=15,"Completed",
SUM(AD69:AF69)&gt;15,"Error"
)</f>
        <v>Not Started</v>
      </c>
    </row>
    <row r="70" spans="1:33" ht="13" x14ac:dyDescent="0.25">
      <c r="A70" s="248"/>
      <c r="B70" s="14" t="s">
        <v>2328</v>
      </c>
      <c r="C70" s="138" t="s">
        <v>11180</v>
      </c>
      <c r="D70" s="138" t="s">
        <v>11181</v>
      </c>
      <c r="E70" s="138" t="s">
        <v>10612</v>
      </c>
      <c r="F70" s="138" t="s">
        <v>10613</v>
      </c>
      <c r="G70" s="138" t="s">
        <v>10614</v>
      </c>
      <c r="H70" s="138" t="s">
        <v>10615</v>
      </c>
      <c r="I70" s="138" t="s">
        <v>11182</v>
      </c>
      <c r="J70" s="138" t="s">
        <v>11183</v>
      </c>
      <c r="K70" s="138">
        <v>10041300553</v>
      </c>
      <c r="L70" s="204">
        <v>46130</v>
      </c>
      <c r="M70" s="32"/>
      <c r="N70" s="29"/>
      <c r="O70" s="10"/>
      <c r="P70" s="10"/>
      <c r="Q70" s="35"/>
      <c r="R70" s="29"/>
      <c r="S70" s="10"/>
      <c r="T70" s="10"/>
      <c r="U70" s="10"/>
      <c r="V70" s="10"/>
      <c r="W70" s="10"/>
      <c r="X70" s="10"/>
      <c r="Y70" s="10"/>
      <c r="Z70" s="35"/>
      <c r="AA70" s="29"/>
      <c r="AB70" s="8"/>
      <c r="AC70" s="26"/>
      <c r="AD70" s="24">
        <f t="shared" si="3"/>
        <v>0</v>
      </c>
      <c r="AE70" s="24">
        <f t="shared" si="4"/>
        <v>0</v>
      </c>
      <c r="AF70" s="24">
        <f t="shared" si="5"/>
        <v>0</v>
      </c>
      <c r="AG70" s="41" t="str" cm="1">
        <f t="array" ref="AG70">_xlfn.IFS(
SUM(AD70:AF70)=0,"Not Started",
SUM(AD70:AF70)&lt;15,"In Progress",
SUM(AD70:AF70)=15,"Completed",
SUM(AD70:AF70)&gt;15,"Error"
)</f>
        <v>Not Started</v>
      </c>
    </row>
    <row r="71" spans="1:33" ht="13" x14ac:dyDescent="0.25">
      <c r="A71" s="248"/>
      <c r="B71" s="7" t="s">
        <v>2329</v>
      </c>
      <c r="C71" s="138" t="s">
        <v>11184</v>
      </c>
      <c r="D71" s="138" t="s">
        <v>11185</v>
      </c>
      <c r="E71" s="138" t="s">
        <v>10612</v>
      </c>
      <c r="F71" s="138" t="s">
        <v>10613</v>
      </c>
      <c r="G71" s="138" t="s">
        <v>10614</v>
      </c>
      <c r="H71" s="138" t="s">
        <v>10615</v>
      </c>
      <c r="I71" s="138" t="s">
        <v>11186</v>
      </c>
      <c r="J71" s="138" t="s">
        <v>11187</v>
      </c>
      <c r="K71" s="138">
        <v>10041632876</v>
      </c>
      <c r="L71" s="204">
        <v>46130</v>
      </c>
      <c r="M71" s="32"/>
      <c r="N71" s="29"/>
      <c r="O71" s="10"/>
      <c r="P71" s="10"/>
      <c r="Q71" s="35"/>
      <c r="R71" s="29"/>
      <c r="S71" s="10"/>
      <c r="T71" s="10"/>
      <c r="U71" s="10"/>
      <c r="V71" s="10"/>
      <c r="W71" s="10"/>
      <c r="X71" s="10"/>
      <c r="Y71" s="10"/>
      <c r="Z71" s="35"/>
      <c r="AA71" s="29"/>
      <c r="AB71" s="8"/>
      <c r="AC71" s="26"/>
      <c r="AD71" s="24">
        <f t="shared" si="3"/>
        <v>0</v>
      </c>
      <c r="AE71" s="24">
        <f t="shared" si="4"/>
        <v>0</v>
      </c>
      <c r="AF71" s="24">
        <f t="shared" si="5"/>
        <v>0</v>
      </c>
      <c r="AG71" s="41" t="str" cm="1">
        <f t="array" ref="AG71">_xlfn.IFS(
SUM(AD71:AF71)=0,"Not Started",
SUM(AD71:AF71)&lt;15,"In Progress",
SUM(AD71:AF71)=15,"Completed",
SUM(AD71:AF71)&gt;15,"Error"
)</f>
        <v>Not Started</v>
      </c>
    </row>
    <row r="72" spans="1:33" ht="13" x14ac:dyDescent="0.3">
      <c r="A72" s="248"/>
      <c r="B72" s="14" t="s">
        <v>2330</v>
      </c>
      <c r="C72" s="138" t="s">
        <v>11188</v>
      </c>
      <c r="D72" s="138" t="s">
        <v>11189</v>
      </c>
      <c r="E72" s="138" t="s">
        <v>10631</v>
      </c>
      <c r="F72" s="138" t="s">
        <v>10613</v>
      </c>
      <c r="G72" s="166" t="s">
        <v>10631</v>
      </c>
      <c r="H72" s="214" t="s">
        <v>11190</v>
      </c>
      <c r="I72" s="138" t="s">
        <v>11191</v>
      </c>
      <c r="J72" s="138" t="s">
        <v>11192</v>
      </c>
      <c r="K72" s="138">
        <v>10041632750</v>
      </c>
      <c r="L72" s="204">
        <v>46131</v>
      </c>
      <c r="M72" s="32"/>
      <c r="N72" s="29"/>
      <c r="O72" s="10"/>
      <c r="P72" s="10"/>
      <c r="Q72" s="35"/>
      <c r="R72" s="29"/>
      <c r="S72" s="10"/>
      <c r="T72" s="10"/>
      <c r="U72" s="10"/>
      <c r="V72" s="10"/>
      <c r="W72" s="10"/>
      <c r="X72" s="10"/>
      <c r="Y72" s="10"/>
      <c r="Z72" s="35"/>
      <c r="AA72" s="29"/>
      <c r="AB72" s="8"/>
      <c r="AC72" s="26"/>
      <c r="AD72" s="24">
        <f t="shared" si="3"/>
        <v>0</v>
      </c>
      <c r="AE72" s="24">
        <f t="shared" si="4"/>
        <v>0</v>
      </c>
      <c r="AF72" s="24">
        <f t="shared" si="5"/>
        <v>0</v>
      </c>
      <c r="AG72" s="41" t="str" cm="1">
        <f t="array" ref="AG72">_xlfn.IFS(
SUM(AD72:AF72)=0,"Not Started",
SUM(AD72:AF72)&lt;15,"In Progress",
SUM(AD72:AF72)=15,"Completed",
SUM(AD72:AF72)&gt;15,"Error"
)</f>
        <v>Not Started</v>
      </c>
    </row>
    <row r="73" spans="1:33" ht="13" x14ac:dyDescent="0.3">
      <c r="A73" s="248"/>
      <c r="B73" s="7" t="s">
        <v>2331</v>
      </c>
      <c r="C73" s="138" t="s">
        <v>11193</v>
      </c>
      <c r="D73" s="138" t="s">
        <v>11194</v>
      </c>
      <c r="E73" s="138" t="s">
        <v>10612</v>
      </c>
      <c r="F73" s="138" t="s">
        <v>10613</v>
      </c>
      <c r="G73" s="166" t="s">
        <v>10612</v>
      </c>
      <c r="H73" s="214" t="s">
        <v>11190</v>
      </c>
      <c r="I73" s="138" t="s">
        <v>11195</v>
      </c>
      <c r="J73" s="138" t="s">
        <v>11196</v>
      </c>
      <c r="K73" s="138"/>
      <c r="L73" s="204">
        <v>46131</v>
      </c>
      <c r="M73" s="32"/>
      <c r="N73" s="29"/>
      <c r="O73" s="10"/>
      <c r="P73" s="10"/>
      <c r="Q73" s="35"/>
      <c r="R73" s="29"/>
      <c r="S73" s="10"/>
      <c r="T73" s="10"/>
      <c r="U73" s="10"/>
      <c r="V73" s="10"/>
      <c r="W73" s="10"/>
      <c r="X73" s="10"/>
      <c r="Y73" s="10"/>
      <c r="Z73" s="35"/>
      <c r="AA73" s="29"/>
      <c r="AB73" s="8"/>
      <c r="AC73" s="26"/>
      <c r="AD73" s="24">
        <f t="shared" si="3"/>
        <v>0</v>
      </c>
      <c r="AE73" s="24">
        <f t="shared" si="4"/>
        <v>0</v>
      </c>
      <c r="AF73" s="24">
        <f t="shared" si="5"/>
        <v>0</v>
      </c>
      <c r="AG73" s="41" t="str" cm="1">
        <f t="array" ref="AG73">_xlfn.IFS(
SUM(AD73:AF73)=0,"Not Started",
SUM(AD73:AF73)&lt;15,"In Progress",
SUM(AD73:AF73)=15,"Completed",
SUM(AD73:AF73)&gt;15,"Error"
)</f>
        <v>Not Started</v>
      </c>
    </row>
    <row r="74" spans="1:33" ht="13" x14ac:dyDescent="0.3">
      <c r="A74" s="248"/>
      <c r="B74" s="14" t="s">
        <v>2332</v>
      </c>
      <c r="C74" s="138" t="s">
        <v>11197</v>
      </c>
      <c r="D74" s="138" t="s">
        <v>11198</v>
      </c>
      <c r="E74" s="138" t="s">
        <v>10676</v>
      </c>
      <c r="F74" s="138" t="s">
        <v>10613</v>
      </c>
      <c r="G74" s="166" t="s">
        <v>10676</v>
      </c>
      <c r="H74" s="214" t="s">
        <v>11190</v>
      </c>
      <c r="I74" s="138" t="s">
        <v>11199</v>
      </c>
      <c r="J74" s="138" t="s">
        <v>11200</v>
      </c>
      <c r="K74" s="138">
        <v>10082285483</v>
      </c>
      <c r="L74" s="204">
        <v>46131</v>
      </c>
      <c r="M74" s="32"/>
      <c r="N74" s="29"/>
      <c r="O74" s="10"/>
      <c r="P74" s="10"/>
      <c r="Q74" s="35"/>
      <c r="R74" s="29"/>
      <c r="S74" s="10"/>
      <c r="T74" s="10"/>
      <c r="U74" s="10"/>
      <c r="V74" s="10"/>
      <c r="W74" s="10"/>
      <c r="X74" s="10"/>
      <c r="Y74" s="10"/>
      <c r="Z74" s="35"/>
      <c r="AA74" s="29"/>
      <c r="AB74" s="8"/>
      <c r="AC74" s="26"/>
      <c r="AD74" s="24">
        <f t="shared" si="3"/>
        <v>0</v>
      </c>
      <c r="AE74" s="24">
        <f t="shared" si="4"/>
        <v>0</v>
      </c>
      <c r="AF74" s="24">
        <f t="shared" si="5"/>
        <v>0</v>
      </c>
      <c r="AG74" s="41" t="str" cm="1">
        <f t="array" ref="AG74">_xlfn.IFS(
SUM(AD74:AF74)=0,"Not Started",
SUM(AD74:AF74)&lt;15,"In Progress",
SUM(AD74:AF74)=15,"Completed",
SUM(AD74:AF74)&gt;15,"Error"
)</f>
        <v>Not Started</v>
      </c>
    </row>
    <row r="75" spans="1:33" ht="13" x14ac:dyDescent="0.3">
      <c r="A75" s="248"/>
      <c r="B75" s="7" t="s">
        <v>2333</v>
      </c>
      <c r="C75" s="138" t="s">
        <v>11201</v>
      </c>
      <c r="D75" s="138" t="s">
        <v>11202</v>
      </c>
      <c r="E75" s="138" t="s">
        <v>10612</v>
      </c>
      <c r="F75" s="138" t="s">
        <v>10613</v>
      </c>
      <c r="G75" s="166" t="s">
        <v>10612</v>
      </c>
      <c r="H75" s="214" t="s">
        <v>11190</v>
      </c>
      <c r="I75" s="138" t="s">
        <v>11203</v>
      </c>
      <c r="J75" s="138" t="s">
        <v>10708</v>
      </c>
      <c r="K75" s="138">
        <v>10041304392</v>
      </c>
      <c r="L75" s="204">
        <v>46131</v>
      </c>
      <c r="M75" s="32"/>
      <c r="N75" s="29"/>
      <c r="O75" s="10"/>
      <c r="P75" s="10"/>
      <c r="Q75" s="35"/>
      <c r="R75" s="29"/>
      <c r="S75" s="10"/>
      <c r="T75" s="10"/>
      <c r="U75" s="10"/>
      <c r="V75" s="10"/>
      <c r="W75" s="10"/>
      <c r="X75" s="10"/>
      <c r="Y75" s="10"/>
      <c r="Z75" s="35"/>
      <c r="AA75" s="29"/>
      <c r="AB75" s="8"/>
      <c r="AC75" s="26"/>
      <c r="AD75" s="24">
        <f t="shared" si="3"/>
        <v>0</v>
      </c>
      <c r="AE75" s="24">
        <f t="shared" si="4"/>
        <v>0</v>
      </c>
      <c r="AF75" s="24">
        <f t="shared" si="5"/>
        <v>0</v>
      </c>
      <c r="AG75" s="41" t="str" cm="1">
        <f t="array" ref="AG75">_xlfn.IFS(
SUM(AD75:AF75)=0,"Not Started",
SUM(AD75:AF75)&lt;15,"In Progress",
SUM(AD75:AF75)=15,"Completed",
SUM(AD75:AF75)&gt;15,"Error"
)</f>
        <v>Not Started</v>
      </c>
    </row>
    <row r="76" spans="1:33" ht="13" x14ac:dyDescent="0.3">
      <c r="A76" s="248"/>
      <c r="B76" s="14" t="s">
        <v>2334</v>
      </c>
      <c r="C76" s="138" t="s">
        <v>11204</v>
      </c>
      <c r="D76" s="138" t="s">
        <v>11205</v>
      </c>
      <c r="E76" s="138" t="s">
        <v>10612</v>
      </c>
      <c r="F76" s="138" t="s">
        <v>10613</v>
      </c>
      <c r="G76" s="166" t="s">
        <v>10612</v>
      </c>
      <c r="H76" s="214" t="s">
        <v>11190</v>
      </c>
      <c r="I76" s="138" t="s">
        <v>11206</v>
      </c>
      <c r="J76" s="138" t="s">
        <v>11207</v>
      </c>
      <c r="K76" s="138">
        <v>10041300689</v>
      </c>
      <c r="L76" s="204">
        <v>46132</v>
      </c>
      <c r="M76" s="32"/>
      <c r="N76" s="29"/>
      <c r="O76" s="10"/>
      <c r="P76" s="10"/>
      <c r="Q76" s="35"/>
      <c r="R76" s="29"/>
      <c r="S76" s="10"/>
      <c r="T76" s="10"/>
      <c r="U76" s="10"/>
      <c r="V76" s="10"/>
      <c r="W76" s="10"/>
      <c r="X76" s="10"/>
      <c r="Y76" s="10"/>
      <c r="Z76" s="35"/>
      <c r="AA76" s="29"/>
      <c r="AB76" s="8"/>
      <c r="AC76" s="26"/>
      <c r="AD76" s="24">
        <f t="shared" si="3"/>
        <v>0</v>
      </c>
      <c r="AE76" s="24">
        <f t="shared" si="4"/>
        <v>0</v>
      </c>
      <c r="AF76" s="24">
        <f t="shared" si="5"/>
        <v>0</v>
      </c>
      <c r="AG76" s="41" t="str" cm="1">
        <f t="array" ref="AG76">_xlfn.IFS(
SUM(AD76:AF76)=0,"Not Started",
SUM(AD76:AF76)&lt;15,"In Progress",
SUM(AD76:AF76)=15,"Completed",
SUM(AD76:AF76)&gt;15,"Error"
)</f>
        <v>Not Started</v>
      </c>
    </row>
    <row r="77" spans="1:33" ht="13" x14ac:dyDescent="0.3">
      <c r="A77" s="248"/>
      <c r="B77" s="7" t="s">
        <v>2335</v>
      </c>
      <c r="C77" s="138" t="s">
        <v>11208</v>
      </c>
      <c r="D77" s="138" t="s">
        <v>11209</v>
      </c>
      <c r="E77" s="138" t="s">
        <v>10631</v>
      </c>
      <c r="F77" s="138" t="s">
        <v>10613</v>
      </c>
      <c r="G77" s="138" t="s">
        <v>10631</v>
      </c>
      <c r="H77" s="214" t="s">
        <v>11190</v>
      </c>
      <c r="I77" s="138" t="s">
        <v>11210</v>
      </c>
      <c r="J77" s="138" t="s">
        <v>11211</v>
      </c>
      <c r="K77" s="138">
        <v>10041318431</v>
      </c>
      <c r="L77" s="204">
        <v>46132</v>
      </c>
      <c r="M77" s="32"/>
      <c r="N77" s="29"/>
      <c r="O77" s="10"/>
      <c r="P77" s="10"/>
      <c r="Q77" s="35"/>
      <c r="R77" s="29"/>
      <c r="S77" s="10"/>
      <c r="T77" s="10"/>
      <c r="U77" s="10"/>
      <c r="V77" s="10"/>
      <c r="W77" s="10"/>
      <c r="X77" s="10"/>
      <c r="Y77" s="10"/>
      <c r="Z77" s="35"/>
      <c r="AA77" s="29"/>
      <c r="AB77" s="8"/>
      <c r="AC77" s="26"/>
      <c r="AD77" s="24">
        <f t="shared" si="3"/>
        <v>0</v>
      </c>
      <c r="AE77" s="24">
        <f t="shared" si="4"/>
        <v>0</v>
      </c>
      <c r="AF77" s="24">
        <f t="shared" si="5"/>
        <v>0</v>
      </c>
      <c r="AG77" s="41" t="str" cm="1">
        <f t="array" ref="AG77">_xlfn.IFS(
SUM(AD77:AF77)=0,"Not Started",
SUM(AD77:AF77)&lt;15,"In Progress",
SUM(AD77:AF77)=15,"Completed",
SUM(AD77:AF77)&gt;15,"Error"
)</f>
        <v>Not Started</v>
      </c>
    </row>
    <row r="78" spans="1:33" ht="13" x14ac:dyDescent="0.3">
      <c r="A78" s="248"/>
      <c r="B78" s="14" t="s">
        <v>2336</v>
      </c>
      <c r="C78" s="138" t="s">
        <v>11212</v>
      </c>
      <c r="D78" s="138" t="s">
        <v>11213</v>
      </c>
      <c r="E78" s="138" t="s">
        <v>10612</v>
      </c>
      <c r="F78" s="138" t="s">
        <v>10613</v>
      </c>
      <c r="G78" s="138" t="s">
        <v>10612</v>
      </c>
      <c r="H78" s="214" t="s">
        <v>11190</v>
      </c>
      <c r="I78" s="138" t="s">
        <v>11214</v>
      </c>
      <c r="J78" s="138" t="s">
        <v>11215</v>
      </c>
      <c r="K78" s="138">
        <v>10041961462</v>
      </c>
      <c r="L78" s="204">
        <v>46132</v>
      </c>
      <c r="M78" s="32"/>
      <c r="N78" s="29"/>
      <c r="O78" s="10"/>
      <c r="P78" s="10"/>
      <c r="Q78" s="35"/>
      <c r="R78" s="29"/>
      <c r="S78" s="10"/>
      <c r="T78" s="10"/>
      <c r="U78" s="10"/>
      <c r="V78" s="10"/>
      <c r="W78" s="10"/>
      <c r="X78" s="10"/>
      <c r="Y78" s="10"/>
      <c r="Z78" s="35"/>
      <c r="AA78" s="29"/>
      <c r="AB78" s="8"/>
      <c r="AC78" s="26"/>
      <c r="AD78" s="24">
        <f t="shared" si="3"/>
        <v>0</v>
      </c>
      <c r="AE78" s="24">
        <f t="shared" si="4"/>
        <v>0</v>
      </c>
      <c r="AF78" s="24">
        <f t="shared" si="5"/>
        <v>0</v>
      </c>
      <c r="AG78" s="41" t="str" cm="1">
        <f t="array" ref="AG78">_xlfn.IFS(
SUM(AD78:AF78)=0,"Not Started",
SUM(AD78:AF78)&lt;15,"In Progress",
SUM(AD78:AF78)=15,"Completed",
SUM(AD78:AF78)&gt;15,"Error"
)</f>
        <v>Not Started</v>
      </c>
    </row>
    <row r="79" spans="1:33" ht="13" x14ac:dyDescent="0.3">
      <c r="A79" s="248"/>
      <c r="B79" s="7" t="s">
        <v>2337</v>
      </c>
      <c r="C79" s="138" t="s">
        <v>11216</v>
      </c>
      <c r="D79" s="138" t="s">
        <v>11217</v>
      </c>
      <c r="E79" s="138" t="s">
        <v>10676</v>
      </c>
      <c r="F79" s="138" t="s">
        <v>10613</v>
      </c>
      <c r="G79" s="138" t="s">
        <v>10676</v>
      </c>
      <c r="H79" s="214" t="s">
        <v>11190</v>
      </c>
      <c r="I79" s="138" t="s">
        <v>11218</v>
      </c>
      <c r="J79" s="138" t="s">
        <v>11219</v>
      </c>
      <c r="K79" s="138">
        <v>10041780467</v>
      </c>
      <c r="L79" s="204">
        <v>46133</v>
      </c>
      <c r="M79" s="32"/>
      <c r="N79" s="29"/>
      <c r="O79" s="10"/>
      <c r="P79" s="10"/>
      <c r="Q79" s="35"/>
      <c r="R79" s="29"/>
      <c r="S79" s="10"/>
      <c r="T79" s="10"/>
      <c r="U79" s="10"/>
      <c r="V79" s="10"/>
      <c r="W79" s="10"/>
      <c r="X79" s="10"/>
      <c r="Y79" s="10"/>
      <c r="Z79" s="35"/>
      <c r="AA79" s="29"/>
      <c r="AB79" s="8"/>
      <c r="AC79" s="26"/>
      <c r="AD79" s="24">
        <f t="shared" si="3"/>
        <v>0</v>
      </c>
      <c r="AE79" s="24">
        <f t="shared" si="4"/>
        <v>0</v>
      </c>
      <c r="AF79" s="24">
        <f t="shared" si="5"/>
        <v>0</v>
      </c>
      <c r="AG79" s="41" t="str" cm="1">
        <f t="array" ref="AG79">_xlfn.IFS(
SUM(AD79:AF79)=0,"Not Started",
SUM(AD79:AF79)&lt;15,"In Progress",
SUM(AD79:AF79)=15,"Completed",
SUM(AD79:AF79)&gt;15,"Error"
)</f>
        <v>Not Started</v>
      </c>
    </row>
    <row r="80" spans="1:33" ht="13" x14ac:dyDescent="0.3">
      <c r="A80" s="248"/>
      <c r="B80" s="14" t="s">
        <v>2338</v>
      </c>
      <c r="C80" s="138" t="s">
        <v>11220</v>
      </c>
      <c r="D80" s="138" t="s">
        <v>11221</v>
      </c>
      <c r="E80" s="138" t="s">
        <v>10612</v>
      </c>
      <c r="F80" s="138" t="s">
        <v>10907</v>
      </c>
      <c r="G80" s="138" t="s">
        <v>10612</v>
      </c>
      <c r="H80" s="214" t="s">
        <v>11190</v>
      </c>
      <c r="I80" s="138" t="s">
        <v>11222</v>
      </c>
      <c r="J80" s="138" t="s">
        <v>11223</v>
      </c>
      <c r="K80" s="138">
        <v>10041940121</v>
      </c>
      <c r="L80" s="204">
        <v>46133</v>
      </c>
      <c r="M80" s="32"/>
      <c r="N80" s="29"/>
      <c r="O80" s="10"/>
      <c r="P80" s="10"/>
      <c r="Q80" s="35"/>
      <c r="R80" s="29"/>
      <c r="S80" s="10"/>
      <c r="T80" s="10"/>
      <c r="U80" s="10"/>
      <c r="V80" s="10"/>
      <c r="W80" s="10"/>
      <c r="X80" s="10"/>
      <c r="Y80" s="10"/>
      <c r="Z80" s="35"/>
      <c r="AA80" s="29"/>
      <c r="AB80" s="8"/>
      <c r="AC80" s="26"/>
      <c r="AD80" s="24">
        <f t="shared" si="3"/>
        <v>0</v>
      </c>
      <c r="AE80" s="24">
        <f t="shared" si="4"/>
        <v>0</v>
      </c>
      <c r="AF80" s="24">
        <f t="shared" si="5"/>
        <v>0</v>
      </c>
      <c r="AG80" s="41" t="str" cm="1">
        <f t="array" ref="AG80">_xlfn.IFS(
SUM(AD80:AF80)=0,"Not Started",
SUM(AD80:AF80)&lt;15,"In Progress",
SUM(AD80:AF80)=15,"Completed",
SUM(AD80:AF80)&gt;15,"Error"
)</f>
        <v>Not Started</v>
      </c>
    </row>
    <row r="81" spans="1:33" ht="13" x14ac:dyDescent="0.3">
      <c r="A81" s="248"/>
      <c r="B81" s="7" t="s">
        <v>2339</v>
      </c>
      <c r="C81" s="138" t="s">
        <v>11224</v>
      </c>
      <c r="D81" s="138" t="s">
        <v>11225</v>
      </c>
      <c r="E81" s="138" t="s">
        <v>10612</v>
      </c>
      <c r="F81" s="138" t="s">
        <v>10907</v>
      </c>
      <c r="G81" s="138" t="s">
        <v>10612</v>
      </c>
      <c r="H81" s="214" t="s">
        <v>11190</v>
      </c>
      <c r="I81" s="138" t="s">
        <v>11226</v>
      </c>
      <c r="J81" s="138" t="s">
        <v>11227</v>
      </c>
      <c r="K81" s="138">
        <v>10041941970</v>
      </c>
      <c r="L81" s="204">
        <v>46133</v>
      </c>
      <c r="M81" s="32"/>
      <c r="N81" s="29"/>
      <c r="O81" s="10"/>
      <c r="P81" s="10"/>
      <c r="Q81" s="35"/>
      <c r="R81" s="29"/>
      <c r="S81" s="10"/>
      <c r="T81" s="10"/>
      <c r="U81" s="10"/>
      <c r="V81" s="10"/>
      <c r="W81" s="10"/>
      <c r="X81" s="10"/>
      <c r="Y81" s="10"/>
      <c r="Z81" s="35"/>
      <c r="AA81" s="29"/>
      <c r="AB81" s="8"/>
      <c r="AC81" s="26"/>
      <c r="AD81" s="24">
        <f t="shared" si="3"/>
        <v>0</v>
      </c>
      <c r="AE81" s="24">
        <f t="shared" si="4"/>
        <v>0</v>
      </c>
      <c r="AF81" s="24">
        <f t="shared" si="5"/>
        <v>0</v>
      </c>
      <c r="AG81" s="41" t="str" cm="1">
        <f t="array" ref="AG81">_xlfn.IFS(
SUM(AD81:AF81)=0,"Not Started",
SUM(AD81:AF81)&lt;15,"In Progress",
SUM(AD81:AF81)=15,"Completed",
SUM(AD81:AF81)&gt;15,"Error"
)</f>
        <v>Not Started</v>
      </c>
    </row>
    <row r="82" spans="1:33" ht="13" x14ac:dyDescent="0.3">
      <c r="A82" s="248"/>
      <c r="B82" s="14" t="s">
        <v>2340</v>
      </c>
      <c r="C82" s="138" t="s">
        <v>11228</v>
      </c>
      <c r="D82" s="138" t="s">
        <v>11229</v>
      </c>
      <c r="E82" s="138" t="s">
        <v>10676</v>
      </c>
      <c r="F82" s="138" t="s">
        <v>10907</v>
      </c>
      <c r="G82" s="138" t="s">
        <v>10676</v>
      </c>
      <c r="H82" s="214" t="s">
        <v>11190</v>
      </c>
      <c r="I82" s="138"/>
      <c r="J82" s="138" t="s">
        <v>11230</v>
      </c>
      <c r="K82" s="138">
        <v>10041919754</v>
      </c>
      <c r="L82" s="204">
        <v>46133</v>
      </c>
      <c r="M82" s="32"/>
      <c r="N82" s="29"/>
      <c r="O82" s="10"/>
      <c r="P82" s="10"/>
      <c r="Q82" s="35"/>
      <c r="R82" s="29"/>
      <c r="S82" s="10"/>
      <c r="T82" s="10"/>
      <c r="U82" s="10"/>
      <c r="V82" s="10"/>
      <c r="W82" s="10"/>
      <c r="X82" s="10"/>
      <c r="Y82" s="10"/>
      <c r="Z82" s="35"/>
      <c r="AA82" s="29"/>
      <c r="AB82" s="8"/>
      <c r="AC82" s="26"/>
      <c r="AD82" s="24">
        <f t="shared" si="3"/>
        <v>0</v>
      </c>
      <c r="AE82" s="24">
        <f t="shared" si="4"/>
        <v>0</v>
      </c>
      <c r="AF82" s="24">
        <f t="shared" si="5"/>
        <v>0</v>
      </c>
      <c r="AG82" s="41" t="str" cm="1">
        <f t="array" ref="AG82">_xlfn.IFS(
SUM(AD82:AF82)=0,"Not Started",
SUM(AD82:AF82)&lt;15,"In Progress",
SUM(AD82:AF82)=15,"Completed",
SUM(AD82:AF82)&gt;15,"Error"
)</f>
        <v>Not Started</v>
      </c>
    </row>
    <row r="83" spans="1:33" ht="13" x14ac:dyDescent="0.3">
      <c r="A83" s="248"/>
      <c r="B83" s="7" t="s">
        <v>2341</v>
      </c>
      <c r="C83" s="138" t="s">
        <v>11231</v>
      </c>
      <c r="D83" s="138" t="s">
        <v>11232</v>
      </c>
      <c r="E83" s="138" t="s">
        <v>10612</v>
      </c>
      <c r="F83" s="138" t="s">
        <v>10907</v>
      </c>
      <c r="G83" s="138" t="s">
        <v>10612</v>
      </c>
      <c r="H83" s="214" t="s">
        <v>11190</v>
      </c>
      <c r="I83" s="138" t="s">
        <v>11233</v>
      </c>
      <c r="J83" s="138" t="s">
        <v>11234</v>
      </c>
      <c r="K83" s="138">
        <v>10041817404</v>
      </c>
      <c r="L83" s="204">
        <v>46133</v>
      </c>
      <c r="M83" s="32"/>
      <c r="N83" s="29"/>
      <c r="O83" s="10"/>
      <c r="P83" s="10"/>
      <c r="Q83" s="35"/>
      <c r="R83" s="29"/>
      <c r="S83" s="10"/>
      <c r="T83" s="10"/>
      <c r="U83" s="10"/>
      <c r="V83" s="10"/>
      <c r="W83" s="10"/>
      <c r="X83" s="10"/>
      <c r="Y83" s="10"/>
      <c r="Z83" s="35"/>
      <c r="AA83" s="29"/>
      <c r="AB83" s="8"/>
      <c r="AC83" s="26"/>
      <c r="AD83" s="24">
        <f t="shared" si="3"/>
        <v>0</v>
      </c>
      <c r="AE83" s="24">
        <f t="shared" si="4"/>
        <v>0</v>
      </c>
      <c r="AF83" s="24">
        <f t="shared" si="5"/>
        <v>0</v>
      </c>
      <c r="AG83" s="41" t="str" cm="1">
        <f t="array" ref="AG83">_xlfn.IFS(
SUM(AD83:AF83)=0,"Not Started",
SUM(AD83:AF83)&lt;15,"In Progress",
SUM(AD83:AF83)=15,"Completed",
SUM(AD83:AF83)&gt;15,"Error"
)</f>
        <v>Not Started</v>
      </c>
    </row>
    <row r="84" spans="1:33" ht="13" x14ac:dyDescent="0.3">
      <c r="A84" s="248"/>
      <c r="B84" s="14" t="s">
        <v>2342</v>
      </c>
      <c r="C84" s="205" t="s">
        <v>11268</v>
      </c>
      <c r="D84" s="77" t="s">
        <v>11269</v>
      </c>
      <c r="E84" s="138" t="s">
        <v>10631</v>
      </c>
      <c r="F84" s="138" t="s">
        <v>10907</v>
      </c>
      <c r="G84" s="166" t="s">
        <v>10614</v>
      </c>
      <c r="H84" s="214" t="s">
        <v>11190</v>
      </c>
      <c r="I84" s="138" t="s">
        <v>11270</v>
      </c>
      <c r="J84" s="138" t="s">
        <v>11271</v>
      </c>
      <c r="K84" s="138">
        <v>10041619481</v>
      </c>
      <c r="L84" s="204">
        <v>46134</v>
      </c>
      <c r="M84" s="32"/>
      <c r="N84" s="29"/>
      <c r="O84" s="10"/>
      <c r="P84" s="10"/>
      <c r="Q84" s="35"/>
      <c r="R84" s="29"/>
      <c r="S84" s="10"/>
      <c r="T84" s="10"/>
      <c r="U84" s="10"/>
      <c r="V84" s="10"/>
      <c r="W84" s="10"/>
      <c r="X84" s="10"/>
      <c r="Y84" s="10"/>
      <c r="Z84" s="35"/>
      <c r="AA84" s="29"/>
      <c r="AB84" s="8"/>
      <c r="AC84" s="26"/>
      <c r="AD84" s="24">
        <f t="shared" si="3"/>
        <v>0</v>
      </c>
      <c r="AE84" s="24">
        <f t="shared" si="4"/>
        <v>0</v>
      </c>
      <c r="AF84" s="24">
        <f t="shared" si="5"/>
        <v>0</v>
      </c>
      <c r="AG84" s="41" t="str" cm="1">
        <f t="array" ref="AG84">_xlfn.IFS(
SUM(AD84:AF84)=0,"Not Started",
SUM(AD84:AF84)&lt;15,"In Progress",
SUM(AD84:AF84)=15,"Completed",
SUM(AD84:AF84)&gt;15,"Error"
)</f>
        <v>Not Started</v>
      </c>
    </row>
    <row r="85" spans="1:33" ht="13" x14ac:dyDescent="0.3">
      <c r="A85" s="248"/>
      <c r="B85" s="7" t="s">
        <v>2343</v>
      </c>
      <c r="C85" s="205" t="s">
        <v>11272</v>
      </c>
      <c r="D85" s="77" t="s">
        <v>11273</v>
      </c>
      <c r="E85" s="138" t="s">
        <v>10631</v>
      </c>
      <c r="F85" s="138" t="s">
        <v>10907</v>
      </c>
      <c r="G85" s="166" t="s">
        <v>10614</v>
      </c>
      <c r="H85" s="214" t="s">
        <v>11190</v>
      </c>
      <c r="I85" s="138" t="s">
        <v>11274</v>
      </c>
      <c r="J85" s="138" t="s">
        <v>11275</v>
      </c>
      <c r="K85" s="138">
        <v>10041148396</v>
      </c>
      <c r="L85" s="204">
        <v>46134</v>
      </c>
      <c r="M85" s="32"/>
      <c r="N85" s="29"/>
      <c r="O85" s="10"/>
      <c r="P85" s="10"/>
      <c r="Q85" s="35"/>
      <c r="R85" s="29"/>
      <c r="S85" s="10"/>
      <c r="T85" s="10"/>
      <c r="U85" s="10"/>
      <c r="V85" s="10"/>
      <c r="W85" s="10"/>
      <c r="X85" s="10"/>
      <c r="Y85" s="10"/>
      <c r="Z85" s="35"/>
      <c r="AA85" s="29"/>
      <c r="AB85" s="8"/>
      <c r="AC85" s="26"/>
      <c r="AD85" s="24">
        <f t="shared" si="3"/>
        <v>0</v>
      </c>
      <c r="AE85" s="24">
        <f t="shared" si="4"/>
        <v>0</v>
      </c>
      <c r="AF85" s="24">
        <f t="shared" si="5"/>
        <v>0</v>
      </c>
      <c r="AG85" s="41" t="str" cm="1">
        <f t="array" ref="AG85">_xlfn.IFS(
SUM(AD85:AF85)=0,"Not Started",
SUM(AD85:AF85)&lt;15,"In Progress",
SUM(AD85:AF85)=15,"Completed",
SUM(AD85:AF85)&gt;15,"Error"
)</f>
        <v>Not Started</v>
      </c>
    </row>
    <row r="86" spans="1:33" ht="13" x14ac:dyDescent="0.3">
      <c r="A86" s="248"/>
      <c r="B86" s="14" t="s">
        <v>2344</v>
      </c>
      <c r="C86" s="205" t="s">
        <v>11276</v>
      </c>
      <c r="D86" s="77" t="s">
        <v>11277</v>
      </c>
      <c r="E86" s="138" t="s">
        <v>9670</v>
      </c>
      <c r="F86" s="138" t="s">
        <v>10907</v>
      </c>
      <c r="G86" s="166" t="s">
        <v>10614</v>
      </c>
      <c r="H86" s="214" t="s">
        <v>11190</v>
      </c>
      <c r="I86" s="138" t="s">
        <v>11278</v>
      </c>
      <c r="J86" s="138" t="s">
        <v>11279</v>
      </c>
      <c r="K86" s="138">
        <v>10041940391</v>
      </c>
      <c r="L86" s="204">
        <v>46134</v>
      </c>
      <c r="M86" s="32"/>
      <c r="N86" s="29"/>
      <c r="O86" s="10"/>
      <c r="P86" s="10"/>
      <c r="Q86" s="35"/>
      <c r="R86" s="29"/>
      <c r="S86" s="10"/>
      <c r="T86" s="10"/>
      <c r="U86" s="10"/>
      <c r="V86" s="10"/>
      <c r="W86" s="10"/>
      <c r="X86" s="10"/>
      <c r="Y86" s="10"/>
      <c r="Z86" s="35"/>
      <c r="AA86" s="29"/>
      <c r="AB86" s="8"/>
      <c r="AC86" s="26"/>
      <c r="AD86" s="24">
        <f t="shared" si="3"/>
        <v>0</v>
      </c>
      <c r="AE86" s="24">
        <f t="shared" si="4"/>
        <v>0</v>
      </c>
      <c r="AF86" s="24">
        <f t="shared" si="5"/>
        <v>0</v>
      </c>
      <c r="AG86" s="41" t="str" cm="1">
        <f t="array" ref="AG86">_xlfn.IFS(
SUM(AD86:AF86)=0,"Not Started",
SUM(AD86:AF86)&lt;15,"In Progress",
SUM(AD86:AF86)=15,"Completed",
SUM(AD86:AF86)&gt;15,"Error"
)</f>
        <v>Not Started</v>
      </c>
    </row>
    <row r="87" spans="1:33" ht="13" x14ac:dyDescent="0.3">
      <c r="A87" s="248"/>
      <c r="B87" s="7" t="s">
        <v>2345</v>
      </c>
      <c r="C87" s="205" t="s">
        <v>11280</v>
      </c>
      <c r="D87" s="77" t="s">
        <v>11281</v>
      </c>
      <c r="E87" s="138" t="s">
        <v>10612</v>
      </c>
      <c r="F87" s="138" t="s">
        <v>10907</v>
      </c>
      <c r="G87" s="166" t="s">
        <v>10614</v>
      </c>
      <c r="H87" s="214" t="s">
        <v>11190</v>
      </c>
      <c r="I87" s="138" t="s">
        <v>11282</v>
      </c>
      <c r="J87" s="138" t="s">
        <v>11283</v>
      </c>
      <c r="K87" s="138">
        <v>10041937028</v>
      </c>
      <c r="L87" s="204">
        <v>46135</v>
      </c>
      <c r="M87" s="32"/>
      <c r="N87" s="29"/>
      <c r="O87" s="10"/>
      <c r="P87" s="10"/>
      <c r="Q87" s="35"/>
      <c r="R87" s="29"/>
      <c r="S87" s="10"/>
      <c r="T87" s="10"/>
      <c r="U87" s="10"/>
      <c r="V87" s="10"/>
      <c r="W87" s="10"/>
      <c r="X87" s="10"/>
      <c r="Y87" s="10"/>
      <c r="Z87" s="35"/>
      <c r="AA87" s="29"/>
      <c r="AB87" s="8"/>
      <c r="AC87" s="26"/>
      <c r="AD87" s="24">
        <f t="shared" si="3"/>
        <v>0</v>
      </c>
      <c r="AE87" s="24">
        <f t="shared" si="4"/>
        <v>0</v>
      </c>
      <c r="AF87" s="24">
        <f t="shared" si="5"/>
        <v>0</v>
      </c>
      <c r="AG87" s="41" t="str" cm="1">
        <f t="array" ref="AG87">_xlfn.IFS(
SUM(AD87:AF87)=0,"Not Started",
SUM(AD87:AF87)&lt;15,"In Progress",
SUM(AD87:AF87)=15,"Completed",
SUM(AD87:AF87)&gt;15,"Error"
)</f>
        <v>Not Started</v>
      </c>
    </row>
    <row r="88" spans="1:33" ht="13" x14ac:dyDescent="0.3">
      <c r="A88" s="248"/>
      <c r="B88" s="14" t="s">
        <v>2346</v>
      </c>
      <c r="C88" s="205" t="s">
        <v>11284</v>
      </c>
      <c r="D88" s="77" t="s">
        <v>11285</v>
      </c>
      <c r="E88" s="138" t="s">
        <v>10612</v>
      </c>
      <c r="F88" s="138" t="s">
        <v>10613</v>
      </c>
      <c r="G88" s="166" t="s">
        <v>10614</v>
      </c>
      <c r="H88" s="214" t="s">
        <v>11286</v>
      </c>
      <c r="I88" s="138" t="s">
        <v>11287</v>
      </c>
      <c r="J88" s="138" t="s">
        <v>11288</v>
      </c>
      <c r="K88" s="138">
        <v>10041398361</v>
      </c>
      <c r="L88" s="204">
        <v>46137</v>
      </c>
      <c r="M88" s="32"/>
      <c r="N88" s="29"/>
      <c r="O88" s="10"/>
      <c r="P88" s="10"/>
      <c r="Q88" s="35"/>
      <c r="R88" s="29"/>
      <c r="S88" s="10"/>
      <c r="T88" s="10"/>
      <c r="U88" s="10"/>
      <c r="V88" s="10"/>
      <c r="W88" s="10"/>
      <c r="X88" s="10"/>
      <c r="Y88" s="10"/>
      <c r="Z88" s="35"/>
      <c r="AA88" s="29"/>
      <c r="AB88" s="8"/>
      <c r="AC88" s="26"/>
      <c r="AD88" s="24">
        <f t="shared" si="3"/>
        <v>0</v>
      </c>
      <c r="AE88" s="24">
        <f t="shared" si="4"/>
        <v>0</v>
      </c>
      <c r="AF88" s="24">
        <f t="shared" si="5"/>
        <v>0</v>
      </c>
      <c r="AG88" s="41" t="str" cm="1">
        <f t="array" ref="AG88">_xlfn.IFS(
SUM(AD88:AF88)=0,"Not Started",
SUM(AD88:AF88)&lt;15,"In Progress",
SUM(AD88:AF88)=15,"Completed",
SUM(AD88:AF88)&gt;15,"Error"
)</f>
        <v>Not Started</v>
      </c>
    </row>
    <row r="89" spans="1:33" ht="13" x14ac:dyDescent="0.3">
      <c r="A89" s="248"/>
      <c r="B89" s="7" t="s">
        <v>2347</v>
      </c>
      <c r="C89" s="205" t="s">
        <v>11289</v>
      </c>
      <c r="D89" s="77" t="s">
        <v>11290</v>
      </c>
      <c r="E89" s="138" t="s">
        <v>10676</v>
      </c>
      <c r="F89" s="138" t="s">
        <v>10613</v>
      </c>
      <c r="G89" s="166" t="s">
        <v>10614</v>
      </c>
      <c r="H89" s="214" t="s">
        <v>11286</v>
      </c>
      <c r="I89" s="138" t="s">
        <v>11291</v>
      </c>
      <c r="J89" s="138" t="s">
        <v>11292</v>
      </c>
      <c r="K89" s="138">
        <v>10084379471</v>
      </c>
      <c r="L89" s="204">
        <v>46137</v>
      </c>
      <c r="M89" s="32"/>
      <c r="N89" s="29"/>
      <c r="O89" s="10"/>
      <c r="P89" s="10"/>
      <c r="Q89" s="35"/>
      <c r="R89" s="29"/>
      <c r="S89" s="10"/>
      <c r="T89" s="10"/>
      <c r="U89" s="10"/>
      <c r="V89" s="10"/>
      <c r="W89" s="10"/>
      <c r="X89" s="10"/>
      <c r="Y89" s="10"/>
      <c r="Z89" s="35"/>
      <c r="AA89" s="29"/>
      <c r="AB89" s="8"/>
      <c r="AC89" s="26"/>
      <c r="AD89" s="24">
        <f t="shared" si="3"/>
        <v>0</v>
      </c>
      <c r="AE89" s="24">
        <f t="shared" si="4"/>
        <v>0</v>
      </c>
      <c r="AF89" s="24">
        <f t="shared" si="5"/>
        <v>0</v>
      </c>
      <c r="AG89" s="41" t="str" cm="1">
        <f t="array" ref="AG89">_xlfn.IFS(
SUM(AD89:AF89)=0,"Not Started",
SUM(AD89:AF89)&lt;15,"In Progress",
SUM(AD89:AF89)=15,"Completed",
SUM(AD89:AF89)&gt;15,"Error"
)</f>
        <v>Not Started</v>
      </c>
    </row>
    <row r="90" spans="1:33" ht="13" x14ac:dyDescent="0.3">
      <c r="A90" s="248"/>
      <c r="B90" s="14" t="s">
        <v>2348</v>
      </c>
      <c r="C90" s="205" t="s">
        <v>11293</v>
      </c>
      <c r="D90" s="77" t="s">
        <v>11294</v>
      </c>
      <c r="E90" s="138" t="s">
        <v>10631</v>
      </c>
      <c r="F90" s="138" t="s">
        <v>10613</v>
      </c>
      <c r="G90" s="138" t="s">
        <v>10614</v>
      </c>
      <c r="H90" s="214" t="s">
        <v>11286</v>
      </c>
      <c r="I90" s="138" t="s">
        <v>11295</v>
      </c>
      <c r="J90" s="138" t="s">
        <v>11296</v>
      </c>
      <c r="K90" s="138">
        <v>10041719047</v>
      </c>
      <c r="L90" s="204">
        <v>46137</v>
      </c>
      <c r="M90" s="32"/>
      <c r="N90" s="29"/>
      <c r="O90" s="10"/>
      <c r="P90" s="10"/>
      <c r="Q90" s="35"/>
      <c r="R90" s="29"/>
      <c r="S90" s="10"/>
      <c r="T90" s="10"/>
      <c r="U90" s="10"/>
      <c r="V90" s="10"/>
      <c r="W90" s="10"/>
      <c r="X90" s="10"/>
      <c r="Y90" s="10"/>
      <c r="Z90" s="35"/>
      <c r="AA90" s="29"/>
      <c r="AB90" s="8"/>
      <c r="AC90" s="26"/>
      <c r="AD90" s="24">
        <f t="shared" si="3"/>
        <v>0</v>
      </c>
      <c r="AE90" s="24">
        <f t="shared" si="4"/>
        <v>0</v>
      </c>
      <c r="AF90" s="24">
        <f t="shared" si="5"/>
        <v>0</v>
      </c>
      <c r="AG90" s="41" t="str" cm="1">
        <f t="array" ref="AG90">_xlfn.IFS(
SUM(AD90:AF90)=0,"Not Started",
SUM(AD90:AF90)&lt;15,"In Progress",
SUM(AD90:AF90)=15,"Completed",
SUM(AD90:AF90)&gt;15,"Error"
)</f>
        <v>Not Started</v>
      </c>
    </row>
    <row r="91" spans="1:33" ht="13" x14ac:dyDescent="0.3">
      <c r="A91" s="248"/>
      <c r="B91" s="7" t="s">
        <v>2349</v>
      </c>
      <c r="C91" s="205" t="s">
        <v>4390</v>
      </c>
      <c r="D91" s="77" t="s">
        <v>6410</v>
      </c>
      <c r="E91" s="138" t="s">
        <v>10612</v>
      </c>
      <c r="F91" s="138" t="s">
        <v>10613</v>
      </c>
      <c r="G91" s="138" t="s">
        <v>10614</v>
      </c>
      <c r="H91" s="214" t="s">
        <v>11286</v>
      </c>
      <c r="I91" s="138" t="s">
        <v>11297</v>
      </c>
      <c r="J91" s="138" t="s">
        <v>11298</v>
      </c>
      <c r="K91" s="138">
        <v>10041601332</v>
      </c>
      <c r="L91" s="204">
        <v>46138</v>
      </c>
      <c r="M91" s="32"/>
      <c r="N91" s="29"/>
      <c r="O91" s="10"/>
      <c r="P91" s="10"/>
      <c r="Q91" s="35"/>
      <c r="R91" s="29"/>
      <c r="S91" s="10"/>
      <c r="T91" s="10"/>
      <c r="U91" s="10"/>
      <c r="V91" s="10"/>
      <c r="W91" s="10"/>
      <c r="X91" s="10"/>
      <c r="Y91" s="10"/>
      <c r="Z91" s="35"/>
      <c r="AA91" s="29"/>
      <c r="AB91" s="8"/>
      <c r="AC91" s="26"/>
      <c r="AD91" s="24">
        <f t="shared" si="3"/>
        <v>0</v>
      </c>
      <c r="AE91" s="24">
        <f t="shared" si="4"/>
        <v>0</v>
      </c>
      <c r="AF91" s="24">
        <f t="shared" si="5"/>
        <v>0</v>
      </c>
      <c r="AG91" s="41" t="str" cm="1">
        <f t="array" ref="AG91">_xlfn.IFS(
SUM(AD91:AF91)=0,"Not Started",
SUM(AD91:AF91)&lt;15,"In Progress",
SUM(AD91:AF91)=15,"Completed",
SUM(AD91:AF91)&gt;15,"Error"
)</f>
        <v>Not Started</v>
      </c>
    </row>
    <row r="92" spans="1:33" ht="13" x14ac:dyDescent="0.3">
      <c r="A92" s="248"/>
      <c r="B92" s="14" t="s">
        <v>2350</v>
      </c>
      <c r="C92" s="205" t="s">
        <v>10674</v>
      </c>
      <c r="D92" s="77" t="s">
        <v>11299</v>
      </c>
      <c r="E92" s="138" t="s">
        <v>10676</v>
      </c>
      <c r="F92" s="138" t="s">
        <v>10613</v>
      </c>
      <c r="G92" s="138" t="s">
        <v>10614</v>
      </c>
      <c r="H92" s="214" t="s">
        <v>11286</v>
      </c>
      <c r="I92" s="138" t="s">
        <v>11300</v>
      </c>
      <c r="J92" s="138" t="s">
        <v>11301</v>
      </c>
      <c r="K92" s="138">
        <v>10041724001</v>
      </c>
      <c r="L92" s="204">
        <v>46138</v>
      </c>
      <c r="M92" s="32"/>
      <c r="N92" s="29"/>
      <c r="O92" s="10"/>
      <c r="P92" s="10"/>
      <c r="Q92" s="35"/>
      <c r="R92" s="29"/>
      <c r="S92" s="10"/>
      <c r="T92" s="10"/>
      <c r="U92" s="10"/>
      <c r="V92" s="10"/>
      <c r="W92" s="10"/>
      <c r="X92" s="10"/>
      <c r="Y92" s="10"/>
      <c r="Z92" s="35"/>
      <c r="AA92" s="29"/>
      <c r="AB92" s="8"/>
      <c r="AC92" s="26"/>
      <c r="AD92" s="24">
        <f t="shared" si="3"/>
        <v>0</v>
      </c>
      <c r="AE92" s="24">
        <f t="shared" si="4"/>
        <v>0</v>
      </c>
      <c r="AF92" s="24">
        <f t="shared" si="5"/>
        <v>0</v>
      </c>
      <c r="AG92" s="41" t="str" cm="1">
        <f t="array" ref="AG92">_xlfn.IFS(
SUM(AD92:AF92)=0,"Not Started",
SUM(AD92:AF92)&lt;15,"In Progress",
SUM(AD92:AF92)=15,"Completed",
SUM(AD92:AF92)&gt;15,"Error"
)</f>
        <v>Not Started</v>
      </c>
    </row>
    <row r="93" spans="1:33" ht="13" x14ac:dyDescent="0.3">
      <c r="A93" s="248"/>
      <c r="B93" s="7" t="s">
        <v>2351</v>
      </c>
      <c r="C93" s="205" t="s">
        <v>11302</v>
      </c>
      <c r="D93" s="77" t="s">
        <v>11303</v>
      </c>
      <c r="E93" s="138" t="s">
        <v>10631</v>
      </c>
      <c r="F93" s="138" t="s">
        <v>10907</v>
      </c>
      <c r="G93" s="138" t="s">
        <v>10614</v>
      </c>
      <c r="H93" s="214" t="s">
        <v>11286</v>
      </c>
      <c r="I93" s="138" t="s">
        <v>11304</v>
      </c>
      <c r="J93" s="138" t="s">
        <v>11305</v>
      </c>
      <c r="K93" s="138">
        <v>10041042351</v>
      </c>
      <c r="L93" s="204">
        <v>46138</v>
      </c>
      <c r="M93" s="32"/>
      <c r="N93" s="29"/>
      <c r="O93" s="10"/>
      <c r="P93" s="10"/>
      <c r="Q93" s="35"/>
      <c r="R93" s="29"/>
      <c r="S93" s="10"/>
      <c r="T93" s="10"/>
      <c r="U93" s="10"/>
      <c r="V93" s="10"/>
      <c r="W93" s="10"/>
      <c r="X93" s="10"/>
      <c r="Y93" s="10"/>
      <c r="Z93" s="35"/>
      <c r="AA93" s="29"/>
      <c r="AB93" s="8"/>
      <c r="AC93" s="26"/>
      <c r="AD93" s="24">
        <f t="shared" si="3"/>
        <v>0</v>
      </c>
      <c r="AE93" s="24">
        <f t="shared" si="4"/>
        <v>0</v>
      </c>
      <c r="AF93" s="24">
        <f t="shared" si="5"/>
        <v>0</v>
      </c>
      <c r="AG93" s="41" t="str" cm="1">
        <f t="array" ref="AG93">_xlfn.IFS(
SUM(AD93:AF93)=0,"Not Started",
SUM(AD93:AF93)&lt;15,"In Progress",
SUM(AD93:AF93)=15,"Completed",
SUM(AD93:AF93)&gt;15,"Error"
)</f>
        <v>Not Started</v>
      </c>
    </row>
    <row r="94" spans="1:33" ht="13" x14ac:dyDescent="0.3">
      <c r="A94" s="248"/>
      <c r="B94" s="14" t="s">
        <v>2352</v>
      </c>
      <c r="C94" s="205" t="s">
        <v>11306</v>
      </c>
      <c r="D94" s="77" t="s">
        <v>11307</v>
      </c>
      <c r="E94" s="138" t="s">
        <v>10612</v>
      </c>
      <c r="F94" s="138" t="s">
        <v>10907</v>
      </c>
      <c r="G94" s="138" t="s">
        <v>10614</v>
      </c>
      <c r="H94" s="214" t="s">
        <v>11286</v>
      </c>
      <c r="I94" s="138" t="s">
        <v>11308</v>
      </c>
      <c r="J94" s="138" t="s">
        <v>11309</v>
      </c>
      <c r="K94" s="138">
        <v>10041694752</v>
      </c>
      <c r="L94" s="204">
        <v>46138</v>
      </c>
      <c r="M94" s="32"/>
      <c r="N94" s="29"/>
      <c r="O94" s="10"/>
      <c r="P94" s="10"/>
      <c r="Q94" s="35"/>
      <c r="R94" s="29"/>
      <c r="S94" s="10"/>
      <c r="T94" s="10"/>
      <c r="U94" s="10"/>
      <c r="V94" s="10"/>
      <c r="W94" s="10"/>
      <c r="X94" s="10"/>
      <c r="Y94" s="10"/>
      <c r="Z94" s="35"/>
      <c r="AA94" s="29"/>
      <c r="AB94" s="8"/>
      <c r="AC94" s="26"/>
      <c r="AD94" s="24">
        <f t="shared" si="3"/>
        <v>0</v>
      </c>
      <c r="AE94" s="24">
        <f t="shared" si="4"/>
        <v>0</v>
      </c>
      <c r="AF94" s="24">
        <f t="shared" si="5"/>
        <v>0</v>
      </c>
      <c r="AG94" s="41" t="str" cm="1">
        <f t="array" ref="AG94">_xlfn.IFS(
SUM(AD94:AF94)=0,"Not Started",
SUM(AD94:AF94)&lt;15,"In Progress",
SUM(AD94:AF94)=15,"Completed",
SUM(AD94:AF94)&gt;15,"Error"
)</f>
        <v>Not Started</v>
      </c>
    </row>
    <row r="95" spans="1:33" ht="13" x14ac:dyDescent="0.3">
      <c r="A95" s="248"/>
      <c r="B95" s="7" t="s">
        <v>2353</v>
      </c>
      <c r="C95" s="205" t="s">
        <v>11310</v>
      </c>
      <c r="D95" s="77" t="s">
        <v>11311</v>
      </c>
      <c r="E95" s="138" t="s">
        <v>10676</v>
      </c>
      <c r="F95" s="138" t="s">
        <v>10907</v>
      </c>
      <c r="G95" s="138" t="s">
        <v>10614</v>
      </c>
      <c r="H95" s="214" t="s">
        <v>11286</v>
      </c>
      <c r="I95" s="138" t="s">
        <v>11312</v>
      </c>
      <c r="J95" s="138" t="s">
        <v>11313</v>
      </c>
      <c r="K95" s="138">
        <v>10041869591</v>
      </c>
      <c r="L95" s="204">
        <v>46138</v>
      </c>
      <c r="M95" s="32"/>
      <c r="N95" s="29"/>
      <c r="O95" s="10"/>
      <c r="P95" s="10"/>
      <c r="Q95" s="35"/>
      <c r="R95" s="29"/>
      <c r="S95" s="10"/>
      <c r="T95" s="10"/>
      <c r="U95" s="10"/>
      <c r="V95" s="10"/>
      <c r="W95" s="10"/>
      <c r="X95" s="10"/>
      <c r="Y95" s="10"/>
      <c r="Z95" s="35"/>
      <c r="AA95" s="29"/>
      <c r="AB95" s="8"/>
      <c r="AC95" s="26"/>
      <c r="AD95" s="24">
        <f t="shared" si="3"/>
        <v>0</v>
      </c>
      <c r="AE95" s="24">
        <f t="shared" si="4"/>
        <v>0</v>
      </c>
      <c r="AF95" s="24">
        <f t="shared" si="5"/>
        <v>0</v>
      </c>
      <c r="AG95" s="41" t="str" cm="1">
        <f t="array" ref="AG95">_xlfn.IFS(
SUM(AD95:AF95)=0,"Not Started",
SUM(AD95:AF95)&lt;15,"In Progress",
SUM(AD95:AF95)=15,"Completed",
SUM(AD95:AF95)&gt;15,"Error"
)</f>
        <v>Not Started</v>
      </c>
    </row>
    <row r="96" spans="1:33" ht="13" x14ac:dyDescent="0.3">
      <c r="A96" s="248"/>
      <c r="B96" s="14" t="s">
        <v>2354</v>
      </c>
      <c r="C96" s="205" t="s">
        <v>11314</v>
      </c>
      <c r="D96" s="77" t="s">
        <v>11315</v>
      </c>
      <c r="E96" s="138" t="s">
        <v>10612</v>
      </c>
      <c r="F96" s="138" t="s">
        <v>10613</v>
      </c>
      <c r="G96" s="138" t="s">
        <v>10614</v>
      </c>
      <c r="H96" s="214" t="s">
        <v>11286</v>
      </c>
      <c r="I96" s="138" t="s">
        <v>11316</v>
      </c>
      <c r="J96" s="138" t="s">
        <v>11317</v>
      </c>
      <c r="K96" s="138">
        <v>10041919567</v>
      </c>
      <c r="L96" s="204">
        <v>46140</v>
      </c>
      <c r="M96" s="32"/>
      <c r="N96" s="29"/>
      <c r="O96" s="10"/>
      <c r="P96" s="10"/>
      <c r="Q96" s="35"/>
      <c r="R96" s="29"/>
      <c r="S96" s="10"/>
      <c r="T96" s="10"/>
      <c r="U96" s="10"/>
      <c r="V96" s="10"/>
      <c r="W96" s="10"/>
      <c r="X96" s="10"/>
      <c r="Y96" s="10"/>
      <c r="Z96" s="35"/>
      <c r="AA96" s="29"/>
      <c r="AB96" s="8"/>
      <c r="AC96" s="26"/>
      <c r="AD96" s="24">
        <f t="shared" si="3"/>
        <v>0</v>
      </c>
      <c r="AE96" s="24">
        <f t="shared" si="4"/>
        <v>0</v>
      </c>
      <c r="AF96" s="24">
        <f t="shared" si="5"/>
        <v>0</v>
      </c>
      <c r="AG96" s="41" t="str" cm="1">
        <f t="array" ref="AG96">_xlfn.IFS(
SUM(AD96:AF96)=0,"Not Started",
SUM(AD96:AF96)&lt;15,"In Progress",
SUM(AD96:AF96)=15,"Completed",
SUM(AD96:AF96)&gt;15,"Error"
)</f>
        <v>Not Started</v>
      </c>
    </row>
    <row r="97" spans="1:33" ht="13" x14ac:dyDescent="0.3">
      <c r="A97" s="248"/>
      <c r="B97" s="7" t="s">
        <v>2355</v>
      </c>
      <c r="C97" s="205" t="s">
        <v>6271</v>
      </c>
      <c r="D97" s="77" t="s">
        <v>6431</v>
      </c>
      <c r="E97" s="138" t="s">
        <v>10612</v>
      </c>
      <c r="F97" s="138" t="s">
        <v>10613</v>
      </c>
      <c r="G97" s="138" t="s">
        <v>10614</v>
      </c>
      <c r="H97" s="214" t="s">
        <v>11286</v>
      </c>
      <c r="I97" s="138" t="s">
        <v>11318</v>
      </c>
      <c r="J97" s="138" t="s">
        <v>11319</v>
      </c>
      <c r="K97" s="138">
        <v>10042008522</v>
      </c>
      <c r="L97" s="204">
        <v>46140</v>
      </c>
      <c r="M97" s="32"/>
      <c r="N97" s="29"/>
      <c r="O97" s="10"/>
      <c r="P97" s="10"/>
      <c r="Q97" s="35"/>
      <c r="R97" s="29"/>
      <c r="S97" s="10"/>
      <c r="T97" s="10"/>
      <c r="U97" s="10"/>
      <c r="V97" s="10"/>
      <c r="W97" s="10"/>
      <c r="X97" s="10"/>
      <c r="Y97" s="10"/>
      <c r="Z97" s="35"/>
      <c r="AA97" s="29"/>
      <c r="AB97" s="8"/>
      <c r="AC97" s="26"/>
      <c r="AD97" s="24">
        <f t="shared" si="3"/>
        <v>0</v>
      </c>
      <c r="AE97" s="24">
        <f t="shared" si="4"/>
        <v>0</v>
      </c>
      <c r="AF97" s="24">
        <f t="shared" si="5"/>
        <v>0</v>
      </c>
      <c r="AG97" s="41" t="str" cm="1">
        <f t="array" ref="AG97">_xlfn.IFS(
SUM(AD97:AF97)=0,"Not Started",
SUM(AD97:AF97)&lt;15,"In Progress",
SUM(AD97:AF97)=15,"Completed",
SUM(AD97:AF97)&gt;15,"Error"
)</f>
        <v>Not Started</v>
      </c>
    </row>
    <row r="98" spans="1:33" ht="13" x14ac:dyDescent="0.3">
      <c r="A98" s="248"/>
      <c r="B98" s="14" t="s">
        <v>2356</v>
      </c>
      <c r="C98" s="205" t="s">
        <v>11320</v>
      </c>
      <c r="D98" s="77" t="s">
        <v>11321</v>
      </c>
      <c r="E98" s="138" t="s">
        <v>10631</v>
      </c>
      <c r="F98" s="138" t="s">
        <v>10613</v>
      </c>
      <c r="G98" s="138" t="s">
        <v>10614</v>
      </c>
      <c r="H98" s="214" t="s">
        <v>11286</v>
      </c>
      <c r="I98" s="138" t="s">
        <v>11322</v>
      </c>
      <c r="J98" s="138" t="s">
        <v>11323</v>
      </c>
      <c r="K98" s="138">
        <v>10084838073</v>
      </c>
      <c r="L98" s="204">
        <v>46140</v>
      </c>
      <c r="M98" s="32"/>
      <c r="N98" s="29"/>
      <c r="O98" s="10"/>
      <c r="P98" s="10"/>
      <c r="Q98" s="35"/>
      <c r="R98" s="29"/>
      <c r="S98" s="10"/>
      <c r="T98" s="10"/>
      <c r="U98" s="10"/>
      <c r="V98" s="10"/>
      <c r="W98" s="10"/>
      <c r="X98" s="10"/>
      <c r="Y98" s="10"/>
      <c r="Z98" s="35"/>
      <c r="AA98" s="29"/>
      <c r="AB98" s="8"/>
      <c r="AC98" s="26"/>
      <c r="AD98" s="24">
        <f t="shared" si="3"/>
        <v>0</v>
      </c>
      <c r="AE98" s="24">
        <f t="shared" si="4"/>
        <v>0</v>
      </c>
      <c r="AF98" s="24">
        <f t="shared" si="5"/>
        <v>0</v>
      </c>
      <c r="AG98" s="41" t="str" cm="1">
        <f t="array" ref="AG98">_xlfn.IFS(
SUM(AD98:AF98)=0,"Not Started",
SUM(AD98:AF98)&lt;15,"In Progress",
SUM(AD98:AF98)=15,"Completed",
SUM(AD98:AF98)&gt;15,"Error"
)</f>
        <v>Not Started</v>
      </c>
    </row>
    <row r="99" spans="1:33" ht="13" x14ac:dyDescent="0.3">
      <c r="A99" s="248"/>
      <c r="B99" s="7" t="s">
        <v>2357</v>
      </c>
      <c r="C99" s="205" t="s">
        <v>11324</v>
      </c>
      <c r="D99" s="77" t="s">
        <v>11325</v>
      </c>
      <c r="E99" s="138" t="s">
        <v>10631</v>
      </c>
      <c r="F99" s="138" t="s">
        <v>10613</v>
      </c>
      <c r="G99" s="138" t="s">
        <v>10614</v>
      </c>
      <c r="H99" s="214" t="s">
        <v>11286</v>
      </c>
      <c r="I99" s="138" t="s">
        <v>11326</v>
      </c>
      <c r="J99" s="138" t="s">
        <v>11327</v>
      </c>
      <c r="K99" s="138">
        <v>10041396447</v>
      </c>
      <c r="L99" s="204">
        <v>46140</v>
      </c>
      <c r="M99" s="32"/>
      <c r="N99" s="29"/>
      <c r="O99" s="10"/>
      <c r="P99" s="10"/>
      <c r="Q99" s="35"/>
      <c r="R99" s="29"/>
      <c r="S99" s="10"/>
      <c r="T99" s="10"/>
      <c r="U99" s="10"/>
      <c r="V99" s="10"/>
      <c r="W99" s="10"/>
      <c r="X99" s="10"/>
      <c r="Y99" s="10"/>
      <c r="Z99" s="35"/>
      <c r="AA99" s="29"/>
      <c r="AB99" s="8"/>
      <c r="AC99" s="26"/>
      <c r="AD99" s="24">
        <f t="shared" si="3"/>
        <v>0</v>
      </c>
      <c r="AE99" s="24">
        <f t="shared" si="4"/>
        <v>0</v>
      </c>
      <c r="AF99" s="24">
        <f t="shared" si="5"/>
        <v>0</v>
      </c>
      <c r="AG99" s="41" t="str" cm="1">
        <f t="array" ref="AG99">_xlfn.IFS(
SUM(AD99:AF99)=0,"Not Started",
SUM(AD99:AF99)&lt;15,"In Progress",
SUM(AD99:AF99)=15,"Completed",
SUM(AD99:AF99)&gt;15,"Error"
)</f>
        <v>Not Started</v>
      </c>
    </row>
    <row r="100" spans="1:33" ht="13" x14ac:dyDescent="0.3">
      <c r="A100" s="248"/>
      <c r="B100" s="14" t="s">
        <v>2358</v>
      </c>
      <c r="C100" s="205" t="s">
        <v>11328</v>
      </c>
      <c r="D100" s="77" t="s">
        <v>11329</v>
      </c>
      <c r="E100" s="138" t="s">
        <v>10612</v>
      </c>
      <c r="F100" s="138" t="s">
        <v>10907</v>
      </c>
      <c r="G100" s="138" t="s">
        <v>10614</v>
      </c>
      <c r="H100" s="214" t="s">
        <v>11286</v>
      </c>
      <c r="I100" s="138" t="s">
        <v>11330</v>
      </c>
      <c r="J100" s="138" t="s">
        <v>11331</v>
      </c>
      <c r="K100" s="138">
        <v>10041697404</v>
      </c>
      <c r="L100" s="204">
        <v>46140</v>
      </c>
      <c r="M100" s="32"/>
      <c r="N100" s="29"/>
      <c r="O100" s="10"/>
      <c r="P100" s="10"/>
      <c r="Q100" s="35"/>
      <c r="R100" s="29"/>
      <c r="S100" s="10"/>
      <c r="T100" s="10"/>
      <c r="U100" s="10"/>
      <c r="V100" s="10"/>
      <c r="W100" s="10"/>
      <c r="X100" s="10"/>
      <c r="Y100" s="10"/>
      <c r="Z100" s="35"/>
      <c r="AA100" s="29"/>
      <c r="AB100" s="8"/>
      <c r="AC100" s="26"/>
      <c r="AD100" s="24">
        <f t="shared" si="3"/>
        <v>0</v>
      </c>
      <c r="AE100" s="24">
        <f t="shared" si="4"/>
        <v>0</v>
      </c>
      <c r="AF100" s="24">
        <f t="shared" si="5"/>
        <v>0</v>
      </c>
      <c r="AG100" s="41" t="str" cm="1">
        <f t="array" ref="AG100">_xlfn.IFS(
SUM(AD100:AF100)=0,"Not Started",
SUM(AD100:AF100)&lt;15,"In Progress",
SUM(AD100:AF100)=15,"Completed",
SUM(AD100:AF100)&gt;15,"Error"
)</f>
        <v>Not Started</v>
      </c>
    </row>
    <row r="101" spans="1:33" ht="13" x14ac:dyDescent="0.3">
      <c r="A101" s="248"/>
      <c r="B101" s="7" t="s">
        <v>2359</v>
      </c>
      <c r="C101" s="205" t="s">
        <v>11332</v>
      </c>
      <c r="D101" s="77" t="s">
        <v>11333</v>
      </c>
      <c r="E101" s="138" t="s">
        <v>10612</v>
      </c>
      <c r="F101" s="138" t="s">
        <v>10907</v>
      </c>
      <c r="G101" s="138" t="s">
        <v>10614</v>
      </c>
      <c r="H101" s="214" t="s">
        <v>11286</v>
      </c>
      <c r="I101" s="138" t="s">
        <v>11334</v>
      </c>
      <c r="J101" s="138" t="s">
        <v>11335</v>
      </c>
      <c r="K101" s="138">
        <v>10041285054</v>
      </c>
      <c r="L101" s="204">
        <v>46140</v>
      </c>
      <c r="M101" s="32"/>
      <c r="N101" s="29"/>
      <c r="O101" s="10"/>
      <c r="P101" s="10"/>
      <c r="Q101" s="35"/>
      <c r="R101" s="29"/>
      <c r="S101" s="10"/>
      <c r="T101" s="10"/>
      <c r="U101" s="10"/>
      <c r="V101" s="10"/>
      <c r="W101" s="10"/>
      <c r="X101" s="10"/>
      <c r="Y101" s="10"/>
      <c r="Z101" s="35"/>
      <c r="AA101" s="29"/>
      <c r="AB101" s="8"/>
      <c r="AC101" s="26"/>
      <c r="AD101" s="24">
        <f t="shared" si="3"/>
        <v>0</v>
      </c>
      <c r="AE101" s="24">
        <f t="shared" si="4"/>
        <v>0</v>
      </c>
      <c r="AF101" s="24">
        <f t="shared" si="5"/>
        <v>0</v>
      </c>
      <c r="AG101" s="41" t="str" cm="1">
        <f t="array" ref="AG101">_xlfn.IFS(
SUM(AD101:AF101)=0,"Not Started",
SUM(AD101:AF101)&lt;15,"In Progress",
SUM(AD101:AF101)=15,"Completed",
SUM(AD101:AF101)&gt;15,"Error"
)</f>
        <v>Not Started</v>
      </c>
    </row>
    <row r="102" spans="1:33" ht="13" x14ac:dyDescent="0.3">
      <c r="A102" s="248"/>
      <c r="B102" s="14" t="s">
        <v>2360</v>
      </c>
      <c r="C102" s="205" t="s">
        <v>11336</v>
      </c>
      <c r="D102" s="77" t="s">
        <v>11337</v>
      </c>
      <c r="E102" s="138" t="s">
        <v>10631</v>
      </c>
      <c r="F102" s="138" t="s">
        <v>10907</v>
      </c>
      <c r="G102" s="138" t="s">
        <v>10614</v>
      </c>
      <c r="H102" s="214" t="s">
        <v>11286</v>
      </c>
      <c r="I102" s="138" t="s">
        <v>11338</v>
      </c>
      <c r="J102" s="138" t="s">
        <v>11339</v>
      </c>
      <c r="K102" s="138">
        <v>10087431806</v>
      </c>
      <c r="L102" s="204">
        <v>46140</v>
      </c>
      <c r="M102" s="32"/>
      <c r="N102" s="29"/>
      <c r="O102" s="10"/>
      <c r="P102" s="10"/>
      <c r="Q102" s="35"/>
      <c r="R102" s="29"/>
      <c r="S102" s="10"/>
      <c r="T102" s="10"/>
      <c r="U102" s="10"/>
      <c r="V102" s="10"/>
      <c r="W102" s="10"/>
      <c r="X102" s="10"/>
      <c r="Y102" s="10"/>
      <c r="Z102" s="35"/>
      <c r="AA102" s="29"/>
      <c r="AB102" s="8"/>
      <c r="AC102" s="26"/>
      <c r="AD102" s="24">
        <f t="shared" si="3"/>
        <v>0</v>
      </c>
      <c r="AE102" s="24">
        <f t="shared" si="4"/>
        <v>0</v>
      </c>
      <c r="AF102" s="24">
        <f t="shared" si="5"/>
        <v>0</v>
      </c>
      <c r="AG102" s="41" t="str" cm="1">
        <f t="array" ref="AG102">_xlfn.IFS(
SUM(AD102:AF102)=0,"Not Started",
SUM(AD102:AF102)&lt;15,"In Progress",
SUM(AD102:AF102)=15,"Completed",
SUM(AD102:AF102)&gt;15,"Error"
)</f>
        <v>Not Started</v>
      </c>
    </row>
    <row r="103" spans="1:33" ht="13" x14ac:dyDescent="0.3">
      <c r="A103" s="248"/>
      <c r="B103" s="7" t="s">
        <v>2361</v>
      </c>
      <c r="C103" s="205" t="s">
        <v>11340</v>
      </c>
      <c r="D103" s="77" t="s">
        <v>11341</v>
      </c>
      <c r="E103" s="138" t="s">
        <v>10676</v>
      </c>
      <c r="F103" s="138" t="s">
        <v>10907</v>
      </c>
      <c r="G103" s="138" t="s">
        <v>10614</v>
      </c>
      <c r="H103" s="214" t="s">
        <v>11286</v>
      </c>
      <c r="I103" s="138" t="s">
        <v>11342</v>
      </c>
      <c r="J103" s="138" t="s">
        <v>11343</v>
      </c>
      <c r="K103" s="138">
        <v>10041944372</v>
      </c>
      <c r="L103" s="204">
        <v>46140</v>
      </c>
      <c r="M103" s="32"/>
      <c r="N103" s="29"/>
      <c r="O103" s="10"/>
      <c r="P103" s="10"/>
      <c r="Q103" s="35"/>
      <c r="R103" s="29"/>
      <c r="S103" s="10"/>
      <c r="T103" s="10"/>
      <c r="U103" s="10"/>
      <c r="V103" s="10"/>
      <c r="W103" s="10"/>
      <c r="X103" s="10"/>
      <c r="Y103" s="10"/>
      <c r="Z103" s="35"/>
      <c r="AA103" s="29"/>
      <c r="AB103" s="8"/>
      <c r="AC103" s="26"/>
      <c r="AD103" s="24">
        <f t="shared" si="3"/>
        <v>0</v>
      </c>
      <c r="AE103" s="24">
        <f t="shared" si="4"/>
        <v>0</v>
      </c>
      <c r="AF103" s="24">
        <f t="shared" si="5"/>
        <v>0</v>
      </c>
      <c r="AG103" s="41" t="str" cm="1">
        <f t="array" ref="AG103">_xlfn.IFS(
SUM(AD103:AF103)=0,"Not Started",
SUM(AD103:AF103)&lt;15,"In Progress",
SUM(AD103:AF103)=15,"Completed",
SUM(AD103:AF103)&gt;15,"Error"
)</f>
        <v>Not Started</v>
      </c>
    </row>
    <row r="104" spans="1:33" ht="13" x14ac:dyDescent="0.3">
      <c r="A104" s="248"/>
      <c r="B104" s="14" t="s">
        <v>2362</v>
      </c>
      <c r="C104" s="205" t="s">
        <v>11344</v>
      </c>
      <c r="D104" s="77" t="s">
        <v>11345</v>
      </c>
      <c r="E104" s="138" t="s">
        <v>10676</v>
      </c>
      <c r="F104" s="138" t="s">
        <v>10613</v>
      </c>
      <c r="G104" s="138" t="s">
        <v>10614</v>
      </c>
      <c r="H104" s="214" t="s">
        <v>11286</v>
      </c>
      <c r="I104" s="138" t="s">
        <v>11346</v>
      </c>
      <c r="J104" s="138" t="s">
        <v>11347</v>
      </c>
      <c r="K104" s="138">
        <v>10042001559</v>
      </c>
      <c r="L104" s="204">
        <v>46140</v>
      </c>
      <c r="M104" s="32"/>
      <c r="N104" s="29"/>
      <c r="O104" s="10"/>
      <c r="P104" s="10"/>
      <c r="Q104" s="35"/>
      <c r="R104" s="29"/>
      <c r="S104" s="10"/>
      <c r="T104" s="10"/>
      <c r="U104" s="10"/>
      <c r="V104" s="10"/>
      <c r="W104" s="10"/>
      <c r="X104" s="10"/>
      <c r="Y104" s="10"/>
      <c r="Z104" s="35"/>
      <c r="AA104" s="29"/>
      <c r="AB104" s="8"/>
      <c r="AC104" s="26"/>
      <c r="AD104" s="24">
        <f t="shared" si="3"/>
        <v>0</v>
      </c>
      <c r="AE104" s="24">
        <f t="shared" si="4"/>
        <v>0</v>
      </c>
      <c r="AF104" s="24">
        <f t="shared" si="5"/>
        <v>0</v>
      </c>
      <c r="AG104" s="41" t="str" cm="1">
        <f t="array" ref="AG104">_xlfn.IFS(
SUM(AD104:AF104)=0,"Not Started",
SUM(AD104:AF104)&lt;15,"In Progress",
SUM(AD104:AF104)=15,"Completed",
SUM(AD104:AF104)&gt;15,"Error"
)</f>
        <v>Not Started</v>
      </c>
    </row>
    <row r="105" spans="1:33" ht="13" x14ac:dyDescent="0.3">
      <c r="A105" s="248"/>
      <c r="B105" s="7" t="s">
        <v>2363</v>
      </c>
      <c r="C105" s="205" t="s">
        <v>11348</v>
      </c>
      <c r="D105" s="77" t="s">
        <v>11349</v>
      </c>
      <c r="E105" s="138" t="s">
        <v>10612</v>
      </c>
      <c r="F105" s="138" t="s">
        <v>10613</v>
      </c>
      <c r="G105" s="138" t="s">
        <v>10614</v>
      </c>
      <c r="H105" s="214" t="s">
        <v>11286</v>
      </c>
      <c r="I105" s="138" t="s">
        <v>11350</v>
      </c>
      <c r="J105" s="138" t="s">
        <v>11351</v>
      </c>
      <c r="K105" s="138">
        <v>10041607087</v>
      </c>
      <c r="L105" s="204">
        <v>46140</v>
      </c>
      <c r="M105" s="32"/>
      <c r="N105" s="29"/>
      <c r="O105" s="10"/>
      <c r="P105" s="10"/>
      <c r="Q105" s="35"/>
      <c r="R105" s="29"/>
      <c r="S105" s="10"/>
      <c r="T105" s="10"/>
      <c r="U105" s="10"/>
      <c r="V105" s="10"/>
      <c r="W105" s="10"/>
      <c r="X105" s="10"/>
      <c r="Y105" s="10"/>
      <c r="Z105" s="35"/>
      <c r="AA105" s="29"/>
      <c r="AB105" s="8"/>
      <c r="AC105" s="26"/>
      <c r="AD105" s="24">
        <f t="shared" si="3"/>
        <v>0</v>
      </c>
      <c r="AE105" s="24">
        <f t="shared" si="4"/>
        <v>0</v>
      </c>
      <c r="AF105" s="24">
        <f t="shared" si="5"/>
        <v>0</v>
      </c>
      <c r="AG105" s="41" t="str" cm="1">
        <f t="array" ref="AG105">_xlfn.IFS(
SUM(AD105:AF105)=0,"Not Started",
SUM(AD105:AF105)&lt;15,"In Progress",
SUM(AD105:AF105)=15,"Completed",
SUM(AD105:AF105)&gt;15,"Error"
)</f>
        <v>Not Started</v>
      </c>
    </row>
    <row r="106" spans="1:33" ht="13" x14ac:dyDescent="0.3">
      <c r="A106" s="248"/>
      <c r="B106" s="14" t="s">
        <v>2364</v>
      </c>
      <c r="C106" s="205" t="s">
        <v>11352</v>
      </c>
      <c r="D106" s="77" t="s">
        <v>11181</v>
      </c>
      <c r="E106" s="138" t="s">
        <v>10612</v>
      </c>
      <c r="F106" s="138" t="s">
        <v>10613</v>
      </c>
      <c r="G106" s="138" t="s">
        <v>10614</v>
      </c>
      <c r="H106" s="214" t="s">
        <v>11286</v>
      </c>
      <c r="I106" s="138" t="s">
        <v>11353</v>
      </c>
      <c r="J106" s="138" t="s">
        <v>11354</v>
      </c>
      <c r="K106" s="138">
        <v>10041412925</v>
      </c>
      <c r="L106" s="204">
        <v>46140</v>
      </c>
      <c r="M106" s="32"/>
      <c r="N106" s="29"/>
      <c r="O106" s="10"/>
      <c r="P106" s="10"/>
      <c r="Q106" s="35"/>
      <c r="R106" s="29"/>
      <c r="S106" s="10"/>
      <c r="T106" s="10"/>
      <c r="U106" s="10"/>
      <c r="V106" s="10"/>
      <c r="W106" s="10"/>
      <c r="X106" s="10"/>
      <c r="Y106" s="10"/>
      <c r="Z106" s="35"/>
      <c r="AA106" s="29"/>
      <c r="AB106" s="8"/>
      <c r="AC106" s="26"/>
      <c r="AD106" s="24">
        <f t="shared" si="3"/>
        <v>0</v>
      </c>
      <c r="AE106" s="24">
        <f t="shared" si="4"/>
        <v>0</v>
      </c>
      <c r="AF106" s="24">
        <f t="shared" si="5"/>
        <v>0</v>
      </c>
      <c r="AG106" s="41" t="str" cm="1">
        <f t="array" ref="AG106">_xlfn.IFS(
SUM(AD106:AF106)=0,"Not Started",
SUM(AD106:AF106)&lt;15,"In Progress",
SUM(AD106:AF106)=15,"Completed",
SUM(AD106:AF106)&gt;15,"Error"
)</f>
        <v>Not Started</v>
      </c>
    </row>
    <row r="107" spans="1:33" ht="13" x14ac:dyDescent="0.3">
      <c r="A107" s="248"/>
      <c r="B107" s="7" t="s">
        <v>2365</v>
      </c>
      <c r="C107" s="205" t="s">
        <v>11355</v>
      </c>
      <c r="D107" s="77" t="s">
        <v>11356</v>
      </c>
      <c r="E107" s="138" t="s">
        <v>10612</v>
      </c>
      <c r="F107" s="138" t="s">
        <v>10907</v>
      </c>
      <c r="G107" s="138" t="s">
        <v>10614</v>
      </c>
      <c r="H107" s="214" t="s">
        <v>11286</v>
      </c>
      <c r="I107" s="138" t="s">
        <v>11357</v>
      </c>
      <c r="J107" s="138" t="s">
        <v>11358</v>
      </c>
      <c r="K107" s="138">
        <v>10041314808</v>
      </c>
      <c r="L107" s="204">
        <v>46142</v>
      </c>
      <c r="M107" s="32"/>
      <c r="N107" s="29"/>
      <c r="O107" s="10"/>
      <c r="P107" s="10"/>
      <c r="Q107" s="35"/>
      <c r="R107" s="29"/>
      <c r="S107" s="10"/>
      <c r="T107" s="10"/>
      <c r="U107" s="10"/>
      <c r="V107" s="10"/>
      <c r="W107" s="10"/>
      <c r="X107" s="10"/>
      <c r="Y107" s="10"/>
      <c r="Z107" s="35"/>
      <c r="AA107" s="29"/>
      <c r="AB107" s="8"/>
      <c r="AC107" s="26"/>
      <c r="AD107" s="24">
        <f t="shared" si="3"/>
        <v>0</v>
      </c>
      <c r="AE107" s="24">
        <f t="shared" si="4"/>
        <v>0</v>
      </c>
      <c r="AF107" s="24">
        <f t="shared" si="5"/>
        <v>0</v>
      </c>
      <c r="AG107" s="41" t="str" cm="1">
        <f t="array" ref="AG107">_xlfn.IFS(
SUM(AD107:AF107)=0,"Not Started",
SUM(AD107:AF107)&lt;15,"In Progress",
SUM(AD107:AF107)=15,"Completed",
SUM(AD107:AF107)&gt;15,"Error"
)</f>
        <v>Not Started</v>
      </c>
    </row>
    <row r="108" spans="1:33" ht="13" x14ac:dyDescent="0.3">
      <c r="A108" s="248"/>
      <c r="B108" s="14" t="s">
        <v>2366</v>
      </c>
      <c r="C108" s="205" t="s">
        <v>11359</v>
      </c>
      <c r="D108" s="77" t="s">
        <v>11360</v>
      </c>
      <c r="E108" s="138" t="s">
        <v>10612</v>
      </c>
      <c r="F108" s="138" t="s">
        <v>10907</v>
      </c>
      <c r="G108" s="138" t="s">
        <v>10614</v>
      </c>
      <c r="H108" s="214" t="s">
        <v>11286</v>
      </c>
      <c r="I108" s="138" t="s">
        <v>11361</v>
      </c>
      <c r="J108" s="138" t="s">
        <v>11362</v>
      </c>
      <c r="K108" s="138">
        <v>10041998721</v>
      </c>
      <c r="L108" s="204">
        <v>46142</v>
      </c>
      <c r="M108" s="32"/>
      <c r="N108" s="29"/>
      <c r="O108" s="10"/>
      <c r="P108" s="10"/>
      <c r="Q108" s="35"/>
      <c r="R108" s="29"/>
      <c r="S108" s="10"/>
      <c r="T108" s="10"/>
      <c r="U108" s="10"/>
      <c r="V108" s="10"/>
      <c r="W108" s="10"/>
      <c r="X108" s="10"/>
      <c r="Y108" s="10"/>
      <c r="Z108" s="35"/>
      <c r="AA108" s="29"/>
      <c r="AB108" s="8"/>
      <c r="AC108" s="26"/>
      <c r="AD108" s="24">
        <f t="shared" si="3"/>
        <v>0</v>
      </c>
      <c r="AE108" s="24">
        <f t="shared" si="4"/>
        <v>0</v>
      </c>
      <c r="AF108" s="24">
        <f t="shared" si="5"/>
        <v>0</v>
      </c>
      <c r="AG108" s="41" t="str" cm="1">
        <f t="array" ref="AG108">_xlfn.IFS(
SUM(AD108:AF108)=0,"Not Started",
SUM(AD108:AF108)&lt;15,"In Progress",
SUM(AD108:AF108)=15,"Completed",
SUM(AD108:AF108)&gt;15,"Error"
)</f>
        <v>Not Started</v>
      </c>
    </row>
    <row r="109" spans="1:33" ht="13" x14ac:dyDescent="0.3">
      <c r="A109" s="248"/>
      <c r="B109" s="7" t="s">
        <v>2367</v>
      </c>
      <c r="C109" s="205" t="s">
        <v>11363</v>
      </c>
      <c r="D109" s="77" t="s">
        <v>11364</v>
      </c>
      <c r="E109" s="138" t="s">
        <v>10676</v>
      </c>
      <c r="F109" s="138" t="s">
        <v>10907</v>
      </c>
      <c r="G109" s="138" t="s">
        <v>10614</v>
      </c>
      <c r="H109" s="214" t="s">
        <v>11286</v>
      </c>
      <c r="I109" s="138" t="s">
        <v>11365</v>
      </c>
      <c r="J109" s="138" t="s">
        <v>11366</v>
      </c>
      <c r="K109" s="138">
        <v>10041601584</v>
      </c>
      <c r="L109" s="204">
        <v>46142</v>
      </c>
      <c r="M109" s="32"/>
      <c r="N109" s="29"/>
      <c r="O109" s="10"/>
      <c r="P109" s="10"/>
      <c r="Q109" s="35"/>
      <c r="R109" s="29"/>
      <c r="S109" s="10"/>
      <c r="T109" s="10"/>
      <c r="U109" s="10"/>
      <c r="V109" s="10"/>
      <c r="W109" s="10"/>
      <c r="X109" s="10"/>
      <c r="Y109" s="10"/>
      <c r="Z109" s="35"/>
      <c r="AA109" s="29"/>
      <c r="AB109" s="8"/>
      <c r="AC109" s="26"/>
      <c r="AD109" s="24">
        <f t="shared" si="3"/>
        <v>0</v>
      </c>
      <c r="AE109" s="24">
        <f t="shared" si="4"/>
        <v>0</v>
      </c>
      <c r="AF109" s="24">
        <f t="shared" si="5"/>
        <v>0</v>
      </c>
      <c r="AG109" s="41" t="str" cm="1">
        <f t="array" ref="AG109">_xlfn.IFS(
SUM(AD109:AF109)=0,"Not Started",
SUM(AD109:AF109)&lt;15,"In Progress",
SUM(AD109:AF109)=15,"Completed",
SUM(AD109:AF109)&gt;15,"Error"
)</f>
        <v>Not Started</v>
      </c>
    </row>
    <row r="110" spans="1:33" ht="13" x14ac:dyDescent="0.3">
      <c r="A110" s="248"/>
      <c r="B110" s="14" t="s">
        <v>2368</v>
      </c>
      <c r="C110" s="205" t="s">
        <v>11367</v>
      </c>
      <c r="D110" s="77" t="s">
        <v>11368</v>
      </c>
      <c r="E110" s="138" t="s">
        <v>10676</v>
      </c>
      <c r="F110" s="138" t="s">
        <v>10907</v>
      </c>
      <c r="G110" s="138" t="s">
        <v>10614</v>
      </c>
      <c r="H110" s="214" t="s">
        <v>11286</v>
      </c>
      <c r="I110" s="138" t="s">
        <v>11369</v>
      </c>
      <c r="J110" s="138" t="s">
        <v>11370</v>
      </c>
      <c r="K110" s="138">
        <v>10086062181</v>
      </c>
      <c r="L110" s="204">
        <v>46142</v>
      </c>
      <c r="M110" s="32"/>
      <c r="N110" s="29"/>
      <c r="O110" s="10"/>
      <c r="P110" s="10"/>
      <c r="Q110" s="35"/>
      <c r="R110" s="29"/>
      <c r="S110" s="10"/>
      <c r="T110" s="10"/>
      <c r="U110" s="10"/>
      <c r="V110" s="10"/>
      <c r="W110" s="10"/>
      <c r="X110" s="10"/>
      <c r="Y110" s="10"/>
      <c r="Z110" s="35"/>
      <c r="AA110" s="29"/>
      <c r="AB110" s="8"/>
      <c r="AC110" s="26"/>
      <c r="AD110" s="24">
        <f t="shared" si="3"/>
        <v>0</v>
      </c>
      <c r="AE110" s="24">
        <f t="shared" si="4"/>
        <v>0</v>
      </c>
      <c r="AF110" s="24">
        <f t="shared" si="5"/>
        <v>0</v>
      </c>
      <c r="AG110" s="41" t="str" cm="1">
        <f t="array" ref="AG110">_xlfn.IFS(
SUM(AD110:AF110)=0,"Not Started",
SUM(AD110:AF110)&lt;15,"In Progress",
SUM(AD110:AF110)=15,"Completed",
SUM(AD110:AF110)&gt;15,"Error"
)</f>
        <v>Not Started</v>
      </c>
    </row>
    <row r="111" spans="1:33" ht="13" x14ac:dyDescent="0.3">
      <c r="A111" s="248"/>
      <c r="B111" s="7" t="s">
        <v>2369</v>
      </c>
      <c r="C111" s="205" t="s">
        <v>11371</v>
      </c>
      <c r="D111" s="77" t="s">
        <v>11372</v>
      </c>
      <c r="E111" s="138" t="s">
        <v>10612</v>
      </c>
      <c r="F111" s="138" t="s">
        <v>10907</v>
      </c>
      <c r="G111" s="138" t="s">
        <v>10614</v>
      </c>
      <c r="H111" s="214" t="s">
        <v>11286</v>
      </c>
      <c r="I111" s="138" t="s">
        <v>11373</v>
      </c>
      <c r="J111" s="138" t="s">
        <v>11374</v>
      </c>
      <c r="K111" s="138">
        <v>10103251026</v>
      </c>
      <c r="L111" s="204">
        <v>46142</v>
      </c>
      <c r="M111" s="32"/>
      <c r="N111" s="29"/>
      <c r="O111" s="10"/>
      <c r="P111" s="10"/>
      <c r="Q111" s="35"/>
      <c r="R111" s="29"/>
      <c r="S111" s="10"/>
      <c r="T111" s="10"/>
      <c r="U111" s="10"/>
      <c r="V111" s="10"/>
      <c r="W111" s="10"/>
      <c r="X111" s="10"/>
      <c r="Y111" s="10"/>
      <c r="Z111" s="35"/>
      <c r="AA111" s="29"/>
      <c r="AB111" s="8"/>
      <c r="AC111" s="26"/>
      <c r="AD111" s="24">
        <f t="shared" si="3"/>
        <v>0</v>
      </c>
      <c r="AE111" s="24">
        <f t="shared" si="4"/>
        <v>0</v>
      </c>
      <c r="AF111" s="24">
        <f t="shared" si="5"/>
        <v>0</v>
      </c>
      <c r="AG111" s="41" t="str" cm="1">
        <f t="array" ref="AG111">_xlfn.IFS(
SUM(AD111:AF111)=0,"Not Started",
SUM(AD111:AF111)&lt;15,"In Progress",
SUM(AD111:AF111)=15,"Completed",
SUM(AD111:AF111)&gt;15,"Error"
)</f>
        <v>Not Started</v>
      </c>
    </row>
    <row r="112" spans="1:33" ht="13" x14ac:dyDescent="0.3">
      <c r="A112" s="248"/>
      <c r="B112" s="14" t="s">
        <v>2370</v>
      </c>
      <c r="C112" s="205" t="s">
        <v>11375</v>
      </c>
      <c r="D112" s="77" t="s">
        <v>11376</v>
      </c>
      <c r="E112" s="138" t="s">
        <v>10612</v>
      </c>
      <c r="F112" s="138" t="s">
        <v>10907</v>
      </c>
      <c r="G112" s="138" t="s">
        <v>10614</v>
      </c>
      <c r="H112" s="214" t="s">
        <v>11286</v>
      </c>
      <c r="I112" s="138" t="s">
        <v>11377</v>
      </c>
      <c r="J112" s="138" t="s">
        <v>11378</v>
      </c>
      <c r="K112" s="138">
        <v>10041162813</v>
      </c>
      <c r="L112" s="204">
        <v>46142</v>
      </c>
      <c r="M112" s="32"/>
      <c r="N112" s="29"/>
      <c r="O112" s="10"/>
      <c r="P112" s="10"/>
      <c r="Q112" s="35"/>
      <c r="R112" s="29"/>
      <c r="S112" s="10"/>
      <c r="T112" s="10"/>
      <c r="U112" s="10"/>
      <c r="V112" s="10"/>
      <c r="W112" s="10"/>
      <c r="X112" s="10"/>
      <c r="Y112" s="10"/>
      <c r="Z112" s="35"/>
      <c r="AA112" s="29"/>
      <c r="AB112" s="8"/>
      <c r="AC112" s="26"/>
      <c r="AD112" s="24">
        <f t="shared" si="3"/>
        <v>0</v>
      </c>
      <c r="AE112" s="24">
        <f t="shared" si="4"/>
        <v>0</v>
      </c>
      <c r="AF112" s="24">
        <f t="shared" si="5"/>
        <v>0</v>
      </c>
      <c r="AG112" s="41" t="str" cm="1">
        <f t="array" ref="AG112">_xlfn.IFS(
SUM(AD112:AF112)=0,"Not Started",
SUM(AD112:AF112)&lt;15,"In Progress",
SUM(AD112:AF112)=15,"Completed",
SUM(AD112:AF112)&gt;15,"Error"
)</f>
        <v>Not Started</v>
      </c>
    </row>
    <row r="113" spans="1:33" ht="13" x14ac:dyDescent="0.3">
      <c r="A113" s="248"/>
      <c r="B113" s="7" t="s">
        <v>2371</v>
      </c>
      <c r="C113" s="205" t="s">
        <v>4938</v>
      </c>
      <c r="D113" s="77" t="s">
        <v>11379</v>
      </c>
      <c r="E113" s="138" t="s">
        <v>10612</v>
      </c>
      <c r="F113" s="138" t="s">
        <v>10613</v>
      </c>
      <c r="G113" s="138" t="s">
        <v>10614</v>
      </c>
      <c r="H113" s="214" t="s">
        <v>11286</v>
      </c>
      <c r="I113" s="138" t="s">
        <v>11380</v>
      </c>
      <c r="J113" s="138" t="s">
        <v>11381</v>
      </c>
      <c r="K113" s="138">
        <v>10041744424</v>
      </c>
      <c r="L113" s="204">
        <v>46142</v>
      </c>
      <c r="M113" s="32"/>
      <c r="N113" s="29"/>
      <c r="O113" s="10"/>
      <c r="P113" s="10"/>
      <c r="Q113" s="35"/>
      <c r="R113" s="29"/>
      <c r="S113" s="10"/>
      <c r="T113" s="10"/>
      <c r="U113" s="10"/>
      <c r="V113" s="10"/>
      <c r="W113" s="10"/>
      <c r="X113" s="10"/>
      <c r="Y113" s="10"/>
      <c r="Z113" s="35"/>
      <c r="AA113" s="29"/>
      <c r="AB113" s="8"/>
      <c r="AC113" s="26"/>
      <c r="AD113" s="24">
        <f t="shared" si="3"/>
        <v>0</v>
      </c>
      <c r="AE113" s="24">
        <f t="shared" si="4"/>
        <v>0</v>
      </c>
      <c r="AF113" s="24">
        <f t="shared" si="5"/>
        <v>0</v>
      </c>
      <c r="AG113" s="41" t="str" cm="1">
        <f t="array" ref="AG113">_xlfn.IFS(
SUM(AD113:AF113)=0,"Not Started",
SUM(AD113:AF113)&lt;15,"In Progress",
SUM(AD113:AF113)=15,"Completed",
SUM(AD113:AF113)&gt;15,"Error"
)</f>
        <v>Not Started</v>
      </c>
    </row>
    <row r="114" spans="1:33" ht="13" x14ac:dyDescent="0.3">
      <c r="A114" s="248"/>
      <c r="B114" s="14" t="s">
        <v>2372</v>
      </c>
      <c r="C114" s="205" t="s">
        <v>11382</v>
      </c>
      <c r="D114" s="77" t="s">
        <v>11166</v>
      </c>
      <c r="E114" s="138" t="s">
        <v>10676</v>
      </c>
      <c r="F114" s="138" t="s">
        <v>10613</v>
      </c>
      <c r="G114" s="138" t="s">
        <v>10614</v>
      </c>
      <c r="H114" s="214" t="s">
        <v>11286</v>
      </c>
      <c r="I114" s="138" t="s">
        <v>11383</v>
      </c>
      <c r="J114" s="138" t="s">
        <v>11384</v>
      </c>
      <c r="K114" s="138">
        <v>10041868092</v>
      </c>
      <c r="L114" s="204">
        <v>46142</v>
      </c>
      <c r="M114" s="32"/>
      <c r="N114" s="29"/>
      <c r="O114" s="10"/>
      <c r="P114" s="10"/>
      <c r="Q114" s="35"/>
      <c r="R114" s="29"/>
      <c r="S114" s="10"/>
      <c r="T114" s="10"/>
      <c r="U114" s="10"/>
      <c r="V114" s="10"/>
      <c r="W114" s="10"/>
      <c r="X114" s="10"/>
      <c r="Y114" s="10"/>
      <c r="Z114" s="35"/>
      <c r="AA114" s="29"/>
      <c r="AB114" s="8"/>
      <c r="AC114" s="26"/>
      <c r="AD114" s="24">
        <f t="shared" si="3"/>
        <v>0</v>
      </c>
      <c r="AE114" s="24">
        <f t="shared" si="4"/>
        <v>0</v>
      </c>
      <c r="AF114" s="24">
        <f t="shared" si="5"/>
        <v>0</v>
      </c>
      <c r="AG114" s="41" t="str" cm="1">
        <f t="array" ref="AG114">_xlfn.IFS(
SUM(AD114:AF114)=0,"Not Started",
SUM(AD114:AF114)&lt;15,"In Progress",
SUM(AD114:AF114)=15,"Completed",
SUM(AD114:AF114)&gt;15,"Error"
)</f>
        <v>Not Started</v>
      </c>
    </row>
    <row r="115" spans="1:33" ht="13" x14ac:dyDescent="0.3">
      <c r="A115" s="248"/>
      <c r="B115" s="7" t="s">
        <v>2373</v>
      </c>
      <c r="C115" s="205" t="s">
        <v>11385</v>
      </c>
      <c r="D115" s="77" t="s">
        <v>11386</v>
      </c>
      <c r="E115" s="138" t="s">
        <v>10612</v>
      </c>
      <c r="F115" s="138" t="s">
        <v>10613</v>
      </c>
      <c r="G115" s="138" t="s">
        <v>10614</v>
      </c>
      <c r="H115" s="214" t="s">
        <v>11286</v>
      </c>
      <c r="I115" s="138" t="s">
        <v>11387</v>
      </c>
      <c r="J115" s="138" t="s">
        <v>11388</v>
      </c>
      <c r="K115" s="138">
        <v>10041754467</v>
      </c>
      <c r="L115" s="204">
        <v>46142</v>
      </c>
      <c r="M115" s="32"/>
      <c r="N115" s="29"/>
      <c r="O115" s="10"/>
      <c r="P115" s="10"/>
      <c r="Q115" s="35"/>
      <c r="R115" s="29"/>
      <c r="S115" s="10"/>
      <c r="T115" s="10"/>
      <c r="U115" s="10"/>
      <c r="V115" s="10"/>
      <c r="W115" s="10"/>
      <c r="X115" s="10"/>
      <c r="Y115" s="10"/>
      <c r="Z115" s="35"/>
      <c r="AA115" s="29"/>
      <c r="AB115" s="8"/>
      <c r="AC115" s="26"/>
      <c r="AD115" s="24">
        <f t="shared" si="3"/>
        <v>0</v>
      </c>
      <c r="AE115" s="24">
        <f t="shared" si="4"/>
        <v>0</v>
      </c>
      <c r="AF115" s="24">
        <f t="shared" si="5"/>
        <v>0</v>
      </c>
      <c r="AG115" s="41" t="str" cm="1">
        <f t="array" ref="AG115">_xlfn.IFS(
SUM(AD115:AF115)=0,"Not Started",
SUM(AD115:AF115)&lt;15,"In Progress",
SUM(AD115:AF115)=15,"Completed",
SUM(AD115:AF115)&gt;15,"Error"
)</f>
        <v>Not Started</v>
      </c>
    </row>
    <row r="116" spans="1:33" ht="13" x14ac:dyDescent="0.3">
      <c r="A116" s="248"/>
      <c r="B116" s="14" t="s">
        <v>2374</v>
      </c>
      <c r="C116" s="205" t="s">
        <v>11389</v>
      </c>
      <c r="D116" s="77" t="s">
        <v>11390</v>
      </c>
      <c r="E116" s="138" t="s">
        <v>10631</v>
      </c>
      <c r="F116" s="138" t="s">
        <v>10613</v>
      </c>
      <c r="G116" s="138" t="s">
        <v>10614</v>
      </c>
      <c r="H116" s="214" t="s">
        <v>11286</v>
      </c>
      <c r="I116" s="138" t="s">
        <v>11391</v>
      </c>
      <c r="J116" s="138" t="s">
        <v>11392</v>
      </c>
      <c r="K116" s="138">
        <v>10041148430</v>
      </c>
      <c r="L116" s="204">
        <v>46145</v>
      </c>
      <c r="M116" s="32"/>
      <c r="N116" s="29"/>
      <c r="O116" s="10"/>
      <c r="P116" s="10"/>
      <c r="Q116" s="35"/>
      <c r="R116" s="29"/>
      <c r="S116" s="10"/>
      <c r="T116" s="10"/>
      <c r="U116" s="10"/>
      <c r="V116" s="10"/>
      <c r="W116" s="10"/>
      <c r="X116" s="10"/>
      <c r="Y116" s="10"/>
      <c r="Z116" s="35"/>
      <c r="AA116" s="29"/>
      <c r="AB116" s="8"/>
      <c r="AC116" s="26"/>
      <c r="AD116" s="24">
        <f t="shared" si="3"/>
        <v>0</v>
      </c>
      <c r="AE116" s="24">
        <f t="shared" si="4"/>
        <v>0</v>
      </c>
      <c r="AF116" s="24">
        <f t="shared" si="5"/>
        <v>0</v>
      </c>
      <c r="AG116" s="41" t="str" cm="1">
        <f t="array" ref="AG116">_xlfn.IFS(
SUM(AD116:AF116)=0,"Not Started",
SUM(AD116:AF116)&lt;15,"In Progress",
SUM(AD116:AF116)=15,"Completed",
SUM(AD116:AF116)&gt;15,"Error"
)</f>
        <v>Not Started</v>
      </c>
    </row>
    <row r="117" spans="1:33" ht="13" x14ac:dyDescent="0.3">
      <c r="A117" s="248"/>
      <c r="B117" s="7" t="s">
        <v>2375</v>
      </c>
      <c r="C117" s="205" t="s">
        <v>11393</v>
      </c>
      <c r="D117" s="77" t="s">
        <v>11394</v>
      </c>
      <c r="E117" s="138" t="s">
        <v>10612</v>
      </c>
      <c r="F117" s="138" t="s">
        <v>10907</v>
      </c>
      <c r="G117" s="138" t="s">
        <v>10614</v>
      </c>
      <c r="H117" s="214" t="s">
        <v>11286</v>
      </c>
      <c r="I117" s="138" t="s">
        <v>11395</v>
      </c>
      <c r="J117" s="138" t="s">
        <v>11396</v>
      </c>
      <c r="K117" s="138">
        <v>10041744273</v>
      </c>
      <c r="L117" s="204">
        <v>46145</v>
      </c>
      <c r="M117" s="32"/>
      <c r="N117" s="29"/>
      <c r="O117" s="10"/>
      <c r="P117" s="10"/>
      <c r="Q117" s="35"/>
      <c r="R117" s="29"/>
      <c r="S117" s="10"/>
      <c r="T117" s="10"/>
      <c r="U117" s="10"/>
      <c r="V117" s="10"/>
      <c r="W117" s="10"/>
      <c r="X117" s="10"/>
      <c r="Y117" s="10"/>
      <c r="Z117" s="35"/>
      <c r="AA117" s="29"/>
      <c r="AB117" s="8"/>
      <c r="AC117" s="26"/>
      <c r="AD117" s="24">
        <f t="shared" si="3"/>
        <v>0</v>
      </c>
      <c r="AE117" s="24">
        <f t="shared" si="4"/>
        <v>0</v>
      </c>
      <c r="AF117" s="24">
        <f t="shared" si="5"/>
        <v>0</v>
      </c>
      <c r="AG117" s="41" t="str" cm="1">
        <f t="array" ref="AG117">_xlfn.IFS(
SUM(AD117:AF117)=0,"Not Started",
SUM(AD117:AF117)&lt;15,"In Progress",
SUM(AD117:AF117)=15,"Completed",
SUM(AD117:AF117)&gt;15,"Error"
)</f>
        <v>Not Started</v>
      </c>
    </row>
    <row r="118" spans="1:33" ht="13" x14ac:dyDescent="0.3">
      <c r="A118" s="248"/>
      <c r="B118" s="14" t="s">
        <v>2376</v>
      </c>
      <c r="C118" s="205" t="s">
        <v>11397</v>
      </c>
      <c r="D118" s="77" t="s">
        <v>11398</v>
      </c>
      <c r="E118" s="138" t="s">
        <v>10612</v>
      </c>
      <c r="F118" s="138" t="s">
        <v>10907</v>
      </c>
      <c r="G118" s="138" t="s">
        <v>10614</v>
      </c>
      <c r="H118" s="214" t="s">
        <v>11286</v>
      </c>
      <c r="I118" s="138" t="s">
        <v>11399</v>
      </c>
      <c r="J118" s="138" t="s">
        <v>11400</v>
      </c>
      <c r="K118" s="138">
        <v>10041866481</v>
      </c>
      <c r="L118" s="204">
        <v>46145</v>
      </c>
      <c r="M118" s="32"/>
      <c r="N118" s="29"/>
      <c r="O118" s="10"/>
      <c r="P118" s="10"/>
      <c r="Q118" s="35"/>
      <c r="R118" s="29"/>
      <c r="S118" s="10"/>
      <c r="T118" s="10"/>
      <c r="U118" s="10"/>
      <c r="V118" s="10"/>
      <c r="W118" s="10"/>
      <c r="X118" s="10"/>
      <c r="Y118" s="10"/>
      <c r="Z118" s="35"/>
      <c r="AA118" s="29"/>
      <c r="AB118" s="8"/>
      <c r="AC118" s="26"/>
      <c r="AD118" s="24">
        <f t="shared" si="3"/>
        <v>0</v>
      </c>
      <c r="AE118" s="24">
        <f t="shared" si="4"/>
        <v>0</v>
      </c>
      <c r="AF118" s="24">
        <f t="shared" si="5"/>
        <v>0</v>
      </c>
      <c r="AG118" s="41" t="str" cm="1">
        <f t="array" ref="AG118">_xlfn.IFS(
SUM(AD118:AF118)=0,"Not Started",
SUM(AD118:AF118)&lt;15,"In Progress",
SUM(AD118:AF118)=15,"Completed",
SUM(AD118:AF118)&gt;15,"Error"
)</f>
        <v>Not Started</v>
      </c>
    </row>
    <row r="119" spans="1:33" ht="13" x14ac:dyDescent="0.3">
      <c r="A119" s="248"/>
      <c r="B119" s="7" t="s">
        <v>2377</v>
      </c>
      <c r="C119" s="205" t="s">
        <v>11401</v>
      </c>
      <c r="D119" s="77" t="s">
        <v>11402</v>
      </c>
      <c r="E119" s="138" t="s">
        <v>10631</v>
      </c>
      <c r="F119" s="138" t="s">
        <v>10907</v>
      </c>
      <c r="G119" s="138" t="s">
        <v>10614</v>
      </c>
      <c r="H119" s="214" t="s">
        <v>11286</v>
      </c>
      <c r="I119" s="138" t="s">
        <v>11403</v>
      </c>
      <c r="J119" s="138" t="s">
        <v>11404</v>
      </c>
      <c r="K119" s="138">
        <v>10041303395</v>
      </c>
      <c r="L119" s="204">
        <v>46145</v>
      </c>
      <c r="M119" s="32"/>
      <c r="N119" s="29"/>
      <c r="O119" s="10"/>
      <c r="P119" s="10"/>
      <c r="Q119" s="35"/>
      <c r="R119" s="29"/>
      <c r="S119" s="10"/>
      <c r="T119" s="10"/>
      <c r="U119" s="10"/>
      <c r="V119" s="10"/>
      <c r="W119" s="10"/>
      <c r="X119" s="10"/>
      <c r="Y119" s="10"/>
      <c r="Z119" s="35"/>
      <c r="AA119" s="29"/>
      <c r="AB119" s="8"/>
      <c r="AC119" s="26"/>
      <c r="AD119" s="24">
        <f t="shared" si="3"/>
        <v>0</v>
      </c>
      <c r="AE119" s="24">
        <f t="shared" si="4"/>
        <v>0</v>
      </c>
      <c r="AF119" s="24">
        <f t="shared" si="5"/>
        <v>0</v>
      </c>
      <c r="AG119" s="41" t="str" cm="1">
        <f t="array" ref="AG119">_xlfn.IFS(
SUM(AD119:AF119)=0,"Not Started",
SUM(AD119:AF119)&lt;15,"In Progress",
SUM(AD119:AF119)=15,"Completed",
SUM(AD119:AF119)&gt;15,"Error"
)</f>
        <v>Not Started</v>
      </c>
    </row>
    <row r="120" spans="1:33" ht="13" x14ac:dyDescent="0.3">
      <c r="A120" s="248"/>
      <c r="B120" s="14" t="s">
        <v>2378</v>
      </c>
      <c r="C120" s="205" t="s">
        <v>11405</v>
      </c>
      <c r="D120" s="77" t="s">
        <v>11406</v>
      </c>
      <c r="E120" s="138" t="s">
        <v>10612</v>
      </c>
      <c r="F120" s="138" t="s">
        <v>10907</v>
      </c>
      <c r="G120" s="138" t="s">
        <v>10614</v>
      </c>
      <c r="H120" s="214" t="s">
        <v>11286</v>
      </c>
      <c r="I120" s="138" t="s">
        <v>11407</v>
      </c>
      <c r="J120" s="138" t="s">
        <v>11408</v>
      </c>
      <c r="K120" s="138">
        <v>10041521349</v>
      </c>
      <c r="L120" s="204">
        <v>46145</v>
      </c>
      <c r="M120" s="32"/>
      <c r="N120" s="29"/>
      <c r="O120" s="10"/>
      <c r="P120" s="10"/>
      <c r="Q120" s="35"/>
      <c r="R120" s="29"/>
      <c r="S120" s="10"/>
      <c r="T120" s="10"/>
      <c r="U120" s="10"/>
      <c r="V120" s="10"/>
      <c r="W120" s="10"/>
      <c r="X120" s="10"/>
      <c r="Y120" s="10"/>
      <c r="Z120" s="35"/>
      <c r="AA120" s="29"/>
      <c r="AB120" s="8"/>
      <c r="AC120" s="26"/>
      <c r="AD120" s="24">
        <f t="shared" si="3"/>
        <v>0</v>
      </c>
      <c r="AE120" s="24">
        <f t="shared" si="4"/>
        <v>0</v>
      </c>
      <c r="AF120" s="24">
        <f t="shared" si="5"/>
        <v>0</v>
      </c>
      <c r="AG120" s="41" t="str" cm="1">
        <f t="array" ref="AG120">_xlfn.IFS(
SUM(AD120:AF120)=0,"Not Started",
SUM(AD120:AF120)&lt;15,"In Progress",
SUM(AD120:AF120)=15,"Completed",
SUM(AD120:AF120)&gt;15,"Error"
)</f>
        <v>Not Started</v>
      </c>
    </row>
    <row r="121" spans="1:33" ht="13" x14ac:dyDescent="0.3">
      <c r="A121" s="248"/>
      <c r="B121" s="7" t="s">
        <v>2379</v>
      </c>
      <c r="C121" s="205" t="s">
        <v>11409</v>
      </c>
      <c r="D121" s="77" t="s">
        <v>11410</v>
      </c>
      <c r="E121" s="138" t="s">
        <v>10612</v>
      </c>
      <c r="F121" s="138" t="s">
        <v>10907</v>
      </c>
      <c r="G121" s="138" t="s">
        <v>10614</v>
      </c>
      <c r="H121" s="214" t="s">
        <v>11286</v>
      </c>
      <c r="I121" s="138" t="s">
        <v>11411</v>
      </c>
      <c r="J121" s="138" t="s">
        <v>11412</v>
      </c>
      <c r="K121" s="138">
        <v>10041846738</v>
      </c>
      <c r="L121" s="204">
        <v>46145</v>
      </c>
      <c r="M121" s="32"/>
      <c r="N121" s="29"/>
      <c r="O121" s="10"/>
      <c r="P121" s="10"/>
      <c r="Q121" s="35"/>
      <c r="R121" s="29"/>
      <c r="S121" s="10"/>
      <c r="T121" s="10"/>
      <c r="U121" s="10"/>
      <c r="V121" s="10"/>
      <c r="W121" s="10"/>
      <c r="X121" s="10"/>
      <c r="Y121" s="10"/>
      <c r="Z121" s="35"/>
      <c r="AA121" s="29"/>
      <c r="AB121" s="8"/>
      <c r="AC121" s="26"/>
      <c r="AD121" s="24">
        <f t="shared" si="3"/>
        <v>0</v>
      </c>
      <c r="AE121" s="24">
        <f t="shared" si="4"/>
        <v>0</v>
      </c>
      <c r="AF121" s="24">
        <f t="shared" si="5"/>
        <v>0</v>
      </c>
      <c r="AG121" s="41" t="str" cm="1">
        <f t="array" ref="AG121">_xlfn.IFS(
SUM(AD121:AF121)=0,"Not Started",
SUM(AD121:AF121)&lt;15,"In Progress",
SUM(AD121:AF121)=15,"Completed",
SUM(AD121:AF121)&gt;15,"Error"
)</f>
        <v>Not Started</v>
      </c>
    </row>
    <row r="122" spans="1:33" ht="13" x14ac:dyDescent="0.3">
      <c r="A122" s="248"/>
      <c r="B122" s="14" t="s">
        <v>2380</v>
      </c>
      <c r="C122" s="205" t="s">
        <v>11413</v>
      </c>
      <c r="D122" s="77" t="s">
        <v>11414</v>
      </c>
      <c r="E122" s="138" t="s">
        <v>10612</v>
      </c>
      <c r="F122" s="138" t="s">
        <v>10613</v>
      </c>
      <c r="G122" s="138" t="s">
        <v>10614</v>
      </c>
      <c r="H122" s="214" t="s">
        <v>11286</v>
      </c>
      <c r="I122" s="138" t="s">
        <v>11415</v>
      </c>
      <c r="J122" s="138" t="s">
        <v>11416</v>
      </c>
      <c r="K122" s="138">
        <v>10041402179</v>
      </c>
      <c r="L122" s="204">
        <v>46145</v>
      </c>
      <c r="M122" s="32"/>
      <c r="N122" s="29"/>
      <c r="O122" s="10"/>
      <c r="P122" s="10"/>
      <c r="Q122" s="35"/>
      <c r="R122" s="29"/>
      <c r="S122" s="10"/>
      <c r="T122" s="10"/>
      <c r="U122" s="10"/>
      <c r="V122" s="10"/>
      <c r="W122" s="10"/>
      <c r="X122" s="10"/>
      <c r="Y122" s="10"/>
      <c r="Z122" s="35"/>
      <c r="AA122" s="29"/>
      <c r="AB122" s="8"/>
      <c r="AC122" s="26"/>
      <c r="AD122" s="24">
        <f t="shared" si="3"/>
        <v>0</v>
      </c>
      <c r="AE122" s="24">
        <f t="shared" si="4"/>
        <v>0</v>
      </c>
      <c r="AF122" s="24">
        <f t="shared" si="5"/>
        <v>0</v>
      </c>
      <c r="AG122" s="41" t="str" cm="1">
        <f t="array" ref="AG122">_xlfn.IFS(
SUM(AD122:AF122)=0,"Not Started",
SUM(AD122:AF122)&lt;15,"In Progress",
SUM(AD122:AF122)=15,"Completed",
SUM(AD122:AF122)&gt;15,"Error"
)</f>
        <v>Not Started</v>
      </c>
    </row>
    <row r="123" spans="1:33" ht="13" x14ac:dyDescent="0.3">
      <c r="A123" s="248"/>
      <c r="B123" s="7" t="s">
        <v>2381</v>
      </c>
      <c r="C123" s="205" t="s">
        <v>11417</v>
      </c>
      <c r="D123" s="77" t="s">
        <v>11418</v>
      </c>
      <c r="E123" s="138" t="s">
        <v>10612</v>
      </c>
      <c r="F123" s="138" t="s">
        <v>10613</v>
      </c>
      <c r="G123" s="138" t="s">
        <v>10614</v>
      </c>
      <c r="H123" s="214" t="s">
        <v>11419</v>
      </c>
      <c r="I123" s="138" t="s">
        <v>11420</v>
      </c>
      <c r="J123" s="138" t="s">
        <v>11421</v>
      </c>
      <c r="K123" s="138">
        <v>10041659047</v>
      </c>
      <c r="L123" s="204">
        <v>46146</v>
      </c>
      <c r="M123" s="32"/>
      <c r="N123" s="29"/>
      <c r="O123" s="10"/>
      <c r="P123" s="10"/>
      <c r="Q123" s="35"/>
      <c r="R123" s="29"/>
      <c r="S123" s="10"/>
      <c r="T123" s="10"/>
      <c r="U123" s="10"/>
      <c r="V123" s="10"/>
      <c r="W123" s="10"/>
      <c r="X123" s="10"/>
      <c r="Y123" s="10"/>
      <c r="Z123" s="35"/>
      <c r="AA123" s="29"/>
      <c r="AB123" s="8"/>
      <c r="AC123" s="26"/>
      <c r="AD123" s="24">
        <f t="shared" si="3"/>
        <v>0</v>
      </c>
      <c r="AE123" s="24">
        <f t="shared" si="4"/>
        <v>0</v>
      </c>
      <c r="AF123" s="24">
        <f t="shared" si="5"/>
        <v>0</v>
      </c>
      <c r="AG123" s="41" t="str" cm="1">
        <f t="array" ref="AG123">_xlfn.IFS(
SUM(AD123:AF123)=0,"Not Started",
SUM(AD123:AF123)&lt;15,"In Progress",
SUM(AD123:AF123)=15,"Completed",
SUM(AD123:AF123)&gt;15,"Error"
)</f>
        <v>Not Started</v>
      </c>
    </row>
    <row r="124" spans="1:33" ht="13" x14ac:dyDescent="0.3">
      <c r="A124" s="248"/>
      <c r="B124" s="14" t="s">
        <v>2382</v>
      </c>
      <c r="C124" s="205" t="s">
        <v>11422</v>
      </c>
      <c r="D124" s="77" t="s">
        <v>11423</v>
      </c>
      <c r="E124" s="138" t="s">
        <v>10676</v>
      </c>
      <c r="F124" s="138" t="s">
        <v>10613</v>
      </c>
      <c r="G124" s="138" t="s">
        <v>10614</v>
      </c>
      <c r="H124" s="214" t="s">
        <v>11419</v>
      </c>
      <c r="I124" s="138" t="s">
        <v>11424</v>
      </c>
      <c r="J124" s="138" t="s">
        <v>11425</v>
      </c>
      <c r="K124" s="138">
        <v>10041635500</v>
      </c>
      <c r="L124" s="204">
        <v>46146</v>
      </c>
      <c r="M124" s="32"/>
      <c r="N124" s="29"/>
      <c r="O124" s="10"/>
      <c r="P124" s="10"/>
      <c r="Q124" s="35"/>
      <c r="R124" s="29"/>
      <c r="S124" s="10"/>
      <c r="T124" s="10"/>
      <c r="U124" s="10"/>
      <c r="V124" s="10"/>
      <c r="W124" s="10"/>
      <c r="X124" s="10"/>
      <c r="Y124" s="10"/>
      <c r="Z124" s="35"/>
      <c r="AA124" s="29"/>
      <c r="AB124" s="8"/>
      <c r="AC124" s="26"/>
      <c r="AD124" s="24">
        <f t="shared" si="3"/>
        <v>0</v>
      </c>
      <c r="AE124" s="24">
        <f t="shared" si="4"/>
        <v>0</v>
      </c>
      <c r="AF124" s="24">
        <f t="shared" si="5"/>
        <v>0</v>
      </c>
      <c r="AG124" s="41" t="str" cm="1">
        <f t="array" ref="AG124">_xlfn.IFS(
SUM(AD124:AF124)=0,"Not Started",
SUM(AD124:AF124)&lt;15,"In Progress",
SUM(AD124:AF124)=15,"Completed",
SUM(AD124:AF124)&gt;15,"Error"
)</f>
        <v>Not Started</v>
      </c>
    </row>
    <row r="125" spans="1:33" ht="13" x14ac:dyDescent="0.3">
      <c r="A125" s="248"/>
      <c r="B125" s="7" t="s">
        <v>2383</v>
      </c>
      <c r="C125" s="205" t="s">
        <v>11426</v>
      </c>
      <c r="D125" s="77" t="s">
        <v>11427</v>
      </c>
      <c r="E125" s="138" t="s">
        <v>10631</v>
      </c>
      <c r="F125" s="138" t="s">
        <v>10613</v>
      </c>
      <c r="G125" s="138" t="s">
        <v>10614</v>
      </c>
      <c r="H125" s="214" t="s">
        <v>11419</v>
      </c>
      <c r="I125" s="138" t="s">
        <v>11428</v>
      </c>
      <c r="J125" s="138" t="s">
        <v>11429</v>
      </c>
      <c r="K125" s="138">
        <v>10041498911</v>
      </c>
      <c r="L125" s="204">
        <v>46146</v>
      </c>
      <c r="M125" s="32"/>
      <c r="N125" s="29"/>
      <c r="O125" s="10"/>
      <c r="P125" s="10"/>
      <c r="Q125" s="35"/>
      <c r="R125" s="29"/>
      <c r="S125" s="10"/>
      <c r="T125" s="10"/>
      <c r="U125" s="10"/>
      <c r="V125" s="10"/>
      <c r="W125" s="10"/>
      <c r="X125" s="10"/>
      <c r="Y125" s="10"/>
      <c r="Z125" s="35"/>
      <c r="AA125" s="29"/>
      <c r="AB125" s="8"/>
      <c r="AC125" s="26"/>
      <c r="AD125" s="24">
        <f t="shared" si="3"/>
        <v>0</v>
      </c>
      <c r="AE125" s="24">
        <f t="shared" si="4"/>
        <v>0</v>
      </c>
      <c r="AF125" s="24">
        <f t="shared" si="5"/>
        <v>0</v>
      </c>
      <c r="AG125" s="41" t="str" cm="1">
        <f t="array" ref="AG125">_xlfn.IFS(
SUM(AD125:AF125)=0,"Not Started",
SUM(AD125:AF125)&lt;15,"In Progress",
SUM(AD125:AF125)=15,"Completed",
SUM(AD125:AF125)&gt;15,"Error"
)</f>
        <v>Not Started</v>
      </c>
    </row>
    <row r="126" spans="1:33" ht="13" x14ac:dyDescent="0.3">
      <c r="A126" s="248"/>
      <c r="B126" s="14" t="s">
        <v>2384</v>
      </c>
      <c r="C126" s="205" t="s">
        <v>10669</v>
      </c>
      <c r="D126" s="77" t="s">
        <v>11430</v>
      </c>
      <c r="E126" s="138" t="s">
        <v>10612</v>
      </c>
      <c r="F126" s="138" t="s">
        <v>10613</v>
      </c>
      <c r="G126" s="138" t="s">
        <v>10614</v>
      </c>
      <c r="H126" s="214" t="s">
        <v>11419</v>
      </c>
      <c r="I126" s="138" t="s">
        <v>11431</v>
      </c>
      <c r="J126" s="138" t="s">
        <v>11432</v>
      </c>
      <c r="K126" s="138">
        <v>10041477895</v>
      </c>
      <c r="L126" s="204">
        <v>46146</v>
      </c>
      <c r="M126" s="32"/>
      <c r="N126" s="29"/>
      <c r="O126" s="10"/>
      <c r="P126" s="10"/>
      <c r="Q126" s="35"/>
      <c r="R126" s="29"/>
      <c r="S126" s="10"/>
      <c r="T126" s="10"/>
      <c r="U126" s="10"/>
      <c r="V126" s="10"/>
      <c r="W126" s="10"/>
      <c r="X126" s="10"/>
      <c r="Y126" s="10"/>
      <c r="Z126" s="35"/>
      <c r="AA126" s="29"/>
      <c r="AB126" s="8"/>
      <c r="AC126" s="26"/>
      <c r="AD126" s="24">
        <f t="shared" si="3"/>
        <v>0</v>
      </c>
      <c r="AE126" s="24">
        <f t="shared" si="4"/>
        <v>0</v>
      </c>
      <c r="AF126" s="24">
        <f t="shared" si="5"/>
        <v>0</v>
      </c>
      <c r="AG126" s="41" t="str" cm="1">
        <f t="array" ref="AG126">_xlfn.IFS(
SUM(AD126:AF126)=0,"Not Started",
SUM(AD126:AF126)&lt;15,"In Progress",
SUM(AD126:AF126)=15,"Completed",
SUM(AD126:AF126)&gt;15,"Error"
)</f>
        <v>Not Started</v>
      </c>
    </row>
    <row r="127" spans="1:33" ht="13" x14ac:dyDescent="0.3">
      <c r="A127" s="248"/>
      <c r="B127" s="7" t="s">
        <v>2385</v>
      </c>
      <c r="C127" s="205" t="s">
        <v>11433</v>
      </c>
      <c r="D127" s="77" t="s">
        <v>11434</v>
      </c>
      <c r="E127" s="138" t="s">
        <v>10676</v>
      </c>
      <c r="F127" s="138" t="s">
        <v>10613</v>
      </c>
      <c r="G127" s="138" t="s">
        <v>10614</v>
      </c>
      <c r="H127" s="214" t="s">
        <v>11419</v>
      </c>
      <c r="I127" s="138" t="s">
        <v>11435</v>
      </c>
      <c r="J127" s="138" t="s">
        <v>11436</v>
      </c>
      <c r="K127" s="138">
        <v>10041941316</v>
      </c>
      <c r="L127" s="204">
        <v>46146</v>
      </c>
      <c r="M127" s="32"/>
      <c r="N127" s="29"/>
      <c r="O127" s="10"/>
      <c r="P127" s="10"/>
      <c r="Q127" s="35"/>
      <c r="R127" s="29"/>
      <c r="S127" s="10"/>
      <c r="T127" s="10"/>
      <c r="U127" s="10"/>
      <c r="V127" s="10"/>
      <c r="W127" s="10"/>
      <c r="X127" s="10"/>
      <c r="Y127" s="10"/>
      <c r="Z127" s="35"/>
      <c r="AA127" s="29"/>
      <c r="AB127" s="8"/>
      <c r="AC127" s="26"/>
      <c r="AD127" s="24">
        <f t="shared" si="3"/>
        <v>0</v>
      </c>
      <c r="AE127" s="24">
        <f t="shared" si="4"/>
        <v>0</v>
      </c>
      <c r="AF127" s="24">
        <f t="shared" si="5"/>
        <v>0</v>
      </c>
      <c r="AG127" s="41" t="str" cm="1">
        <f t="array" ref="AG127">_xlfn.IFS(
SUM(AD127:AF127)=0,"Not Started",
SUM(AD127:AF127)&lt;15,"In Progress",
SUM(AD127:AF127)=15,"Completed",
SUM(AD127:AF127)&gt;15,"Error"
)</f>
        <v>Not Started</v>
      </c>
    </row>
    <row r="128" spans="1:33" ht="13" x14ac:dyDescent="0.3">
      <c r="A128" s="248"/>
      <c r="B128" s="14" t="s">
        <v>2386</v>
      </c>
      <c r="C128" s="205" t="s">
        <v>11437</v>
      </c>
      <c r="D128" s="77" t="s">
        <v>11438</v>
      </c>
      <c r="E128" s="138" t="s">
        <v>10676</v>
      </c>
      <c r="F128" s="138" t="s">
        <v>10907</v>
      </c>
      <c r="G128" s="138" t="s">
        <v>10614</v>
      </c>
      <c r="H128" s="214" t="s">
        <v>11419</v>
      </c>
      <c r="I128" s="138" t="s">
        <v>11439</v>
      </c>
      <c r="J128" s="138" t="s">
        <v>11440</v>
      </c>
      <c r="K128" s="138">
        <v>10041042501</v>
      </c>
      <c r="L128" s="204">
        <v>46146</v>
      </c>
      <c r="M128" s="32"/>
      <c r="N128" s="29"/>
      <c r="O128" s="10"/>
      <c r="P128" s="10"/>
      <c r="Q128" s="35"/>
      <c r="R128" s="29"/>
      <c r="S128" s="10"/>
      <c r="T128" s="10"/>
      <c r="U128" s="10"/>
      <c r="V128" s="10"/>
      <c r="W128" s="10"/>
      <c r="X128" s="10"/>
      <c r="Y128" s="10"/>
      <c r="Z128" s="35"/>
      <c r="AA128" s="29"/>
      <c r="AB128" s="8"/>
      <c r="AC128" s="26"/>
      <c r="AD128" s="24">
        <f t="shared" si="3"/>
        <v>0</v>
      </c>
      <c r="AE128" s="24">
        <f t="shared" si="4"/>
        <v>0</v>
      </c>
      <c r="AF128" s="24">
        <f t="shared" si="5"/>
        <v>0</v>
      </c>
      <c r="AG128" s="41" t="str" cm="1">
        <f t="array" ref="AG128">_xlfn.IFS(
SUM(AD128:AF128)=0,"Not Started",
SUM(AD128:AF128)&lt;15,"In Progress",
SUM(AD128:AF128)=15,"Completed",
SUM(AD128:AF128)&gt;15,"Error"
)</f>
        <v>Not Started</v>
      </c>
    </row>
    <row r="129" spans="1:33" ht="13" x14ac:dyDescent="0.3">
      <c r="A129" s="248"/>
      <c r="B129" s="7" t="s">
        <v>2387</v>
      </c>
      <c r="C129" s="205" t="s">
        <v>8703</v>
      </c>
      <c r="D129" s="77" t="s">
        <v>11441</v>
      </c>
      <c r="E129" s="138" t="s">
        <v>10612</v>
      </c>
      <c r="F129" s="138" t="s">
        <v>10907</v>
      </c>
      <c r="G129" s="138" t="s">
        <v>10614</v>
      </c>
      <c r="H129" s="214" t="s">
        <v>11419</v>
      </c>
      <c r="I129" s="138" t="s">
        <v>11442</v>
      </c>
      <c r="J129" s="138" t="s">
        <v>11443</v>
      </c>
      <c r="K129" s="138">
        <v>10041789382</v>
      </c>
      <c r="L129" s="204">
        <v>46146</v>
      </c>
      <c r="M129" s="32"/>
      <c r="N129" s="29"/>
      <c r="O129" s="10"/>
      <c r="P129" s="10"/>
      <c r="Q129" s="35"/>
      <c r="R129" s="29"/>
      <c r="S129" s="10"/>
      <c r="T129" s="10"/>
      <c r="U129" s="10"/>
      <c r="V129" s="10"/>
      <c r="W129" s="10"/>
      <c r="X129" s="10"/>
      <c r="Y129" s="10"/>
      <c r="Z129" s="35"/>
      <c r="AA129" s="29"/>
      <c r="AB129" s="8"/>
      <c r="AC129" s="26"/>
      <c r="AD129" s="24">
        <f t="shared" si="3"/>
        <v>0</v>
      </c>
      <c r="AE129" s="24">
        <f t="shared" si="4"/>
        <v>0</v>
      </c>
      <c r="AF129" s="24">
        <f t="shared" si="5"/>
        <v>0</v>
      </c>
      <c r="AG129" s="41" t="str" cm="1">
        <f t="array" ref="AG129">_xlfn.IFS(
SUM(AD129:AF129)=0,"Not Started",
SUM(AD129:AF129)&lt;15,"In Progress",
SUM(AD129:AF129)=15,"Completed",
SUM(AD129:AF129)&gt;15,"Error"
)</f>
        <v>Not Started</v>
      </c>
    </row>
    <row r="130" spans="1:33" ht="13" x14ac:dyDescent="0.3">
      <c r="A130" s="248"/>
      <c r="B130" s="14" t="s">
        <v>2388</v>
      </c>
      <c r="C130" s="205" t="s">
        <v>11444</v>
      </c>
      <c r="D130" s="77" t="s">
        <v>11445</v>
      </c>
      <c r="E130" s="138" t="s">
        <v>10676</v>
      </c>
      <c r="F130" s="138" t="s">
        <v>10907</v>
      </c>
      <c r="G130" s="138" t="s">
        <v>10614</v>
      </c>
      <c r="H130" s="214" t="s">
        <v>11419</v>
      </c>
      <c r="I130" s="138" t="s">
        <v>11446</v>
      </c>
      <c r="J130" s="138" t="s">
        <v>11447</v>
      </c>
      <c r="K130" s="138">
        <v>10083698620</v>
      </c>
      <c r="L130" s="204">
        <v>46146</v>
      </c>
      <c r="M130" s="32"/>
      <c r="N130" s="29"/>
      <c r="O130" s="10"/>
      <c r="P130" s="10"/>
      <c r="Q130" s="35"/>
      <c r="R130" s="29"/>
      <c r="S130" s="10"/>
      <c r="T130" s="10"/>
      <c r="U130" s="10"/>
      <c r="V130" s="10"/>
      <c r="W130" s="10"/>
      <c r="X130" s="10"/>
      <c r="Y130" s="10"/>
      <c r="Z130" s="35"/>
      <c r="AA130" s="29"/>
      <c r="AB130" s="8"/>
      <c r="AC130" s="26"/>
      <c r="AD130" s="24">
        <f t="shared" si="3"/>
        <v>0</v>
      </c>
      <c r="AE130" s="24">
        <f t="shared" si="4"/>
        <v>0</v>
      </c>
      <c r="AF130" s="24">
        <f t="shared" si="5"/>
        <v>0</v>
      </c>
      <c r="AG130" s="41" t="str" cm="1">
        <f t="array" ref="AG130">_xlfn.IFS(
SUM(AD130:AF130)=0,"Not Started",
SUM(AD130:AF130)&lt;15,"In Progress",
SUM(AD130:AF130)=15,"Completed",
SUM(AD130:AF130)&gt;15,"Error"
)</f>
        <v>Not Started</v>
      </c>
    </row>
    <row r="131" spans="1:33" ht="13" x14ac:dyDescent="0.3">
      <c r="A131" s="248"/>
      <c r="B131" s="7" t="s">
        <v>2389</v>
      </c>
      <c r="C131" s="205" t="s">
        <v>11448</v>
      </c>
      <c r="D131" s="77" t="s">
        <v>11449</v>
      </c>
      <c r="E131" s="138" t="s">
        <v>10612</v>
      </c>
      <c r="F131" s="138" t="s">
        <v>10613</v>
      </c>
      <c r="G131" s="138" t="s">
        <v>10614</v>
      </c>
      <c r="H131" s="214" t="s">
        <v>11419</v>
      </c>
      <c r="I131" s="138" t="s">
        <v>11450</v>
      </c>
      <c r="J131" s="138" t="s">
        <v>11451</v>
      </c>
      <c r="K131" s="138">
        <v>10041199475</v>
      </c>
      <c r="L131" s="204">
        <v>46147</v>
      </c>
      <c r="M131" s="32"/>
      <c r="N131" s="29"/>
      <c r="O131" s="10"/>
      <c r="P131" s="10"/>
      <c r="Q131" s="35"/>
      <c r="R131" s="29"/>
      <c r="S131" s="10"/>
      <c r="T131" s="10"/>
      <c r="U131" s="10"/>
      <c r="V131" s="10"/>
      <c r="W131" s="10"/>
      <c r="X131" s="10"/>
      <c r="Y131" s="10"/>
      <c r="Z131" s="35"/>
      <c r="AA131" s="29"/>
      <c r="AB131" s="8"/>
      <c r="AC131" s="26"/>
      <c r="AD131" s="24">
        <f t="shared" si="3"/>
        <v>0</v>
      </c>
      <c r="AE131" s="24">
        <f t="shared" si="4"/>
        <v>0</v>
      </c>
      <c r="AF131" s="24">
        <f t="shared" si="5"/>
        <v>0</v>
      </c>
      <c r="AG131" s="41" t="str" cm="1">
        <f t="array" ref="AG131">_xlfn.IFS(
SUM(AD131:AF131)=0,"Not Started",
SUM(AD131:AF131)&lt;15,"In Progress",
SUM(AD131:AF131)=15,"Completed",
SUM(AD131:AF131)&gt;15,"Error"
)</f>
        <v>Not Started</v>
      </c>
    </row>
    <row r="132" spans="1:33" ht="13" x14ac:dyDescent="0.3">
      <c r="A132" s="248"/>
      <c r="B132" s="14" t="s">
        <v>2390</v>
      </c>
      <c r="C132" s="205" t="s">
        <v>11452</v>
      </c>
      <c r="D132" s="77" t="s">
        <v>11453</v>
      </c>
      <c r="E132" s="138" t="s">
        <v>10612</v>
      </c>
      <c r="F132" s="138" t="s">
        <v>10613</v>
      </c>
      <c r="G132" s="138" t="s">
        <v>10614</v>
      </c>
      <c r="H132" s="214" t="s">
        <v>11419</v>
      </c>
      <c r="I132" s="138" t="s">
        <v>11454</v>
      </c>
      <c r="J132" s="138" t="s">
        <v>11455</v>
      </c>
      <c r="K132" s="138">
        <v>10041435699</v>
      </c>
      <c r="L132" s="204">
        <v>46147</v>
      </c>
      <c r="M132" s="32"/>
      <c r="N132" s="29"/>
      <c r="O132" s="10"/>
      <c r="P132" s="10"/>
      <c r="Q132" s="35"/>
      <c r="R132" s="29"/>
      <c r="S132" s="10"/>
      <c r="T132" s="10"/>
      <c r="U132" s="10"/>
      <c r="V132" s="10"/>
      <c r="W132" s="10"/>
      <c r="X132" s="10"/>
      <c r="Y132" s="10"/>
      <c r="Z132" s="35"/>
      <c r="AA132" s="29"/>
      <c r="AB132" s="8"/>
      <c r="AC132" s="26"/>
      <c r="AD132" s="24">
        <f t="shared" si="3"/>
        <v>0</v>
      </c>
      <c r="AE132" s="24">
        <f t="shared" si="4"/>
        <v>0</v>
      </c>
      <c r="AF132" s="24">
        <f t="shared" si="5"/>
        <v>0</v>
      </c>
      <c r="AG132" s="41" t="str" cm="1">
        <f t="array" ref="AG132">_xlfn.IFS(
SUM(AD132:AF132)=0,"Not Started",
SUM(AD132:AF132)&lt;15,"In Progress",
SUM(AD132:AF132)=15,"Completed",
SUM(AD132:AF132)&gt;15,"Error"
)</f>
        <v>Not Started</v>
      </c>
    </row>
    <row r="133" spans="1:33" ht="13" x14ac:dyDescent="0.3">
      <c r="A133" s="248"/>
      <c r="B133" s="7" t="s">
        <v>2391</v>
      </c>
      <c r="C133" s="205" t="s">
        <v>11456</v>
      </c>
      <c r="D133" s="77" t="s">
        <v>11457</v>
      </c>
      <c r="E133" s="138" t="s">
        <v>10631</v>
      </c>
      <c r="F133" s="138" t="s">
        <v>10613</v>
      </c>
      <c r="G133" s="138" t="s">
        <v>10614</v>
      </c>
      <c r="H133" s="214" t="s">
        <v>11419</v>
      </c>
      <c r="I133" s="138" t="s">
        <v>11458</v>
      </c>
      <c r="J133" s="138" t="s">
        <v>11459</v>
      </c>
      <c r="K133" s="138">
        <v>10041199878</v>
      </c>
      <c r="L133" s="204">
        <v>46147</v>
      </c>
      <c r="M133" s="32"/>
      <c r="N133" s="29"/>
      <c r="O133" s="10"/>
      <c r="P133" s="10"/>
      <c r="Q133" s="35"/>
      <c r="R133" s="29"/>
      <c r="S133" s="10"/>
      <c r="T133" s="10"/>
      <c r="U133" s="10"/>
      <c r="V133" s="10"/>
      <c r="W133" s="10"/>
      <c r="X133" s="10"/>
      <c r="Y133" s="10"/>
      <c r="Z133" s="35"/>
      <c r="AA133" s="29"/>
      <c r="AB133" s="8"/>
      <c r="AC133" s="26"/>
      <c r="AD133" s="24">
        <f t="shared" ref="AD133:AD196" si="6">COUNTIF(N133:AB133,$AD$2)</f>
        <v>0</v>
      </c>
      <c r="AE133" s="24">
        <f t="shared" ref="AE133:AE196" si="7">COUNTIF(N133:AB133,$AE$2)</f>
        <v>0</v>
      </c>
      <c r="AF133" s="24">
        <f t="shared" ref="AF133:AF196" si="8">COUNTIF(N133:AB133,$AF$2)</f>
        <v>0</v>
      </c>
      <c r="AG133" s="41" t="str" cm="1">
        <f t="array" ref="AG133">_xlfn.IFS(
SUM(AD133:AF133)=0,"Not Started",
SUM(AD133:AF133)&lt;15,"In Progress",
SUM(AD133:AF133)=15,"Completed",
SUM(AD133:AF133)&gt;15,"Error"
)</f>
        <v>Not Started</v>
      </c>
    </row>
    <row r="134" spans="1:33" ht="13" x14ac:dyDescent="0.3">
      <c r="A134" s="248"/>
      <c r="B134" s="14" t="s">
        <v>2392</v>
      </c>
      <c r="C134" s="205" t="s">
        <v>11460</v>
      </c>
      <c r="D134" s="77" t="s">
        <v>11461</v>
      </c>
      <c r="E134" s="138" t="s">
        <v>10612</v>
      </c>
      <c r="F134" s="138" t="s">
        <v>10613</v>
      </c>
      <c r="G134" s="138" t="s">
        <v>10614</v>
      </c>
      <c r="H134" s="214" t="s">
        <v>11419</v>
      </c>
      <c r="I134" s="138" t="s">
        <v>11462</v>
      </c>
      <c r="J134" s="138" t="s">
        <v>11463</v>
      </c>
      <c r="K134" s="138">
        <v>10041674956</v>
      </c>
      <c r="L134" s="204">
        <v>46147</v>
      </c>
      <c r="M134" s="32"/>
      <c r="N134" s="29"/>
      <c r="O134" s="10"/>
      <c r="P134" s="10"/>
      <c r="Q134" s="35"/>
      <c r="R134" s="29"/>
      <c r="S134" s="10"/>
      <c r="T134" s="10"/>
      <c r="U134" s="10"/>
      <c r="V134" s="10"/>
      <c r="W134" s="10"/>
      <c r="X134" s="10"/>
      <c r="Y134" s="10"/>
      <c r="Z134" s="35"/>
      <c r="AA134" s="29"/>
      <c r="AB134" s="8"/>
      <c r="AC134" s="26"/>
      <c r="AD134" s="24">
        <f t="shared" si="6"/>
        <v>0</v>
      </c>
      <c r="AE134" s="24">
        <f t="shared" si="7"/>
        <v>0</v>
      </c>
      <c r="AF134" s="24">
        <f t="shared" si="8"/>
        <v>0</v>
      </c>
      <c r="AG134" s="41" t="str" cm="1">
        <f t="array" ref="AG134">_xlfn.IFS(
SUM(AD134:AF134)=0,"Not Started",
SUM(AD134:AF134)&lt;15,"In Progress",
SUM(AD134:AF134)=15,"Completed",
SUM(AD134:AF134)&gt;15,"Error"
)</f>
        <v>Not Started</v>
      </c>
    </row>
    <row r="135" spans="1:33" ht="13" x14ac:dyDescent="0.3">
      <c r="A135" s="248"/>
      <c r="B135" s="7" t="s">
        <v>2393</v>
      </c>
      <c r="C135" s="205" t="s">
        <v>11464</v>
      </c>
      <c r="D135" s="77" t="s">
        <v>11465</v>
      </c>
      <c r="E135" s="138" t="s">
        <v>10612</v>
      </c>
      <c r="F135" s="138" t="s">
        <v>10907</v>
      </c>
      <c r="G135" s="138" t="s">
        <v>10614</v>
      </c>
      <c r="H135" s="214" t="s">
        <v>11419</v>
      </c>
      <c r="I135" s="138" t="s">
        <v>11466</v>
      </c>
      <c r="J135" s="138" t="s">
        <v>11467</v>
      </c>
      <c r="K135" s="138">
        <v>10041611544</v>
      </c>
      <c r="L135" s="204">
        <v>46147</v>
      </c>
      <c r="M135" s="32"/>
      <c r="N135" s="29"/>
      <c r="O135" s="10"/>
      <c r="P135" s="10"/>
      <c r="Q135" s="35"/>
      <c r="R135" s="29"/>
      <c r="S135" s="10"/>
      <c r="T135" s="10"/>
      <c r="U135" s="10"/>
      <c r="V135" s="10"/>
      <c r="W135" s="10"/>
      <c r="X135" s="10"/>
      <c r="Y135" s="10"/>
      <c r="Z135" s="35"/>
      <c r="AA135" s="29"/>
      <c r="AB135" s="8"/>
      <c r="AC135" s="26"/>
      <c r="AD135" s="24">
        <f t="shared" si="6"/>
        <v>0</v>
      </c>
      <c r="AE135" s="24">
        <f t="shared" si="7"/>
        <v>0</v>
      </c>
      <c r="AF135" s="24">
        <f t="shared" si="8"/>
        <v>0</v>
      </c>
      <c r="AG135" s="41" t="str" cm="1">
        <f t="array" ref="AG135">_xlfn.IFS(
SUM(AD135:AF135)=0,"Not Started",
SUM(AD135:AF135)&lt;15,"In Progress",
SUM(AD135:AF135)=15,"Completed",
SUM(AD135:AF135)&gt;15,"Error"
)</f>
        <v>Not Started</v>
      </c>
    </row>
    <row r="136" spans="1:33" ht="13" x14ac:dyDescent="0.3">
      <c r="A136" s="248"/>
      <c r="B136" s="14" t="s">
        <v>2394</v>
      </c>
      <c r="C136" s="205" t="s">
        <v>11468</v>
      </c>
      <c r="D136" s="77" t="s">
        <v>11469</v>
      </c>
      <c r="E136" s="138" t="s">
        <v>10612</v>
      </c>
      <c r="F136" s="138" t="s">
        <v>10907</v>
      </c>
      <c r="G136" s="138" t="s">
        <v>10614</v>
      </c>
      <c r="H136" s="214" t="s">
        <v>11419</v>
      </c>
      <c r="I136" s="138" t="s">
        <v>11470</v>
      </c>
      <c r="J136" s="138" t="s">
        <v>11471</v>
      </c>
      <c r="K136" s="138">
        <v>10041292461</v>
      </c>
      <c r="L136" s="204">
        <v>46147</v>
      </c>
      <c r="M136" s="32"/>
      <c r="N136" s="29"/>
      <c r="O136" s="10"/>
      <c r="P136" s="10"/>
      <c r="Q136" s="35"/>
      <c r="R136" s="29"/>
      <c r="S136" s="10"/>
      <c r="T136" s="10"/>
      <c r="U136" s="10"/>
      <c r="V136" s="10"/>
      <c r="W136" s="10"/>
      <c r="X136" s="10"/>
      <c r="Y136" s="10"/>
      <c r="Z136" s="35"/>
      <c r="AA136" s="29"/>
      <c r="AB136" s="8"/>
      <c r="AC136" s="26"/>
      <c r="AD136" s="24">
        <f t="shared" si="6"/>
        <v>0</v>
      </c>
      <c r="AE136" s="24">
        <f t="shared" si="7"/>
        <v>0</v>
      </c>
      <c r="AF136" s="24">
        <f t="shared" si="8"/>
        <v>0</v>
      </c>
      <c r="AG136" s="41" t="str" cm="1">
        <f t="array" ref="AG136">_xlfn.IFS(
SUM(AD136:AF136)=0,"Not Started",
SUM(AD136:AF136)&lt;15,"In Progress",
SUM(AD136:AF136)=15,"Completed",
SUM(AD136:AF136)&gt;15,"Error"
)</f>
        <v>Not Started</v>
      </c>
    </row>
    <row r="137" spans="1:33" ht="13" x14ac:dyDescent="0.3">
      <c r="A137" s="248"/>
      <c r="B137" s="7" t="s">
        <v>2395</v>
      </c>
      <c r="C137" s="205" t="s">
        <v>11472</v>
      </c>
      <c r="D137" s="77" t="s">
        <v>11473</v>
      </c>
      <c r="E137" s="138" t="s">
        <v>10612</v>
      </c>
      <c r="F137" s="138" t="s">
        <v>10907</v>
      </c>
      <c r="G137" s="138" t="s">
        <v>10614</v>
      </c>
      <c r="H137" s="214" t="s">
        <v>11419</v>
      </c>
      <c r="I137" s="138" t="s">
        <v>11474</v>
      </c>
      <c r="J137" s="138" t="s">
        <v>11475</v>
      </c>
      <c r="K137" s="138">
        <v>10089461546</v>
      </c>
      <c r="L137" s="204">
        <v>46147</v>
      </c>
      <c r="M137" s="32"/>
      <c r="N137" s="29"/>
      <c r="O137" s="10"/>
      <c r="P137" s="10"/>
      <c r="Q137" s="35"/>
      <c r="R137" s="29"/>
      <c r="S137" s="10"/>
      <c r="T137" s="10"/>
      <c r="U137" s="10"/>
      <c r="V137" s="10"/>
      <c r="W137" s="10"/>
      <c r="X137" s="10"/>
      <c r="Y137" s="10"/>
      <c r="Z137" s="35"/>
      <c r="AA137" s="29"/>
      <c r="AB137" s="8"/>
      <c r="AC137" s="26"/>
      <c r="AD137" s="24">
        <f t="shared" si="6"/>
        <v>0</v>
      </c>
      <c r="AE137" s="24">
        <f t="shared" si="7"/>
        <v>0</v>
      </c>
      <c r="AF137" s="24">
        <f t="shared" si="8"/>
        <v>0</v>
      </c>
      <c r="AG137" s="41" t="str" cm="1">
        <f t="array" ref="AG137">_xlfn.IFS(
SUM(AD137:AF137)=0,"Not Started",
SUM(AD137:AF137)&lt;15,"In Progress",
SUM(AD137:AF137)=15,"Completed",
SUM(AD137:AF137)&gt;15,"Error"
)</f>
        <v>Not Started</v>
      </c>
    </row>
    <row r="138" spans="1:33" ht="13" x14ac:dyDescent="0.3">
      <c r="A138" s="248"/>
      <c r="B138" s="14" t="s">
        <v>2396</v>
      </c>
      <c r="C138" s="205" t="s">
        <v>11476</v>
      </c>
      <c r="D138" s="77" t="s">
        <v>11477</v>
      </c>
      <c r="E138" s="138" t="s">
        <v>10612</v>
      </c>
      <c r="F138" s="138" t="s">
        <v>10907</v>
      </c>
      <c r="G138" s="138" t="s">
        <v>10614</v>
      </c>
      <c r="H138" s="214" t="s">
        <v>11419</v>
      </c>
      <c r="I138" s="138" t="s">
        <v>11478</v>
      </c>
      <c r="J138" s="138" t="s">
        <v>11479</v>
      </c>
      <c r="K138" s="138">
        <v>10041707691</v>
      </c>
      <c r="L138" s="204">
        <v>46147</v>
      </c>
      <c r="M138" s="32"/>
      <c r="N138" s="29"/>
      <c r="O138" s="10"/>
      <c r="P138" s="10"/>
      <c r="Q138" s="35"/>
      <c r="R138" s="29"/>
      <c r="S138" s="10"/>
      <c r="T138" s="10"/>
      <c r="U138" s="10"/>
      <c r="V138" s="10"/>
      <c r="W138" s="10"/>
      <c r="X138" s="10"/>
      <c r="Y138" s="10"/>
      <c r="Z138" s="35"/>
      <c r="AA138" s="37"/>
      <c r="AB138" s="8"/>
      <c r="AC138" s="26"/>
      <c r="AD138" s="24">
        <f t="shared" si="6"/>
        <v>0</v>
      </c>
      <c r="AE138" s="24">
        <f t="shared" si="7"/>
        <v>0</v>
      </c>
      <c r="AF138" s="24">
        <f t="shared" si="8"/>
        <v>0</v>
      </c>
      <c r="AG138" s="41" t="str" cm="1">
        <f t="array" ref="AG138">_xlfn.IFS(
SUM(AD138:AF138)=0,"Not Started",
SUM(AD138:AF138)&lt;15,"In Progress",
SUM(AD138:AF138)=15,"Completed",
SUM(AD138:AF138)&gt;15,"Error"
)</f>
        <v>Not Started</v>
      </c>
    </row>
    <row r="139" spans="1:33" ht="13" x14ac:dyDescent="0.25">
      <c r="A139" s="248"/>
      <c r="B139" s="7" t="s">
        <v>2397</v>
      </c>
      <c r="C139" s="205" t="s">
        <v>11481</v>
      </c>
      <c r="D139" s="77" t="s">
        <v>11482</v>
      </c>
      <c r="E139" s="138" t="s">
        <v>9670</v>
      </c>
      <c r="F139" s="138" t="s">
        <v>10907</v>
      </c>
      <c r="G139" s="138" t="s">
        <v>10614</v>
      </c>
      <c r="H139" s="138" t="s">
        <v>11419</v>
      </c>
      <c r="I139" s="138" t="s">
        <v>11483</v>
      </c>
      <c r="J139" s="138" t="s">
        <v>11484</v>
      </c>
      <c r="K139" s="138">
        <v>10097255918</v>
      </c>
      <c r="L139" s="204">
        <v>46148</v>
      </c>
      <c r="M139" s="32"/>
      <c r="N139" s="29"/>
      <c r="O139" s="10"/>
      <c r="P139" s="10"/>
      <c r="Q139" s="35"/>
      <c r="R139" s="29"/>
      <c r="S139" s="10"/>
      <c r="T139" s="10"/>
      <c r="U139" s="10"/>
      <c r="V139" s="10"/>
      <c r="W139" s="10"/>
      <c r="X139" s="10"/>
      <c r="Y139" s="10"/>
      <c r="Z139" s="35"/>
      <c r="AA139" s="37"/>
      <c r="AB139" s="8"/>
      <c r="AC139" s="26"/>
      <c r="AD139" s="24">
        <f t="shared" si="6"/>
        <v>0</v>
      </c>
      <c r="AE139" s="24">
        <f t="shared" si="7"/>
        <v>0</v>
      </c>
      <c r="AF139" s="24">
        <f t="shared" si="8"/>
        <v>0</v>
      </c>
      <c r="AG139" s="41" t="str" cm="1">
        <f t="array" ref="AG139">_xlfn.IFS(
SUM(AD139:AF139)=0,"Not Started",
SUM(AD139:AF139)&lt;15,"In Progress",
SUM(AD139:AF139)=15,"Completed",
SUM(AD139:AF139)&gt;15,"Error"
)</f>
        <v>Not Started</v>
      </c>
    </row>
    <row r="140" spans="1:33" ht="13" x14ac:dyDescent="0.25">
      <c r="A140" s="248"/>
      <c r="B140" s="14" t="s">
        <v>2398</v>
      </c>
      <c r="C140" s="205" t="s">
        <v>8685</v>
      </c>
      <c r="D140" s="77" t="s">
        <v>8105</v>
      </c>
      <c r="E140" s="138" t="s">
        <v>10612</v>
      </c>
      <c r="F140" s="138" t="s">
        <v>10907</v>
      </c>
      <c r="G140" s="138" t="s">
        <v>10614</v>
      </c>
      <c r="H140" s="138" t="s">
        <v>11419</v>
      </c>
      <c r="I140" s="138" t="s">
        <v>11485</v>
      </c>
      <c r="J140" s="138" t="s">
        <v>11486</v>
      </c>
      <c r="K140" s="138">
        <v>10041778235</v>
      </c>
      <c r="L140" s="204">
        <v>46148</v>
      </c>
      <c r="M140" s="32"/>
      <c r="N140" s="29"/>
      <c r="O140" s="10"/>
      <c r="P140" s="10"/>
      <c r="Q140" s="35"/>
      <c r="R140" s="29"/>
      <c r="S140" s="10"/>
      <c r="T140" s="10"/>
      <c r="U140" s="10"/>
      <c r="V140" s="10"/>
      <c r="W140" s="10"/>
      <c r="X140" s="10"/>
      <c r="Y140" s="10"/>
      <c r="Z140" s="35"/>
      <c r="AA140" s="29"/>
      <c r="AB140" s="8"/>
      <c r="AC140" s="26"/>
      <c r="AD140" s="24">
        <f t="shared" si="6"/>
        <v>0</v>
      </c>
      <c r="AE140" s="24">
        <f t="shared" si="7"/>
        <v>0</v>
      </c>
      <c r="AF140" s="24">
        <f t="shared" si="8"/>
        <v>0</v>
      </c>
      <c r="AG140" s="41" t="str" cm="1">
        <f t="array" ref="AG140">_xlfn.IFS(
SUM(AD140:AF140)=0,"Not Started",
SUM(AD140:AF140)&lt;15,"In Progress",
SUM(AD140:AF140)=15,"Completed",
SUM(AD140:AF140)&gt;15,"Error"
)</f>
        <v>Not Started</v>
      </c>
    </row>
    <row r="141" spans="1:33" ht="13" x14ac:dyDescent="0.25">
      <c r="A141" s="248"/>
      <c r="B141" s="7" t="s">
        <v>2399</v>
      </c>
      <c r="C141" s="205" t="s">
        <v>11487</v>
      </c>
      <c r="D141" s="77" t="s">
        <v>11488</v>
      </c>
      <c r="E141" s="138" t="s">
        <v>10631</v>
      </c>
      <c r="F141" s="138" t="s">
        <v>10613</v>
      </c>
      <c r="G141" s="138" t="s">
        <v>10614</v>
      </c>
      <c r="H141" s="138" t="s">
        <v>11419</v>
      </c>
      <c r="I141" s="138" t="s">
        <v>11489</v>
      </c>
      <c r="J141" s="138" t="s">
        <v>11490</v>
      </c>
      <c r="K141" s="138">
        <v>10041970532</v>
      </c>
      <c r="L141" s="204">
        <v>46148</v>
      </c>
      <c r="M141" s="32"/>
      <c r="N141" s="29"/>
      <c r="O141" s="10"/>
      <c r="P141" s="10"/>
      <c r="Q141" s="35"/>
      <c r="R141" s="29"/>
      <c r="S141" s="10"/>
      <c r="T141" s="10"/>
      <c r="U141" s="10"/>
      <c r="V141" s="10"/>
      <c r="W141" s="10"/>
      <c r="X141" s="10"/>
      <c r="Y141" s="10"/>
      <c r="Z141" s="35"/>
      <c r="AA141" s="37"/>
      <c r="AB141" s="8"/>
      <c r="AC141" s="26"/>
      <c r="AD141" s="24">
        <f t="shared" si="6"/>
        <v>0</v>
      </c>
      <c r="AE141" s="24">
        <f t="shared" si="7"/>
        <v>0</v>
      </c>
      <c r="AF141" s="24">
        <f t="shared" si="8"/>
        <v>0</v>
      </c>
      <c r="AG141" s="41" t="str" cm="1">
        <f t="array" ref="AG141">_xlfn.IFS(
SUM(AD141:AF141)=0,"Not Started",
SUM(AD141:AF141)&lt;15,"In Progress",
SUM(AD141:AF141)=15,"Completed",
SUM(AD141:AF141)&gt;15,"Error"
)</f>
        <v>Not Started</v>
      </c>
    </row>
    <row r="142" spans="1:33" ht="13" x14ac:dyDescent="0.25">
      <c r="A142" s="248"/>
      <c r="B142" s="14" t="s">
        <v>2400</v>
      </c>
      <c r="C142" s="205" t="s">
        <v>11491</v>
      </c>
      <c r="D142" s="77" t="s">
        <v>11492</v>
      </c>
      <c r="E142" s="138" t="s">
        <v>10676</v>
      </c>
      <c r="F142" s="138" t="s">
        <v>10613</v>
      </c>
      <c r="G142" s="138" t="s">
        <v>10614</v>
      </c>
      <c r="H142" s="138" t="s">
        <v>11419</v>
      </c>
      <c r="I142" s="138" t="s">
        <v>11493</v>
      </c>
      <c r="J142" s="138" t="s">
        <v>11494</v>
      </c>
      <c r="K142" s="138">
        <v>10097257322</v>
      </c>
      <c r="L142" s="204">
        <v>46148</v>
      </c>
      <c r="M142" s="32"/>
      <c r="N142" s="29"/>
      <c r="O142" s="10"/>
      <c r="P142" s="10"/>
      <c r="Q142" s="35"/>
      <c r="R142" s="29"/>
      <c r="S142" s="10"/>
      <c r="T142" s="10"/>
      <c r="U142" s="10"/>
      <c r="V142" s="10"/>
      <c r="W142" s="10"/>
      <c r="X142" s="10"/>
      <c r="Y142" s="10"/>
      <c r="Z142" s="35"/>
      <c r="AA142" s="29"/>
      <c r="AB142" s="8"/>
      <c r="AC142" s="26"/>
      <c r="AD142" s="24">
        <f t="shared" si="6"/>
        <v>0</v>
      </c>
      <c r="AE142" s="24">
        <f t="shared" si="7"/>
        <v>0</v>
      </c>
      <c r="AF142" s="24">
        <f t="shared" si="8"/>
        <v>0</v>
      </c>
      <c r="AG142" s="41" t="str" cm="1">
        <f t="array" ref="AG142">_xlfn.IFS(
SUM(AD142:AF142)=0,"Not Started",
SUM(AD142:AF142)&lt;15,"In Progress",
SUM(AD142:AF142)=15,"Completed",
SUM(AD142:AF142)&gt;15,"Error"
)</f>
        <v>Not Started</v>
      </c>
    </row>
    <row r="143" spans="1:33" ht="13" x14ac:dyDescent="0.25">
      <c r="A143" s="248"/>
      <c r="B143" s="7" t="s">
        <v>2401</v>
      </c>
      <c r="C143" s="205" t="s">
        <v>11495</v>
      </c>
      <c r="D143" s="77" t="s">
        <v>11496</v>
      </c>
      <c r="E143" s="138" t="s">
        <v>10676</v>
      </c>
      <c r="F143" s="138" t="s">
        <v>10907</v>
      </c>
      <c r="G143" s="138" t="s">
        <v>10614</v>
      </c>
      <c r="H143" s="138" t="s">
        <v>11419</v>
      </c>
      <c r="I143" s="138" t="s">
        <v>11497</v>
      </c>
      <c r="J143" s="138" t="s">
        <v>11498</v>
      </c>
      <c r="K143" s="138">
        <v>10041849346</v>
      </c>
      <c r="L143" s="204">
        <v>46148</v>
      </c>
      <c r="M143" s="32"/>
      <c r="N143" s="29"/>
      <c r="O143" s="10"/>
      <c r="P143" s="10"/>
      <c r="Q143" s="35"/>
      <c r="R143" s="29"/>
      <c r="S143" s="10"/>
      <c r="T143" s="10"/>
      <c r="U143" s="10"/>
      <c r="V143" s="10"/>
      <c r="W143" s="10"/>
      <c r="X143" s="10"/>
      <c r="Y143" s="10"/>
      <c r="Z143" s="35"/>
      <c r="AA143" s="37"/>
      <c r="AB143" s="8"/>
      <c r="AC143" s="26"/>
      <c r="AD143" s="24">
        <f t="shared" si="6"/>
        <v>0</v>
      </c>
      <c r="AE143" s="24">
        <f t="shared" si="7"/>
        <v>0</v>
      </c>
      <c r="AF143" s="24">
        <f t="shared" si="8"/>
        <v>0</v>
      </c>
      <c r="AG143" s="41" t="str" cm="1">
        <f t="array" ref="AG143">_xlfn.IFS(
SUM(AD143:AF143)=0,"Not Started",
SUM(AD143:AF143)&lt;15,"In Progress",
SUM(AD143:AF143)=15,"Completed",
SUM(AD143:AF143)&gt;15,"Error"
)</f>
        <v>Not Started</v>
      </c>
    </row>
    <row r="144" spans="1:33" ht="13" x14ac:dyDescent="0.25">
      <c r="A144" s="248"/>
      <c r="B144" s="14" t="s">
        <v>2402</v>
      </c>
      <c r="C144" s="205" t="s">
        <v>11499</v>
      </c>
      <c r="D144" s="77" t="s">
        <v>11500</v>
      </c>
      <c r="E144" s="138" t="s">
        <v>10612</v>
      </c>
      <c r="F144" s="138" t="s">
        <v>10907</v>
      </c>
      <c r="G144" s="138" t="s">
        <v>10614</v>
      </c>
      <c r="H144" s="138" t="s">
        <v>11419</v>
      </c>
      <c r="I144" s="138" t="s">
        <v>11501</v>
      </c>
      <c r="J144" s="138" t="s">
        <v>11502</v>
      </c>
      <c r="K144" s="138">
        <v>10041657230</v>
      </c>
      <c r="L144" s="204">
        <v>46148</v>
      </c>
      <c r="M144" s="32"/>
      <c r="N144" s="29"/>
      <c r="O144" s="10"/>
      <c r="P144" s="10"/>
      <c r="Q144" s="35"/>
      <c r="R144" s="29"/>
      <c r="S144" s="10"/>
      <c r="T144" s="10"/>
      <c r="U144" s="10"/>
      <c r="V144" s="10"/>
      <c r="W144" s="10"/>
      <c r="X144" s="10"/>
      <c r="Y144" s="10"/>
      <c r="Z144" s="35"/>
      <c r="AA144" s="29"/>
      <c r="AB144" s="8"/>
      <c r="AC144" s="26"/>
      <c r="AD144" s="24">
        <f t="shared" si="6"/>
        <v>0</v>
      </c>
      <c r="AE144" s="24">
        <f t="shared" si="7"/>
        <v>0</v>
      </c>
      <c r="AF144" s="24">
        <f t="shared" si="8"/>
        <v>0</v>
      </c>
      <c r="AG144" s="41" t="str" cm="1">
        <f t="array" ref="AG144">_xlfn.IFS(
SUM(AD144:AF144)=0,"Not Started",
SUM(AD144:AF144)&lt;15,"In Progress",
SUM(AD144:AF144)=15,"Completed",
SUM(AD144:AF144)&gt;15,"Error"
)</f>
        <v>Not Started</v>
      </c>
    </row>
    <row r="145" spans="1:33" ht="13" x14ac:dyDescent="0.25">
      <c r="A145" s="248"/>
      <c r="B145" s="7" t="s">
        <v>2403</v>
      </c>
      <c r="C145" s="205" t="s">
        <v>11503</v>
      </c>
      <c r="D145" s="77" t="s">
        <v>11504</v>
      </c>
      <c r="E145" s="138" t="s">
        <v>10612</v>
      </c>
      <c r="F145" s="138" t="s">
        <v>10907</v>
      </c>
      <c r="G145" s="138" t="s">
        <v>10614</v>
      </c>
      <c r="H145" s="138" t="s">
        <v>11419</v>
      </c>
      <c r="I145" s="138" t="s">
        <v>11505</v>
      </c>
      <c r="J145" s="138" t="s">
        <v>11506</v>
      </c>
      <c r="K145" s="138">
        <v>10041801011</v>
      </c>
      <c r="L145" s="204">
        <v>46148</v>
      </c>
      <c r="M145" s="32"/>
      <c r="N145" s="29"/>
      <c r="O145" s="10"/>
      <c r="P145" s="10"/>
      <c r="Q145" s="35"/>
      <c r="R145" s="29"/>
      <c r="S145" s="10"/>
      <c r="T145" s="10"/>
      <c r="U145" s="10"/>
      <c r="V145" s="10"/>
      <c r="W145" s="10"/>
      <c r="X145" s="10"/>
      <c r="Y145" s="10"/>
      <c r="Z145" s="35"/>
      <c r="AA145" s="37"/>
      <c r="AB145" s="8"/>
      <c r="AC145" s="26"/>
      <c r="AD145" s="24">
        <f t="shared" si="6"/>
        <v>0</v>
      </c>
      <c r="AE145" s="24">
        <f t="shared" si="7"/>
        <v>0</v>
      </c>
      <c r="AF145" s="24">
        <f t="shared" si="8"/>
        <v>0</v>
      </c>
      <c r="AG145" s="41" t="str" cm="1">
        <f t="array" ref="AG145">_xlfn.IFS(
SUM(AD145:AF145)=0,"Not Started",
SUM(AD145:AF145)&lt;15,"In Progress",
SUM(AD145:AF145)=15,"Completed",
SUM(AD145:AF145)&gt;15,"Error"
)</f>
        <v>Not Started</v>
      </c>
    </row>
    <row r="146" spans="1:33" ht="13" x14ac:dyDescent="0.25">
      <c r="A146" s="248"/>
      <c r="B146" s="14" t="s">
        <v>2404</v>
      </c>
      <c r="C146" s="205" t="s">
        <v>11507</v>
      </c>
      <c r="D146" s="77" t="s">
        <v>11508</v>
      </c>
      <c r="E146" s="138" t="s">
        <v>10631</v>
      </c>
      <c r="F146" s="138" t="s">
        <v>10907</v>
      </c>
      <c r="G146" s="138" t="s">
        <v>10614</v>
      </c>
      <c r="H146" s="138" t="s">
        <v>11419</v>
      </c>
      <c r="I146" s="138" t="s">
        <v>11509</v>
      </c>
      <c r="J146" s="138" t="s">
        <v>11510</v>
      </c>
      <c r="K146" s="138">
        <v>10041654416</v>
      </c>
      <c r="L146" s="204">
        <v>46148</v>
      </c>
      <c r="M146" s="32"/>
      <c r="N146" s="29"/>
      <c r="O146" s="10"/>
      <c r="P146" s="10"/>
      <c r="Q146" s="35"/>
      <c r="R146" s="29"/>
      <c r="S146" s="10"/>
      <c r="T146" s="10"/>
      <c r="U146" s="10"/>
      <c r="V146" s="10"/>
      <c r="W146" s="10"/>
      <c r="X146" s="10"/>
      <c r="Y146" s="10"/>
      <c r="Z146" s="35"/>
      <c r="AA146" s="37"/>
      <c r="AB146" s="8"/>
      <c r="AC146" s="26"/>
      <c r="AD146" s="24">
        <f t="shared" si="6"/>
        <v>0</v>
      </c>
      <c r="AE146" s="24">
        <f t="shared" si="7"/>
        <v>0</v>
      </c>
      <c r="AF146" s="24">
        <f t="shared" si="8"/>
        <v>0</v>
      </c>
      <c r="AG146" s="41" t="str" cm="1">
        <f t="array" ref="AG146">_xlfn.IFS(
SUM(AD146:AF146)=0,"Not Started",
SUM(AD146:AF146)&lt;15,"In Progress",
SUM(AD146:AF146)=15,"Completed",
SUM(AD146:AF146)&gt;15,"Error"
)</f>
        <v>Not Started</v>
      </c>
    </row>
    <row r="147" spans="1:33" ht="13" x14ac:dyDescent="0.25">
      <c r="A147" s="248"/>
      <c r="B147" s="7" t="s">
        <v>2405</v>
      </c>
      <c r="C147" s="7"/>
      <c r="D147" s="7"/>
      <c r="E147" s="7"/>
      <c r="F147" s="7"/>
      <c r="G147" s="7"/>
      <c r="H147" s="7"/>
      <c r="I147" s="7"/>
      <c r="J147" s="7"/>
      <c r="K147" s="7"/>
      <c r="L147" s="9"/>
      <c r="M147" s="32"/>
      <c r="N147" s="29"/>
      <c r="O147" s="10"/>
      <c r="P147" s="10"/>
      <c r="Q147" s="35"/>
      <c r="R147" s="29"/>
      <c r="S147" s="10"/>
      <c r="T147" s="10"/>
      <c r="U147" s="10"/>
      <c r="V147" s="10"/>
      <c r="W147" s="10"/>
      <c r="X147" s="10"/>
      <c r="Y147" s="10"/>
      <c r="Z147" s="35"/>
      <c r="AA147" s="29"/>
      <c r="AB147" s="8"/>
      <c r="AC147" s="26"/>
      <c r="AD147" s="24">
        <f t="shared" si="6"/>
        <v>0</v>
      </c>
      <c r="AE147" s="24">
        <f t="shared" si="7"/>
        <v>0</v>
      </c>
      <c r="AF147" s="24">
        <f t="shared" si="8"/>
        <v>0</v>
      </c>
      <c r="AG147" s="41" t="str" cm="1">
        <f t="array" ref="AG147">_xlfn.IFS(
SUM(AD147:AF147)=0,"Not Started",
SUM(AD147:AF147)&lt;15,"In Progress",
SUM(AD147:AF147)=15,"Completed",
SUM(AD147:AF147)&gt;15,"Error"
)</f>
        <v>Not Started</v>
      </c>
    </row>
    <row r="148" spans="1:33" ht="13" x14ac:dyDescent="0.25">
      <c r="A148" s="248"/>
      <c r="B148" s="14" t="s">
        <v>2406</v>
      </c>
      <c r="C148" s="7"/>
      <c r="D148" s="7"/>
      <c r="E148" s="7"/>
      <c r="F148" s="7"/>
      <c r="G148" s="7"/>
      <c r="H148" s="7"/>
      <c r="I148" s="7"/>
      <c r="J148" s="7"/>
      <c r="K148" s="7"/>
      <c r="L148" s="9"/>
      <c r="M148" s="32"/>
      <c r="N148" s="29"/>
      <c r="O148" s="10"/>
      <c r="P148" s="10"/>
      <c r="Q148" s="35"/>
      <c r="R148" s="29"/>
      <c r="S148" s="10"/>
      <c r="T148" s="10"/>
      <c r="U148" s="10"/>
      <c r="V148" s="10"/>
      <c r="W148" s="10"/>
      <c r="X148" s="10"/>
      <c r="Y148" s="10"/>
      <c r="Z148" s="35"/>
      <c r="AA148" s="29"/>
      <c r="AB148" s="8"/>
      <c r="AC148" s="26"/>
      <c r="AD148" s="24">
        <f t="shared" si="6"/>
        <v>0</v>
      </c>
      <c r="AE148" s="24">
        <f t="shared" si="7"/>
        <v>0</v>
      </c>
      <c r="AF148" s="24">
        <f t="shared" si="8"/>
        <v>0</v>
      </c>
      <c r="AG148" s="41" t="str" cm="1">
        <f t="array" ref="AG148">_xlfn.IFS(
SUM(AD148:AF148)=0,"Not Started",
SUM(AD148:AF148)&lt;15,"In Progress",
SUM(AD148:AF148)=15,"Completed",
SUM(AD148:AF148)&gt;15,"Error"
)</f>
        <v>Not Started</v>
      </c>
    </row>
    <row r="149" spans="1:33" ht="13" x14ac:dyDescent="0.25">
      <c r="A149" s="248"/>
      <c r="B149" s="7" t="s">
        <v>2407</v>
      </c>
      <c r="C149" s="7"/>
      <c r="D149" s="7"/>
      <c r="E149" s="7"/>
      <c r="F149" s="7"/>
      <c r="G149" s="7"/>
      <c r="H149" s="7"/>
      <c r="I149" s="7"/>
      <c r="J149" s="7"/>
      <c r="K149" s="7"/>
      <c r="L149" s="9"/>
      <c r="M149" s="32"/>
      <c r="N149" s="29"/>
      <c r="O149" s="10"/>
      <c r="P149" s="10"/>
      <c r="Q149" s="35"/>
      <c r="R149" s="29"/>
      <c r="S149" s="10"/>
      <c r="T149" s="10"/>
      <c r="U149" s="10"/>
      <c r="V149" s="10"/>
      <c r="W149" s="10"/>
      <c r="X149" s="10"/>
      <c r="Y149" s="10"/>
      <c r="Z149" s="35"/>
      <c r="AA149" s="37"/>
      <c r="AB149" s="8"/>
      <c r="AC149" s="26"/>
      <c r="AD149" s="24">
        <f t="shared" si="6"/>
        <v>0</v>
      </c>
      <c r="AE149" s="24">
        <f t="shared" si="7"/>
        <v>0</v>
      </c>
      <c r="AF149" s="24">
        <f t="shared" si="8"/>
        <v>0</v>
      </c>
      <c r="AG149" s="41" t="str" cm="1">
        <f t="array" ref="AG149">_xlfn.IFS(
SUM(AD149:AF149)=0,"Not Started",
SUM(AD149:AF149)&lt;15,"In Progress",
SUM(AD149:AF149)=15,"Completed",
SUM(AD149:AF149)&gt;15,"Error"
)</f>
        <v>Not Started</v>
      </c>
    </row>
    <row r="150" spans="1:33" ht="13" x14ac:dyDescent="0.25">
      <c r="A150" s="248"/>
      <c r="B150" s="14" t="s">
        <v>2408</v>
      </c>
      <c r="C150" s="7"/>
      <c r="D150" s="7"/>
      <c r="E150" s="7"/>
      <c r="F150" s="7"/>
      <c r="G150" s="7"/>
      <c r="H150" s="7"/>
      <c r="I150" s="7"/>
      <c r="J150" s="7"/>
      <c r="K150" s="7"/>
      <c r="L150" s="9"/>
      <c r="M150" s="32"/>
      <c r="N150" s="29"/>
      <c r="O150" s="10"/>
      <c r="P150" s="10"/>
      <c r="Q150" s="35"/>
      <c r="R150" s="29"/>
      <c r="S150" s="10"/>
      <c r="T150" s="10"/>
      <c r="U150" s="10"/>
      <c r="V150" s="10"/>
      <c r="W150" s="10"/>
      <c r="X150" s="10"/>
      <c r="Y150" s="10"/>
      <c r="Z150" s="35"/>
      <c r="AA150" s="37"/>
      <c r="AB150" s="8"/>
      <c r="AC150" s="26"/>
      <c r="AD150" s="24">
        <f t="shared" si="6"/>
        <v>0</v>
      </c>
      <c r="AE150" s="24">
        <f t="shared" si="7"/>
        <v>0</v>
      </c>
      <c r="AF150" s="24">
        <f t="shared" si="8"/>
        <v>0</v>
      </c>
      <c r="AG150" s="41" t="str" cm="1">
        <f t="array" ref="AG150">_xlfn.IFS(
SUM(AD150:AF150)=0,"Not Started",
SUM(AD150:AF150)&lt;15,"In Progress",
SUM(AD150:AF150)=15,"Completed",
SUM(AD150:AF150)&gt;15,"Error"
)</f>
        <v>Not Started</v>
      </c>
    </row>
    <row r="151" spans="1:33" ht="13" x14ac:dyDescent="0.25">
      <c r="A151" s="248"/>
      <c r="B151" s="7" t="s">
        <v>2409</v>
      </c>
      <c r="C151" s="7"/>
      <c r="D151" s="7"/>
      <c r="E151" s="7"/>
      <c r="F151" s="7"/>
      <c r="G151" s="7"/>
      <c r="H151" s="7"/>
      <c r="I151" s="7"/>
      <c r="J151" s="7"/>
      <c r="K151" s="7"/>
      <c r="L151" s="9"/>
      <c r="M151" s="32"/>
      <c r="N151" s="29"/>
      <c r="O151" s="10"/>
      <c r="P151" s="10"/>
      <c r="Q151" s="35"/>
      <c r="R151" s="29"/>
      <c r="S151" s="10"/>
      <c r="T151" s="10"/>
      <c r="U151" s="10"/>
      <c r="V151" s="10"/>
      <c r="W151" s="10"/>
      <c r="X151" s="10"/>
      <c r="Y151" s="10"/>
      <c r="Z151" s="35"/>
      <c r="AA151" s="29"/>
      <c r="AB151" s="8"/>
      <c r="AC151" s="26"/>
      <c r="AD151" s="24">
        <f t="shared" si="6"/>
        <v>0</v>
      </c>
      <c r="AE151" s="24">
        <f t="shared" si="7"/>
        <v>0</v>
      </c>
      <c r="AF151" s="24">
        <f t="shared" si="8"/>
        <v>0</v>
      </c>
      <c r="AG151" s="41" t="str" cm="1">
        <f t="array" ref="AG151">_xlfn.IFS(
SUM(AD151:AF151)=0,"Not Started",
SUM(AD151:AF151)&lt;15,"In Progress",
SUM(AD151:AF151)=15,"Completed",
SUM(AD151:AF151)&gt;15,"Error"
)</f>
        <v>Not Started</v>
      </c>
    </row>
    <row r="152" spans="1:33" ht="13" x14ac:dyDescent="0.25">
      <c r="A152" s="248"/>
      <c r="B152" s="14" t="s">
        <v>2410</v>
      </c>
      <c r="C152" s="7"/>
      <c r="D152" s="7"/>
      <c r="E152" s="7"/>
      <c r="F152" s="7"/>
      <c r="G152" s="7"/>
      <c r="H152" s="7"/>
      <c r="I152" s="7"/>
      <c r="J152" s="7"/>
      <c r="K152" s="7"/>
      <c r="L152" s="9"/>
      <c r="M152" s="32"/>
      <c r="N152" s="29"/>
      <c r="O152" s="10"/>
      <c r="P152" s="10"/>
      <c r="Q152" s="35"/>
      <c r="R152" s="29"/>
      <c r="S152" s="10"/>
      <c r="T152" s="10"/>
      <c r="U152" s="10"/>
      <c r="V152" s="10"/>
      <c r="W152" s="10"/>
      <c r="X152" s="10"/>
      <c r="Y152" s="10"/>
      <c r="Z152" s="35"/>
      <c r="AA152" s="37"/>
      <c r="AB152" s="8"/>
      <c r="AC152" s="26"/>
      <c r="AD152" s="24">
        <f t="shared" si="6"/>
        <v>0</v>
      </c>
      <c r="AE152" s="24">
        <f t="shared" si="7"/>
        <v>0</v>
      </c>
      <c r="AF152" s="24">
        <f t="shared" si="8"/>
        <v>0</v>
      </c>
      <c r="AG152" s="41" t="str" cm="1">
        <f t="array" ref="AG152">_xlfn.IFS(
SUM(AD152:AF152)=0,"Not Started",
SUM(AD152:AF152)&lt;15,"In Progress",
SUM(AD152:AF152)=15,"Completed",
SUM(AD152:AF152)&gt;15,"Error"
)</f>
        <v>Not Started</v>
      </c>
    </row>
    <row r="153" spans="1:33" ht="13" x14ac:dyDescent="0.25">
      <c r="A153" s="248"/>
      <c r="B153" s="7" t="s">
        <v>2411</v>
      </c>
      <c r="C153" s="7"/>
      <c r="D153" s="7"/>
      <c r="E153" s="7"/>
      <c r="F153" s="7"/>
      <c r="G153" s="7"/>
      <c r="H153" s="7"/>
      <c r="I153" s="7"/>
      <c r="J153" s="7"/>
      <c r="K153" s="7"/>
      <c r="L153" s="9"/>
      <c r="M153" s="32"/>
      <c r="N153" s="29"/>
      <c r="O153" s="10"/>
      <c r="P153" s="10"/>
      <c r="Q153" s="35"/>
      <c r="R153" s="29"/>
      <c r="S153" s="10"/>
      <c r="T153" s="10"/>
      <c r="U153" s="10"/>
      <c r="V153" s="10"/>
      <c r="W153" s="10"/>
      <c r="X153" s="10"/>
      <c r="Y153" s="10"/>
      <c r="Z153" s="35"/>
      <c r="AA153" s="29"/>
      <c r="AB153" s="8"/>
      <c r="AC153" s="26"/>
      <c r="AD153" s="24">
        <f t="shared" si="6"/>
        <v>0</v>
      </c>
      <c r="AE153" s="24">
        <f t="shared" si="7"/>
        <v>0</v>
      </c>
      <c r="AF153" s="24">
        <f t="shared" si="8"/>
        <v>0</v>
      </c>
      <c r="AG153" s="41" t="str" cm="1">
        <f t="array" ref="AG153">_xlfn.IFS(
SUM(AD153:AF153)=0,"Not Started",
SUM(AD153:AF153)&lt;15,"In Progress",
SUM(AD153:AF153)=15,"Completed",
SUM(AD153:AF153)&gt;15,"Error"
)</f>
        <v>Not Started</v>
      </c>
    </row>
    <row r="154" spans="1:33" ht="13" x14ac:dyDescent="0.25">
      <c r="A154" s="248"/>
      <c r="B154" s="14" t="s">
        <v>2412</v>
      </c>
      <c r="C154" s="7"/>
      <c r="D154" s="7"/>
      <c r="E154" s="7"/>
      <c r="F154" s="7"/>
      <c r="G154" s="7"/>
      <c r="H154" s="7"/>
      <c r="I154" s="7"/>
      <c r="J154" s="7"/>
      <c r="K154" s="7"/>
      <c r="L154" s="9"/>
      <c r="M154" s="32"/>
      <c r="N154" s="29"/>
      <c r="O154" s="10"/>
      <c r="P154" s="10"/>
      <c r="Q154" s="35"/>
      <c r="R154" s="29"/>
      <c r="S154" s="10"/>
      <c r="T154" s="10"/>
      <c r="U154" s="10"/>
      <c r="V154" s="10"/>
      <c r="W154" s="10"/>
      <c r="X154" s="10"/>
      <c r="Y154" s="10"/>
      <c r="Z154" s="35"/>
      <c r="AA154" s="37"/>
      <c r="AB154" s="8"/>
      <c r="AC154" s="26"/>
      <c r="AD154" s="24">
        <f t="shared" si="6"/>
        <v>0</v>
      </c>
      <c r="AE154" s="24">
        <f t="shared" si="7"/>
        <v>0</v>
      </c>
      <c r="AF154" s="24">
        <f t="shared" si="8"/>
        <v>0</v>
      </c>
      <c r="AG154" s="41" t="str" cm="1">
        <f t="array" ref="AG154">_xlfn.IFS(
SUM(AD154:AF154)=0,"Not Started",
SUM(AD154:AF154)&lt;15,"In Progress",
SUM(AD154:AF154)=15,"Completed",
SUM(AD154:AF154)&gt;15,"Error"
)</f>
        <v>Not Started</v>
      </c>
    </row>
    <row r="155" spans="1:33" ht="13" x14ac:dyDescent="0.25">
      <c r="A155" s="248"/>
      <c r="B155" s="7" t="s">
        <v>2413</v>
      </c>
      <c r="C155" s="7"/>
      <c r="D155" s="7"/>
      <c r="E155" s="7"/>
      <c r="F155" s="7"/>
      <c r="G155" s="7"/>
      <c r="H155" s="7"/>
      <c r="I155" s="7"/>
      <c r="J155" s="7"/>
      <c r="K155" s="7"/>
      <c r="L155" s="9"/>
      <c r="M155" s="32"/>
      <c r="N155" s="29"/>
      <c r="O155" s="10"/>
      <c r="P155" s="10"/>
      <c r="Q155" s="35"/>
      <c r="R155" s="29"/>
      <c r="S155" s="10"/>
      <c r="T155" s="10"/>
      <c r="U155" s="10"/>
      <c r="V155" s="10"/>
      <c r="W155" s="10"/>
      <c r="X155" s="10"/>
      <c r="Y155" s="10"/>
      <c r="Z155" s="35"/>
      <c r="AA155" s="29"/>
      <c r="AB155" s="8"/>
      <c r="AC155" s="26"/>
      <c r="AD155" s="24">
        <f t="shared" si="6"/>
        <v>0</v>
      </c>
      <c r="AE155" s="24">
        <f t="shared" si="7"/>
        <v>0</v>
      </c>
      <c r="AF155" s="24">
        <f t="shared" si="8"/>
        <v>0</v>
      </c>
      <c r="AG155" s="41" t="str" cm="1">
        <f t="array" ref="AG155">_xlfn.IFS(
SUM(AD155:AF155)=0,"Not Started",
SUM(AD155:AF155)&lt;15,"In Progress",
SUM(AD155:AF155)=15,"Completed",
SUM(AD155:AF155)&gt;15,"Error"
)</f>
        <v>Not Started</v>
      </c>
    </row>
    <row r="156" spans="1:33" ht="13" x14ac:dyDescent="0.25">
      <c r="A156" s="248"/>
      <c r="B156" s="14" t="s">
        <v>2414</v>
      </c>
      <c r="C156" s="7"/>
      <c r="D156" s="7"/>
      <c r="E156" s="7"/>
      <c r="F156" s="7"/>
      <c r="G156" s="7"/>
      <c r="H156" s="7"/>
      <c r="I156" s="7"/>
      <c r="J156" s="7"/>
      <c r="K156" s="7"/>
      <c r="L156" s="9"/>
      <c r="M156" s="32"/>
      <c r="N156" s="29"/>
      <c r="O156" s="10"/>
      <c r="P156" s="10"/>
      <c r="Q156" s="35"/>
      <c r="R156" s="29"/>
      <c r="S156" s="10"/>
      <c r="T156" s="10"/>
      <c r="U156" s="10"/>
      <c r="V156" s="10"/>
      <c r="W156" s="10"/>
      <c r="X156" s="10"/>
      <c r="Y156" s="10"/>
      <c r="Z156" s="35"/>
      <c r="AA156" s="29"/>
      <c r="AB156" s="8"/>
      <c r="AC156" s="26"/>
      <c r="AD156" s="24">
        <f t="shared" si="6"/>
        <v>0</v>
      </c>
      <c r="AE156" s="24">
        <f t="shared" si="7"/>
        <v>0</v>
      </c>
      <c r="AF156" s="24">
        <f t="shared" si="8"/>
        <v>0</v>
      </c>
      <c r="AG156" s="41" t="str" cm="1">
        <f t="array" ref="AG156">_xlfn.IFS(
SUM(AD156:AF156)=0,"Not Started",
SUM(AD156:AF156)&lt;15,"In Progress",
SUM(AD156:AF156)=15,"Completed",
SUM(AD156:AF156)&gt;15,"Error"
)</f>
        <v>Not Started</v>
      </c>
    </row>
    <row r="157" spans="1:33" ht="13" x14ac:dyDescent="0.25">
      <c r="A157" s="248"/>
      <c r="B157" s="7" t="s">
        <v>2415</v>
      </c>
      <c r="C157" s="7"/>
      <c r="D157" s="7"/>
      <c r="E157" s="7"/>
      <c r="F157" s="7"/>
      <c r="G157" s="7"/>
      <c r="H157" s="7"/>
      <c r="I157" s="7"/>
      <c r="J157" s="7"/>
      <c r="K157" s="7"/>
      <c r="L157" s="9"/>
      <c r="M157" s="32"/>
      <c r="N157" s="29"/>
      <c r="O157" s="10"/>
      <c r="P157" s="10"/>
      <c r="Q157" s="35"/>
      <c r="R157" s="29"/>
      <c r="S157" s="10"/>
      <c r="T157" s="10"/>
      <c r="U157" s="10"/>
      <c r="V157" s="10"/>
      <c r="W157" s="10"/>
      <c r="X157" s="10"/>
      <c r="Y157" s="10"/>
      <c r="Z157" s="35"/>
      <c r="AA157" s="37"/>
      <c r="AB157" s="8"/>
      <c r="AC157" s="26"/>
      <c r="AD157" s="24">
        <f t="shared" si="6"/>
        <v>0</v>
      </c>
      <c r="AE157" s="24">
        <f t="shared" si="7"/>
        <v>0</v>
      </c>
      <c r="AF157" s="24">
        <f t="shared" si="8"/>
        <v>0</v>
      </c>
      <c r="AG157" s="41" t="str" cm="1">
        <f t="array" ref="AG157">_xlfn.IFS(
SUM(AD157:AF157)=0,"Not Started",
SUM(AD157:AF157)&lt;15,"In Progress",
SUM(AD157:AF157)=15,"Completed",
SUM(AD157:AF157)&gt;15,"Error"
)</f>
        <v>Not Started</v>
      </c>
    </row>
    <row r="158" spans="1:33" ht="13" x14ac:dyDescent="0.25">
      <c r="A158" s="248"/>
      <c r="B158" s="14" t="s">
        <v>2416</v>
      </c>
      <c r="C158" s="7"/>
      <c r="D158" s="7"/>
      <c r="E158" s="7"/>
      <c r="F158" s="7"/>
      <c r="G158" s="7"/>
      <c r="H158" s="7"/>
      <c r="I158" s="7"/>
      <c r="J158" s="7"/>
      <c r="K158" s="7"/>
      <c r="L158" s="9"/>
      <c r="M158" s="32"/>
      <c r="N158" s="29"/>
      <c r="O158" s="10"/>
      <c r="P158" s="10"/>
      <c r="Q158" s="35"/>
      <c r="R158" s="29"/>
      <c r="S158" s="10"/>
      <c r="T158" s="10"/>
      <c r="U158" s="10"/>
      <c r="V158" s="10"/>
      <c r="W158" s="10"/>
      <c r="X158" s="10"/>
      <c r="Y158" s="10"/>
      <c r="Z158" s="35"/>
      <c r="AA158" s="29"/>
      <c r="AB158" s="8"/>
      <c r="AC158" s="26"/>
      <c r="AD158" s="24">
        <f t="shared" si="6"/>
        <v>0</v>
      </c>
      <c r="AE158" s="24">
        <f t="shared" si="7"/>
        <v>0</v>
      </c>
      <c r="AF158" s="24">
        <f t="shared" si="8"/>
        <v>0</v>
      </c>
      <c r="AG158" s="41" t="str" cm="1">
        <f t="array" ref="AG158">_xlfn.IFS(
SUM(AD158:AF158)=0,"Not Started",
SUM(AD158:AF158)&lt;15,"In Progress",
SUM(AD158:AF158)=15,"Completed",
SUM(AD158:AF158)&gt;15,"Error"
)</f>
        <v>Not Started</v>
      </c>
    </row>
    <row r="159" spans="1:33" ht="13" x14ac:dyDescent="0.25">
      <c r="A159" s="248"/>
      <c r="B159" s="7" t="s">
        <v>2417</v>
      </c>
      <c r="C159" s="7"/>
      <c r="D159" s="7"/>
      <c r="E159" s="7"/>
      <c r="F159" s="7"/>
      <c r="G159" s="7"/>
      <c r="H159" s="7"/>
      <c r="I159" s="7"/>
      <c r="J159" s="7"/>
      <c r="K159" s="7"/>
      <c r="L159" s="9"/>
      <c r="M159" s="32"/>
      <c r="N159" s="29"/>
      <c r="O159" s="10"/>
      <c r="P159" s="10"/>
      <c r="Q159" s="35"/>
      <c r="R159" s="29"/>
      <c r="S159" s="10"/>
      <c r="T159" s="10"/>
      <c r="U159" s="10"/>
      <c r="V159" s="10"/>
      <c r="W159" s="10"/>
      <c r="X159" s="10"/>
      <c r="Y159" s="10"/>
      <c r="Z159" s="35"/>
      <c r="AA159" s="37"/>
      <c r="AB159" s="8"/>
      <c r="AC159" s="26"/>
      <c r="AD159" s="24">
        <f t="shared" si="6"/>
        <v>0</v>
      </c>
      <c r="AE159" s="24">
        <f t="shared" si="7"/>
        <v>0</v>
      </c>
      <c r="AF159" s="24">
        <f t="shared" si="8"/>
        <v>0</v>
      </c>
      <c r="AG159" s="41" t="str" cm="1">
        <f t="array" ref="AG159">_xlfn.IFS(
SUM(AD159:AF159)=0,"Not Started",
SUM(AD159:AF159)&lt;15,"In Progress",
SUM(AD159:AF159)=15,"Completed",
SUM(AD159:AF159)&gt;15,"Error"
)</f>
        <v>Not Started</v>
      </c>
    </row>
    <row r="160" spans="1:33" ht="13" x14ac:dyDescent="0.25">
      <c r="A160" s="248"/>
      <c r="B160" s="14" t="s">
        <v>2418</v>
      </c>
      <c r="C160" s="7"/>
      <c r="D160" s="7"/>
      <c r="E160" s="7"/>
      <c r="F160" s="7"/>
      <c r="G160" s="7"/>
      <c r="H160" s="7"/>
      <c r="I160" s="7"/>
      <c r="J160" s="7"/>
      <c r="K160" s="7"/>
      <c r="L160" s="9"/>
      <c r="M160" s="32"/>
      <c r="N160" s="29"/>
      <c r="O160" s="10"/>
      <c r="P160" s="10"/>
      <c r="Q160" s="35"/>
      <c r="R160" s="29"/>
      <c r="S160" s="10"/>
      <c r="T160" s="10"/>
      <c r="U160" s="10"/>
      <c r="V160" s="10"/>
      <c r="W160" s="10"/>
      <c r="X160" s="10"/>
      <c r="Y160" s="10"/>
      <c r="Z160" s="35"/>
      <c r="AA160" s="29"/>
      <c r="AB160" s="8"/>
      <c r="AC160" s="26"/>
      <c r="AD160" s="24">
        <f t="shared" si="6"/>
        <v>0</v>
      </c>
      <c r="AE160" s="24">
        <f t="shared" si="7"/>
        <v>0</v>
      </c>
      <c r="AF160" s="24">
        <f t="shared" si="8"/>
        <v>0</v>
      </c>
      <c r="AG160" s="41" t="str" cm="1">
        <f t="array" ref="AG160">_xlfn.IFS(
SUM(AD160:AF160)=0,"Not Started",
SUM(AD160:AF160)&lt;15,"In Progress",
SUM(AD160:AF160)=15,"Completed",
SUM(AD160:AF160)&gt;15,"Error"
)</f>
        <v>Not Started</v>
      </c>
    </row>
    <row r="161" spans="1:33" ht="13" x14ac:dyDescent="0.25">
      <c r="A161" s="248"/>
      <c r="B161" s="7" t="s">
        <v>2419</v>
      </c>
      <c r="C161" s="7"/>
      <c r="D161" s="7"/>
      <c r="E161" s="7"/>
      <c r="F161" s="7"/>
      <c r="G161" s="7"/>
      <c r="H161" s="7"/>
      <c r="I161" s="7"/>
      <c r="J161" s="7"/>
      <c r="K161" s="7"/>
      <c r="L161" s="9"/>
      <c r="M161" s="32"/>
      <c r="N161" s="29"/>
      <c r="O161" s="10"/>
      <c r="P161" s="10"/>
      <c r="Q161" s="35"/>
      <c r="R161" s="29"/>
      <c r="S161" s="10"/>
      <c r="T161" s="10"/>
      <c r="U161" s="10"/>
      <c r="V161" s="10"/>
      <c r="W161" s="10"/>
      <c r="X161" s="10"/>
      <c r="Y161" s="10"/>
      <c r="Z161" s="35"/>
      <c r="AA161" s="29"/>
      <c r="AB161" s="8"/>
      <c r="AC161" s="26"/>
      <c r="AD161" s="24">
        <f t="shared" si="6"/>
        <v>0</v>
      </c>
      <c r="AE161" s="24">
        <f t="shared" si="7"/>
        <v>0</v>
      </c>
      <c r="AF161" s="24">
        <f t="shared" si="8"/>
        <v>0</v>
      </c>
      <c r="AG161" s="41" t="str" cm="1">
        <f t="array" ref="AG161">_xlfn.IFS(
SUM(AD161:AF161)=0,"Not Started",
SUM(AD161:AF161)&lt;15,"In Progress",
SUM(AD161:AF161)=15,"Completed",
SUM(AD161:AF161)&gt;15,"Error"
)</f>
        <v>Not Started</v>
      </c>
    </row>
    <row r="162" spans="1:33" ht="13" x14ac:dyDescent="0.25">
      <c r="A162" s="248"/>
      <c r="B162" s="14" t="s">
        <v>2420</v>
      </c>
      <c r="C162" s="7"/>
      <c r="D162" s="7"/>
      <c r="E162" s="7"/>
      <c r="F162" s="7"/>
      <c r="G162" s="7"/>
      <c r="H162" s="7"/>
      <c r="I162" s="7"/>
      <c r="J162" s="7"/>
      <c r="K162" s="7"/>
      <c r="L162" s="9"/>
      <c r="M162" s="32"/>
      <c r="N162" s="29"/>
      <c r="O162" s="10"/>
      <c r="P162" s="10"/>
      <c r="Q162" s="35"/>
      <c r="R162" s="29"/>
      <c r="S162" s="10"/>
      <c r="T162" s="10"/>
      <c r="U162" s="10"/>
      <c r="V162" s="10"/>
      <c r="W162" s="10"/>
      <c r="X162" s="10"/>
      <c r="Y162" s="10"/>
      <c r="Z162" s="35"/>
      <c r="AA162" s="37"/>
      <c r="AB162" s="8"/>
      <c r="AC162" s="26"/>
      <c r="AD162" s="24">
        <f t="shared" si="6"/>
        <v>0</v>
      </c>
      <c r="AE162" s="24">
        <f t="shared" si="7"/>
        <v>0</v>
      </c>
      <c r="AF162" s="24">
        <f t="shared" si="8"/>
        <v>0</v>
      </c>
      <c r="AG162" s="41" t="str" cm="1">
        <f t="array" ref="AG162">_xlfn.IFS(
SUM(AD162:AF162)=0,"Not Started",
SUM(AD162:AF162)&lt;15,"In Progress",
SUM(AD162:AF162)=15,"Completed",
SUM(AD162:AF162)&gt;15,"Error"
)</f>
        <v>Not Started</v>
      </c>
    </row>
    <row r="163" spans="1:33" ht="13" x14ac:dyDescent="0.25">
      <c r="A163" s="248"/>
      <c r="B163" s="7" t="s">
        <v>2421</v>
      </c>
      <c r="C163" s="7"/>
      <c r="D163" s="7"/>
      <c r="E163" s="7"/>
      <c r="F163" s="7"/>
      <c r="G163" s="7"/>
      <c r="H163" s="7"/>
      <c r="I163" s="7"/>
      <c r="J163" s="7"/>
      <c r="K163" s="7"/>
      <c r="L163" s="9"/>
      <c r="M163" s="32"/>
      <c r="N163" s="29"/>
      <c r="O163" s="10"/>
      <c r="P163" s="10"/>
      <c r="Q163" s="35"/>
      <c r="R163" s="29"/>
      <c r="S163" s="10"/>
      <c r="T163" s="10"/>
      <c r="U163" s="10"/>
      <c r="V163" s="10"/>
      <c r="W163" s="10"/>
      <c r="X163" s="10"/>
      <c r="Y163" s="10"/>
      <c r="Z163" s="35"/>
      <c r="AA163" s="37"/>
      <c r="AB163" s="8"/>
      <c r="AC163" s="26"/>
      <c r="AD163" s="24">
        <f t="shared" si="6"/>
        <v>0</v>
      </c>
      <c r="AE163" s="24">
        <f t="shared" si="7"/>
        <v>0</v>
      </c>
      <c r="AF163" s="24">
        <f t="shared" si="8"/>
        <v>0</v>
      </c>
      <c r="AG163" s="41" t="str" cm="1">
        <f t="array" ref="AG163">_xlfn.IFS(
SUM(AD163:AF163)=0,"Not Started",
SUM(AD163:AF163)&lt;15,"In Progress",
SUM(AD163:AF163)=15,"Completed",
SUM(AD163:AF163)&gt;15,"Error"
)</f>
        <v>Not Started</v>
      </c>
    </row>
    <row r="164" spans="1:33" ht="13" x14ac:dyDescent="0.25">
      <c r="A164" s="248"/>
      <c r="B164" s="14" t="s">
        <v>2422</v>
      </c>
      <c r="C164" s="7"/>
      <c r="D164" s="7"/>
      <c r="E164" s="7"/>
      <c r="F164" s="7"/>
      <c r="G164" s="7"/>
      <c r="H164" s="7"/>
      <c r="I164" s="7"/>
      <c r="J164" s="7"/>
      <c r="K164" s="7"/>
      <c r="L164" s="9"/>
      <c r="M164" s="32"/>
      <c r="N164" s="29"/>
      <c r="O164" s="10"/>
      <c r="P164" s="10"/>
      <c r="Q164" s="35"/>
      <c r="R164" s="29"/>
      <c r="S164" s="10"/>
      <c r="T164" s="10"/>
      <c r="U164" s="10"/>
      <c r="V164" s="10"/>
      <c r="W164" s="10"/>
      <c r="X164" s="10"/>
      <c r="Y164" s="10"/>
      <c r="Z164" s="35"/>
      <c r="AA164" s="29"/>
      <c r="AB164" s="8"/>
      <c r="AC164" s="26"/>
      <c r="AD164" s="24">
        <f t="shared" si="6"/>
        <v>0</v>
      </c>
      <c r="AE164" s="24">
        <f t="shared" si="7"/>
        <v>0</v>
      </c>
      <c r="AF164" s="24">
        <f t="shared" si="8"/>
        <v>0</v>
      </c>
      <c r="AG164" s="41" t="str" cm="1">
        <f t="array" ref="AG164">_xlfn.IFS(
SUM(AD164:AF164)=0,"Not Started",
SUM(AD164:AF164)&lt;15,"In Progress",
SUM(AD164:AF164)=15,"Completed",
SUM(AD164:AF164)&gt;15,"Error"
)</f>
        <v>Not Started</v>
      </c>
    </row>
    <row r="165" spans="1:33" ht="13" x14ac:dyDescent="0.25">
      <c r="A165" s="248"/>
      <c r="B165" s="7" t="s">
        <v>2423</v>
      </c>
      <c r="C165" s="7"/>
      <c r="D165" s="7"/>
      <c r="E165" s="7"/>
      <c r="F165" s="7"/>
      <c r="G165" s="7"/>
      <c r="H165" s="7"/>
      <c r="I165" s="7"/>
      <c r="J165" s="7"/>
      <c r="K165" s="7"/>
      <c r="L165" s="9"/>
      <c r="M165" s="32"/>
      <c r="N165" s="29"/>
      <c r="O165" s="10"/>
      <c r="P165" s="10"/>
      <c r="Q165" s="35"/>
      <c r="R165" s="29"/>
      <c r="S165" s="10"/>
      <c r="T165" s="10"/>
      <c r="U165" s="10"/>
      <c r="V165" s="10"/>
      <c r="W165" s="10"/>
      <c r="X165" s="10"/>
      <c r="Y165" s="10"/>
      <c r="Z165" s="35"/>
      <c r="AA165" s="37"/>
      <c r="AB165" s="8"/>
      <c r="AC165" s="26"/>
      <c r="AD165" s="24">
        <f t="shared" si="6"/>
        <v>0</v>
      </c>
      <c r="AE165" s="24">
        <f t="shared" si="7"/>
        <v>0</v>
      </c>
      <c r="AF165" s="24">
        <f t="shared" si="8"/>
        <v>0</v>
      </c>
      <c r="AG165" s="41" t="str" cm="1">
        <f t="array" ref="AG165">_xlfn.IFS(
SUM(AD165:AF165)=0,"Not Started",
SUM(AD165:AF165)&lt;15,"In Progress",
SUM(AD165:AF165)=15,"Completed",
SUM(AD165:AF165)&gt;15,"Error"
)</f>
        <v>Not Started</v>
      </c>
    </row>
    <row r="166" spans="1:33" ht="13" x14ac:dyDescent="0.25">
      <c r="A166" s="248"/>
      <c r="B166" s="14" t="s">
        <v>2424</v>
      </c>
      <c r="C166" s="7"/>
      <c r="D166" s="7"/>
      <c r="E166" s="7"/>
      <c r="F166" s="7"/>
      <c r="G166" s="7"/>
      <c r="H166" s="7"/>
      <c r="I166" s="7"/>
      <c r="J166" s="7"/>
      <c r="K166" s="7"/>
      <c r="L166" s="9"/>
      <c r="M166" s="32"/>
      <c r="N166" s="29"/>
      <c r="O166" s="10"/>
      <c r="P166" s="10"/>
      <c r="Q166" s="35"/>
      <c r="R166" s="29"/>
      <c r="S166" s="10"/>
      <c r="T166" s="10"/>
      <c r="U166" s="10"/>
      <c r="V166" s="10"/>
      <c r="W166" s="10"/>
      <c r="X166" s="10"/>
      <c r="Y166" s="10"/>
      <c r="Z166" s="35"/>
      <c r="AA166" s="29"/>
      <c r="AB166" s="8"/>
      <c r="AC166" s="26"/>
      <c r="AD166" s="24">
        <f t="shared" si="6"/>
        <v>0</v>
      </c>
      <c r="AE166" s="24">
        <f t="shared" si="7"/>
        <v>0</v>
      </c>
      <c r="AF166" s="24">
        <f t="shared" si="8"/>
        <v>0</v>
      </c>
      <c r="AG166" s="41" t="str" cm="1">
        <f t="array" ref="AG166">_xlfn.IFS(
SUM(AD166:AF166)=0,"Not Started",
SUM(AD166:AF166)&lt;15,"In Progress",
SUM(AD166:AF166)=15,"Completed",
SUM(AD166:AF166)&gt;15,"Error"
)</f>
        <v>Not Started</v>
      </c>
    </row>
    <row r="167" spans="1:33" ht="13" x14ac:dyDescent="0.25">
      <c r="A167" s="248"/>
      <c r="B167" s="7" t="s">
        <v>2425</v>
      </c>
      <c r="C167" s="7"/>
      <c r="D167" s="7"/>
      <c r="E167" s="7"/>
      <c r="F167" s="7"/>
      <c r="G167" s="7"/>
      <c r="H167" s="7"/>
      <c r="I167" s="7"/>
      <c r="J167" s="7"/>
      <c r="K167" s="7"/>
      <c r="L167" s="9"/>
      <c r="M167" s="32"/>
      <c r="N167" s="29"/>
      <c r="O167" s="10"/>
      <c r="P167" s="10"/>
      <c r="Q167" s="35"/>
      <c r="R167" s="29"/>
      <c r="S167" s="10"/>
      <c r="T167" s="10"/>
      <c r="U167" s="10"/>
      <c r="V167" s="10"/>
      <c r="W167" s="10"/>
      <c r="X167" s="10"/>
      <c r="Y167" s="10"/>
      <c r="Z167" s="35"/>
      <c r="AA167" s="29"/>
      <c r="AB167" s="8"/>
      <c r="AC167" s="26"/>
      <c r="AD167" s="24">
        <f t="shared" si="6"/>
        <v>0</v>
      </c>
      <c r="AE167" s="24">
        <f t="shared" si="7"/>
        <v>0</v>
      </c>
      <c r="AF167" s="24">
        <f t="shared" si="8"/>
        <v>0</v>
      </c>
      <c r="AG167" s="41" t="str" cm="1">
        <f t="array" ref="AG167">_xlfn.IFS(
SUM(AD167:AF167)=0,"Not Started",
SUM(AD167:AF167)&lt;15,"In Progress",
SUM(AD167:AF167)=15,"Completed",
SUM(AD167:AF167)&gt;15,"Error"
)</f>
        <v>Not Started</v>
      </c>
    </row>
    <row r="168" spans="1:33" ht="13" x14ac:dyDescent="0.25">
      <c r="A168" s="248"/>
      <c r="B168" s="14" t="s">
        <v>2426</v>
      </c>
      <c r="C168" s="7"/>
      <c r="D168" s="7"/>
      <c r="E168" s="7"/>
      <c r="F168" s="7"/>
      <c r="G168" s="7"/>
      <c r="H168" s="7"/>
      <c r="I168" s="7"/>
      <c r="J168" s="7"/>
      <c r="K168" s="7"/>
      <c r="L168" s="9"/>
      <c r="M168" s="32"/>
      <c r="N168" s="29"/>
      <c r="O168" s="10"/>
      <c r="P168" s="10"/>
      <c r="Q168" s="35"/>
      <c r="R168" s="29"/>
      <c r="S168" s="10"/>
      <c r="T168" s="10"/>
      <c r="U168" s="10"/>
      <c r="V168" s="10"/>
      <c r="W168" s="10"/>
      <c r="X168" s="10"/>
      <c r="Y168" s="10"/>
      <c r="Z168" s="35"/>
      <c r="AA168" s="37"/>
      <c r="AB168" s="8"/>
      <c r="AC168" s="26"/>
      <c r="AD168" s="24">
        <f t="shared" si="6"/>
        <v>0</v>
      </c>
      <c r="AE168" s="24">
        <f t="shared" si="7"/>
        <v>0</v>
      </c>
      <c r="AF168" s="24">
        <f t="shared" si="8"/>
        <v>0</v>
      </c>
      <c r="AG168" s="41" t="str" cm="1">
        <f t="array" ref="AG168">_xlfn.IFS(
SUM(AD168:AF168)=0,"Not Started",
SUM(AD168:AF168)&lt;15,"In Progress",
SUM(AD168:AF168)=15,"Completed",
SUM(AD168:AF168)&gt;15,"Error"
)</f>
        <v>Not Started</v>
      </c>
    </row>
    <row r="169" spans="1:33" ht="13" x14ac:dyDescent="0.25">
      <c r="A169" s="248"/>
      <c r="B169" s="7" t="s">
        <v>2427</v>
      </c>
      <c r="C169" s="7"/>
      <c r="D169" s="7"/>
      <c r="E169" s="7"/>
      <c r="F169" s="7"/>
      <c r="G169" s="7"/>
      <c r="H169" s="7"/>
      <c r="I169" s="7"/>
      <c r="J169" s="7"/>
      <c r="K169" s="7"/>
      <c r="L169" s="9"/>
      <c r="M169" s="32"/>
      <c r="N169" s="29"/>
      <c r="O169" s="10"/>
      <c r="P169" s="10"/>
      <c r="Q169" s="35"/>
      <c r="R169" s="29"/>
      <c r="S169" s="10"/>
      <c r="T169" s="10"/>
      <c r="U169" s="10"/>
      <c r="V169" s="10"/>
      <c r="W169" s="10"/>
      <c r="X169" s="10"/>
      <c r="Y169" s="10"/>
      <c r="Z169" s="35"/>
      <c r="AA169" s="29"/>
      <c r="AB169" s="8"/>
      <c r="AC169" s="26"/>
      <c r="AD169" s="24">
        <f t="shared" si="6"/>
        <v>0</v>
      </c>
      <c r="AE169" s="24">
        <f t="shared" si="7"/>
        <v>0</v>
      </c>
      <c r="AF169" s="24">
        <f t="shared" si="8"/>
        <v>0</v>
      </c>
      <c r="AG169" s="41" t="str" cm="1">
        <f t="array" ref="AG169">_xlfn.IFS(
SUM(AD169:AF169)=0,"Not Started",
SUM(AD169:AF169)&lt;15,"In Progress",
SUM(AD169:AF169)=15,"Completed",
SUM(AD169:AF169)&gt;15,"Error"
)</f>
        <v>Not Started</v>
      </c>
    </row>
    <row r="170" spans="1:33" ht="13" x14ac:dyDescent="0.25">
      <c r="A170" s="248"/>
      <c r="B170" s="14" t="s">
        <v>2428</v>
      </c>
      <c r="C170" s="7"/>
      <c r="D170" s="7"/>
      <c r="E170" s="7"/>
      <c r="F170" s="7"/>
      <c r="G170" s="7"/>
      <c r="H170" s="7"/>
      <c r="I170" s="7"/>
      <c r="J170" s="7"/>
      <c r="K170" s="7"/>
      <c r="L170" s="9"/>
      <c r="M170" s="32"/>
      <c r="N170" s="29"/>
      <c r="O170" s="10"/>
      <c r="P170" s="10"/>
      <c r="Q170" s="35"/>
      <c r="R170" s="29"/>
      <c r="S170" s="10"/>
      <c r="T170" s="10"/>
      <c r="U170" s="10"/>
      <c r="V170" s="10"/>
      <c r="W170" s="10"/>
      <c r="X170" s="10"/>
      <c r="Y170" s="10"/>
      <c r="Z170" s="39"/>
      <c r="AA170" s="37"/>
      <c r="AB170" s="8"/>
      <c r="AC170" s="26"/>
      <c r="AD170" s="24">
        <f t="shared" si="6"/>
        <v>0</v>
      </c>
      <c r="AE170" s="24">
        <f t="shared" si="7"/>
        <v>0</v>
      </c>
      <c r="AF170" s="24">
        <f t="shared" si="8"/>
        <v>0</v>
      </c>
      <c r="AG170" s="41" t="str" cm="1">
        <f t="array" ref="AG170">_xlfn.IFS(
SUM(AD170:AF170)=0,"Not Started",
SUM(AD170:AF170)&lt;15,"In Progress",
SUM(AD170:AF170)=15,"Completed",
SUM(AD170:AF170)&gt;15,"Error"
)</f>
        <v>Not Started</v>
      </c>
    </row>
    <row r="171" spans="1:33" ht="13" x14ac:dyDescent="0.25">
      <c r="A171" s="248"/>
      <c r="B171" s="7" t="s">
        <v>2429</v>
      </c>
      <c r="C171" s="7"/>
      <c r="D171" s="7"/>
      <c r="E171" s="7"/>
      <c r="F171" s="7"/>
      <c r="G171" s="7"/>
      <c r="H171" s="7"/>
      <c r="I171" s="7"/>
      <c r="J171" s="7"/>
      <c r="K171" s="7"/>
      <c r="L171" s="9"/>
      <c r="M171" s="32"/>
      <c r="N171" s="29"/>
      <c r="O171" s="10"/>
      <c r="P171" s="10"/>
      <c r="Q171" s="35"/>
      <c r="R171" s="29"/>
      <c r="S171" s="10"/>
      <c r="T171" s="10"/>
      <c r="U171" s="10"/>
      <c r="V171" s="10"/>
      <c r="W171" s="10"/>
      <c r="X171" s="10"/>
      <c r="Y171" s="10"/>
      <c r="Z171" s="35"/>
      <c r="AA171" s="37"/>
      <c r="AB171" s="8"/>
      <c r="AC171" s="26"/>
      <c r="AD171" s="24">
        <f t="shared" si="6"/>
        <v>0</v>
      </c>
      <c r="AE171" s="24">
        <f t="shared" si="7"/>
        <v>0</v>
      </c>
      <c r="AF171" s="24">
        <f t="shared" si="8"/>
        <v>0</v>
      </c>
      <c r="AG171" s="41" t="str" cm="1">
        <f t="array" ref="AG171">_xlfn.IFS(
SUM(AD171:AF171)=0,"Not Started",
SUM(AD171:AF171)&lt;15,"In Progress",
SUM(AD171:AF171)=15,"Completed",
SUM(AD171:AF171)&gt;15,"Error"
)</f>
        <v>Not Started</v>
      </c>
    </row>
    <row r="172" spans="1:33" ht="13" x14ac:dyDescent="0.25">
      <c r="A172" s="248"/>
      <c r="B172" s="14" t="s">
        <v>2430</v>
      </c>
      <c r="C172" s="7"/>
      <c r="D172" s="7"/>
      <c r="E172" s="7"/>
      <c r="F172" s="7"/>
      <c r="G172" s="7"/>
      <c r="H172" s="7"/>
      <c r="I172" s="7"/>
      <c r="J172" s="7"/>
      <c r="K172" s="7"/>
      <c r="L172" s="9"/>
      <c r="M172" s="32"/>
      <c r="N172" s="29"/>
      <c r="O172" s="10"/>
      <c r="P172" s="10"/>
      <c r="Q172" s="35"/>
      <c r="R172" s="29"/>
      <c r="S172" s="10"/>
      <c r="T172" s="10"/>
      <c r="U172" s="10"/>
      <c r="V172" s="10"/>
      <c r="W172" s="10"/>
      <c r="X172" s="10"/>
      <c r="Y172" s="10"/>
      <c r="Z172" s="39"/>
      <c r="AA172" s="37"/>
      <c r="AB172" s="8"/>
      <c r="AC172" s="26"/>
      <c r="AD172" s="24">
        <f t="shared" si="6"/>
        <v>0</v>
      </c>
      <c r="AE172" s="24">
        <f t="shared" si="7"/>
        <v>0</v>
      </c>
      <c r="AF172" s="24">
        <f t="shared" si="8"/>
        <v>0</v>
      </c>
      <c r="AG172" s="41" t="str" cm="1">
        <f t="array" ref="AG172">_xlfn.IFS(
SUM(AD172:AF172)=0,"Not Started",
SUM(AD172:AF172)&lt;15,"In Progress",
SUM(AD172:AF172)=15,"Completed",
SUM(AD172:AF172)&gt;15,"Error"
)</f>
        <v>Not Started</v>
      </c>
    </row>
    <row r="173" spans="1:33" ht="13" x14ac:dyDescent="0.25">
      <c r="A173" s="248"/>
      <c r="B173" s="7" t="s">
        <v>2431</v>
      </c>
      <c r="C173" s="7"/>
      <c r="D173" s="7"/>
      <c r="E173" s="7"/>
      <c r="F173" s="7"/>
      <c r="G173" s="7"/>
      <c r="H173" s="7"/>
      <c r="I173" s="7"/>
      <c r="J173" s="7"/>
      <c r="K173" s="7"/>
      <c r="L173" s="9"/>
      <c r="M173" s="32"/>
      <c r="N173" s="29"/>
      <c r="O173" s="10"/>
      <c r="P173" s="10"/>
      <c r="Q173" s="35"/>
      <c r="R173" s="29"/>
      <c r="S173" s="10"/>
      <c r="T173" s="10"/>
      <c r="U173" s="10"/>
      <c r="V173" s="10"/>
      <c r="W173" s="10"/>
      <c r="X173" s="10"/>
      <c r="Y173" s="10"/>
      <c r="Z173" s="39"/>
      <c r="AA173" s="37"/>
      <c r="AB173" s="8"/>
      <c r="AC173" s="26"/>
      <c r="AD173" s="24">
        <f t="shared" si="6"/>
        <v>0</v>
      </c>
      <c r="AE173" s="24">
        <f t="shared" si="7"/>
        <v>0</v>
      </c>
      <c r="AF173" s="24">
        <f t="shared" si="8"/>
        <v>0</v>
      </c>
      <c r="AG173" s="41" t="str" cm="1">
        <f t="array" ref="AG173">_xlfn.IFS(
SUM(AD173:AF173)=0,"Not Started",
SUM(AD173:AF173)&lt;15,"In Progress",
SUM(AD173:AF173)=15,"Completed",
SUM(AD173:AF173)&gt;15,"Error"
)</f>
        <v>Not Started</v>
      </c>
    </row>
    <row r="174" spans="1:33" ht="13" x14ac:dyDescent="0.25">
      <c r="A174" s="248"/>
      <c r="B174" s="14" t="s">
        <v>2432</v>
      </c>
      <c r="C174" s="7"/>
      <c r="D174" s="7"/>
      <c r="E174" s="7"/>
      <c r="F174" s="7"/>
      <c r="G174" s="7"/>
      <c r="H174" s="7"/>
      <c r="I174" s="7"/>
      <c r="J174" s="7"/>
      <c r="K174" s="7"/>
      <c r="L174" s="9"/>
      <c r="M174" s="32"/>
      <c r="N174" s="29"/>
      <c r="O174" s="10"/>
      <c r="P174" s="10"/>
      <c r="Q174" s="35"/>
      <c r="R174" s="29"/>
      <c r="S174" s="10"/>
      <c r="T174" s="10"/>
      <c r="U174" s="10"/>
      <c r="V174" s="10"/>
      <c r="W174" s="10"/>
      <c r="X174" s="10"/>
      <c r="Y174" s="10"/>
      <c r="Z174" s="39"/>
      <c r="AA174" s="37"/>
      <c r="AB174" s="8"/>
      <c r="AC174" s="26"/>
      <c r="AD174" s="24">
        <f t="shared" si="6"/>
        <v>0</v>
      </c>
      <c r="AE174" s="24">
        <f t="shared" si="7"/>
        <v>0</v>
      </c>
      <c r="AF174" s="24">
        <f t="shared" si="8"/>
        <v>0</v>
      </c>
      <c r="AG174" s="41" t="str" cm="1">
        <f t="array" ref="AG174">_xlfn.IFS(
SUM(AD174:AF174)=0,"Not Started",
SUM(AD174:AF174)&lt;15,"In Progress",
SUM(AD174:AF174)=15,"Completed",
SUM(AD174:AF174)&gt;15,"Error"
)</f>
        <v>Not Started</v>
      </c>
    </row>
    <row r="175" spans="1:33" ht="13" x14ac:dyDescent="0.25">
      <c r="A175" s="248"/>
      <c r="B175" s="7" t="s">
        <v>2433</v>
      </c>
      <c r="C175" s="7"/>
      <c r="D175" s="7"/>
      <c r="E175" s="7"/>
      <c r="F175" s="7"/>
      <c r="G175" s="7"/>
      <c r="H175" s="7"/>
      <c r="I175" s="7"/>
      <c r="J175" s="7"/>
      <c r="K175" s="7"/>
      <c r="L175" s="9"/>
      <c r="M175" s="32"/>
      <c r="N175" s="29"/>
      <c r="O175" s="10"/>
      <c r="P175" s="10"/>
      <c r="Q175" s="35"/>
      <c r="R175" s="29"/>
      <c r="S175" s="10"/>
      <c r="T175" s="10"/>
      <c r="U175" s="10"/>
      <c r="V175" s="10"/>
      <c r="W175" s="10"/>
      <c r="X175" s="10"/>
      <c r="Y175" s="10"/>
      <c r="Z175" s="39"/>
      <c r="AA175" s="37"/>
      <c r="AB175" s="8"/>
      <c r="AC175" s="26"/>
      <c r="AD175" s="24">
        <f t="shared" si="6"/>
        <v>0</v>
      </c>
      <c r="AE175" s="24">
        <f t="shared" si="7"/>
        <v>0</v>
      </c>
      <c r="AF175" s="24">
        <f t="shared" si="8"/>
        <v>0</v>
      </c>
      <c r="AG175" s="41" t="str" cm="1">
        <f t="array" ref="AG175">_xlfn.IFS(
SUM(AD175:AF175)=0,"Not Started",
SUM(AD175:AF175)&lt;15,"In Progress",
SUM(AD175:AF175)=15,"Completed",
SUM(AD175:AF175)&gt;15,"Error"
)</f>
        <v>Not Started</v>
      </c>
    </row>
    <row r="176" spans="1:33" ht="13" x14ac:dyDescent="0.25">
      <c r="A176" s="248"/>
      <c r="B176" s="14" t="s">
        <v>2434</v>
      </c>
      <c r="C176" s="7"/>
      <c r="D176" s="7"/>
      <c r="E176" s="7"/>
      <c r="F176" s="7"/>
      <c r="G176" s="7"/>
      <c r="H176" s="7"/>
      <c r="I176" s="7"/>
      <c r="J176" s="7"/>
      <c r="K176" s="7"/>
      <c r="L176" s="9"/>
      <c r="M176" s="32"/>
      <c r="N176" s="29"/>
      <c r="O176" s="10"/>
      <c r="P176" s="10"/>
      <c r="Q176" s="35"/>
      <c r="R176" s="29"/>
      <c r="S176" s="10"/>
      <c r="T176" s="10"/>
      <c r="U176" s="10"/>
      <c r="V176" s="10"/>
      <c r="W176" s="10"/>
      <c r="X176" s="10"/>
      <c r="Y176" s="10"/>
      <c r="Z176" s="35"/>
      <c r="AA176" s="37"/>
      <c r="AB176" s="8"/>
      <c r="AC176" s="26"/>
      <c r="AD176" s="24">
        <f t="shared" si="6"/>
        <v>0</v>
      </c>
      <c r="AE176" s="24">
        <f t="shared" si="7"/>
        <v>0</v>
      </c>
      <c r="AF176" s="24">
        <f t="shared" si="8"/>
        <v>0</v>
      </c>
      <c r="AG176" s="41" t="str" cm="1">
        <f t="array" ref="AG176">_xlfn.IFS(
SUM(AD176:AF176)=0,"Not Started",
SUM(AD176:AF176)&lt;15,"In Progress",
SUM(AD176:AF176)=15,"Completed",
SUM(AD176:AF176)&gt;15,"Error"
)</f>
        <v>Not Started</v>
      </c>
    </row>
    <row r="177" spans="1:33" ht="13" x14ac:dyDescent="0.25">
      <c r="A177" s="248"/>
      <c r="B177" s="7" t="s">
        <v>2435</v>
      </c>
      <c r="C177" s="7"/>
      <c r="D177" s="7"/>
      <c r="E177" s="7"/>
      <c r="F177" s="7"/>
      <c r="G177" s="7"/>
      <c r="H177" s="7"/>
      <c r="I177" s="7"/>
      <c r="J177" s="7"/>
      <c r="K177" s="7"/>
      <c r="L177" s="9"/>
      <c r="M177" s="32"/>
      <c r="N177" s="29"/>
      <c r="O177" s="10"/>
      <c r="P177" s="10"/>
      <c r="Q177" s="35"/>
      <c r="R177" s="29"/>
      <c r="S177" s="10"/>
      <c r="T177" s="10"/>
      <c r="U177" s="10"/>
      <c r="V177" s="10"/>
      <c r="W177" s="10"/>
      <c r="X177" s="10"/>
      <c r="Y177" s="10"/>
      <c r="Z177" s="39"/>
      <c r="AA177" s="37"/>
      <c r="AB177" s="8"/>
      <c r="AC177" s="26"/>
      <c r="AD177" s="24">
        <f t="shared" si="6"/>
        <v>0</v>
      </c>
      <c r="AE177" s="24">
        <f t="shared" si="7"/>
        <v>0</v>
      </c>
      <c r="AF177" s="24">
        <f t="shared" si="8"/>
        <v>0</v>
      </c>
      <c r="AG177" s="41" t="str" cm="1">
        <f t="array" ref="AG177">_xlfn.IFS(
SUM(AD177:AF177)=0,"Not Started",
SUM(AD177:AF177)&lt;15,"In Progress",
SUM(AD177:AF177)=15,"Completed",
SUM(AD177:AF177)&gt;15,"Error"
)</f>
        <v>Not Started</v>
      </c>
    </row>
    <row r="178" spans="1:33" ht="13" x14ac:dyDescent="0.25">
      <c r="A178" s="248"/>
      <c r="B178" s="14" t="s">
        <v>2436</v>
      </c>
      <c r="C178" s="7"/>
      <c r="D178" s="7"/>
      <c r="E178" s="7"/>
      <c r="F178" s="7"/>
      <c r="G178" s="7"/>
      <c r="H178" s="7"/>
      <c r="I178" s="7"/>
      <c r="J178" s="7"/>
      <c r="K178" s="7"/>
      <c r="L178" s="9"/>
      <c r="M178" s="32"/>
      <c r="N178" s="29"/>
      <c r="O178" s="10"/>
      <c r="P178" s="10"/>
      <c r="Q178" s="35"/>
      <c r="R178" s="29"/>
      <c r="S178" s="10"/>
      <c r="T178" s="10"/>
      <c r="U178" s="10"/>
      <c r="V178" s="10"/>
      <c r="W178" s="10"/>
      <c r="X178" s="10"/>
      <c r="Y178" s="10"/>
      <c r="Z178" s="39"/>
      <c r="AA178" s="37"/>
      <c r="AB178" s="8"/>
      <c r="AC178" s="26"/>
      <c r="AD178" s="24">
        <f t="shared" si="6"/>
        <v>0</v>
      </c>
      <c r="AE178" s="24">
        <f t="shared" si="7"/>
        <v>0</v>
      </c>
      <c r="AF178" s="24">
        <f t="shared" si="8"/>
        <v>0</v>
      </c>
      <c r="AG178" s="41" t="str" cm="1">
        <f t="array" ref="AG178">_xlfn.IFS(
SUM(AD178:AF178)=0,"Not Started",
SUM(AD178:AF178)&lt;15,"In Progress",
SUM(AD178:AF178)=15,"Completed",
SUM(AD178:AF178)&gt;15,"Error"
)</f>
        <v>Not Started</v>
      </c>
    </row>
    <row r="179" spans="1:33" ht="13" x14ac:dyDescent="0.25">
      <c r="A179" s="248"/>
      <c r="B179" s="7" t="s">
        <v>2437</v>
      </c>
      <c r="C179" s="7"/>
      <c r="D179" s="7"/>
      <c r="E179" s="7"/>
      <c r="F179" s="7"/>
      <c r="G179" s="7"/>
      <c r="H179" s="7"/>
      <c r="I179" s="7"/>
      <c r="J179" s="7"/>
      <c r="K179" s="7"/>
      <c r="L179" s="9"/>
      <c r="M179" s="32"/>
      <c r="N179" s="29"/>
      <c r="O179" s="10"/>
      <c r="P179" s="10"/>
      <c r="Q179" s="35"/>
      <c r="R179" s="29"/>
      <c r="S179" s="10"/>
      <c r="T179" s="10"/>
      <c r="U179" s="10"/>
      <c r="V179" s="10"/>
      <c r="W179" s="10"/>
      <c r="X179" s="10"/>
      <c r="Y179" s="10"/>
      <c r="Z179" s="35"/>
      <c r="AA179" s="37"/>
      <c r="AB179" s="8"/>
      <c r="AC179" s="26"/>
      <c r="AD179" s="24">
        <f t="shared" si="6"/>
        <v>0</v>
      </c>
      <c r="AE179" s="24">
        <f t="shared" si="7"/>
        <v>0</v>
      </c>
      <c r="AF179" s="24">
        <f t="shared" si="8"/>
        <v>0</v>
      </c>
      <c r="AG179" s="41" t="str" cm="1">
        <f t="array" ref="AG179">_xlfn.IFS(
SUM(AD179:AF179)=0,"Not Started",
SUM(AD179:AF179)&lt;15,"In Progress",
SUM(AD179:AF179)=15,"Completed",
SUM(AD179:AF179)&gt;15,"Error"
)</f>
        <v>Not Started</v>
      </c>
    </row>
    <row r="180" spans="1:33" ht="13" x14ac:dyDescent="0.25">
      <c r="A180" s="248"/>
      <c r="B180" s="14" t="s">
        <v>2438</v>
      </c>
      <c r="C180" s="7"/>
      <c r="D180" s="7"/>
      <c r="E180" s="7"/>
      <c r="F180" s="7"/>
      <c r="G180" s="7"/>
      <c r="H180" s="7"/>
      <c r="I180" s="7"/>
      <c r="J180" s="7"/>
      <c r="K180" s="7"/>
      <c r="L180" s="9"/>
      <c r="M180" s="32"/>
      <c r="N180" s="29"/>
      <c r="O180" s="10"/>
      <c r="P180" s="10"/>
      <c r="Q180" s="35"/>
      <c r="R180" s="29"/>
      <c r="S180" s="10"/>
      <c r="T180" s="10"/>
      <c r="U180" s="10"/>
      <c r="V180" s="10"/>
      <c r="W180" s="10"/>
      <c r="X180" s="10"/>
      <c r="Y180" s="10"/>
      <c r="Z180" s="35"/>
      <c r="AA180" s="37"/>
      <c r="AB180" s="8"/>
      <c r="AC180" s="26"/>
      <c r="AD180" s="24">
        <f t="shared" si="6"/>
        <v>0</v>
      </c>
      <c r="AE180" s="24">
        <f t="shared" si="7"/>
        <v>0</v>
      </c>
      <c r="AF180" s="24">
        <f t="shared" si="8"/>
        <v>0</v>
      </c>
      <c r="AG180" s="41" t="str" cm="1">
        <f t="array" ref="AG180">_xlfn.IFS(
SUM(AD180:AF180)=0,"Not Started",
SUM(AD180:AF180)&lt;15,"In Progress",
SUM(AD180:AF180)=15,"Completed",
SUM(AD180:AF180)&gt;15,"Error"
)</f>
        <v>Not Started</v>
      </c>
    </row>
    <row r="181" spans="1:33" ht="13" x14ac:dyDescent="0.25">
      <c r="A181" s="248"/>
      <c r="B181" s="7" t="s">
        <v>2439</v>
      </c>
      <c r="C181" s="7"/>
      <c r="D181" s="7"/>
      <c r="E181" s="7"/>
      <c r="F181" s="7"/>
      <c r="G181" s="7"/>
      <c r="H181" s="7"/>
      <c r="I181" s="7"/>
      <c r="J181" s="7"/>
      <c r="K181" s="7"/>
      <c r="L181" s="9"/>
      <c r="M181" s="32"/>
      <c r="N181" s="29"/>
      <c r="O181" s="10"/>
      <c r="P181" s="10"/>
      <c r="Q181" s="35"/>
      <c r="R181" s="29"/>
      <c r="S181" s="10"/>
      <c r="T181" s="10"/>
      <c r="U181" s="10"/>
      <c r="V181" s="10"/>
      <c r="W181" s="10"/>
      <c r="X181" s="10"/>
      <c r="Y181" s="10"/>
      <c r="Z181" s="35"/>
      <c r="AA181" s="37"/>
      <c r="AB181" s="8"/>
      <c r="AC181" s="26"/>
      <c r="AD181" s="24">
        <f t="shared" si="6"/>
        <v>0</v>
      </c>
      <c r="AE181" s="24">
        <f t="shared" si="7"/>
        <v>0</v>
      </c>
      <c r="AF181" s="24">
        <f t="shared" si="8"/>
        <v>0</v>
      </c>
      <c r="AG181" s="41" t="str" cm="1">
        <f t="array" ref="AG181">_xlfn.IFS(
SUM(AD181:AF181)=0,"Not Started",
SUM(AD181:AF181)&lt;15,"In Progress",
SUM(AD181:AF181)=15,"Completed",
SUM(AD181:AF181)&gt;15,"Error"
)</f>
        <v>Not Started</v>
      </c>
    </row>
    <row r="182" spans="1:33" ht="13" x14ac:dyDescent="0.25">
      <c r="A182" s="248"/>
      <c r="B182" s="14" t="s">
        <v>2440</v>
      </c>
      <c r="C182" s="7"/>
      <c r="D182" s="7"/>
      <c r="E182" s="7"/>
      <c r="F182" s="7"/>
      <c r="G182" s="7"/>
      <c r="H182" s="7"/>
      <c r="I182" s="7"/>
      <c r="J182" s="7"/>
      <c r="K182" s="7"/>
      <c r="L182" s="9"/>
      <c r="M182" s="32"/>
      <c r="N182" s="29"/>
      <c r="O182" s="10"/>
      <c r="P182" s="10"/>
      <c r="Q182" s="35"/>
      <c r="R182" s="29"/>
      <c r="S182" s="10"/>
      <c r="T182" s="10"/>
      <c r="U182" s="10"/>
      <c r="V182" s="10"/>
      <c r="W182" s="10"/>
      <c r="X182" s="10"/>
      <c r="Y182" s="10"/>
      <c r="Z182" s="35"/>
      <c r="AA182" s="37"/>
      <c r="AB182" s="8"/>
      <c r="AC182" s="26"/>
      <c r="AD182" s="24">
        <f t="shared" si="6"/>
        <v>0</v>
      </c>
      <c r="AE182" s="24">
        <f t="shared" si="7"/>
        <v>0</v>
      </c>
      <c r="AF182" s="24">
        <f t="shared" si="8"/>
        <v>0</v>
      </c>
      <c r="AG182" s="41" t="str" cm="1">
        <f t="array" ref="AG182">_xlfn.IFS(
SUM(AD182:AF182)=0,"Not Started",
SUM(AD182:AF182)&lt;15,"In Progress",
SUM(AD182:AF182)=15,"Completed",
SUM(AD182:AF182)&gt;15,"Error"
)</f>
        <v>Not Started</v>
      </c>
    </row>
    <row r="183" spans="1:33" ht="13" x14ac:dyDescent="0.25">
      <c r="A183" s="248"/>
      <c r="B183" s="7" t="s">
        <v>2441</v>
      </c>
      <c r="C183" s="7"/>
      <c r="D183" s="7"/>
      <c r="E183" s="7"/>
      <c r="F183" s="7"/>
      <c r="G183" s="7"/>
      <c r="H183" s="7"/>
      <c r="I183" s="7"/>
      <c r="J183" s="7"/>
      <c r="K183" s="7"/>
      <c r="L183" s="9"/>
      <c r="M183" s="32"/>
      <c r="N183" s="29"/>
      <c r="O183" s="10"/>
      <c r="P183" s="10"/>
      <c r="Q183" s="35"/>
      <c r="R183" s="29"/>
      <c r="S183" s="10"/>
      <c r="T183" s="10"/>
      <c r="U183" s="10"/>
      <c r="V183" s="10"/>
      <c r="W183" s="10"/>
      <c r="X183" s="10"/>
      <c r="Y183" s="10"/>
      <c r="Z183" s="35"/>
      <c r="AA183" s="37"/>
      <c r="AB183" s="8"/>
      <c r="AC183" s="26"/>
      <c r="AD183" s="24">
        <f t="shared" si="6"/>
        <v>0</v>
      </c>
      <c r="AE183" s="24">
        <f t="shared" si="7"/>
        <v>0</v>
      </c>
      <c r="AF183" s="24">
        <f t="shared" si="8"/>
        <v>0</v>
      </c>
      <c r="AG183" s="41" t="str" cm="1">
        <f t="array" ref="AG183">_xlfn.IFS(
SUM(AD183:AF183)=0,"Not Started",
SUM(AD183:AF183)&lt;15,"In Progress",
SUM(AD183:AF183)=15,"Completed",
SUM(AD183:AF183)&gt;15,"Error"
)</f>
        <v>Not Started</v>
      </c>
    </row>
    <row r="184" spans="1:33" ht="13" x14ac:dyDescent="0.25">
      <c r="A184" s="248"/>
      <c r="B184" s="14" t="s">
        <v>2442</v>
      </c>
      <c r="C184" s="7"/>
      <c r="D184" s="7"/>
      <c r="E184" s="7"/>
      <c r="F184" s="7"/>
      <c r="G184" s="7"/>
      <c r="H184" s="7"/>
      <c r="I184" s="7"/>
      <c r="J184" s="7"/>
      <c r="K184" s="7"/>
      <c r="L184" s="9"/>
      <c r="M184" s="32"/>
      <c r="N184" s="29"/>
      <c r="O184" s="10"/>
      <c r="P184" s="10"/>
      <c r="Q184" s="35"/>
      <c r="R184" s="29"/>
      <c r="S184" s="10"/>
      <c r="T184" s="10"/>
      <c r="U184" s="10"/>
      <c r="V184" s="10"/>
      <c r="W184" s="10"/>
      <c r="X184" s="8"/>
      <c r="Y184" s="10"/>
      <c r="Z184" s="39"/>
      <c r="AA184" s="37"/>
      <c r="AB184" s="8"/>
      <c r="AC184" s="26"/>
      <c r="AD184" s="24">
        <f t="shared" si="6"/>
        <v>0</v>
      </c>
      <c r="AE184" s="24">
        <f t="shared" si="7"/>
        <v>0</v>
      </c>
      <c r="AF184" s="24">
        <f t="shared" si="8"/>
        <v>0</v>
      </c>
      <c r="AG184" s="41" t="str" cm="1">
        <f t="array" ref="AG184">_xlfn.IFS(
SUM(AD184:AF184)=0,"Not Started",
SUM(AD184:AF184)&lt;15,"In Progress",
SUM(AD184:AF184)=15,"Completed",
SUM(AD184:AF184)&gt;15,"Error"
)</f>
        <v>Not Started</v>
      </c>
    </row>
    <row r="185" spans="1:33" ht="13" x14ac:dyDescent="0.25">
      <c r="A185" s="248"/>
      <c r="B185" s="7" t="s">
        <v>2443</v>
      </c>
      <c r="C185" s="7"/>
      <c r="D185" s="7"/>
      <c r="E185" s="7"/>
      <c r="F185" s="7"/>
      <c r="G185" s="7"/>
      <c r="H185" s="7"/>
      <c r="I185" s="7"/>
      <c r="J185" s="7"/>
      <c r="K185" s="7"/>
      <c r="L185" s="9"/>
      <c r="M185" s="32"/>
      <c r="N185" s="29"/>
      <c r="O185" s="10"/>
      <c r="P185" s="10"/>
      <c r="Q185" s="35"/>
      <c r="R185" s="29"/>
      <c r="S185" s="10"/>
      <c r="T185" s="10"/>
      <c r="U185" s="10"/>
      <c r="V185" s="10"/>
      <c r="W185" s="10"/>
      <c r="X185" s="8"/>
      <c r="Y185" s="10"/>
      <c r="Z185" s="39"/>
      <c r="AA185" s="37"/>
      <c r="AB185" s="8"/>
      <c r="AC185" s="26"/>
      <c r="AD185" s="24">
        <f t="shared" si="6"/>
        <v>0</v>
      </c>
      <c r="AE185" s="24">
        <f t="shared" si="7"/>
        <v>0</v>
      </c>
      <c r="AF185" s="24">
        <f t="shared" si="8"/>
        <v>0</v>
      </c>
      <c r="AG185" s="41" t="str" cm="1">
        <f t="array" ref="AG185">_xlfn.IFS(
SUM(AD185:AF185)=0,"Not Started",
SUM(AD185:AF185)&lt;15,"In Progress",
SUM(AD185:AF185)=15,"Completed",
SUM(AD185:AF185)&gt;15,"Error"
)</f>
        <v>Not Started</v>
      </c>
    </row>
    <row r="186" spans="1:33" ht="13" x14ac:dyDescent="0.25">
      <c r="A186" s="248"/>
      <c r="B186" s="14" t="s">
        <v>2444</v>
      </c>
      <c r="C186" s="7"/>
      <c r="D186" s="7"/>
      <c r="E186" s="7"/>
      <c r="F186" s="7"/>
      <c r="G186" s="7"/>
      <c r="H186" s="7"/>
      <c r="I186" s="7"/>
      <c r="J186" s="7"/>
      <c r="K186" s="7"/>
      <c r="L186" s="9"/>
      <c r="M186" s="32"/>
      <c r="N186" s="29"/>
      <c r="O186" s="10"/>
      <c r="P186" s="10"/>
      <c r="Q186" s="35"/>
      <c r="R186" s="29"/>
      <c r="S186" s="10"/>
      <c r="T186" s="10"/>
      <c r="U186" s="10"/>
      <c r="V186" s="10"/>
      <c r="W186" s="10"/>
      <c r="X186" s="8"/>
      <c r="Y186" s="10"/>
      <c r="Z186" s="39"/>
      <c r="AA186" s="37"/>
      <c r="AB186" s="8"/>
      <c r="AC186" s="26"/>
      <c r="AD186" s="24">
        <f t="shared" si="6"/>
        <v>0</v>
      </c>
      <c r="AE186" s="24">
        <f t="shared" si="7"/>
        <v>0</v>
      </c>
      <c r="AF186" s="24">
        <f t="shared" si="8"/>
        <v>0</v>
      </c>
      <c r="AG186" s="41" t="str" cm="1">
        <f t="array" ref="AG186">_xlfn.IFS(
SUM(AD186:AF186)=0,"Not Started",
SUM(AD186:AF186)&lt;15,"In Progress",
SUM(AD186:AF186)=15,"Completed",
SUM(AD186:AF186)&gt;15,"Error"
)</f>
        <v>Not Started</v>
      </c>
    </row>
    <row r="187" spans="1:33" ht="13" x14ac:dyDescent="0.25">
      <c r="A187" s="248"/>
      <c r="B187" s="7" t="s">
        <v>2445</v>
      </c>
      <c r="C187" s="7"/>
      <c r="D187" s="7"/>
      <c r="E187" s="7"/>
      <c r="F187" s="7"/>
      <c r="G187" s="7"/>
      <c r="H187" s="7"/>
      <c r="I187" s="7"/>
      <c r="J187" s="7"/>
      <c r="K187" s="7"/>
      <c r="L187" s="9"/>
      <c r="M187" s="32"/>
      <c r="N187" s="29"/>
      <c r="O187" s="10"/>
      <c r="P187" s="10"/>
      <c r="Q187" s="35"/>
      <c r="R187" s="29"/>
      <c r="S187" s="10"/>
      <c r="T187" s="10"/>
      <c r="U187" s="10"/>
      <c r="V187" s="10"/>
      <c r="W187" s="10"/>
      <c r="X187" s="10"/>
      <c r="Y187" s="10"/>
      <c r="Z187" s="35"/>
      <c r="AA187" s="37"/>
      <c r="AB187" s="8"/>
      <c r="AC187" s="26"/>
      <c r="AD187" s="24">
        <f t="shared" si="6"/>
        <v>0</v>
      </c>
      <c r="AE187" s="24">
        <f t="shared" si="7"/>
        <v>0</v>
      </c>
      <c r="AF187" s="24">
        <f t="shared" si="8"/>
        <v>0</v>
      </c>
      <c r="AG187" s="41" t="str" cm="1">
        <f t="array" ref="AG187">_xlfn.IFS(
SUM(AD187:AF187)=0,"Not Started",
SUM(AD187:AF187)&lt;15,"In Progress",
SUM(AD187:AF187)=15,"Completed",
SUM(AD187:AF187)&gt;15,"Error"
)</f>
        <v>Not Started</v>
      </c>
    </row>
    <row r="188" spans="1:33" ht="13" x14ac:dyDescent="0.25">
      <c r="A188" s="248"/>
      <c r="B188" s="14" t="s">
        <v>2446</v>
      </c>
      <c r="C188" s="7"/>
      <c r="D188" s="7"/>
      <c r="E188" s="7"/>
      <c r="F188" s="7"/>
      <c r="G188" s="7"/>
      <c r="H188" s="7"/>
      <c r="I188" s="7"/>
      <c r="J188" s="7"/>
      <c r="K188" s="7"/>
      <c r="L188" s="9"/>
      <c r="M188" s="32"/>
      <c r="N188" s="29"/>
      <c r="O188" s="10"/>
      <c r="P188" s="10"/>
      <c r="Q188" s="35"/>
      <c r="R188" s="29"/>
      <c r="S188" s="10"/>
      <c r="T188" s="10"/>
      <c r="U188" s="10"/>
      <c r="V188" s="10"/>
      <c r="W188" s="10"/>
      <c r="X188" s="8"/>
      <c r="Y188" s="10"/>
      <c r="Z188" s="39"/>
      <c r="AA188" s="37"/>
      <c r="AB188" s="8"/>
      <c r="AC188" s="26"/>
      <c r="AD188" s="24">
        <f t="shared" si="6"/>
        <v>0</v>
      </c>
      <c r="AE188" s="24">
        <f t="shared" si="7"/>
        <v>0</v>
      </c>
      <c r="AF188" s="24">
        <f t="shared" si="8"/>
        <v>0</v>
      </c>
      <c r="AG188" s="41" t="str" cm="1">
        <f t="array" ref="AG188">_xlfn.IFS(
SUM(AD188:AF188)=0,"Not Started",
SUM(AD188:AF188)&lt;15,"In Progress",
SUM(AD188:AF188)=15,"Completed",
SUM(AD188:AF188)&gt;15,"Error"
)</f>
        <v>Not Started</v>
      </c>
    </row>
    <row r="189" spans="1:33" ht="13" x14ac:dyDescent="0.25">
      <c r="A189" s="248"/>
      <c r="B189" s="7" t="s">
        <v>2447</v>
      </c>
      <c r="C189" s="7"/>
      <c r="D189" s="7"/>
      <c r="E189" s="7"/>
      <c r="F189" s="7"/>
      <c r="G189" s="7"/>
      <c r="H189" s="7"/>
      <c r="I189" s="7"/>
      <c r="J189" s="7"/>
      <c r="K189" s="7"/>
      <c r="L189" s="9"/>
      <c r="M189" s="32"/>
      <c r="N189" s="29"/>
      <c r="O189" s="10"/>
      <c r="P189" s="10"/>
      <c r="Q189" s="35"/>
      <c r="R189" s="29"/>
      <c r="S189" s="10"/>
      <c r="T189" s="10"/>
      <c r="U189" s="10"/>
      <c r="V189" s="10"/>
      <c r="W189" s="10"/>
      <c r="X189" s="8"/>
      <c r="Y189" s="10"/>
      <c r="Z189" s="39"/>
      <c r="AA189" s="37"/>
      <c r="AB189" s="8"/>
      <c r="AC189" s="26"/>
      <c r="AD189" s="24">
        <f t="shared" si="6"/>
        <v>0</v>
      </c>
      <c r="AE189" s="24">
        <f t="shared" si="7"/>
        <v>0</v>
      </c>
      <c r="AF189" s="24">
        <f t="shared" si="8"/>
        <v>0</v>
      </c>
      <c r="AG189" s="41" t="str" cm="1">
        <f t="array" ref="AG189">_xlfn.IFS(
SUM(AD189:AF189)=0,"Not Started",
SUM(AD189:AF189)&lt;15,"In Progress",
SUM(AD189:AF189)=15,"Completed",
SUM(AD189:AF189)&gt;15,"Error"
)</f>
        <v>Not Started</v>
      </c>
    </row>
    <row r="190" spans="1:33" ht="13" x14ac:dyDescent="0.25">
      <c r="A190" s="248"/>
      <c r="B190" s="14" t="s">
        <v>2448</v>
      </c>
      <c r="C190" s="7"/>
      <c r="D190" s="7"/>
      <c r="E190" s="7"/>
      <c r="F190" s="7"/>
      <c r="G190" s="7"/>
      <c r="H190" s="7"/>
      <c r="I190" s="7"/>
      <c r="J190" s="7"/>
      <c r="K190" s="7"/>
      <c r="L190" s="9"/>
      <c r="M190" s="32"/>
      <c r="N190" s="29"/>
      <c r="O190" s="10"/>
      <c r="P190" s="10"/>
      <c r="Q190" s="35"/>
      <c r="R190" s="29"/>
      <c r="S190" s="10"/>
      <c r="T190" s="10"/>
      <c r="U190" s="10"/>
      <c r="V190" s="10"/>
      <c r="W190" s="10"/>
      <c r="X190" s="10"/>
      <c r="Y190" s="10"/>
      <c r="Z190" s="35"/>
      <c r="AA190" s="37"/>
      <c r="AB190" s="8"/>
      <c r="AC190" s="26"/>
      <c r="AD190" s="24">
        <f t="shared" si="6"/>
        <v>0</v>
      </c>
      <c r="AE190" s="24">
        <f t="shared" si="7"/>
        <v>0</v>
      </c>
      <c r="AF190" s="24">
        <f t="shared" si="8"/>
        <v>0</v>
      </c>
      <c r="AG190" s="41" t="str" cm="1">
        <f t="array" ref="AG190">_xlfn.IFS(
SUM(AD190:AF190)=0,"Not Started",
SUM(AD190:AF190)&lt;15,"In Progress",
SUM(AD190:AF190)=15,"Completed",
SUM(AD190:AF190)&gt;15,"Error"
)</f>
        <v>Not Started</v>
      </c>
    </row>
    <row r="191" spans="1:33" ht="13" x14ac:dyDescent="0.25">
      <c r="A191" s="248"/>
      <c r="B191" s="7" t="s">
        <v>2449</v>
      </c>
      <c r="C191" s="7"/>
      <c r="D191" s="7"/>
      <c r="E191" s="7"/>
      <c r="F191" s="7"/>
      <c r="G191" s="7"/>
      <c r="H191" s="7"/>
      <c r="I191" s="7"/>
      <c r="J191" s="7"/>
      <c r="K191" s="7"/>
      <c r="L191" s="9"/>
      <c r="M191" s="32"/>
      <c r="N191" s="29"/>
      <c r="O191" s="10"/>
      <c r="P191" s="10"/>
      <c r="Q191" s="35"/>
      <c r="R191" s="29"/>
      <c r="S191" s="10"/>
      <c r="T191" s="10"/>
      <c r="U191" s="10"/>
      <c r="V191" s="10"/>
      <c r="W191" s="10"/>
      <c r="X191" s="8"/>
      <c r="Y191" s="10"/>
      <c r="Z191" s="39"/>
      <c r="AA191" s="37"/>
      <c r="AB191" s="8"/>
      <c r="AC191" s="26"/>
      <c r="AD191" s="24">
        <f t="shared" si="6"/>
        <v>0</v>
      </c>
      <c r="AE191" s="24">
        <f t="shared" si="7"/>
        <v>0</v>
      </c>
      <c r="AF191" s="24">
        <f t="shared" si="8"/>
        <v>0</v>
      </c>
      <c r="AG191" s="41" t="str" cm="1">
        <f t="array" ref="AG191">_xlfn.IFS(
SUM(AD191:AF191)=0,"Not Started",
SUM(AD191:AF191)&lt;15,"In Progress",
SUM(AD191:AF191)=15,"Completed",
SUM(AD191:AF191)&gt;15,"Error"
)</f>
        <v>Not Started</v>
      </c>
    </row>
    <row r="192" spans="1:33" ht="13" x14ac:dyDescent="0.25">
      <c r="A192" s="248"/>
      <c r="B192" s="14" t="s">
        <v>2450</v>
      </c>
      <c r="C192" s="7"/>
      <c r="D192" s="7"/>
      <c r="E192" s="7"/>
      <c r="F192" s="7"/>
      <c r="G192" s="7"/>
      <c r="H192" s="7"/>
      <c r="I192" s="7"/>
      <c r="J192" s="7"/>
      <c r="K192" s="7"/>
      <c r="L192" s="9"/>
      <c r="M192" s="32"/>
      <c r="N192" s="29"/>
      <c r="O192" s="10"/>
      <c r="P192" s="10"/>
      <c r="Q192" s="35"/>
      <c r="R192" s="29"/>
      <c r="S192" s="10"/>
      <c r="T192" s="10"/>
      <c r="U192" s="10"/>
      <c r="V192" s="10"/>
      <c r="W192" s="10"/>
      <c r="X192" s="8"/>
      <c r="Y192" s="10"/>
      <c r="Z192" s="39"/>
      <c r="AA192" s="37"/>
      <c r="AB192" s="8"/>
      <c r="AC192" s="26"/>
      <c r="AD192" s="24">
        <f t="shared" si="6"/>
        <v>0</v>
      </c>
      <c r="AE192" s="24">
        <f t="shared" si="7"/>
        <v>0</v>
      </c>
      <c r="AF192" s="24">
        <f t="shared" si="8"/>
        <v>0</v>
      </c>
      <c r="AG192" s="41" t="str" cm="1">
        <f t="array" ref="AG192">_xlfn.IFS(
SUM(AD192:AF192)=0,"Not Started",
SUM(AD192:AF192)&lt;15,"In Progress",
SUM(AD192:AF192)=15,"Completed",
SUM(AD192:AF192)&gt;15,"Error"
)</f>
        <v>Not Started</v>
      </c>
    </row>
    <row r="193" spans="1:33" ht="13" x14ac:dyDescent="0.25">
      <c r="A193" s="248"/>
      <c r="B193" s="7" t="s">
        <v>2451</v>
      </c>
      <c r="C193" s="7"/>
      <c r="D193" s="7"/>
      <c r="E193" s="7"/>
      <c r="F193" s="7"/>
      <c r="G193" s="7"/>
      <c r="H193" s="7"/>
      <c r="I193" s="7"/>
      <c r="J193" s="7"/>
      <c r="K193" s="7"/>
      <c r="L193" s="9"/>
      <c r="M193" s="32"/>
      <c r="N193" s="29"/>
      <c r="O193" s="10"/>
      <c r="P193" s="10"/>
      <c r="Q193" s="35"/>
      <c r="R193" s="29"/>
      <c r="S193" s="10"/>
      <c r="T193" s="10"/>
      <c r="U193" s="10"/>
      <c r="V193" s="10"/>
      <c r="W193" s="10"/>
      <c r="X193" s="8"/>
      <c r="Y193" s="10"/>
      <c r="Z193" s="39"/>
      <c r="AA193" s="37"/>
      <c r="AB193" s="8"/>
      <c r="AC193" s="26"/>
      <c r="AD193" s="24">
        <f t="shared" si="6"/>
        <v>0</v>
      </c>
      <c r="AE193" s="24">
        <f t="shared" si="7"/>
        <v>0</v>
      </c>
      <c r="AF193" s="24">
        <f t="shared" si="8"/>
        <v>0</v>
      </c>
      <c r="AG193" s="41" t="str" cm="1">
        <f t="array" ref="AG193">_xlfn.IFS(
SUM(AD193:AF193)=0,"Not Started",
SUM(AD193:AF193)&lt;15,"In Progress",
SUM(AD193:AF193)=15,"Completed",
SUM(AD193:AF193)&gt;15,"Error"
)</f>
        <v>Not Started</v>
      </c>
    </row>
    <row r="194" spans="1:33" ht="13" x14ac:dyDescent="0.25">
      <c r="A194" s="248"/>
      <c r="B194" s="14" t="s">
        <v>2452</v>
      </c>
      <c r="C194" s="7"/>
      <c r="D194" s="7"/>
      <c r="E194" s="7"/>
      <c r="F194" s="7"/>
      <c r="G194" s="7"/>
      <c r="H194" s="7"/>
      <c r="I194" s="7"/>
      <c r="J194" s="7"/>
      <c r="K194" s="7"/>
      <c r="L194" s="9"/>
      <c r="M194" s="32"/>
      <c r="N194" s="29"/>
      <c r="O194" s="10"/>
      <c r="P194" s="10"/>
      <c r="Q194" s="35"/>
      <c r="R194" s="29"/>
      <c r="S194" s="10"/>
      <c r="T194" s="10"/>
      <c r="U194" s="10"/>
      <c r="V194" s="10"/>
      <c r="W194" s="10"/>
      <c r="X194" s="10"/>
      <c r="Y194" s="10"/>
      <c r="Z194" s="35"/>
      <c r="AA194" s="37"/>
      <c r="AB194" s="8"/>
      <c r="AC194" s="26"/>
      <c r="AD194" s="24">
        <f t="shared" si="6"/>
        <v>0</v>
      </c>
      <c r="AE194" s="24">
        <f t="shared" si="7"/>
        <v>0</v>
      </c>
      <c r="AF194" s="24">
        <f t="shared" si="8"/>
        <v>0</v>
      </c>
      <c r="AG194" s="41" t="str" cm="1">
        <f t="array" ref="AG194">_xlfn.IFS(
SUM(AD194:AF194)=0,"Not Started",
SUM(AD194:AF194)&lt;15,"In Progress",
SUM(AD194:AF194)=15,"Completed",
SUM(AD194:AF194)&gt;15,"Error"
)</f>
        <v>Not Started</v>
      </c>
    </row>
    <row r="195" spans="1:33" ht="13" x14ac:dyDescent="0.25">
      <c r="A195" s="248"/>
      <c r="B195" s="7" t="s">
        <v>2453</v>
      </c>
      <c r="C195" s="7"/>
      <c r="D195" s="7"/>
      <c r="E195" s="7"/>
      <c r="F195" s="7"/>
      <c r="G195" s="7"/>
      <c r="H195" s="7"/>
      <c r="I195" s="7"/>
      <c r="J195" s="7"/>
      <c r="K195" s="7"/>
      <c r="L195" s="9"/>
      <c r="M195" s="32"/>
      <c r="N195" s="29"/>
      <c r="O195" s="10"/>
      <c r="P195" s="10"/>
      <c r="Q195" s="35"/>
      <c r="R195" s="29"/>
      <c r="S195" s="10"/>
      <c r="T195" s="10"/>
      <c r="U195" s="10"/>
      <c r="V195" s="10"/>
      <c r="W195" s="10"/>
      <c r="X195" s="8"/>
      <c r="Y195" s="10"/>
      <c r="Z195" s="39"/>
      <c r="AA195" s="37"/>
      <c r="AB195" s="8"/>
      <c r="AC195" s="26"/>
      <c r="AD195" s="24">
        <f t="shared" si="6"/>
        <v>0</v>
      </c>
      <c r="AE195" s="24">
        <f t="shared" si="7"/>
        <v>0</v>
      </c>
      <c r="AF195" s="24">
        <f t="shared" si="8"/>
        <v>0</v>
      </c>
      <c r="AG195" s="41" t="str" cm="1">
        <f t="array" ref="AG195">_xlfn.IFS(
SUM(AD195:AF195)=0,"Not Started",
SUM(AD195:AF195)&lt;15,"In Progress",
SUM(AD195:AF195)=15,"Completed",
SUM(AD195:AF195)&gt;15,"Error"
)</f>
        <v>Not Started</v>
      </c>
    </row>
    <row r="196" spans="1:33" ht="13" x14ac:dyDescent="0.25">
      <c r="A196" s="248"/>
      <c r="B196" s="14" t="s">
        <v>2454</v>
      </c>
      <c r="C196" s="7"/>
      <c r="D196" s="7"/>
      <c r="E196" s="7"/>
      <c r="F196" s="7"/>
      <c r="G196" s="7"/>
      <c r="H196" s="7"/>
      <c r="I196" s="7"/>
      <c r="J196" s="7"/>
      <c r="K196" s="7"/>
      <c r="L196" s="9"/>
      <c r="M196" s="32"/>
      <c r="N196" s="29"/>
      <c r="O196" s="10"/>
      <c r="P196" s="10"/>
      <c r="Q196" s="35"/>
      <c r="R196" s="29"/>
      <c r="S196" s="10"/>
      <c r="T196" s="10"/>
      <c r="U196" s="10"/>
      <c r="V196" s="10"/>
      <c r="W196" s="10"/>
      <c r="X196" s="10"/>
      <c r="Y196" s="10"/>
      <c r="Z196" s="35"/>
      <c r="AA196" s="37"/>
      <c r="AB196" s="8"/>
      <c r="AC196" s="26"/>
      <c r="AD196" s="24">
        <f t="shared" si="6"/>
        <v>0</v>
      </c>
      <c r="AE196" s="24">
        <f t="shared" si="7"/>
        <v>0</v>
      </c>
      <c r="AF196" s="24">
        <f t="shared" si="8"/>
        <v>0</v>
      </c>
      <c r="AG196" s="41" t="str" cm="1">
        <f t="array" ref="AG196">_xlfn.IFS(
SUM(AD196:AF196)=0,"Not Started",
SUM(AD196:AF196)&lt;15,"In Progress",
SUM(AD196:AF196)=15,"Completed",
SUM(AD196:AF196)&gt;15,"Error"
)</f>
        <v>Not Started</v>
      </c>
    </row>
    <row r="197" spans="1:33" ht="13" x14ac:dyDescent="0.25">
      <c r="A197" s="248"/>
      <c r="B197" s="7" t="s">
        <v>2455</v>
      </c>
      <c r="C197" s="7"/>
      <c r="D197" s="7"/>
      <c r="E197" s="7"/>
      <c r="F197" s="7"/>
      <c r="G197" s="7"/>
      <c r="H197" s="7"/>
      <c r="I197" s="7"/>
      <c r="J197" s="7"/>
      <c r="K197" s="7"/>
      <c r="L197" s="9"/>
      <c r="M197" s="32"/>
      <c r="N197" s="29"/>
      <c r="O197" s="10"/>
      <c r="P197" s="10"/>
      <c r="Q197" s="35"/>
      <c r="R197" s="29"/>
      <c r="S197" s="10"/>
      <c r="T197" s="10"/>
      <c r="U197" s="10"/>
      <c r="V197" s="10"/>
      <c r="W197" s="10"/>
      <c r="X197" s="8"/>
      <c r="Y197" s="10"/>
      <c r="Z197" s="39"/>
      <c r="AA197" s="37"/>
      <c r="AB197" s="8"/>
      <c r="AC197" s="26"/>
      <c r="AD197" s="24">
        <f t="shared" ref="AD197:AD204" si="9">COUNTIF(N197:AB197,$AD$2)</f>
        <v>0</v>
      </c>
      <c r="AE197" s="24">
        <f t="shared" ref="AE197:AE204" si="10">COUNTIF(N197:AB197,$AE$2)</f>
        <v>0</v>
      </c>
      <c r="AF197" s="24">
        <f t="shared" ref="AF197:AF204" si="11">COUNTIF(N197:AB197,$AF$2)</f>
        <v>0</v>
      </c>
      <c r="AG197" s="41" t="str" cm="1">
        <f t="array" ref="AG197">_xlfn.IFS(
SUM(AD197:AF197)=0,"Not Started",
SUM(AD197:AF197)&lt;15,"In Progress",
SUM(AD197:AF197)=15,"Completed",
SUM(AD197:AF197)&gt;15,"Error"
)</f>
        <v>Not Started</v>
      </c>
    </row>
    <row r="198" spans="1:33" ht="13" x14ac:dyDescent="0.25">
      <c r="A198" s="248"/>
      <c r="B198" s="14" t="s">
        <v>2456</v>
      </c>
      <c r="C198" s="7"/>
      <c r="D198" s="7"/>
      <c r="E198" s="7"/>
      <c r="F198" s="7"/>
      <c r="G198" s="7"/>
      <c r="H198" s="7"/>
      <c r="I198" s="7"/>
      <c r="J198" s="7"/>
      <c r="K198" s="7"/>
      <c r="L198" s="9"/>
      <c r="M198" s="32"/>
      <c r="N198" s="29"/>
      <c r="O198" s="10"/>
      <c r="P198" s="10"/>
      <c r="Q198" s="35"/>
      <c r="R198" s="29"/>
      <c r="S198" s="10"/>
      <c r="T198" s="10"/>
      <c r="U198" s="10"/>
      <c r="V198" s="10"/>
      <c r="W198" s="10"/>
      <c r="X198" s="8"/>
      <c r="Y198" s="10"/>
      <c r="Z198" s="39"/>
      <c r="AA198" s="37"/>
      <c r="AB198" s="8"/>
      <c r="AC198" s="26"/>
      <c r="AD198" s="24">
        <f t="shared" si="9"/>
        <v>0</v>
      </c>
      <c r="AE198" s="24">
        <f t="shared" si="10"/>
        <v>0</v>
      </c>
      <c r="AF198" s="24">
        <f t="shared" si="11"/>
        <v>0</v>
      </c>
      <c r="AG198" s="41" t="str" cm="1">
        <f t="array" ref="AG198">_xlfn.IFS(
SUM(AD198:AF198)=0,"Not Started",
SUM(AD198:AF198)&lt;15,"In Progress",
SUM(AD198:AF198)=15,"Completed",
SUM(AD198:AF198)&gt;15,"Error"
)</f>
        <v>Not Started</v>
      </c>
    </row>
    <row r="199" spans="1:33" ht="13" x14ac:dyDescent="0.25">
      <c r="A199" s="248"/>
      <c r="B199" s="7" t="s">
        <v>2457</v>
      </c>
      <c r="C199" s="7"/>
      <c r="D199" s="7"/>
      <c r="E199" s="7"/>
      <c r="F199" s="7"/>
      <c r="G199" s="7"/>
      <c r="H199" s="7"/>
      <c r="I199" s="7"/>
      <c r="J199" s="7"/>
      <c r="K199" s="7"/>
      <c r="L199" s="9"/>
      <c r="M199" s="32"/>
      <c r="N199" s="29"/>
      <c r="O199" s="10"/>
      <c r="P199" s="10"/>
      <c r="Q199" s="35"/>
      <c r="R199" s="29"/>
      <c r="S199" s="10"/>
      <c r="T199" s="10"/>
      <c r="U199" s="10"/>
      <c r="V199" s="10"/>
      <c r="W199" s="10"/>
      <c r="X199" s="10"/>
      <c r="Y199" s="10"/>
      <c r="Z199" s="35"/>
      <c r="AA199" s="37"/>
      <c r="AB199" s="8"/>
      <c r="AC199" s="26"/>
      <c r="AD199" s="24">
        <f t="shared" si="9"/>
        <v>0</v>
      </c>
      <c r="AE199" s="24">
        <f t="shared" si="10"/>
        <v>0</v>
      </c>
      <c r="AF199" s="24">
        <f t="shared" si="11"/>
        <v>0</v>
      </c>
      <c r="AG199" s="41" t="str" cm="1">
        <f t="array" ref="AG199">_xlfn.IFS(
SUM(AD199:AF199)=0,"Not Started",
SUM(AD199:AF199)&lt;15,"In Progress",
SUM(AD199:AF199)=15,"Completed",
SUM(AD199:AF199)&gt;15,"Error"
)</f>
        <v>Not Started</v>
      </c>
    </row>
    <row r="200" spans="1:33" ht="13" x14ac:dyDescent="0.25">
      <c r="A200" s="248"/>
      <c r="B200" s="14" t="s">
        <v>2458</v>
      </c>
      <c r="C200" s="7"/>
      <c r="D200" s="7"/>
      <c r="E200" s="7"/>
      <c r="F200" s="7"/>
      <c r="G200" s="7"/>
      <c r="H200" s="7"/>
      <c r="I200" s="7"/>
      <c r="J200" s="7"/>
      <c r="K200" s="7"/>
      <c r="L200" s="9"/>
      <c r="M200" s="32"/>
      <c r="N200" s="29"/>
      <c r="O200" s="10"/>
      <c r="P200" s="10"/>
      <c r="Q200" s="35"/>
      <c r="R200" s="29"/>
      <c r="S200" s="10"/>
      <c r="T200" s="10"/>
      <c r="U200" s="10"/>
      <c r="V200" s="10"/>
      <c r="W200" s="10"/>
      <c r="X200" s="8"/>
      <c r="Y200" s="10"/>
      <c r="Z200" s="39"/>
      <c r="AA200" s="37"/>
      <c r="AB200" s="8"/>
      <c r="AC200" s="26"/>
      <c r="AD200" s="24">
        <f t="shared" si="9"/>
        <v>0</v>
      </c>
      <c r="AE200" s="24">
        <f t="shared" si="10"/>
        <v>0</v>
      </c>
      <c r="AF200" s="24">
        <f t="shared" si="11"/>
        <v>0</v>
      </c>
      <c r="AG200" s="41" t="str" cm="1">
        <f t="array" ref="AG200">_xlfn.IFS(
SUM(AD200:AF200)=0,"Not Started",
SUM(AD200:AF200)&lt;15,"In Progress",
SUM(AD200:AF200)=15,"Completed",
SUM(AD200:AF200)&gt;15,"Error"
)</f>
        <v>Not Started</v>
      </c>
    </row>
    <row r="201" spans="1:33" ht="13" x14ac:dyDescent="0.25">
      <c r="A201" s="248"/>
      <c r="B201" s="7" t="s">
        <v>2459</v>
      </c>
      <c r="C201" s="7"/>
      <c r="D201" s="7"/>
      <c r="E201" s="7"/>
      <c r="F201" s="7"/>
      <c r="G201" s="7"/>
      <c r="H201" s="7"/>
      <c r="I201" s="7"/>
      <c r="J201" s="7"/>
      <c r="K201" s="7"/>
      <c r="L201" s="9"/>
      <c r="M201" s="32"/>
      <c r="N201" s="29"/>
      <c r="O201" s="10"/>
      <c r="P201" s="10"/>
      <c r="Q201" s="35"/>
      <c r="R201" s="29"/>
      <c r="S201" s="10"/>
      <c r="T201" s="10"/>
      <c r="U201" s="10"/>
      <c r="V201" s="10"/>
      <c r="W201" s="10"/>
      <c r="X201" s="10"/>
      <c r="Y201" s="10"/>
      <c r="Z201" s="35"/>
      <c r="AA201" s="37"/>
      <c r="AB201" s="8"/>
      <c r="AC201" s="26"/>
      <c r="AD201" s="24">
        <f t="shared" si="9"/>
        <v>0</v>
      </c>
      <c r="AE201" s="24">
        <f t="shared" si="10"/>
        <v>0</v>
      </c>
      <c r="AF201" s="24">
        <f t="shared" si="11"/>
        <v>0</v>
      </c>
      <c r="AG201" s="41" t="str" cm="1">
        <f t="array" ref="AG201">_xlfn.IFS(
SUM(AD201:AF201)=0,"Not Started",
SUM(AD201:AF201)&lt;15,"In Progress",
SUM(AD201:AF201)=15,"Completed",
SUM(AD201:AF201)&gt;15,"Error"
)</f>
        <v>Not Started</v>
      </c>
    </row>
    <row r="202" spans="1:33" ht="13" x14ac:dyDescent="0.25">
      <c r="A202" s="248"/>
      <c r="B202" s="14" t="s">
        <v>2460</v>
      </c>
      <c r="C202" s="7"/>
      <c r="D202" s="7"/>
      <c r="E202" s="7"/>
      <c r="F202" s="7"/>
      <c r="G202" s="7"/>
      <c r="H202" s="7"/>
      <c r="I202" s="7"/>
      <c r="J202" s="7"/>
      <c r="K202" s="7"/>
      <c r="L202" s="9"/>
      <c r="M202" s="32"/>
      <c r="N202" s="29"/>
      <c r="O202" s="10"/>
      <c r="P202" s="10"/>
      <c r="Q202" s="35"/>
      <c r="R202" s="29"/>
      <c r="S202" s="10"/>
      <c r="T202" s="10"/>
      <c r="U202" s="10"/>
      <c r="V202" s="10"/>
      <c r="W202" s="10"/>
      <c r="X202" s="10"/>
      <c r="Y202" s="10"/>
      <c r="Z202" s="39"/>
      <c r="AA202" s="37"/>
      <c r="AB202" s="8"/>
      <c r="AC202" s="26"/>
      <c r="AD202" s="24">
        <f t="shared" si="9"/>
        <v>0</v>
      </c>
      <c r="AE202" s="24">
        <f t="shared" si="10"/>
        <v>0</v>
      </c>
      <c r="AF202" s="24">
        <f t="shared" si="11"/>
        <v>0</v>
      </c>
      <c r="AG202" s="41" t="str" cm="1">
        <f t="array" ref="AG202">_xlfn.IFS(
SUM(AD202:AF202)=0,"Not Started",
SUM(AD202:AF202)&lt;15,"In Progress",
SUM(AD202:AF202)=15,"Completed",
SUM(AD202:AF202)&gt;15,"Error"
)</f>
        <v>Not Started</v>
      </c>
    </row>
    <row r="203" spans="1:33" ht="13" x14ac:dyDescent="0.25">
      <c r="A203" s="249"/>
      <c r="B203" s="7" t="s">
        <v>2461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33"/>
      <c r="N203" s="30"/>
      <c r="O203" s="21"/>
      <c r="P203" s="21"/>
      <c r="Q203" s="36"/>
      <c r="R203" s="30"/>
      <c r="S203" s="21"/>
      <c r="T203" s="21"/>
      <c r="U203" s="10"/>
      <c r="V203" s="10"/>
      <c r="W203" s="10"/>
      <c r="X203" s="21"/>
      <c r="Y203" s="21"/>
      <c r="Z203" s="36"/>
      <c r="AA203" s="38"/>
      <c r="AB203" s="22"/>
      <c r="AC203" s="27"/>
      <c r="AD203" s="24">
        <f t="shared" si="9"/>
        <v>0</v>
      </c>
      <c r="AE203" s="24">
        <f t="shared" si="10"/>
        <v>0</v>
      </c>
      <c r="AF203" s="24">
        <f t="shared" si="11"/>
        <v>0</v>
      </c>
      <c r="AG203" s="41" t="str" cm="1">
        <f t="array" ref="AG203">_xlfn.IFS(
SUM(AD203:AF203)=0,"Not Started",
SUM(AD203:AF203)&lt;15,"In Progress",
SUM(AD203:AF203)=15,"Completed",
SUM(AD203:AF203)&gt;15,"Error"
)</f>
        <v>Not Started</v>
      </c>
    </row>
    <row r="204" spans="1:33" ht="15.75" customHeight="1" x14ac:dyDescent="0.25">
      <c r="A204" s="250" t="s">
        <v>251</v>
      </c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"/>
      <c r="AD204" s="24">
        <f t="shared" si="9"/>
        <v>0</v>
      </c>
      <c r="AE204" s="24">
        <f t="shared" si="10"/>
        <v>0</v>
      </c>
      <c r="AF204" s="24">
        <f t="shared" si="11"/>
        <v>0</v>
      </c>
      <c r="AG204" s="40" cm="1">
        <f t="array" ref="AG204">SUM(N204:AB204/15)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147:AC203 B4:B38 M4:AC38 B39:B59 M39:AC59 B60:B61 M60:AC61 B62:B63 M62:AC63 B64:B71 M64:AC71 B72:B83 M72:AC83 B84:B138 M84:AC138 B139:B146 M139:AC146" name="Range1"/>
    <protectedRange sqref="C4:K59" name="Range1_1_1"/>
    <protectedRange sqref="C60:E61 I60:L61" name="Range1_3"/>
    <protectedRange sqref="F60:H61" name="Range1_1_3"/>
    <protectedRange sqref="C62:E63 I62:L63" name="Range1_1"/>
    <protectedRange sqref="F62:H63" name="Range1_1_2"/>
    <protectedRange sqref="C64:F71 I64:L71" name="Range1_2"/>
    <protectedRange sqref="G64:H71" name="Range1_1_4"/>
    <protectedRange sqref="C72:G83 I72:L83" name="Range1_4"/>
    <protectedRange sqref="H72:H83" name="Range1_1_5"/>
    <protectedRange sqref="C84:F137 H84:L137" name="Range1_5"/>
    <protectedRange sqref="G84:G137" name="Range1_1_6"/>
    <protectedRange sqref="C138:F146 H138:L146" name="Range1_6"/>
    <protectedRange sqref="G138:G146" name="Range1_1_7"/>
  </protectedRanges>
  <mergeCells count="14">
    <mergeCell ref="AE2:AE3"/>
    <mergeCell ref="AF2:AF3"/>
    <mergeCell ref="AG2:AG3"/>
    <mergeCell ref="A2:A3"/>
    <mergeCell ref="B2:L2"/>
    <mergeCell ref="M2:M3"/>
    <mergeCell ref="N2:Q2"/>
    <mergeCell ref="R2:Z2"/>
    <mergeCell ref="AA2:AA3"/>
    <mergeCell ref="A4:A203"/>
    <mergeCell ref="A204:M204"/>
    <mergeCell ref="AB2:AB3"/>
    <mergeCell ref="AC2:AC3"/>
    <mergeCell ref="AD2:AD3"/>
  </mergeCells>
  <phoneticPr fontId="14" type="noConversion"/>
  <conditionalFormatting sqref="AD5:AF204 B147:AC203 M4:AF4 B4:B146 M5:AC146">
    <cfRule type="cellIs" dxfId="175" priority="105" operator="equal">
      <formula>"In Progress"</formula>
    </cfRule>
    <cfRule type="cellIs" dxfId="174" priority="106" operator="equal">
      <formula>"Completed"</formula>
    </cfRule>
  </conditionalFormatting>
  <conditionalFormatting sqref="N4:Z203">
    <cfRule type="cellIs" dxfId="173" priority="101" operator="equal">
      <formula>"Not Started"</formula>
    </cfRule>
  </conditionalFormatting>
  <conditionalFormatting sqref="AG4:AG203">
    <cfRule type="cellIs" dxfId="172" priority="102" operator="equal">
      <formula>"In Progress"</formula>
    </cfRule>
    <cfRule type="cellIs" dxfId="171" priority="103" operator="equal">
      <formula>"Completed"</formula>
    </cfRule>
    <cfRule type="cellIs" dxfId="170" priority="104" operator="equal">
      <formula>"Not Started"</formula>
    </cfRule>
  </conditionalFormatting>
  <conditionalFormatting sqref="D4:L28 C4:C59 D29:K59">
    <cfRule type="cellIs" dxfId="169" priority="97" operator="equal">
      <formula>"In Progress"</formula>
    </cfRule>
    <cfRule type="cellIs" dxfId="168" priority="98" operator="equal">
      <formula>"Completed"</formula>
    </cfRule>
  </conditionalFormatting>
  <conditionalFormatting sqref="C60:K60">
    <cfRule type="cellIs" dxfId="167" priority="95" operator="equal">
      <formula>"In Progress"</formula>
    </cfRule>
    <cfRule type="cellIs" dxfId="166" priority="96" operator="equal">
      <formula>"Completed"</formula>
    </cfRule>
  </conditionalFormatting>
  <conditionalFormatting sqref="C61:H61 J61:K61">
    <cfRule type="cellIs" dxfId="165" priority="93" operator="equal">
      <formula>"In Progress"</formula>
    </cfRule>
    <cfRule type="cellIs" dxfId="164" priority="94" operator="equal">
      <formula>"Completed"</formula>
    </cfRule>
  </conditionalFormatting>
  <conditionalFormatting sqref="I61">
    <cfRule type="cellIs" dxfId="163" priority="91" operator="equal">
      <formula>"In Progress"</formula>
    </cfRule>
    <cfRule type="cellIs" dxfId="162" priority="92" operator="equal">
      <formula>"Completed"</formula>
    </cfRule>
  </conditionalFormatting>
  <conditionalFormatting sqref="C62:K63">
    <cfRule type="cellIs" dxfId="161" priority="89" operator="equal">
      <formula>"In Progress"</formula>
    </cfRule>
    <cfRule type="cellIs" dxfId="160" priority="90" operator="equal">
      <formula>"Completed"</formula>
    </cfRule>
  </conditionalFormatting>
  <conditionalFormatting sqref="G64:H71">
    <cfRule type="cellIs" dxfId="159" priority="87" operator="equal">
      <formula>"In Progress"</formula>
    </cfRule>
    <cfRule type="cellIs" dxfId="158" priority="88" operator="equal">
      <formula>"Completed"</formula>
    </cfRule>
  </conditionalFormatting>
  <conditionalFormatting sqref="I64:I71">
    <cfRule type="cellIs" dxfId="157" priority="85" operator="equal">
      <formula>"In Progress"</formula>
    </cfRule>
    <cfRule type="cellIs" dxfId="156" priority="86" operator="equal">
      <formula>"Completed"</formula>
    </cfRule>
  </conditionalFormatting>
  <conditionalFormatting sqref="C64:C71">
    <cfRule type="cellIs" dxfId="155" priority="83" operator="equal">
      <formula>"In Progress"</formula>
    </cfRule>
    <cfRule type="cellIs" dxfId="154" priority="84" operator="equal">
      <formula>"Completed"</formula>
    </cfRule>
  </conditionalFormatting>
  <conditionalFormatting sqref="D64:D71">
    <cfRule type="cellIs" dxfId="153" priority="81" operator="equal">
      <formula>"In Progress"</formula>
    </cfRule>
    <cfRule type="cellIs" dxfId="152" priority="82" operator="equal">
      <formula>"Completed"</formula>
    </cfRule>
  </conditionalFormatting>
  <conditionalFormatting sqref="E64:E71">
    <cfRule type="cellIs" dxfId="151" priority="79" operator="equal">
      <formula>"In Progress"</formula>
    </cfRule>
    <cfRule type="cellIs" dxfId="150" priority="80" operator="equal">
      <formula>"Completed"</formula>
    </cfRule>
  </conditionalFormatting>
  <conditionalFormatting sqref="F64:F71">
    <cfRule type="cellIs" dxfId="149" priority="77" operator="equal">
      <formula>"In Progress"</formula>
    </cfRule>
    <cfRule type="cellIs" dxfId="148" priority="78" operator="equal">
      <formula>"Completed"</formula>
    </cfRule>
  </conditionalFormatting>
  <conditionalFormatting sqref="J64:K71">
    <cfRule type="cellIs" dxfId="147" priority="75" operator="equal">
      <formula>"In Progress"</formula>
    </cfRule>
    <cfRule type="cellIs" dxfId="146" priority="76" operator="equal">
      <formula>"Completed"</formula>
    </cfRule>
  </conditionalFormatting>
  <conditionalFormatting sqref="C72:C78">
    <cfRule type="cellIs" dxfId="145" priority="73" operator="equal">
      <formula>"In Progress"</formula>
    </cfRule>
    <cfRule type="cellIs" dxfId="144" priority="74" operator="equal">
      <formula>"Completed"</formula>
    </cfRule>
  </conditionalFormatting>
  <conditionalFormatting sqref="D72:D78">
    <cfRule type="cellIs" dxfId="143" priority="71" operator="equal">
      <formula>"In Progress"</formula>
    </cfRule>
    <cfRule type="cellIs" dxfId="142" priority="72" operator="equal">
      <formula>"Completed"</formula>
    </cfRule>
  </conditionalFormatting>
  <conditionalFormatting sqref="E72:E78">
    <cfRule type="cellIs" dxfId="141" priority="69" operator="equal">
      <formula>"In Progress"</formula>
    </cfRule>
    <cfRule type="cellIs" dxfId="140" priority="70" operator="equal">
      <formula>"Completed"</formula>
    </cfRule>
  </conditionalFormatting>
  <conditionalFormatting sqref="F72:G78">
    <cfRule type="cellIs" dxfId="139" priority="67" operator="equal">
      <formula>"In Progress"</formula>
    </cfRule>
    <cfRule type="cellIs" dxfId="138" priority="68" operator="equal">
      <formula>"Completed"</formula>
    </cfRule>
  </conditionalFormatting>
  <conditionalFormatting sqref="I72:I78">
    <cfRule type="cellIs" dxfId="137" priority="65" operator="equal">
      <formula>"In Progress"</formula>
    </cfRule>
    <cfRule type="cellIs" dxfId="136" priority="66" operator="equal">
      <formula>"Completed"</formula>
    </cfRule>
  </conditionalFormatting>
  <conditionalFormatting sqref="J72:J78">
    <cfRule type="cellIs" dxfId="135" priority="63" operator="equal">
      <formula>"In Progress"</formula>
    </cfRule>
    <cfRule type="cellIs" dxfId="134" priority="64" operator="equal">
      <formula>"Completed"</formula>
    </cfRule>
  </conditionalFormatting>
  <conditionalFormatting sqref="K72:K78">
    <cfRule type="cellIs" dxfId="133" priority="61" operator="equal">
      <formula>"In Progress"</formula>
    </cfRule>
    <cfRule type="cellIs" dxfId="132" priority="62" operator="equal">
      <formula>"Completed"</formula>
    </cfRule>
  </conditionalFormatting>
  <conditionalFormatting sqref="C79:C83">
    <cfRule type="cellIs" dxfId="131" priority="59" operator="equal">
      <formula>"In Progress"</formula>
    </cfRule>
    <cfRule type="cellIs" dxfId="130" priority="60" operator="equal">
      <formula>"Completed"</formula>
    </cfRule>
  </conditionalFormatting>
  <conditionalFormatting sqref="D79:D83">
    <cfRule type="cellIs" dxfId="129" priority="57" operator="equal">
      <formula>"In Progress"</formula>
    </cfRule>
    <cfRule type="cellIs" dxfId="128" priority="58" operator="equal">
      <formula>"Completed"</formula>
    </cfRule>
  </conditionalFormatting>
  <conditionalFormatting sqref="E79:E83">
    <cfRule type="cellIs" dxfId="127" priority="55" operator="equal">
      <formula>"In Progress"</formula>
    </cfRule>
    <cfRule type="cellIs" dxfId="126" priority="56" operator="equal">
      <formula>"Completed"</formula>
    </cfRule>
  </conditionalFormatting>
  <conditionalFormatting sqref="F79:G83">
    <cfRule type="cellIs" dxfId="125" priority="53" operator="equal">
      <formula>"In Progress"</formula>
    </cfRule>
    <cfRule type="cellIs" dxfId="124" priority="54" operator="equal">
      <formula>"Completed"</formula>
    </cfRule>
  </conditionalFormatting>
  <conditionalFormatting sqref="I79:I83">
    <cfRule type="cellIs" dxfId="123" priority="51" operator="equal">
      <formula>"In Progress"</formula>
    </cfRule>
    <cfRule type="cellIs" dxfId="122" priority="52" operator="equal">
      <formula>"Completed"</formula>
    </cfRule>
  </conditionalFormatting>
  <conditionalFormatting sqref="J79:J83">
    <cfRule type="cellIs" dxfId="121" priority="49" operator="equal">
      <formula>"In Progress"</formula>
    </cfRule>
    <cfRule type="cellIs" dxfId="120" priority="50" operator="equal">
      <formula>"Completed"</formula>
    </cfRule>
  </conditionalFormatting>
  <conditionalFormatting sqref="K79:K83">
    <cfRule type="cellIs" dxfId="119" priority="47" operator="equal">
      <formula>"In Progress"</formula>
    </cfRule>
    <cfRule type="cellIs" dxfId="118" priority="48" operator="equal">
      <formula>"Completed"</formula>
    </cfRule>
  </conditionalFormatting>
  <conditionalFormatting sqref="G84:G89">
    <cfRule type="cellIs" dxfId="117" priority="45" operator="equal">
      <formula>"In Progress"</formula>
    </cfRule>
    <cfRule type="cellIs" dxfId="116" priority="46" operator="equal">
      <formula>"Completed"</formula>
    </cfRule>
  </conditionalFormatting>
  <conditionalFormatting sqref="C84:C90">
    <cfRule type="cellIs" dxfId="115" priority="43" operator="equal">
      <formula>"In Progress"</formula>
    </cfRule>
    <cfRule type="cellIs" dxfId="114" priority="44" operator="equal">
      <formula>"Completed"</formula>
    </cfRule>
  </conditionalFormatting>
  <conditionalFormatting sqref="D84:D90">
    <cfRule type="cellIs" dxfId="113" priority="41" operator="equal">
      <formula>"In Progress"</formula>
    </cfRule>
    <cfRule type="cellIs" dxfId="112" priority="42" operator="equal">
      <formula>"Completed"</formula>
    </cfRule>
  </conditionalFormatting>
  <conditionalFormatting sqref="E84:E90">
    <cfRule type="cellIs" dxfId="111" priority="39" operator="equal">
      <formula>"In Progress"</formula>
    </cfRule>
    <cfRule type="cellIs" dxfId="110" priority="40" operator="equal">
      <formula>"Completed"</formula>
    </cfRule>
  </conditionalFormatting>
  <conditionalFormatting sqref="F84:F90">
    <cfRule type="cellIs" dxfId="109" priority="37" operator="equal">
      <formula>"In Progress"</formula>
    </cfRule>
    <cfRule type="cellIs" dxfId="108" priority="38" operator="equal">
      <formula>"Completed"</formula>
    </cfRule>
  </conditionalFormatting>
  <conditionalFormatting sqref="I84:I90">
    <cfRule type="cellIs" dxfId="107" priority="35" operator="equal">
      <formula>"In Progress"</formula>
    </cfRule>
    <cfRule type="cellIs" dxfId="106" priority="36" operator="equal">
      <formula>"Completed"</formula>
    </cfRule>
  </conditionalFormatting>
  <conditionalFormatting sqref="J84:J90">
    <cfRule type="cellIs" dxfId="105" priority="33" operator="equal">
      <formula>"In Progress"</formula>
    </cfRule>
    <cfRule type="cellIs" dxfId="104" priority="34" operator="equal">
      <formula>"Completed"</formula>
    </cfRule>
  </conditionalFormatting>
  <conditionalFormatting sqref="K84:K90">
    <cfRule type="cellIs" dxfId="103" priority="31" operator="equal">
      <formula>"In Progress"</formula>
    </cfRule>
    <cfRule type="cellIs" dxfId="102" priority="32" operator="equal">
      <formula>"Completed"</formula>
    </cfRule>
  </conditionalFormatting>
  <conditionalFormatting sqref="C91:C137">
    <cfRule type="cellIs" dxfId="101" priority="29" operator="equal">
      <formula>"In Progress"</formula>
    </cfRule>
    <cfRule type="cellIs" dxfId="100" priority="30" operator="equal">
      <formula>"Completed"</formula>
    </cfRule>
  </conditionalFormatting>
  <conditionalFormatting sqref="D91:D137">
    <cfRule type="cellIs" dxfId="99" priority="27" operator="equal">
      <formula>"In Progress"</formula>
    </cfRule>
    <cfRule type="cellIs" dxfId="98" priority="28" operator="equal">
      <formula>"Completed"</formula>
    </cfRule>
  </conditionalFormatting>
  <conditionalFormatting sqref="E91:E137">
    <cfRule type="cellIs" dxfId="97" priority="25" operator="equal">
      <formula>"In Progress"</formula>
    </cfRule>
    <cfRule type="cellIs" dxfId="96" priority="26" operator="equal">
      <formula>"Completed"</formula>
    </cfRule>
  </conditionalFormatting>
  <conditionalFormatting sqref="F91:F137">
    <cfRule type="cellIs" dxfId="95" priority="23" operator="equal">
      <formula>"In Progress"</formula>
    </cfRule>
    <cfRule type="cellIs" dxfId="94" priority="24" operator="equal">
      <formula>"Completed"</formula>
    </cfRule>
  </conditionalFormatting>
  <conditionalFormatting sqref="G90:G137">
    <cfRule type="cellIs" dxfId="93" priority="21" operator="equal">
      <formula>"In Progress"</formula>
    </cfRule>
    <cfRule type="cellIs" dxfId="92" priority="22" operator="equal">
      <formula>"Completed"</formula>
    </cfRule>
  </conditionalFormatting>
  <conditionalFormatting sqref="I91:I137">
    <cfRule type="cellIs" dxfId="91" priority="19" operator="equal">
      <formula>"In Progress"</formula>
    </cfRule>
    <cfRule type="cellIs" dxfId="90" priority="20" operator="equal">
      <formula>"Completed"</formula>
    </cfRule>
  </conditionalFormatting>
  <conditionalFormatting sqref="J91:K137">
    <cfRule type="cellIs" dxfId="89" priority="17" operator="equal">
      <formula>"In Progress"</formula>
    </cfRule>
    <cfRule type="cellIs" dxfId="88" priority="18" operator="equal">
      <formula>"Completed"</formula>
    </cfRule>
  </conditionalFormatting>
  <conditionalFormatting sqref="C138">
    <cfRule type="cellIs" dxfId="15" priority="15" operator="equal">
      <formula>"In Progress"</formula>
    </cfRule>
    <cfRule type="cellIs" dxfId="14" priority="16" operator="equal">
      <formula>"Completed"</formula>
    </cfRule>
  </conditionalFormatting>
  <conditionalFormatting sqref="D138">
    <cfRule type="cellIs" dxfId="13" priority="13" operator="equal">
      <formula>"In Progress"</formula>
    </cfRule>
    <cfRule type="cellIs" dxfId="12" priority="14" operator="equal">
      <formula>"Completed"</formula>
    </cfRule>
  </conditionalFormatting>
  <conditionalFormatting sqref="E138">
    <cfRule type="cellIs" dxfId="11" priority="11" operator="equal">
      <formula>"In Progress"</formula>
    </cfRule>
    <cfRule type="cellIs" dxfId="10" priority="12" operator="equal">
      <formula>"Completed"</formula>
    </cfRule>
  </conditionalFormatting>
  <conditionalFormatting sqref="F138">
    <cfRule type="cellIs" dxfId="9" priority="9" operator="equal">
      <formula>"In Progress"</formula>
    </cfRule>
    <cfRule type="cellIs" dxfId="8" priority="10" operator="equal">
      <formula>"Completed"</formula>
    </cfRule>
  </conditionalFormatting>
  <conditionalFormatting sqref="G138">
    <cfRule type="cellIs" dxfId="7" priority="7" operator="equal">
      <formula>"In Progress"</formula>
    </cfRule>
    <cfRule type="cellIs" dxfId="6" priority="8" operator="equal">
      <formula>"Completed"</formula>
    </cfRule>
  </conditionalFormatting>
  <conditionalFormatting sqref="I138">
    <cfRule type="cellIs" dxfId="5" priority="5" operator="equal">
      <formula>"In Progress"</formula>
    </cfRule>
    <cfRule type="cellIs" dxfId="4" priority="6" operator="equal">
      <formula>"Completed"</formula>
    </cfRule>
  </conditionalFormatting>
  <conditionalFormatting sqref="J138:K138">
    <cfRule type="cellIs" dxfId="3" priority="3" operator="equal">
      <formula>"In Progress"</formula>
    </cfRule>
    <cfRule type="cellIs" dxfId="2" priority="4" operator="equal">
      <formula>"Completed"</formula>
    </cfRule>
  </conditionalFormatting>
  <conditionalFormatting sqref="C139:K146">
    <cfRule type="cellIs" dxfId="1" priority="1" operator="equal">
      <formula>"In Progress"</formula>
    </cfRule>
    <cfRule type="cellIs" dxfId="0" priority="2" operator="equal">
      <formula>"Completed"</formula>
    </cfRule>
  </conditionalFormatting>
  <dataValidations count="3">
    <dataValidation type="list" allowBlank="1" showInputMessage="1" showErrorMessage="1" sqref="E147:E203" xr:uid="{FFD0872E-6A47-441B-B975-BB12C9C46F77}">
      <formula1>$AJ$4:$AJ$7</formula1>
    </dataValidation>
    <dataValidation type="list" allowBlank="1" showInputMessage="1" showErrorMessage="1" sqref="F147:F203" xr:uid="{01B681B7-382E-43AD-B756-D9E24EBFD5BC}">
      <formula1>$AK$4:$AK$6</formula1>
    </dataValidation>
    <dataValidation type="list" allowBlank="1" showInputMessage="1" showErrorMessage="1" sqref="N4:AB203" xr:uid="{4AAE9B29-D351-472D-9AAC-60403A206B2B}">
      <formula1>$AL$4:$AL$7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E156-8BCE-435C-BAD6-47DA1FAA9EF1}">
  <sheetPr>
    <outlinePr summaryBelow="0" summaryRight="0"/>
  </sheetPr>
  <dimension ref="A1:AL204"/>
  <sheetViews>
    <sheetView showGridLines="0" topLeftCell="B7" zoomScale="55" zoomScaleNormal="55" workbookViewId="0">
      <selection activeCell="O16" sqref="O16"/>
    </sheetView>
  </sheetViews>
  <sheetFormatPr defaultColWidth="12.54296875" defaultRowHeight="15.75" customHeight="1" x14ac:dyDescent="0.25"/>
  <cols>
    <col min="1" max="1" width="12.54296875" style="1"/>
    <col min="2" max="2" width="19" style="1" bestFit="1" customWidth="1"/>
    <col min="3" max="3" width="58.1796875" style="1" bestFit="1" customWidth="1"/>
    <col min="4" max="4" width="67.1796875" style="1" bestFit="1" customWidth="1"/>
    <col min="5" max="6" width="32.453125" style="1" customWidth="1"/>
    <col min="7" max="7" width="8.1796875" style="1" bestFit="1" customWidth="1"/>
    <col min="8" max="8" width="7.81640625" style="1" bestFit="1" customWidth="1"/>
    <col min="9" max="9" width="37.54296875" style="1" bestFit="1" customWidth="1"/>
    <col min="10" max="10" width="18.6328125" style="1" bestFit="1" customWidth="1"/>
    <col min="11" max="11" width="18.54296875" style="1" customWidth="1"/>
    <col min="12" max="16" width="12.54296875" style="1"/>
    <col min="17" max="17" width="14.81640625" style="1" customWidth="1"/>
    <col min="18" max="18" width="14.7265625" style="1" customWidth="1"/>
    <col min="19" max="19" width="12.54296875" style="1"/>
    <col min="20" max="20" width="15.81640625" style="1" customWidth="1"/>
    <col min="21" max="21" width="20.1796875" style="1" customWidth="1"/>
    <col min="22" max="35" width="12.54296875" style="1"/>
    <col min="36" max="36" width="37.81640625" style="1" hidden="1" customWidth="1"/>
    <col min="37" max="37" width="18.453125" style="1" hidden="1" customWidth="1"/>
    <col min="38" max="38" width="0" style="1" hidden="1" customWidth="1"/>
    <col min="39" max="16384" width="12.54296875" style="1"/>
  </cols>
  <sheetData>
    <row r="1" spans="1:38" ht="37" customHeight="1" x14ac:dyDescent="0.25">
      <c r="C1" s="44" t="s">
        <v>0</v>
      </c>
      <c r="D1" s="45">
        <v>46124</v>
      </c>
    </row>
    <row r="2" spans="1:38" ht="13" customHeight="1" x14ac:dyDescent="0.25">
      <c r="A2" s="236" t="s">
        <v>1</v>
      </c>
      <c r="B2" s="274" t="s">
        <v>2</v>
      </c>
      <c r="C2" s="274"/>
      <c r="D2" s="275"/>
      <c r="E2" s="275"/>
      <c r="F2" s="275"/>
      <c r="G2" s="275"/>
      <c r="H2" s="275"/>
      <c r="I2" s="275"/>
      <c r="J2" s="275"/>
      <c r="K2" s="275"/>
      <c r="L2" s="275"/>
      <c r="M2" s="240" t="s">
        <v>3</v>
      </c>
      <c r="N2" s="241" t="s">
        <v>4</v>
      </c>
      <c r="O2" s="242"/>
      <c r="P2" s="242"/>
      <c r="Q2" s="242"/>
      <c r="R2" s="243" t="s">
        <v>5</v>
      </c>
      <c r="S2" s="243"/>
      <c r="T2" s="243"/>
      <c r="U2" s="243"/>
      <c r="V2" s="243"/>
      <c r="W2" s="243"/>
      <c r="X2" s="243"/>
      <c r="Y2" s="243"/>
      <c r="Z2" s="243"/>
      <c r="AA2" s="244" t="s">
        <v>6</v>
      </c>
      <c r="AB2" s="251" t="s">
        <v>7</v>
      </c>
      <c r="AC2" s="252" t="s">
        <v>8</v>
      </c>
      <c r="AD2" s="235" t="s">
        <v>9</v>
      </c>
      <c r="AE2" s="235" t="s">
        <v>10</v>
      </c>
      <c r="AF2" s="235" t="s">
        <v>11</v>
      </c>
      <c r="AG2" s="235" t="s">
        <v>12</v>
      </c>
    </row>
    <row r="3" spans="1:38" s="2" customFormat="1" ht="39" x14ac:dyDescent="0.25">
      <c r="A3" s="236"/>
      <c r="B3" s="23" t="s">
        <v>13</v>
      </c>
      <c r="C3" s="23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188" t="s">
        <v>10852</v>
      </c>
      <c r="J3" s="23" t="s">
        <v>21</v>
      </c>
      <c r="K3" s="23" t="s">
        <v>22</v>
      </c>
      <c r="L3" s="23" t="s">
        <v>23</v>
      </c>
      <c r="M3" s="240"/>
      <c r="N3" s="42" t="s">
        <v>24</v>
      </c>
      <c r="O3" s="42" t="s">
        <v>25</v>
      </c>
      <c r="P3" s="42" t="s">
        <v>26</v>
      </c>
      <c r="Q3" s="42" t="s">
        <v>27</v>
      </c>
      <c r="R3" s="43" t="s">
        <v>28</v>
      </c>
      <c r="S3" s="43" t="s">
        <v>29</v>
      </c>
      <c r="T3" s="43" t="s">
        <v>30</v>
      </c>
      <c r="U3" s="43" t="s">
        <v>31</v>
      </c>
      <c r="V3" s="43" t="s">
        <v>32</v>
      </c>
      <c r="W3" s="43" t="s">
        <v>33</v>
      </c>
      <c r="X3" s="43" t="s">
        <v>34</v>
      </c>
      <c r="Y3" s="43" t="s">
        <v>35</v>
      </c>
      <c r="Z3" s="43" t="s">
        <v>36</v>
      </c>
      <c r="AA3" s="244"/>
      <c r="AB3" s="251"/>
      <c r="AC3" s="252"/>
      <c r="AD3" s="235"/>
      <c r="AE3" s="235"/>
      <c r="AF3" s="235"/>
      <c r="AG3" s="235"/>
      <c r="AJ3" s="5" t="s">
        <v>16</v>
      </c>
      <c r="AK3" s="5" t="s">
        <v>17</v>
      </c>
      <c r="AL3" s="5" t="s">
        <v>37</v>
      </c>
    </row>
    <row r="4" spans="1:38" ht="15.75" customHeight="1" x14ac:dyDescent="0.25">
      <c r="A4" s="247" t="s">
        <v>2462</v>
      </c>
      <c r="B4" s="14" t="s">
        <v>2463</v>
      </c>
      <c r="C4" s="205" t="s">
        <v>10758</v>
      </c>
      <c r="D4" s="77" t="s">
        <v>10999</v>
      </c>
      <c r="E4" s="78"/>
      <c r="F4" s="194" t="s">
        <v>10853</v>
      </c>
      <c r="G4" s="138" t="s">
        <v>11000</v>
      </c>
      <c r="H4" s="138" t="s">
        <v>5657</v>
      </c>
      <c r="I4" s="192" t="s">
        <v>10807</v>
      </c>
      <c r="J4" s="192" t="s">
        <v>10855</v>
      </c>
      <c r="K4" s="206">
        <v>10053680901</v>
      </c>
      <c r="L4" s="204">
        <v>46002</v>
      </c>
      <c r="M4" s="31"/>
      <c r="N4" s="28"/>
      <c r="O4" s="17"/>
      <c r="P4" s="17"/>
      <c r="Q4" s="34"/>
      <c r="R4" s="28"/>
      <c r="S4" s="17"/>
      <c r="T4" s="17"/>
      <c r="U4" s="17"/>
      <c r="V4" s="17"/>
      <c r="W4" s="17"/>
      <c r="X4" s="17"/>
      <c r="Y4" s="18"/>
      <c r="Z4" s="34"/>
      <c r="AA4" s="28"/>
      <c r="AB4" s="15"/>
      <c r="AC4" s="25"/>
      <c r="AD4" s="24">
        <f>COUNTIF(N4:AB4,$AD$2)</f>
        <v>0</v>
      </c>
      <c r="AE4" s="24">
        <f>COUNTIF(N4:AB4,$AE$2)</f>
        <v>0</v>
      </c>
      <c r="AF4" s="24">
        <f>COUNTIF(N4:AB4,$AF$2)</f>
        <v>0</v>
      </c>
      <c r="AG4" s="41" t="str" cm="1">
        <f t="array" ref="AG4">_xlfn.IFS(
SUM(AD4:AF4)=0,"Not Started",
SUM(AD4:AF4)&lt;15,"In Progress",
SUM(AD4:AF4)=15,"Completed",
SUM(AD4:AF4)&gt;15,"Error"
)</f>
        <v>Not Started</v>
      </c>
      <c r="AJ4" s="3" t="s">
        <v>43</v>
      </c>
      <c r="AK4" s="3" t="s">
        <v>44</v>
      </c>
      <c r="AL4" s="3" t="s">
        <v>9</v>
      </c>
    </row>
    <row r="5" spans="1:38" ht="15.5" x14ac:dyDescent="0.25">
      <c r="A5" s="248"/>
      <c r="B5" s="7" t="s">
        <v>2464</v>
      </c>
      <c r="C5" s="205" t="s">
        <v>10759</v>
      </c>
      <c r="D5" s="77" t="s">
        <v>11001</v>
      </c>
      <c r="E5" s="78"/>
      <c r="F5" s="194" t="s">
        <v>10853</v>
      </c>
      <c r="G5" s="138" t="s">
        <v>11000</v>
      </c>
      <c r="H5" s="138" t="s">
        <v>5657</v>
      </c>
      <c r="I5" s="192" t="s">
        <v>10808</v>
      </c>
      <c r="J5" s="192" t="s">
        <v>10856</v>
      </c>
      <c r="K5" s="206">
        <v>10053403080</v>
      </c>
      <c r="L5" s="204">
        <v>46002</v>
      </c>
      <c r="M5" s="32"/>
      <c r="N5" s="29"/>
      <c r="O5" s="10"/>
      <c r="P5" s="10"/>
      <c r="Q5" s="35"/>
      <c r="R5" s="29"/>
      <c r="S5" s="10"/>
      <c r="T5" s="10"/>
      <c r="U5" s="10"/>
      <c r="V5" s="10"/>
      <c r="W5" s="10"/>
      <c r="X5" s="10"/>
      <c r="Y5" s="10"/>
      <c r="Z5" s="35"/>
      <c r="AA5" s="29"/>
      <c r="AB5" s="8"/>
      <c r="AC5" s="26"/>
      <c r="AD5" s="24">
        <f t="shared" ref="AD5:AD68" si="0">COUNTIF(N5:AB5,$AD$2)</f>
        <v>0</v>
      </c>
      <c r="AE5" s="24">
        <f t="shared" ref="AE5:AE68" si="1">COUNTIF(N5:AB5,$AE$2)</f>
        <v>0</v>
      </c>
      <c r="AF5" s="24">
        <f t="shared" ref="AF5:AF68" si="2">COUNTIF(N5:AB5,$AF$2)</f>
        <v>0</v>
      </c>
      <c r="AG5" s="41" t="str" cm="1">
        <f t="array" ref="AG5">_xlfn.IFS(
SUM(AD5:AF5)=0,"Not Started",
SUM(AD5:AF5)&lt;15,"In Progress",
SUM(AD5:AF5)=15,"Completed",
SUM(AD5:AF5)&gt;15,"Error"
)</f>
        <v>Not Started</v>
      </c>
      <c r="AJ5" s="3" t="s">
        <v>47</v>
      </c>
      <c r="AK5" s="3" t="s">
        <v>48</v>
      </c>
      <c r="AL5" s="3" t="s">
        <v>10</v>
      </c>
    </row>
    <row r="6" spans="1:38" ht="15.5" x14ac:dyDescent="0.25">
      <c r="A6" s="248"/>
      <c r="B6" s="14" t="s">
        <v>2465</v>
      </c>
      <c r="C6" s="205" t="s">
        <v>10760</v>
      </c>
      <c r="D6" s="77" t="s">
        <v>11002</v>
      </c>
      <c r="E6" s="78"/>
      <c r="F6" s="194" t="s">
        <v>10853</v>
      </c>
      <c r="G6" s="138" t="s">
        <v>11000</v>
      </c>
      <c r="H6" s="138" t="s">
        <v>5657</v>
      </c>
      <c r="I6" s="192" t="s">
        <v>10809</v>
      </c>
      <c r="J6" s="192" t="s">
        <v>10857</v>
      </c>
      <c r="K6" s="206">
        <v>10053376376</v>
      </c>
      <c r="L6" s="204">
        <v>46002</v>
      </c>
      <c r="M6" s="32"/>
      <c r="N6" s="29"/>
      <c r="O6" s="10"/>
      <c r="P6" s="10"/>
      <c r="Q6" s="35"/>
      <c r="R6" s="29"/>
      <c r="S6" s="10"/>
      <c r="T6" s="10"/>
      <c r="U6" s="10"/>
      <c r="V6" s="10"/>
      <c r="W6" s="10"/>
      <c r="X6" s="10"/>
      <c r="Y6" s="10"/>
      <c r="Z6" s="35"/>
      <c r="AA6" s="29"/>
      <c r="AB6" s="8"/>
      <c r="AC6" s="26"/>
      <c r="AD6" s="24">
        <f t="shared" si="0"/>
        <v>0</v>
      </c>
      <c r="AE6" s="24">
        <f t="shared" si="1"/>
        <v>0</v>
      </c>
      <c r="AF6" s="24">
        <f t="shared" si="2"/>
        <v>0</v>
      </c>
      <c r="AG6" s="41" t="str" cm="1">
        <f t="array" ref="AG6">_xlfn.IFS(
SUM(AD6:AF6)=0,"Not Started",
SUM(AD6:AF6)&lt;15,"In Progress",
SUM(AD6:AF6)=15,"Completed",
SUM(AD6:AF6)&gt;15,"Error"
)</f>
        <v>Not Started</v>
      </c>
      <c r="AJ6" s="3" t="s">
        <v>51</v>
      </c>
      <c r="AK6" s="3" t="s">
        <v>52</v>
      </c>
      <c r="AL6" s="3" t="s">
        <v>11</v>
      </c>
    </row>
    <row r="7" spans="1:38" ht="15.5" x14ac:dyDescent="0.25">
      <c r="A7" s="248"/>
      <c r="B7" s="7" t="s">
        <v>2466</v>
      </c>
      <c r="C7" s="205" t="s">
        <v>10761</v>
      </c>
      <c r="D7" s="77" t="s">
        <v>11003</v>
      </c>
      <c r="E7" s="78"/>
      <c r="F7" s="194" t="s">
        <v>10853</v>
      </c>
      <c r="G7" s="138" t="s">
        <v>11000</v>
      </c>
      <c r="H7" s="138" t="s">
        <v>5657</v>
      </c>
      <c r="I7" s="192" t="s">
        <v>10810</v>
      </c>
      <c r="J7" s="192" t="s">
        <v>10858</v>
      </c>
      <c r="K7" s="206">
        <v>10105126018</v>
      </c>
      <c r="L7" s="204">
        <v>46002</v>
      </c>
      <c r="M7" s="32"/>
      <c r="N7" s="29"/>
      <c r="O7" s="10"/>
      <c r="P7" s="10"/>
      <c r="Q7" s="35"/>
      <c r="R7" s="29"/>
      <c r="S7" s="10"/>
      <c r="T7" s="10"/>
      <c r="U7" s="10"/>
      <c r="V7" s="10"/>
      <c r="W7" s="10"/>
      <c r="X7" s="10"/>
      <c r="Y7" s="10"/>
      <c r="Z7" s="35"/>
      <c r="AA7" s="29"/>
      <c r="AB7" s="8"/>
      <c r="AC7" s="26"/>
      <c r="AD7" s="24">
        <f t="shared" si="0"/>
        <v>0</v>
      </c>
      <c r="AE7" s="24">
        <f t="shared" si="1"/>
        <v>0</v>
      </c>
      <c r="AF7" s="24">
        <f t="shared" si="2"/>
        <v>0</v>
      </c>
      <c r="AG7" s="41" t="str" cm="1">
        <f t="array" ref="AG7">_xlfn.IFS(
SUM(AD7:AF7)=0,"Not Started",
SUM(AD7:AF7)&lt;15,"In Progress",
SUM(AD7:AF7)=15,"Completed",
SUM(AD7:AF7)&gt;15,"Error"
)</f>
        <v>Not Started</v>
      </c>
      <c r="AJ7" s="3" t="s">
        <v>52</v>
      </c>
      <c r="AK7" s="3"/>
      <c r="AL7" s="3" t="s">
        <v>52</v>
      </c>
    </row>
    <row r="8" spans="1:38" ht="15.5" x14ac:dyDescent="0.25">
      <c r="A8" s="248"/>
      <c r="B8" s="14" t="s">
        <v>2467</v>
      </c>
      <c r="C8" s="205" t="s">
        <v>10762</v>
      </c>
      <c r="D8" s="77" t="s">
        <v>6436</v>
      </c>
      <c r="E8" s="138"/>
      <c r="F8" s="194" t="s">
        <v>10853</v>
      </c>
      <c r="G8" s="138" t="s">
        <v>11000</v>
      </c>
      <c r="H8" s="138" t="s">
        <v>5657</v>
      </c>
      <c r="I8" s="192" t="s">
        <v>10811</v>
      </c>
      <c r="J8" s="192" t="s">
        <v>10859</v>
      </c>
      <c r="K8" s="206">
        <v>10053617390</v>
      </c>
      <c r="L8" s="204">
        <v>46002</v>
      </c>
      <c r="M8" s="32"/>
      <c r="N8" s="29"/>
      <c r="O8" s="10"/>
      <c r="P8" s="10"/>
      <c r="Q8" s="35"/>
      <c r="R8" s="29"/>
      <c r="S8" s="10"/>
      <c r="T8" s="10"/>
      <c r="U8" s="10"/>
      <c r="V8" s="10"/>
      <c r="W8" s="10"/>
      <c r="X8" s="10"/>
      <c r="Y8" s="10"/>
      <c r="Z8" s="35"/>
      <c r="AA8" s="29"/>
      <c r="AB8" s="8"/>
      <c r="AC8" s="26"/>
      <c r="AD8" s="24">
        <f t="shared" si="0"/>
        <v>0</v>
      </c>
      <c r="AE8" s="24">
        <f t="shared" si="1"/>
        <v>0</v>
      </c>
      <c r="AF8" s="24">
        <f t="shared" si="2"/>
        <v>0</v>
      </c>
      <c r="AG8" s="41" t="str" cm="1">
        <f t="array" ref="AG8">_xlfn.IFS(
SUM(AD8:AF8)=0,"Not Started",
SUM(AD8:AF8)&lt;15,"In Progress",
SUM(AD8:AF8)=15,"Completed",
SUM(AD8:AF8)&gt;15,"Error"
)</f>
        <v>Not Started</v>
      </c>
    </row>
    <row r="9" spans="1:38" ht="15.5" x14ac:dyDescent="0.25">
      <c r="A9" s="248"/>
      <c r="B9" s="7" t="s">
        <v>2468</v>
      </c>
      <c r="C9" s="205" t="s">
        <v>10763</v>
      </c>
      <c r="D9" s="77" t="s">
        <v>11004</v>
      </c>
      <c r="E9" s="138"/>
      <c r="F9" s="194" t="s">
        <v>10853</v>
      </c>
      <c r="G9" s="138" t="s">
        <v>11000</v>
      </c>
      <c r="H9" s="138" t="s">
        <v>5657</v>
      </c>
      <c r="I9" s="192" t="s">
        <v>10812</v>
      </c>
      <c r="J9" s="192" t="s">
        <v>10860</v>
      </c>
      <c r="K9" s="206">
        <v>10053328351</v>
      </c>
      <c r="L9" s="204">
        <v>46002</v>
      </c>
      <c r="M9" s="32"/>
      <c r="N9" s="29"/>
      <c r="O9" s="10"/>
      <c r="P9" s="10"/>
      <c r="Q9" s="35"/>
      <c r="R9" s="29"/>
      <c r="S9" s="10"/>
      <c r="T9" s="10"/>
      <c r="U9" s="10"/>
      <c r="V9" s="10"/>
      <c r="W9" s="10"/>
      <c r="X9" s="10"/>
      <c r="Y9" s="10"/>
      <c r="Z9" s="35"/>
      <c r="AA9" s="29"/>
      <c r="AB9" s="8"/>
      <c r="AC9" s="26"/>
      <c r="AD9" s="24">
        <f t="shared" si="0"/>
        <v>0</v>
      </c>
      <c r="AE9" s="24">
        <f t="shared" si="1"/>
        <v>0</v>
      </c>
      <c r="AF9" s="24">
        <f t="shared" si="2"/>
        <v>0</v>
      </c>
      <c r="AG9" s="41" t="str" cm="1">
        <f t="array" ref="AG9">_xlfn.IFS(
SUM(AD9:AF9)=0,"Not Started",
SUM(AD9:AF9)&lt;15,"In Progress",
SUM(AD9:AF9)=15,"Completed",
SUM(AD9:AF9)&gt;15,"Error"
)</f>
        <v>Not Started</v>
      </c>
    </row>
    <row r="10" spans="1:38" ht="15.5" x14ac:dyDescent="0.25">
      <c r="A10" s="248"/>
      <c r="B10" s="14" t="s">
        <v>2469</v>
      </c>
      <c r="C10" s="205" t="s">
        <v>10764</v>
      </c>
      <c r="D10" s="77" t="s">
        <v>10801</v>
      </c>
      <c r="E10" s="138"/>
      <c r="F10" s="194" t="s">
        <v>10853</v>
      </c>
      <c r="G10" s="138" t="s">
        <v>11000</v>
      </c>
      <c r="H10" s="138" t="s">
        <v>5657</v>
      </c>
      <c r="I10" s="192" t="s">
        <v>10813</v>
      </c>
      <c r="J10" s="192" t="s">
        <v>10861</v>
      </c>
      <c r="K10" s="206">
        <v>10096127495</v>
      </c>
      <c r="L10" s="204">
        <v>46002</v>
      </c>
      <c r="M10" s="32"/>
      <c r="N10" s="29"/>
      <c r="O10" s="10"/>
      <c r="P10" s="10"/>
      <c r="Q10" s="35"/>
      <c r="R10" s="29"/>
      <c r="S10" s="10"/>
      <c r="T10" s="10"/>
      <c r="U10" s="10"/>
      <c r="V10" s="10"/>
      <c r="W10" s="10"/>
      <c r="X10" s="10"/>
      <c r="Y10" s="10"/>
      <c r="Z10" s="35"/>
      <c r="AA10" s="29"/>
      <c r="AB10" s="8"/>
      <c r="AC10" s="26"/>
      <c r="AD10" s="24">
        <f t="shared" si="0"/>
        <v>0</v>
      </c>
      <c r="AE10" s="24">
        <f t="shared" si="1"/>
        <v>0</v>
      </c>
      <c r="AF10" s="24">
        <f t="shared" si="2"/>
        <v>0</v>
      </c>
      <c r="AG10" s="41" t="str" cm="1">
        <f t="array" ref="AG10">_xlfn.IFS(
SUM(AD10:AF10)=0,"Not Started",
SUM(AD10:AF10)&lt;15,"In Progress",
SUM(AD10:AF10)=15,"Completed",
SUM(AD10:AF10)&gt;15,"Error"
)</f>
        <v>Not Started</v>
      </c>
    </row>
    <row r="11" spans="1:38" ht="15.5" x14ac:dyDescent="0.25">
      <c r="A11" s="248"/>
      <c r="B11" s="7" t="s">
        <v>2470</v>
      </c>
      <c r="C11" s="205" t="s">
        <v>10765</v>
      </c>
      <c r="D11" s="77" t="s">
        <v>10802</v>
      </c>
      <c r="E11" s="138"/>
      <c r="F11" s="194" t="s">
        <v>10853</v>
      </c>
      <c r="G11" s="138" t="s">
        <v>11000</v>
      </c>
      <c r="H11" s="138" t="s">
        <v>5657</v>
      </c>
      <c r="I11" s="192" t="s">
        <v>10814</v>
      </c>
      <c r="J11" s="192" t="s">
        <v>10862</v>
      </c>
      <c r="K11" s="206">
        <v>10053495143</v>
      </c>
      <c r="L11" s="207" t="s">
        <v>11005</v>
      </c>
      <c r="M11" s="32"/>
      <c r="N11" s="29"/>
      <c r="O11" s="10"/>
      <c r="P11" s="10"/>
      <c r="Q11" s="35"/>
      <c r="R11" s="29"/>
      <c r="S11" s="10"/>
      <c r="T11" s="10"/>
      <c r="U11" s="10"/>
      <c r="V11" s="10"/>
      <c r="W11" s="10"/>
      <c r="X11" s="10"/>
      <c r="Y11" s="10"/>
      <c r="Z11" s="35"/>
      <c r="AA11" s="29"/>
      <c r="AB11" s="8"/>
      <c r="AC11" s="26"/>
      <c r="AD11" s="24">
        <f t="shared" si="0"/>
        <v>0</v>
      </c>
      <c r="AE11" s="24">
        <f t="shared" si="1"/>
        <v>0</v>
      </c>
      <c r="AF11" s="24">
        <f t="shared" si="2"/>
        <v>0</v>
      </c>
      <c r="AG11" s="41" t="str" cm="1">
        <f t="array" ref="AG11">_xlfn.IFS(
SUM(AD11:AF11)=0,"Not Started",
SUM(AD11:AF11)&lt;15,"In Progress",
SUM(AD11:AF11)=15,"Completed",
SUM(AD11:AF11)&gt;15,"Error"
)</f>
        <v>Not Started</v>
      </c>
    </row>
    <row r="12" spans="1:38" ht="15.5" x14ac:dyDescent="0.25">
      <c r="A12" s="248"/>
      <c r="B12" s="14" t="s">
        <v>2471</v>
      </c>
      <c r="C12" s="205" t="s">
        <v>10766</v>
      </c>
      <c r="D12" s="77" t="s">
        <v>11006</v>
      </c>
      <c r="E12" s="138"/>
      <c r="F12" s="194" t="s">
        <v>10853</v>
      </c>
      <c r="G12" s="138" t="s">
        <v>11000</v>
      </c>
      <c r="H12" s="138" t="s">
        <v>5657</v>
      </c>
      <c r="I12" s="192" t="s">
        <v>10815</v>
      </c>
      <c r="J12" s="192" t="s">
        <v>10863</v>
      </c>
      <c r="K12" s="206">
        <v>10053397625</v>
      </c>
      <c r="L12" s="207" t="s">
        <v>11005</v>
      </c>
      <c r="M12" s="32"/>
      <c r="N12" s="29"/>
      <c r="O12" s="10"/>
      <c r="P12" s="10"/>
      <c r="Q12" s="35"/>
      <c r="R12" s="29"/>
      <c r="S12" s="10"/>
      <c r="T12" s="10"/>
      <c r="U12" s="10"/>
      <c r="V12" s="10"/>
      <c r="W12" s="10"/>
      <c r="X12" s="10"/>
      <c r="Y12" s="10"/>
      <c r="Z12" s="35"/>
      <c r="AA12" s="29"/>
      <c r="AB12" s="8"/>
      <c r="AC12" s="26"/>
      <c r="AD12" s="24">
        <f t="shared" si="0"/>
        <v>0</v>
      </c>
      <c r="AE12" s="24">
        <f t="shared" si="1"/>
        <v>0</v>
      </c>
      <c r="AF12" s="24">
        <f t="shared" si="2"/>
        <v>0</v>
      </c>
      <c r="AG12" s="41" t="str" cm="1">
        <f t="array" ref="AG12">_xlfn.IFS(
SUM(AD12:AF12)=0,"Not Started",
SUM(AD12:AF12)&lt;15,"In Progress",
SUM(AD12:AF12)=15,"Completed",
SUM(AD12:AF12)&gt;15,"Error"
)</f>
        <v>Not Started</v>
      </c>
    </row>
    <row r="13" spans="1:38" ht="15.5" x14ac:dyDescent="0.25">
      <c r="A13" s="248"/>
      <c r="B13" s="7" t="s">
        <v>2472</v>
      </c>
      <c r="C13" s="205" t="s">
        <v>10767</v>
      </c>
      <c r="D13" s="77" t="s">
        <v>11007</v>
      </c>
      <c r="E13" s="138"/>
      <c r="F13" s="194" t="s">
        <v>10853</v>
      </c>
      <c r="G13" s="138" t="s">
        <v>11000</v>
      </c>
      <c r="H13" s="138" t="s">
        <v>5657</v>
      </c>
      <c r="I13" s="192" t="s">
        <v>10816</v>
      </c>
      <c r="J13" s="192" t="s">
        <v>10864</v>
      </c>
      <c r="K13" s="206">
        <v>30130653406</v>
      </c>
      <c r="L13" s="207" t="s">
        <v>11005</v>
      </c>
      <c r="M13" s="32"/>
      <c r="N13" s="29"/>
      <c r="O13" s="10"/>
      <c r="P13" s="10"/>
      <c r="Q13" s="35"/>
      <c r="R13" s="29"/>
      <c r="S13" s="10"/>
      <c r="T13" s="10"/>
      <c r="U13" s="10"/>
      <c r="V13" s="10"/>
      <c r="W13" s="10"/>
      <c r="X13" s="10"/>
      <c r="Y13" s="10"/>
      <c r="Z13" s="35"/>
      <c r="AA13" s="29"/>
      <c r="AB13" s="8"/>
      <c r="AC13" s="26"/>
      <c r="AD13" s="24">
        <f t="shared" si="0"/>
        <v>0</v>
      </c>
      <c r="AE13" s="24">
        <f t="shared" si="1"/>
        <v>0</v>
      </c>
      <c r="AF13" s="24">
        <f t="shared" si="2"/>
        <v>0</v>
      </c>
      <c r="AG13" s="41" t="str" cm="1">
        <f t="array" ref="AG13">_xlfn.IFS(
SUM(AD13:AF13)=0,"Not Started",
SUM(AD13:AF13)&lt;15,"In Progress",
SUM(AD13:AF13)=15,"Completed",
SUM(AD13:AF13)&gt;15,"Error"
)</f>
        <v>Not Started</v>
      </c>
    </row>
    <row r="14" spans="1:38" ht="15.75" customHeight="1" x14ac:dyDescent="0.25">
      <c r="A14" s="248"/>
      <c r="B14" s="14" t="s">
        <v>2473</v>
      </c>
      <c r="C14" s="205" t="s">
        <v>10768</v>
      </c>
      <c r="D14" s="77" t="s">
        <v>10803</v>
      </c>
      <c r="E14" s="138"/>
      <c r="F14" s="194" t="s">
        <v>10853</v>
      </c>
      <c r="G14" s="138" t="s">
        <v>11000</v>
      </c>
      <c r="H14" s="138" t="s">
        <v>5657</v>
      </c>
      <c r="I14" s="192" t="s">
        <v>10817</v>
      </c>
      <c r="J14" s="192" t="s">
        <v>10865</v>
      </c>
      <c r="K14" s="206">
        <v>1005344721</v>
      </c>
      <c r="L14" s="207" t="s">
        <v>11008</v>
      </c>
      <c r="M14" s="32"/>
      <c r="N14" s="29"/>
      <c r="O14" s="10"/>
      <c r="P14" s="10"/>
      <c r="Q14" s="35"/>
      <c r="R14" s="29"/>
      <c r="S14" s="10"/>
      <c r="T14" s="10"/>
      <c r="U14" s="10"/>
      <c r="V14" s="10"/>
      <c r="W14" s="10"/>
      <c r="X14" s="10"/>
      <c r="Y14" s="10"/>
      <c r="Z14" s="35"/>
      <c r="AA14" s="29"/>
      <c r="AB14" s="8"/>
      <c r="AC14" s="26"/>
      <c r="AD14" s="24">
        <f t="shared" si="0"/>
        <v>0</v>
      </c>
      <c r="AE14" s="24">
        <f t="shared" si="1"/>
        <v>0</v>
      </c>
      <c r="AF14" s="24">
        <f t="shared" si="2"/>
        <v>0</v>
      </c>
      <c r="AG14" s="41" t="str" cm="1">
        <f t="array" ref="AG14">_xlfn.IFS(
SUM(AD14:AF14)=0,"Not Started",
SUM(AD14:AF14)&lt;15,"In Progress",
SUM(AD14:AF14)=15,"Completed",
SUM(AD14:AF14)&gt;15,"Error"
)</f>
        <v>Not Started</v>
      </c>
    </row>
    <row r="15" spans="1:38" ht="15.75" customHeight="1" x14ac:dyDescent="0.25">
      <c r="A15" s="248"/>
      <c r="B15" s="7" t="s">
        <v>2474</v>
      </c>
      <c r="C15" s="205" t="s">
        <v>10769</v>
      </c>
      <c r="D15" s="77" t="s">
        <v>11009</v>
      </c>
      <c r="E15" s="138"/>
      <c r="F15" s="194" t="s">
        <v>10853</v>
      </c>
      <c r="G15" s="138" t="s">
        <v>11000</v>
      </c>
      <c r="H15" s="138" t="s">
        <v>5657</v>
      </c>
      <c r="I15" s="192" t="s">
        <v>10818</v>
      </c>
      <c r="J15" s="192" t="s">
        <v>10866</v>
      </c>
      <c r="K15" s="206">
        <v>10053563280</v>
      </c>
      <c r="L15" s="207" t="s">
        <v>11008</v>
      </c>
      <c r="M15" s="32"/>
      <c r="N15" s="29"/>
      <c r="O15" s="10"/>
      <c r="P15" s="10"/>
      <c r="Q15" s="35"/>
      <c r="R15" s="29"/>
      <c r="S15" s="10"/>
      <c r="T15" s="10"/>
      <c r="U15" s="10"/>
      <c r="V15" s="10"/>
      <c r="W15" s="10"/>
      <c r="X15" s="10"/>
      <c r="Y15" s="10"/>
      <c r="Z15" s="35"/>
      <c r="AA15" s="29"/>
      <c r="AB15" s="8"/>
      <c r="AC15" s="26"/>
      <c r="AD15" s="24">
        <f t="shared" si="0"/>
        <v>0</v>
      </c>
      <c r="AE15" s="24">
        <f t="shared" si="1"/>
        <v>0</v>
      </c>
      <c r="AF15" s="24">
        <f t="shared" si="2"/>
        <v>0</v>
      </c>
      <c r="AG15" s="41" t="str" cm="1">
        <f t="array" ref="AG15">_xlfn.IFS(
SUM(AD15:AF15)=0,"Not Started",
SUM(AD15:AF15)&lt;15,"In Progress",
SUM(AD15:AF15)=15,"Completed",
SUM(AD15:AF15)&gt;15,"Error"
)</f>
        <v>Not Started</v>
      </c>
    </row>
    <row r="16" spans="1:38" ht="15.75" customHeight="1" x14ac:dyDescent="0.25">
      <c r="A16" s="248"/>
      <c r="B16" s="14" t="s">
        <v>2475</v>
      </c>
      <c r="C16" s="205" t="s">
        <v>10770</v>
      </c>
      <c r="D16" s="77" t="s">
        <v>11010</v>
      </c>
      <c r="E16" s="138"/>
      <c r="F16" s="194" t="s">
        <v>10853</v>
      </c>
      <c r="G16" s="138" t="s">
        <v>11000</v>
      </c>
      <c r="H16" s="138" t="s">
        <v>5657</v>
      </c>
      <c r="I16" s="192" t="s">
        <v>10819</v>
      </c>
      <c r="J16" s="192" t="s">
        <v>10867</v>
      </c>
      <c r="K16" s="206">
        <v>10105780481</v>
      </c>
      <c r="L16" s="207" t="s">
        <v>11005</v>
      </c>
      <c r="M16" s="32"/>
      <c r="N16" s="29"/>
      <c r="O16" s="10"/>
      <c r="P16" s="10"/>
      <c r="Q16" s="35"/>
      <c r="R16" s="29"/>
      <c r="S16" s="10"/>
      <c r="T16" s="10"/>
      <c r="U16" s="10"/>
      <c r="V16" s="10"/>
      <c r="W16" s="10"/>
      <c r="X16" s="10"/>
      <c r="Y16" s="10"/>
      <c r="Z16" s="35"/>
      <c r="AA16" s="29"/>
      <c r="AB16" s="8"/>
      <c r="AC16" s="26"/>
      <c r="AD16" s="24">
        <f t="shared" si="0"/>
        <v>0</v>
      </c>
      <c r="AE16" s="24">
        <f t="shared" si="1"/>
        <v>0</v>
      </c>
      <c r="AF16" s="24">
        <f t="shared" si="2"/>
        <v>0</v>
      </c>
      <c r="AG16" s="41" t="str" cm="1">
        <f t="array" ref="AG16">_xlfn.IFS(
SUM(AD16:AF16)=0,"Not Started",
SUM(AD16:AF16)&lt;15,"In Progress",
SUM(AD16:AF16)=15,"Completed",
SUM(AD16:AF16)&gt;15,"Error"
)</f>
        <v>Not Started</v>
      </c>
    </row>
    <row r="17" spans="1:33" ht="15.75" customHeight="1" x14ac:dyDescent="0.25">
      <c r="A17" s="248"/>
      <c r="B17" s="7" t="s">
        <v>2476</v>
      </c>
      <c r="C17" s="205" t="s">
        <v>10771</v>
      </c>
      <c r="D17" s="77" t="s">
        <v>10804</v>
      </c>
      <c r="E17" s="138"/>
      <c r="F17" s="194" t="s">
        <v>10853</v>
      </c>
      <c r="G17" s="138" t="s">
        <v>11000</v>
      </c>
      <c r="H17" s="138" t="s">
        <v>5657</v>
      </c>
      <c r="I17" s="192" t="s">
        <v>10820</v>
      </c>
      <c r="J17" s="192" t="s">
        <v>10868</v>
      </c>
      <c r="K17" s="206">
        <v>10103688019</v>
      </c>
      <c r="L17" s="207" t="s">
        <v>11005</v>
      </c>
      <c r="M17" s="32"/>
      <c r="N17" s="29"/>
      <c r="O17" s="10"/>
      <c r="P17" s="10"/>
      <c r="Q17" s="35"/>
      <c r="R17" s="29"/>
      <c r="S17" s="10"/>
      <c r="T17" s="10"/>
      <c r="U17" s="10"/>
      <c r="V17" s="10"/>
      <c r="W17" s="10"/>
      <c r="X17" s="10"/>
      <c r="Y17" s="10"/>
      <c r="Z17" s="35"/>
      <c r="AA17" s="29"/>
      <c r="AB17" s="8"/>
      <c r="AC17" s="26"/>
      <c r="AD17" s="24">
        <f t="shared" si="0"/>
        <v>0</v>
      </c>
      <c r="AE17" s="24">
        <f t="shared" si="1"/>
        <v>0</v>
      </c>
      <c r="AF17" s="24">
        <f t="shared" si="2"/>
        <v>0</v>
      </c>
      <c r="AG17" s="41" t="str" cm="1">
        <f t="array" ref="AG17">_xlfn.IFS(
SUM(AD17:AF17)=0,"Not Started",
SUM(AD17:AF17)&lt;15,"In Progress",
SUM(AD17:AF17)=15,"Completed",
SUM(AD17:AF17)&gt;15,"Error"
)</f>
        <v>Not Started</v>
      </c>
    </row>
    <row r="18" spans="1:33" ht="15.75" customHeight="1" x14ac:dyDescent="0.25">
      <c r="A18" s="248"/>
      <c r="B18" s="14" t="s">
        <v>2477</v>
      </c>
      <c r="C18" s="205" t="s">
        <v>10772</v>
      </c>
      <c r="D18" s="77" t="s">
        <v>10805</v>
      </c>
      <c r="E18" s="138"/>
      <c r="F18" s="194" t="s">
        <v>10853</v>
      </c>
      <c r="G18" s="138" t="s">
        <v>11000</v>
      </c>
      <c r="H18" s="138" t="s">
        <v>5657</v>
      </c>
      <c r="I18" s="192" t="s">
        <v>10821</v>
      </c>
      <c r="J18" s="192" t="s">
        <v>10869</v>
      </c>
      <c r="K18" s="206">
        <v>10096961525</v>
      </c>
      <c r="L18" s="207" t="s">
        <v>11005</v>
      </c>
      <c r="M18" s="32"/>
      <c r="N18" s="29"/>
      <c r="O18" s="10"/>
      <c r="P18" s="10"/>
      <c r="Q18" s="35"/>
      <c r="R18" s="29"/>
      <c r="S18" s="10"/>
      <c r="T18" s="10"/>
      <c r="U18" s="10"/>
      <c r="V18" s="10"/>
      <c r="W18" s="10"/>
      <c r="X18" s="10"/>
      <c r="Y18" s="10"/>
      <c r="Z18" s="35"/>
      <c r="AA18" s="29"/>
      <c r="AB18" s="8"/>
      <c r="AC18" s="26"/>
      <c r="AD18" s="24">
        <f t="shared" si="0"/>
        <v>0</v>
      </c>
      <c r="AE18" s="24">
        <f t="shared" si="1"/>
        <v>0</v>
      </c>
      <c r="AF18" s="24">
        <f t="shared" si="2"/>
        <v>0</v>
      </c>
      <c r="AG18" s="41" t="str" cm="1">
        <f t="array" ref="AG18">_xlfn.IFS(
SUM(AD18:AF18)=0,"Not Started",
SUM(AD18:AF18)&lt;15,"In Progress",
SUM(AD18:AF18)=15,"Completed",
SUM(AD18:AF18)&gt;15,"Error"
)</f>
        <v>Not Started</v>
      </c>
    </row>
    <row r="19" spans="1:33" ht="15.75" customHeight="1" x14ac:dyDescent="0.25">
      <c r="A19" s="248"/>
      <c r="B19" s="7" t="s">
        <v>2478</v>
      </c>
      <c r="C19" s="205" t="s">
        <v>10773</v>
      </c>
      <c r="D19" s="77" t="s">
        <v>11011</v>
      </c>
      <c r="E19" s="138"/>
      <c r="F19" s="194" t="s">
        <v>10853</v>
      </c>
      <c r="G19" s="138" t="s">
        <v>11000</v>
      </c>
      <c r="H19" s="138" t="s">
        <v>5657</v>
      </c>
      <c r="I19" s="192" t="s">
        <v>10822</v>
      </c>
      <c r="J19" s="192" t="s">
        <v>10870</v>
      </c>
      <c r="K19" s="206">
        <v>10053656825</v>
      </c>
      <c r="L19" s="207" t="s">
        <v>11005</v>
      </c>
      <c r="M19" s="32"/>
      <c r="N19" s="29"/>
      <c r="O19" s="10"/>
      <c r="P19" s="10"/>
      <c r="Q19" s="35"/>
      <c r="R19" s="29"/>
      <c r="S19" s="10"/>
      <c r="T19" s="10"/>
      <c r="U19" s="10"/>
      <c r="V19" s="10"/>
      <c r="W19" s="10"/>
      <c r="X19" s="10"/>
      <c r="Y19" s="10"/>
      <c r="Z19" s="35"/>
      <c r="AA19" s="29"/>
      <c r="AB19" s="8"/>
      <c r="AC19" s="26"/>
      <c r="AD19" s="24">
        <f t="shared" si="0"/>
        <v>0</v>
      </c>
      <c r="AE19" s="24">
        <f t="shared" si="1"/>
        <v>0</v>
      </c>
      <c r="AF19" s="24">
        <f t="shared" si="2"/>
        <v>0</v>
      </c>
      <c r="AG19" s="41" t="str" cm="1">
        <f t="array" ref="AG19">_xlfn.IFS(
SUM(AD19:AF19)=0,"Not Started",
SUM(AD19:AF19)&lt;15,"In Progress",
SUM(AD19:AF19)=15,"Completed",
SUM(AD19:AF19)&gt;15,"Error"
)</f>
        <v>Not Started</v>
      </c>
    </row>
    <row r="20" spans="1:33" ht="15.75" customHeight="1" x14ac:dyDescent="0.25">
      <c r="A20" s="248"/>
      <c r="B20" s="14" t="s">
        <v>2479</v>
      </c>
      <c r="C20" s="205" t="s">
        <v>10774</v>
      </c>
      <c r="D20" s="77" t="s">
        <v>11012</v>
      </c>
      <c r="E20" s="138"/>
      <c r="F20" s="194" t="s">
        <v>10853</v>
      </c>
      <c r="G20" s="138" t="s">
        <v>11000</v>
      </c>
      <c r="H20" s="138" t="s">
        <v>5657</v>
      </c>
      <c r="I20" s="192" t="s">
        <v>10823</v>
      </c>
      <c r="J20" s="195" t="s">
        <v>10871</v>
      </c>
      <c r="K20" s="206">
        <v>10053191863</v>
      </c>
      <c r="L20" s="207" t="s">
        <v>11005</v>
      </c>
      <c r="M20" s="32"/>
      <c r="N20" s="29"/>
      <c r="O20" s="10"/>
      <c r="P20" s="10"/>
      <c r="Q20" s="35"/>
      <c r="R20" s="29"/>
      <c r="S20" s="10"/>
      <c r="T20" s="10"/>
      <c r="U20" s="10"/>
      <c r="V20" s="10"/>
      <c r="W20" s="10"/>
      <c r="X20" s="10"/>
      <c r="Y20" s="10"/>
      <c r="Z20" s="35"/>
      <c r="AA20" s="29"/>
      <c r="AB20" s="8"/>
      <c r="AC20" s="26"/>
      <c r="AD20" s="24">
        <f t="shared" si="0"/>
        <v>0</v>
      </c>
      <c r="AE20" s="24">
        <f t="shared" si="1"/>
        <v>0</v>
      </c>
      <c r="AF20" s="24">
        <f t="shared" si="2"/>
        <v>0</v>
      </c>
      <c r="AG20" s="41" t="str" cm="1">
        <f t="array" ref="AG20">_xlfn.IFS(
SUM(AD20:AF20)=0,"Not Started",
SUM(AD20:AF20)&lt;15,"In Progress",
SUM(AD20:AF20)=15,"Completed",
SUM(AD20:AF20)&gt;15,"Error"
)</f>
        <v>Not Started</v>
      </c>
    </row>
    <row r="21" spans="1:33" ht="15.5" x14ac:dyDescent="0.25">
      <c r="A21" s="248"/>
      <c r="B21" s="7" t="s">
        <v>2480</v>
      </c>
      <c r="C21" s="205" t="s">
        <v>10775</v>
      </c>
      <c r="D21" s="77" t="s">
        <v>11013</v>
      </c>
      <c r="E21" s="138"/>
      <c r="F21" s="194" t="s">
        <v>10853</v>
      </c>
      <c r="G21" s="138" t="s">
        <v>11000</v>
      </c>
      <c r="H21" s="138" t="s">
        <v>5657</v>
      </c>
      <c r="I21" s="192" t="s">
        <v>10824</v>
      </c>
      <c r="J21" s="192" t="s">
        <v>10872</v>
      </c>
      <c r="K21" s="206">
        <v>10105372002</v>
      </c>
      <c r="L21" s="207" t="s">
        <v>11005</v>
      </c>
      <c r="M21" s="32"/>
      <c r="N21" s="29"/>
      <c r="O21" s="10"/>
      <c r="P21" s="10"/>
      <c r="Q21" s="35"/>
      <c r="R21" s="29"/>
      <c r="S21" s="10"/>
      <c r="T21" s="10"/>
      <c r="U21" s="10"/>
      <c r="V21" s="10"/>
      <c r="W21" s="10"/>
      <c r="X21" s="10"/>
      <c r="Y21" s="10"/>
      <c r="Z21" s="35"/>
      <c r="AA21" s="29"/>
      <c r="AB21" s="8"/>
      <c r="AC21" s="26"/>
      <c r="AD21" s="24">
        <f t="shared" si="0"/>
        <v>0</v>
      </c>
      <c r="AE21" s="24">
        <f t="shared" si="1"/>
        <v>0</v>
      </c>
      <c r="AF21" s="24">
        <f t="shared" si="2"/>
        <v>0</v>
      </c>
      <c r="AG21" s="41" t="str" cm="1">
        <f t="array" ref="AG21">_xlfn.IFS(
SUM(AD21:AF21)=0,"Not Started",
SUM(AD21:AF21)&lt;15,"In Progress",
SUM(AD21:AF21)=15,"Completed",
SUM(AD21:AF21)&gt;15,"Error"
)</f>
        <v>Not Started</v>
      </c>
    </row>
    <row r="22" spans="1:33" ht="15.5" x14ac:dyDescent="0.25">
      <c r="A22" s="248"/>
      <c r="B22" s="14" t="s">
        <v>2481</v>
      </c>
      <c r="C22" s="205" t="s">
        <v>5461</v>
      </c>
      <c r="D22" s="77" t="s">
        <v>10806</v>
      </c>
      <c r="E22" s="138"/>
      <c r="F22" s="194" t="s">
        <v>10853</v>
      </c>
      <c r="G22" s="138" t="s">
        <v>11000</v>
      </c>
      <c r="H22" s="138" t="s">
        <v>5657</v>
      </c>
      <c r="I22" s="192" t="s">
        <v>10825</v>
      </c>
      <c r="J22" s="192" t="s">
        <v>5646</v>
      </c>
      <c r="K22" s="206">
        <v>10053745040</v>
      </c>
      <c r="L22" s="207" t="s">
        <v>11014</v>
      </c>
      <c r="M22" s="32"/>
      <c r="N22" s="29"/>
      <c r="O22" s="10"/>
      <c r="P22" s="10"/>
      <c r="Q22" s="35"/>
      <c r="R22" s="29"/>
      <c r="S22" s="10"/>
      <c r="T22" s="10"/>
      <c r="U22" s="10"/>
      <c r="V22" s="10"/>
      <c r="W22" s="10"/>
      <c r="X22" s="10"/>
      <c r="Y22" s="10"/>
      <c r="Z22" s="35"/>
      <c r="AA22" s="29"/>
      <c r="AB22" s="8"/>
      <c r="AC22" s="26"/>
      <c r="AD22" s="24">
        <f t="shared" si="0"/>
        <v>0</v>
      </c>
      <c r="AE22" s="24">
        <f t="shared" si="1"/>
        <v>0</v>
      </c>
      <c r="AF22" s="24">
        <f t="shared" si="2"/>
        <v>0</v>
      </c>
      <c r="AG22" s="41" t="str" cm="1">
        <f t="array" ref="AG22">_xlfn.IFS(
SUM(AD22:AF22)=0,"Not Started",
SUM(AD22:AF22)&lt;15,"In Progress",
SUM(AD22:AF22)=15,"Completed",
SUM(AD22:AF22)&gt;15,"Error"
)</f>
        <v>Not Started</v>
      </c>
    </row>
    <row r="23" spans="1:33" ht="15.5" x14ac:dyDescent="0.25">
      <c r="A23" s="248"/>
      <c r="B23" s="7" t="s">
        <v>2482</v>
      </c>
      <c r="C23" s="205" t="s">
        <v>10776</v>
      </c>
      <c r="D23" s="77" t="s">
        <v>11015</v>
      </c>
      <c r="E23" s="138"/>
      <c r="F23" s="194" t="s">
        <v>10853</v>
      </c>
      <c r="G23" s="138" t="s">
        <v>11000</v>
      </c>
      <c r="H23" s="138" t="s">
        <v>5657</v>
      </c>
      <c r="I23" s="192" t="s">
        <v>10826</v>
      </c>
      <c r="J23" s="192" t="s">
        <v>10873</v>
      </c>
      <c r="K23" s="206">
        <v>10053615331</v>
      </c>
      <c r="L23" s="207" t="s">
        <v>11014</v>
      </c>
      <c r="M23" s="32"/>
      <c r="N23" s="29"/>
      <c r="O23" s="10"/>
      <c r="P23" s="10"/>
      <c r="Q23" s="35"/>
      <c r="R23" s="29"/>
      <c r="S23" s="10"/>
      <c r="T23" s="10"/>
      <c r="U23" s="10"/>
      <c r="V23" s="10"/>
      <c r="W23" s="10"/>
      <c r="X23" s="10"/>
      <c r="Y23" s="10"/>
      <c r="Z23" s="35"/>
      <c r="AA23" s="29"/>
      <c r="AB23" s="8"/>
      <c r="AC23" s="26"/>
      <c r="AD23" s="24">
        <f t="shared" si="0"/>
        <v>0</v>
      </c>
      <c r="AE23" s="24">
        <f t="shared" si="1"/>
        <v>0</v>
      </c>
      <c r="AF23" s="24">
        <f t="shared" si="2"/>
        <v>0</v>
      </c>
      <c r="AG23" s="41" t="str" cm="1">
        <f t="array" ref="AG23">_xlfn.IFS(
SUM(AD23:AF23)=0,"Not Started",
SUM(AD23:AF23)&lt;15,"In Progress",
SUM(AD23:AF23)=15,"Completed",
SUM(AD23:AF23)&gt;15,"Error"
)</f>
        <v>Not Started</v>
      </c>
    </row>
    <row r="24" spans="1:33" ht="15.5" x14ac:dyDescent="0.25">
      <c r="A24" s="248"/>
      <c r="B24" s="14" t="s">
        <v>2483</v>
      </c>
      <c r="C24" s="205" t="s">
        <v>10777</v>
      </c>
      <c r="D24" s="77" t="s">
        <v>11016</v>
      </c>
      <c r="E24" s="138"/>
      <c r="F24" s="194" t="s">
        <v>10853</v>
      </c>
      <c r="G24" s="138" t="s">
        <v>11000</v>
      </c>
      <c r="H24" s="138" t="s">
        <v>5657</v>
      </c>
      <c r="I24" s="192" t="s">
        <v>10827</v>
      </c>
      <c r="J24" s="192" t="s">
        <v>10874</v>
      </c>
      <c r="K24" s="206">
        <v>10105774241</v>
      </c>
      <c r="L24" s="207" t="s">
        <v>11014</v>
      </c>
      <c r="M24" s="32"/>
      <c r="N24" s="29"/>
      <c r="O24" s="10"/>
      <c r="P24" s="10"/>
      <c r="Q24" s="35"/>
      <c r="R24" s="29"/>
      <c r="S24" s="10"/>
      <c r="T24" s="10"/>
      <c r="U24" s="10"/>
      <c r="V24" s="10"/>
      <c r="W24" s="10"/>
      <c r="X24" s="10"/>
      <c r="Y24" s="10"/>
      <c r="Z24" s="35"/>
      <c r="AA24" s="29"/>
      <c r="AB24" s="8"/>
      <c r="AC24" s="26"/>
      <c r="AD24" s="24">
        <f t="shared" si="0"/>
        <v>0</v>
      </c>
      <c r="AE24" s="24">
        <f t="shared" si="1"/>
        <v>0</v>
      </c>
      <c r="AF24" s="24">
        <f t="shared" si="2"/>
        <v>0</v>
      </c>
      <c r="AG24" s="41" t="str" cm="1">
        <f t="array" ref="AG24">_xlfn.IFS(
SUM(AD24:AF24)=0,"Not Started",
SUM(AD24:AF24)&lt;15,"In Progress",
SUM(AD24:AF24)=15,"Completed",
SUM(AD24:AF24)&gt;15,"Error"
)</f>
        <v>Not Started</v>
      </c>
    </row>
    <row r="25" spans="1:33" ht="15.5" x14ac:dyDescent="0.25">
      <c r="A25" s="248"/>
      <c r="B25" s="7" t="s">
        <v>2484</v>
      </c>
      <c r="C25" s="205" t="s">
        <v>10778</v>
      </c>
      <c r="D25" s="77" t="s">
        <v>11017</v>
      </c>
      <c r="E25" s="138"/>
      <c r="F25" s="194" t="s">
        <v>10854</v>
      </c>
      <c r="G25" s="138" t="s">
        <v>11000</v>
      </c>
      <c r="H25" s="138" t="s">
        <v>5657</v>
      </c>
      <c r="I25" s="192" t="s">
        <v>10828</v>
      </c>
      <c r="J25" s="192" t="s">
        <v>10875</v>
      </c>
      <c r="K25" s="206">
        <v>10053335112</v>
      </c>
      <c r="L25" s="207" t="s">
        <v>11018</v>
      </c>
      <c r="M25" s="32"/>
      <c r="N25" s="29"/>
      <c r="O25" s="10"/>
      <c r="P25" s="10"/>
      <c r="Q25" s="35"/>
      <c r="R25" s="29"/>
      <c r="S25" s="10"/>
      <c r="T25" s="10"/>
      <c r="U25" s="10"/>
      <c r="V25" s="10"/>
      <c r="W25" s="10"/>
      <c r="X25" s="10"/>
      <c r="Y25" s="10"/>
      <c r="Z25" s="35"/>
      <c r="AA25" s="29"/>
      <c r="AB25" s="8"/>
      <c r="AC25" s="26"/>
      <c r="AD25" s="24">
        <f t="shared" si="0"/>
        <v>0</v>
      </c>
      <c r="AE25" s="24">
        <f t="shared" si="1"/>
        <v>0</v>
      </c>
      <c r="AF25" s="24">
        <f t="shared" si="2"/>
        <v>0</v>
      </c>
      <c r="AG25" s="41" t="str" cm="1">
        <f t="array" ref="AG25">_xlfn.IFS(
SUM(AD25:AF25)=0,"Not Started",
SUM(AD25:AF25)&lt;15,"In Progress",
SUM(AD25:AF25)=15,"Completed",
SUM(AD25:AF25)&gt;15,"Error"
)</f>
        <v>Not Started</v>
      </c>
    </row>
    <row r="26" spans="1:33" ht="15.5" x14ac:dyDescent="0.25">
      <c r="A26" s="248"/>
      <c r="B26" s="14" t="s">
        <v>2485</v>
      </c>
      <c r="C26" s="205" t="s">
        <v>10779</v>
      </c>
      <c r="D26" s="77" t="s">
        <v>11019</v>
      </c>
      <c r="E26" s="138"/>
      <c r="F26" s="194" t="s">
        <v>10854</v>
      </c>
      <c r="G26" s="138" t="s">
        <v>11000</v>
      </c>
      <c r="H26" s="138" t="s">
        <v>5657</v>
      </c>
      <c r="I26" s="192" t="s">
        <v>10829</v>
      </c>
      <c r="J26" s="192" t="s">
        <v>10876</v>
      </c>
      <c r="K26" s="206">
        <v>10053825285</v>
      </c>
      <c r="L26" s="207" t="s">
        <v>11018</v>
      </c>
      <c r="M26" s="32"/>
      <c r="N26" s="29"/>
      <c r="O26" s="10"/>
      <c r="P26" s="10"/>
      <c r="Q26" s="35"/>
      <c r="R26" s="29"/>
      <c r="S26" s="10"/>
      <c r="T26" s="10"/>
      <c r="U26" s="10"/>
      <c r="V26" s="10"/>
      <c r="W26" s="10"/>
      <c r="X26" s="10"/>
      <c r="Y26" s="10"/>
      <c r="Z26" s="35"/>
      <c r="AA26" s="29"/>
      <c r="AB26" s="8"/>
      <c r="AC26" s="26"/>
      <c r="AD26" s="24">
        <f t="shared" si="0"/>
        <v>0</v>
      </c>
      <c r="AE26" s="24">
        <f t="shared" si="1"/>
        <v>0</v>
      </c>
      <c r="AF26" s="24">
        <f t="shared" si="2"/>
        <v>0</v>
      </c>
      <c r="AG26" s="41" t="str" cm="1">
        <f t="array" ref="AG26">_xlfn.IFS(
SUM(AD26:AF26)=0,"Not Started",
SUM(AD26:AF26)&lt;15,"In Progress",
SUM(AD26:AF26)=15,"Completed",
SUM(AD26:AF26)&gt;15,"Error"
)</f>
        <v>Not Started</v>
      </c>
    </row>
    <row r="27" spans="1:33" ht="15.5" x14ac:dyDescent="0.25">
      <c r="A27" s="248"/>
      <c r="B27" s="7" t="s">
        <v>2486</v>
      </c>
      <c r="C27" s="205" t="s">
        <v>10780</v>
      </c>
      <c r="D27" s="77" t="s">
        <v>11020</v>
      </c>
      <c r="E27" s="138"/>
      <c r="F27" s="194" t="s">
        <v>10854</v>
      </c>
      <c r="G27" s="138" t="s">
        <v>11000</v>
      </c>
      <c r="H27" s="138" t="s">
        <v>5657</v>
      </c>
      <c r="I27" s="192" t="s">
        <v>10830</v>
      </c>
      <c r="J27" s="192" t="s">
        <v>10877</v>
      </c>
      <c r="K27" s="206">
        <v>10098976788</v>
      </c>
      <c r="L27" s="207" t="s">
        <v>11018</v>
      </c>
      <c r="M27" s="32"/>
      <c r="N27" s="29"/>
      <c r="O27" s="10"/>
      <c r="P27" s="10"/>
      <c r="Q27" s="35"/>
      <c r="R27" s="29"/>
      <c r="S27" s="10"/>
      <c r="T27" s="10"/>
      <c r="U27" s="10"/>
      <c r="V27" s="10"/>
      <c r="W27" s="10"/>
      <c r="X27" s="10"/>
      <c r="Y27" s="10"/>
      <c r="Z27" s="35"/>
      <c r="AA27" s="29"/>
      <c r="AB27" s="8"/>
      <c r="AC27" s="26"/>
      <c r="AD27" s="24">
        <f t="shared" si="0"/>
        <v>0</v>
      </c>
      <c r="AE27" s="24">
        <f t="shared" si="1"/>
        <v>0</v>
      </c>
      <c r="AF27" s="24">
        <f t="shared" si="2"/>
        <v>0</v>
      </c>
      <c r="AG27" s="41" t="str" cm="1">
        <f t="array" ref="AG27">_xlfn.IFS(
SUM(AD27:AF27)=0,"Not Started",
SUM(AD27:AF27)&lt;15,"In Progress",
SUM(AD27:AF27)=15,"Completed",
SUM(AD27:AF27)&gt;15,"Error"
)</f>
        <v>Not Started</v>
      </c>
    </row>
    <row r="28" spans="1:33" ht="15.5" x14ac:dyDescent="0.25">
      <c r="A28" s="248"/>
      <c r="B28" s="14" t="s">
        <v>2487</v>
      </c>
      <c r="C28" s="205" t="s">
        <v>10781</v>
      </c>
      <c r="D28" s="77" t="s">
        <v>11021</v>
      </c>
      <c r="E28" s="138"/>
      <c r="F28" s="194" t="s">
        <v>10854</v>
      </c>
      <c r="G28" s="138" t="s">
        <v>11000</v>
      </c>
      <c r="H28" s="138" t="s">
        <v>5657</v>
      </c>
      <c r="I28" s="192" t="s">
        <v>10831</v>
      </c>
      <c r="J28" s="192" t="s">
        <v>10878</v>
      </c>
      <c r="K28" s="206">
        <v>10053643282</v>
      </c>
      <c r="L28" s="207" t="s">
        <v>11018</v>
      </c>
      <c r="M28" s="32"/>
      <c r="N28" s="29"/>
      <c r="O28" s="10"/>
      <c r="P28" s="10"/>
      <c r="Q28" s="35"/>
      <c r="R28" s="29"/>
      <c r="S28" s="10"/>
      <c r="T28" s="10"/>
      <c r="U28" s="10"/>
      <c r="V28" s="10"/>
      <c r="W28" s="10"/>
      <c r="X28" s="10"/>
      <c r="Y28" s="10"/>
      <c r="Z28" s="35"/>
      <c r="AA28" s="29"/>
      <c r="AB28" s="8"/>
      <c r="AC28" s="26"/>
      <c r="AD28" s="24">
        <f t="shared" si="0"/>
        <v>0</v>
      </c>
      <c r="AE28" s="24">
        <f t="shared" si="1"/>
        <v>0</v>
      </c>
      <c r="AF28" s="24">
        <f t="shared" si="2"/>
        <v>0</v>
      </c>
      <c r="AG28" s="41" t="str" cm="1">
        <f t="array" ref="AG28">_xlfn.IFS(
SUM(AD28:AF28)=0,"Not Started",
SUM(AD28:AF28)&lt;15,"In Progress",
SUM(AD28:AF28)=15,"Completed",
SUM(AD28:AF28)&gt;15,"Error"
)</f>
        <v>Not Started</v>
      </c>
    </row>
    <row r="29" spans="1:33" ht="15.5" x14ac:dyDescent="0.25">
      <c r="A29" s="248"/>
      <c r="B29" s="7" t="s">
        <v>2488</v>
      </c>
      <c r="C29" s="205" t="s">
        <v>10782</v>
      </c>
      <c r="D29" s="77" t="s">
        <v>3821</v>
      </c>
      <c r="E29" s="138"/>
      <c r="F29" s="194" t="s">
        <v>10854</v>
      </c>
      <c r="G29" s="138" t="s">
        <v>11000</v>
      </c>
      <c r="H29" s="138" t="s">
        <v>5657</v>
      </c>
      <c r="I29" s="192" t="s">
        <v>10832</v>
      </c>
      <c r="J29" s="192" t="s">
        <v>10879</v>
      </c>
      <c r="K29" s="206">
        <v>10086573683</v>
      </c>
      <c r="L29" s="207" t="s">
        <v>11018</v>
      </c>
      <c r="M29" s="32"/>
      <c r="N29" s="29"/>
      <c r="O29" s="10"/>
      <c r="P29" s="10"/>
      <c r="Q29" s="35"/>
      <c r="R29" s="29"/>
      <c r="S29" s="10"/>
      <c r="T29" s="10"/>
      <c r="U29" s="10"/>
      <c r="V29" s="10"/>
      <c r="W29" s="10"/>
      <c r="X29" s="10"/>
      <c r="Y29" s="10"/>
      <c r="Z29" s="35"/>
      <c r="AA29" s="29"/>
      <c r="AB29" s="8"/>
      <c r="AC29" s="26"/>
      <c r="AD29" s="24">
        <f t="shared" si="0"/>
        <v>0</v>
      </c>
      <c r="AE29" s="24">
        <f t="shared" si="1"/>
        <v>0</v>
      </c>
      <c r="AF29" s="24">
        <f t="shared" si="2"/>
        <v>0</v>
      </c>
      <c r="AG29" s="41" t="str" cm="1">
        <f t="array" ref="AG29">_xlfn.IFS(
SUM(AD29:AF29)=0,"Not Started",
SUM(AD29:AF29)&lt;15,"In Progress",
SUM(AD29:AF29)=15,"Completed",
SUM(AD29:AF29)&gt;15,"Error"
)</f>
        <v>Not Started</v>
      </c>
    </row>
    <row r="30" spans="1:33" ht="15.5" x14ac:dyDescent="0.25">
      <c r="A30" s="248"/>
      <c r="B30" s="14" t="s">
        <v>2489</v>
      </c>
      <c r="C30" s="205" t="s">
        <v>10783</v>
      </c>
      <c r="D30" s="77" t="s">
        <v>11022</v>
      </c>
      <c r="E30" s="138"/>
      <c r="F30" s="194" t="s">
        <v>10854</v>
      </c>
      <c r="G30" s="138" t="s">
        <v>11000</v>
      </c>
      <c r="H30" s="138" t="s">
        <v>5657</v>
      </c>
      <c r="I30" s="192" t="s">
        <v>10833</v>
      </c>
      <c r="J30" s="192" t="s">
        <v>10880</v>
      </c>
      <c r="K30" s="206">
        <v>10053273781</v>
      </c>
      <c r="L30" s="207" t="s">
        <v>11018</v>
      </c>
      <c r="M30" s="32"/>
      <c r="N30" s="29"/>
      <c r="O30" s="10"/>
      <c r="P30" s="10"/>
      <c r="Q30" s="35"/>
      <c r="R30" s="29"/>
      <c r="S30" s="10"/>
      <c r="T30" s="10"/>
      <c r="U30" s="10"/>
      <c r="V30" s="10"/>
      <c r="W30" s="10"/>
      <c r="X30" s="10"/>
      <c r="Y30" s="10"/>
      <c r="Z30" s="35"/>
      <c r="AA30" s="29"/>
      <c r="AB30" s="8"/>
      <c r="AC30" s="26"/>
      <c r="AD30" s="24">
        <f t="shared" si="0"/>
        <v>0</v>
      </c>
      <c r="AE30" s="24">
        <f t="shared" si="1"/>
        <v>0</v>
      </c>
      <c r="AF30" s="24">
        <f t="shared" si="2"/>
        <v>0</v>
      </c>
      <c r="AG30" s="41" t="str" cm="1">
        <f t="array" ref="AG30">_xlfn.IFS(
SUM(AD30:AF30)=0,"Not Started",
SUM(AD30:AF30)&lt;15,"In Progress",
SUM(AD30:AF30)=15,"Completed",
SUM(AD30:AF30)&gt;15,"Error"
)</f>
        <v>Not Started</v>
      </c>
    </row>
    <row r="31" spans="1:33" ht="15.5" x14ac:dyDescent="0.25">
      <c r="A31" s="248"/>
      <c r="B31" s="7" t="s">
        <v>2490</v>
      </c>
      <c r="C31" s="205" t="s">
        <v>10784</v>
      </c>
      <c r="D31" s="77" t="s">
        <v>11023</v>
      </c>
      <c r="E31" s="138"/>
      <c r="F31" s="194" t="s">
        <v>10854</v>
      </c>
      <c r="G31" s="138" t="s">
        <v>11000</v>
      </c>
      <c r="H31" s="138" t="s">
        <v>5657</v>
      </c>
      <c r="I31" s="192" t="s">
        <v>10834</v>
      </c>
      <c r="J31" s="192" t="s">
        <v>10881</v>
      </c>
      <c r="K31" s="206">
        <v>10053268252</v>
      </c>
      <c r="L31" s="204">
        <v>45759</v>
      </c>
      <c r="M31" s="32"/>
      <c r="N31" s="29"/>
      <c r="O31" s="10"/>
      <c r="P31" s="10"/>
      <c r="Q31" s="35"/>
      <c r="R31" s="29"/>
      <c r="S31" s="10"/>
      <c r="T31" s="10"/>
      <c r="U31" s="10"/>
      <c r="V31" s="10"/>
      <c r="W31" s="10"/>
      <c r="X31" s="10"/>
      <c r="Y31" s="10"/>
      <c r="Z31" s="35"/>
      <c r="AA31" s="29"/>
      <c r="AB31" s="8"/>
      <c r="AC31" s="26"/>
      <c r="AD31" s="24">
        <f t="shared" si="0"/>
        <v>0</v>
      </c>
      <c r="AE31" s="24">
        <f t="shared" si="1"/>
        <v>0</v>
      </c>
      <c r="AF31" s="24">
        <f t="shared" si="2"/>
        <v>0</v>
      </c>
      <c r="AG31" s="41" t="str" cm="1">
        <f t="array" ref="AG31">_xlfn.IFS(
SUM(AD31:AF31)=0,"Not Started",
SUM(AD31:AF31)&lt;15,"In Progress",
SUM(AD31:AF31)=15,"Completed",
SUM(AD31:AF31)&gt;15,"Error"
)</f>
        <v>Not Started</v>
      </c>
    </row>
    <row r="32" spans="1:33" ht="15.5" x14ac:dyDescent="0.25">
      <c r="A32" s="248"/>
      <c r="B32" s="14" t="s">
        <v>2491</v>
      </c>
      <c r="C32" s="205" t="s">
        <v>10785</v>
      </c>
      <c r="D32" s="77" t="s">
        <v>11024</v>
      </c>
      <c r="E32" s="138"/>
      <c r="F32" s="194" t="s">
        <v>10854</v>
      </c>
      <c r="G32" s="138" t="s">
        <v>11000</v>
      </c>
      <c r="H32" s="138" t="s">
        <v>5657</v>
      </c>
      <c r="I32" s="192" t="s">
        <v>10835</v>
      </c>
      <c r="J32" s="192" t="s">
        <v>10882</v>
      </c>
      <c r="K32" s="206">
        <v>10105119560</v>
      </c>
      <c r="L32" s="207" t="s">
        <v>11025</v>
      </c>
      <c r="M32" s="32"/>
      <c r="N32" s="29"/>
      <c r="O32" s="10"/>
      <c r="P32" s="10"/>
      <c r="Q32" s="35"/>
      <c r="R32" s="29"/>
      <c r="S32" s="10"/>
      <c r="T32" s="10"/>
      <c r="U32" s="10"/>
      <c r="V32" s="10"/>
      <c r="W32" s="10"/>
      <c r="X32" s="10"/>
      <c r="Y32" s="10"/>
      <c r="Z32" s="35"/>
      <c r="AA32" s="29"/>
      <c r="AB32" s="8"/>
      <c r="AC32" s="26"/>
      <c r="AD32" s="24">
        <f t="shared" si="0"/>
        <v>0</v>
      </c>
      <c r="AE32" s="24">
        <f t="shared" si="1"/>
        <v>0</v>
      </c>
      <c r="AF32" s="24">
        <f t="shared" si="2"/>
        <v>0</v>
      </c>
      <c r="AG32" s="41" t="str" cm="1">
        <f t="array" ref="AG32">_xlfn.IFS(
SUM(AD32:AF32)=0,"Not Started",
SUM(AD32:AF32)&lt;15,"In Progress",
SUM(AD32:AF32)=15,"Completed",
SUM(AD32:AF32)&gt;15,"Error"
)</f>
        <v>Not Started</v>
      </c>
    </row>
    <row r="33" spans="1:33" ht="15.5" x14ac:dyDescent="0.25">
      <c r="A33" s="248"/>
      <c r="B33" s="7" t="s">
        <v>2492</v>
      </c>
      <c r="C33" s="205" t="s">
        <v>10786</v>
      </c>
      <c r="D33" s="77" t="s">
        <v>11026</v>
      </c>
      <c r="E33" s="138"/>
      <c r="F33" s="194" t="s">
        <v>10854</v>
      </c>
      <c r="G33" s="138" t="s">
        <v>11000</v>
      </c>
      <c r="H33" s="138" t="s">
        <v>5657</v>
      </c>
      <c r="I33" s="192" t="s">
        <v>10836</v>
      </c>
      <c r="J33" s="192" t="s">
        <v>10883</v>
      </c>
      <c r="K33" s="206">
        <v>10053333575</v>
      </c>
      <c r="L33" s="204">
        <v>45728</v>
      </c>
      <c r="M33" s="32"/>
      <c r="N33" s="29"/>
      <c r="O33" s="10"/>
      <c r="P33" s="10"/>
      <c r="Q33" s="35"/>
      <c r="R33" s="29"/>
      <c r="S33" s="10"/>
      <c r="T33" s="10"/>
      <c r="U33" s="10"/>
      <c r="V33" s="10"/>
      <c r="W33" s="10"/>
      <c r="X33" s="10"/>
      <c r="Y33" s="10"/>
      <c r="Z33" s="35"/>
      <c r="AA33" s="29"/>
      <c r="AB33" s="8"/>
      <c r="AC33" s="26"/>
      <c r="AD33" s="24">
        <f t="shared" si="0"/>
        <v>0</v>
      </c>
      <c r="AE33" s="24">
        <f t="shared" si="1"/>
        <v>0</v>
      </c>
      <c r="AF33" s="24">
        <f t="shared" si="2"/>
        <v>0</v>
      </c>
      <c r="AG33" s="41" t="str" cm="1">
        <f t="array" ref="AG33">_xlfn.IFS(
SUM(AD33:AF33)=0,"Not Started",
SUM(AD33:AF33)&lt;15,"In Progress",
SUM(AD33:AF33)=15,"Completed",
SUM(AD33:AF33)&gt;15,"Error"
)</f>
        <v>Not Started</v>
      </c>
    </row>
    <row r="34" spans="1:33" ht="15.5" x14ac:dyDescent="0.25">
      <c r="A34" s="248"/>
      <c r="B34" s="14" t="s">
        <v>2493</v>
      </c>
      <c r="C34" s="205" t="s">
        <v>10787</v>
      </c>
      <c r="D34" s="77" t="s">
        <v>11027</v>
      </c>
      <c r="E34" s="138"/>
      <c r="F34" s="194" t="s">
        <v>10854</v>
      </c>
      <c r="G34" s="138" t="s">
        <v>11000</v>
      </c>
      <c r="H34" s="138" t="s">
        <v>5657</v>
      </c>
      <c r="I34" s="192" t="s">
        <v>10837</v>
      </c>
      <c r="J34" s="192" t="s">
        <v>10884</v>
      </c>
      <c r="K34" s="206">
        <v>10053485915</v>
      </c>
      <c r="L34" s="207" t="s">
        <v>11025</v>
      </c>
      <c r="M34" s="32"/>
      <c r="N34" s="29"/>
      <c r="O34" s="10"/>
      <c r="P34" s="10"/>
      <c r="Q34" s="35"/>
      <c r="R34" s="29"/>
      <c r="S34" s="10"/>
      <c r="T34" s="10"/>
      <c r="U34" s="10"/>
      <c r="V34" s="10"/>
      <c r="W34" s="10"/>
      <c r="X34" s="10"/>
      <c r="Y34" s="10"/>
      <c r="Z34" s="35"/>
      <c r="AA34" s="29"/>
      <c r="AB34" s="8"/>
      <c r="AC34" s="26"/>
      <c r="AD34" s="24">
        <f t="shared" si="0"/>
        <v>0</v>
      </c>
      <c r="AE34" s="24">
        <f t="shared" si="1"/>
        <v>0</v>
      </c>
      <c r="AF34" s="24">
        <f t="shared" si="2"/>
        <v>0</v>
      </c>
      <c r="AG34" s="41" t="str" cm="1">
        <f t="array" ref="AG34">_xlfn.IFS(
SUM(AD34:AF34)=0,"Not Started",
SUM(AD34:AF34)&lt;15,"In Progress",
SUM(AD34:AF34)=15,"Completed",
SUM(AD34:AF34)&gt;15,"Error"
)</f>
        <v>Not Started</v>
      </c>
    </row>
    <row r="35" spans="1:33" ht="15.5" x14ac:dyDescent="0.25">
      <c r="A35" s="248"/>
      <c r="B35" s="7" t="s">
        <v>2494</v>
      </c>
      <c r="C35" s="205" t="s">
        <v>10788</v>
      </c>
      <c r="D35" s="77" t="s">
        <v>11028</v>
      </c>
      <c r="E35" s="138"/>
      <c r="F35" s="194" t="s">
        <v>10854</v>
      </c>
      <c r="G35" s="138" t="s">
        <v>11000</v>
      </c>
      <c r="H35" s="138" t="s">
        <v>5657</v>
      </c>
      <c r="I35" s="192" t="s">
        <v>10838</v>
      </c>
      <c r="J35" s="192" t="s">
        <v>10885</v>
      </c>
      <c r="K35" s="206">
        <v>10053119486</v>
      </c>
      <c r="L35" s="207" t="s">
        <v>11025</v>
      </c>
      <c r="M35" s="32"/>
      <c r="N35" s="29"/>
      <c r="O35" s="10"/>
      <c r="P35" s="10"/>
      <c r="Q35" s="35"/>
      <c r="R35" s="29"/>
      <c r="S35" s="10"/>
      <c r="T35" s="10"/>
      <c r="U35" s="10"/>
      <c r="V35" s="10"/>
      <c r="W35" s="10"/>
      <c r="X35" s="10"/>
      <c r="Y35" s="10"/>
      <c r="Z35" s="35"/>
      <c r="AA35" s="29"/>
      <c r="AB35" s="8"/>
      <c r="AC35" s="26"/>
      <c r="AD35" s="24">
        <f t="shared" si="0"/>
        <v>0</v>
      </c>
      <c r="AE35" s="24">
        <f t="shared" si="1"/>
        <v>0</v>
      </c>
      <c r="AF35" s="24">
        <f t="shared" si="2"/>
        <v>0</v>
      </c>
      <c r="AG35" s="41" t="str" cm="1">
        <f t="array" ref="AG35">_xlfn.IFS(
SUM(AD35:AF35)=0,"Not Started",
SUM(AD35:AF35)&lt;15,"In Progress",
SUM(AD35:AF35)=15,"Completed",
SUM(AD35:AF35)&gt;15,"Error"
)</f>
        <v>Not Started</v>
      </c>
    </row>
    <row r="36" spans="1:33" ht="15.5" x14ac:dyDescent="0.25">
      <c r="A36" s="248"/>
      <c r="B36" s="14" t="s">
        <v>2495</v>
      </c>
      <c r="C36" s="205" t="s">
        <v>10789</v>
      </c>
      <c r="D36" s="77" t="s">
        <v>11029</v>
      </c>
      <c r="E36" s="138"/>
      <c r="F36" s="194" t="s">
        <v>10854</v>
      </c>
      <c r="G36" s="138" t="s">
        <v>11000</v>
      </c>
      <c r="H36" s="138" t="s">
        <v>5657</v>
      </c>
      <c r="I36" s="192" t="s">
        <v>10839</v>
      </c>
      <c r="J36" s="192" t="s">
        <v>10886</v>
      </c>
      <c r="K36" s="206">
        <v>10053267381</v>
      </c>
      <c r="L36" s="207" t="s">
        <v>11025</v>
      </c>
      <c r="M36" s="32"/>
      <c r="N36" s="29"/>
      <c r="O36" s="10"/>
      <c r="P36" s="10"/>
      <c r="Q36" s="35"/>
      <c r="R36" s="29"/>
      <c r="S36" s="10"/>
      <c r="T36" s="10"/>
      <c r="U36" s="10"/>
      <c r="V36" s="10"/>
      <c r="W36" s="10"/>
      <c r="X36" s="10"/>
      <c r="Y36" s="10"/>
      <c r="Z36" s="35"/>
      <c r="AA36" s="29"/>
      <c r="AB36" s="8"/>
      <c r="AC36" s="26"/>
      <c r="AD36" s="24">
        <f t="shared" si="0"/>
        <v>0</v>
      </c>
      <c r="AE36" s="24">
        <f t="shared" si="1"/>
        <v>0</v>
      </c>
      <c r="AF36" s="24">
        <f t="shared" si="2"/>
        <v>0</v>
      </c>
      <c r="AG36" s="41" t="str" cm="1">
        <f t="array" ref="AG36">_xlfn.IFS(
SUM(AD36:AF36)=0,"Not Started",
SUM(AD36:AF36)&lt;15,"In Progress",
SUM(AD36:AF36)=15,"Completed",
SUM(AD36:AF36)&gt;15,"Error"
)</f>
        <v>Not Started</v>
      </c>
    </row>
    <row r="37" spans="1:33" ht="15.5" x14ac:dyDescent="0.25">
      <c r="A37" s="248"/>
      <c r="B37" s="7" t="s">
        <v>2496</v>
      </c>
      <c r="C37" s="205" t="s">
        <v>10790</v>
      </c>
      <c r="D37" s="77" t="s">
        <v>11030</v>
      </c>
      <c r="E37" s="138"/>
      <c r="F37" s="194" t="s">
        <v>10854</v>
      </c>
      <c r="G37" s="138" t="s">
        <v>11000</v>
      </c>
      <c r="H37" s="138" t="s">
        <v>5657</v>
      </c>
      <c r="I37" s="192" t="s">
        <v>10840</v>
      </c>
      <c r="J37" s="192" t="s">
        <v>10887</v>
      </c>
      <c r="K37" s="206">
        <v>10105319711</v>
      </c>
      <c r="L37" s="207" t="s">
        <v>11025</v>
      </c>
      <c r="M37" s="32"/>
      <c r="N37" s="29"/>
      <c r="O37" s="10"/>
      <c r="P37" s="10"/>
      <c r="Q37" s="35"/>
      <c r="R37" s="29"/>
      <c r="S37" s="10"/>
      <c r="T37" s="10"/>
      <c r="U37" s="10"/>
      <c r="V37" s="10"/>
      <c r="W37" s="10"/>
      <c r="X37" s="10"/>
      <c r="Y37" s="10"/>
      <c r="Z37" s="35"/>
      <c r="AA37" s="29"/>
      <c r="AB37" s="8"/>
      <c r="AC37" s="26"/>
      <c r="AD37" s="24">
        <f t="shared" si="0"/>
        <v>0</v>
      </c>
      <c r="AE37" s="24">
        <f t="shared" si="1"/>
        <v>0</v>
      </c>
      <c r="AF37" s="24">
        <f t="shared" si="2"/>
        <v>0</v>
      </c>
      <c r="AG37" s="41" t="str" cm="1">
        <f t="array" ref="AG37">_xlfn.IFS(
SUM(AD37:AF37)=0,"Not Started",
SUM(AD37:AF37)&lt;15,"In Progress",
SUM(AD37:AF37)=15,"Completed",
SUM(AD37:AF37)&gt;15,"Error"
)</f>
        <v>Not Started</v>
      </c>
    </row>
    <row r="38" spans="1:33" ht="15.5" x14ac:dyDescent="0.25">
      <c r="A38" s="248"/>
      <c r="B38" s="14" t="s">
        <v>2497</v>
      </c>
      <c r="C38" s="205" t="s">
        <v>10791</v>
      </c>
      <c r="D38" s="77" t="s">
        <v>11031</v>
      </c>
      <c r="E38" s="138"/>
      <c r="F38" s="194" t="s">
        <v>10854</v>
      </c>
      <c r="G38" s="138" t="s">
        <v>11000</v>
      </c>
      <c r="H38" s="138" t="s">
        <v>5657</v>
      </c>
      <c r="I38" s="192" t="s">
        <v>10841</v>
      </c>
      <c r="J38" s="192" t="s">
        <v>10888</v>
      </c>
      <c r="K38" s="206">
        <v>10053339031</v>
      </c>
      <c r="L38" s="207" t="s">
        <v>11025</v>
      </c>
      <c r="M38" s="32"/>
      <c r="N38" s="29"/>
      <c r="O38" s="10"/>
      <c r="P38" s="10"/>
      <c r="Q38" s="35"/>
      <c r="R38" s="29"/>
      <c r="S38" s="10"/>
      <c r="T38" s="10"/>
      <c r="U38" s="10"/>
      <c r="V38" s="10"/>
      <c r="W38" s="10"/>
      <c r="X38" s="10"/>
      <c r="Y38" s="10"/>
      <c r="Z38" s="35"/>
      <c r="AA38" s="29"/>
      <c r="AB38" s="8"/>
      <c r="AC38" s="26"/>
      <c r="AD38" s="24">
        <f t="shared" si="0"/>
        <v>0</v>
      </c>
      <c r="AE38" s="24">
        <f t="shared" si="1"/>
        <v>0</v>
      </c>
      <c r="AF38" s="24">
        <f t="shared" si="2"/>
        <v>0</v>
      </c>
      <c r="AG38" s="41" t="str" cm="1">
        <f t="array" ref="AG38">_xlfn.IFS(
SUM(AD38:AF38)=0,"Not Started",
SUM(AD38:AF38)&lt;15,"In Progress",
SUM(AD38:AF38)=15,"Completed",
SUM(AD38:AF38)&gt;15,"Error"
)</f>
        <v>Not Started</v>
      </c>
    </row>
    <row r="39" spans="1:33" ht="15.5" x14ac:dyDescent="0.25">
      <c r="A39" s="248"/>
      <c r="B39" s="7" t="s">
        <v>2498</v>
      </c>
      <c r="C39" s="205" t="s">
        <v>10792</v>
      </c>
      <c r="D39" s="77" t="s">
        <v>11032</v>
      </c>
      <c r="E39" s="138"/>
      <c r="F39" s="194" t="s">
        <v>10854</v>
      </c>
      <c r="G39" s="138" t="s">
        <v>11000</v>
      </c>
      <c r="H39" s="138" t="s">
        <v>5657</v>
      </c>
      <c r="I39" s="192" t="s">
        <v>10842</v>
      </c>
      <c r="J39" s="192" t="s">
        <v>10889</v>
      </c>
      <c r="K39" s="206">
        <v>10053661880</v>
      </c>
      <c r="L39" s="207" t="s">
        <v>11033</v>
      </c>
      <c r="M39" s="32"/>
      <c r="N39" s="29"/>
      <c r="O39" s="10"/>
      <c r="P39" s="10"/>
      <c r="Q39" s="35"/>
      <c r="R39" s="29"/>
      <c r="S39" s="10"/>
      <c r="T39" s="10"/>
      <c r="U39" s="10"/>
      <c r="V39" s="10"/>
      <c r="W39" s="10"/>
      <c r="X39" s="10"/>
      <c r="Y39" s="10"/>
      <c r="Z39" s="35"/>
      <c r="AA39" s="29"/>
      <c r="AB39" s="8"/>
      <c r="AC39" s="26"/>
      <c r="AD39" s="24">
        <f t="shared" si="0"/>
        <v>0</v>
      </c>
      <c r="AE39" s="24">
        <f t="shared" si="1"/>
        <v>0</v>
      </c>
      <c r="AF39" s="24">
        <f t="shared" si="2"/>
        <v>0</v>
      </c>
      <c r="AG39" s="41" t="str" cm="1">
        <f t="array" ref="AG39">_xlfn.IFS(
SUM(AD39:AF39)=0,"Not Started",
SUM(AD39:AF39)&lt;15,"In Progress",
SUM(AD39:AF39)=15,"Completed",
SUM(AD39:AF39)&gt;15,"Error"
)</f>
        <v>Not Started</v>
      </c>
    </row>
    <row r="40" spans="1:33" ht="25" x14ac:dyDescent="0.25">
      <c r="A40" s="248"/>
      <c r="B40" s="14" t="s">
        <v>2499</v>
      </c>
      <c r="C40" s="205" t="s">
        <v>10793</v>
      </c>
      <c r="D40" s="77" t="s">
        <v>11034</v>
      </c>
      <c r="E40" s="138"/>
      <c r="F40" s="194" t="s">
        <v>10854</v>
      </c>
      <c r="G40" s="138" t="s">
        <v>11000</v>
      </c>
      <c r="H40" s="138" t="s">
        <v>5657</v>
      </c>
      <c r="I40" s="192" t="s">
        <v>10843</v>
      </c>
      <c r="J40" s="195" t="s">
        <v>10890</v>
      </c>
      <c r="K40" s="206">
        <v>10053775577</v>
      </c>
      <c r="L40" s="207" t="s">
        <v>11033</v>
      </c>
      <c r="M40" s="32"/>
      <c r="N40" s="29"/>
      <c r="O40" s="10"/>
      <c r="P40" s="10"/>
      <c r="Q40" s="35"/>
      <c r="R40" s="29"/>
      <c r="S40" s="10"/>
      <c r="T40" s="10"/>
      <c r="U40" s="10"/>
      <c r="V40" s="10"/>
      <c r="W40" s="10"/>
      <c r="X40" s="10"/>
      <c r="Y40" s="10"/>
      <c r="Z40" s="35"/>
      <c r="AA40" s="29"/>
      <c r="AB40" s="8"/>
      <c r="AC40" s="26"/>
      <c r="AD40" s="24">
        <f t="shared" si="0"/>
        <v>0</v>
      </c>
      <c r="AE40" s="24">
        <f t="shared" si="1"/>
        <v>0</v>
      </c>
      <c r="AF40" s="24">
        <f t="shared" si="2"/>
        <v>0</v>
      </c>
      <c r="AG40" s="41" t="str" cm="1">
        <f t="array" ref="AG40">_xlfn.IFS(
SUM(AD40:AF40)=0,"Not Started",
SUM(AD40:AF40)&lt;15,"In Progress",
SUM(AD40:AF40)=15,"Completed",
SUM(AD40:AF40)&gt;15,"Error"
)</f>
        <v>Not Started</v>
      </c>
    </row>
    <row r="41" spans="1:33" ht="15.5" x14ac:dyDescent="0.25">
      <c r="A41" s="248"/>
      <c r="B41" s="7" t="s">
        <v>2500</v>
      </c>
      <c r="C41" s="205" t="s">
        <v>10794</v>
      </c>
      <c r="D41" s="77" t="s">
        <v>11035</v>
      </c>
      <c r="E41" s="138"/>
      <c r="F41" s="194" t="s">
        <v>10854</v>
      </c>
      <c r="G41" s="138" t="s">
        <v>11000</v>
      </c>
      <c r="H41" s="138" t="s">
        <v>5657</v>
      </c>
      <c r="I41" s="192" t="s">
        <v>10844</v>
      </c>
      <c r="J41" s="192" t="s">
        <v>10891</v>
      </c>
      <c r="K41" s="206">
        <v>10105126036</v>
      </c>
      <c r="L41" s="207" t="s">
        <v>11025</v>
      </c>
      <c r="M41" s="32"/>
      <c r="N41" s="29"/>
      <c r="O41" s="10"/>
      <c r="P41" s="10"/>
      <c r="Q41" s="35"/>
      <c r="R41" s="29"/>
      <c r="S41" s="10"/>
      <c r="T41" s="10"/>
      <c r="U41" s="10"/>
      <c r="V41" s="10"/>
      <c r="W41" s="10"/>
      <c r="X41" s="10"/>
      <c r="Y41" s="10"/>
      <c r="Z41" s="35"/>
      <c r="AA41" s="29"/>
      <c r="AB41" s="8"/>
      <c r="AC41" s="26"/>
      <c r="AD41" s="24">
        <f t="shared" si="0"/>
        <v>0</v>
      </c>
      <c r="AE41" s="24">
        <f t="shared" si="1"/>
        <v>0</v>
      </c>
      <c r="AF41" s="24">
        <f t="shared" si="2"/>
        <v>0</v>
      </c>
      <c r="AG41" s="41" t="str" cm="1">
        <f t="array" ref="AG41">_xlfn.IFS(
SUM(AD41:AF41)=0,"Not Started",
SUM(AD41:AF41)&lt;15,"In Progress",
SUM(AD41:AF41)=15,"Completed",
SUM(AD41:AF41)&gt;15,"Error"
)</f>
        <v>Not Started</v>
      </c>
    </row>
    <row r="42" spans="1:33" ht="15.5" x14ac:dyDescent="0.25">
      <c r="A42" s="248"/>
      <c r="B42" s="14" t="s">
        <v>2501</v>
      </c>
      <c r="C42" s="205" t="s">
        <v>10795</v>
      </c>
      <c r="D42" s="77" t="s">
        <v>11036</v>
      </c>
      <c r="E42" s="138"/>
      <c r="F42" s="194" t="s">
        <v>10854</v>
      </c>
      <c r="G42" s="138" t="s">
        <v>11000</v>
      </c>
      <c r="H42" s="138" t="s">
        <v>5657</v>
      </c>
      <c r="I42" s="192" t="s">
        <v>10845</v>
      </c>
      <c r="J42" s="192" t="s">
        <v>10892</v>
      </c>
      <c r="K42" s="206">
        <v>10053378334</v>
      </c>
      <c r="L42" s="204">
        <v>45669</v>
      </c>
      <c r="M42" s="32"/>
      <c r="N42" s="29"/>
      <c r="O42" s="10"/>
      <c r="P42" s="10"/>
      <c r="Q42" s="35"/>
      <c r="R42" s="29"/>
      <c r="S42" s="10"/>
      <c r="T42" s="10"/>
      <c r="U42" s="10"/>
      <c r="V42" s="10"/>
      <c r="W42" s="10"/>
      <c r="X42" s="10"/>
      <c r="Y42" s="10"/>
      <c r="Z42" s="35"/>
      <c r="AA42" s="29"/>
      <c r="AB42" s="8"/>
      <c r="AC42" s="26"/>
      <c r="AD42" s="24">
        <f t="shared" si="0"/>
        <v>0</v>
      </c>
      <c r="AE42" s="24">
        <f t="shared" si="1"/>
        <v>0</v>
      </c>
      <c r="AF42" s="24">
        <f t="shared" si="2"/>
        <v>0</v>
      </c>
      <c r="AG42" s="41" t="str" cm="1">
        <f t="array" ref="AG42">_xlfn.IFS(
SUM(AD42:AF42)=0,"Not Started",
SUM(AD42:AF42)&lt;15,"In Progress",
SUM(AD42:AF42)=15,"Completed",
SUM(AD42:AF42)&gt;15,"Error"
)</f>
        <v>Not Started</v>
      </c>
    </row>
    <row r="43" spans="1:33" ht="15.5" x14ac:dyDescent="0.25">
      <c r="A43" s="248"/>
      <c r="B43" s="7" t="s">
        <v>2502</v>
      </c>
      <c r="C43" s="205" t="s">
        <v>10796</v>
      </c>
      <c r="D43" s="77" t="s">
        <v>11037</v>
      </c>
      <c r="E43" s="138"/>
      <c r="F43" s="194" t="s">
        <v>10854</v>
      </c>
      <c r="G43" s="138" t="s">
        <v>11000</v>
      </c>
      <c r="H43" s="138" t="s">
        <v>5657</v>
      </c>
      <c r="I43" s="192" t="s">
        <v>10846</v>
      </c>
      <c r="J43" s="192" t="s">
        <v>10893</v>
      </c>
      <c r="K43" s="206">
        <v>10053281675</v>
      </c>
      <c r="L43" s="204">
        <v>45669</v>
      </c>
      <c r="M43" s="32"/>
      <c r="N43" s="29"/>
      <c r="O43" s="10"/>
      <c r="P43" s="10"/>
      <c r="Q43" s="35"/>
      <c r="R43" s="29"/>
      <c r="S43" s="10"/>
      <c r="T43" s="10"/>
      <c r="U43" s="10"/>
      <c r="V43" s="10"/>
      <c r="W43" s="10"/>
      <c r="X43" s="10"/>
      <c r="Y43" s="10"/>
      <c r="Z43" s="35"/>
      <c r="AA43" s="29"/>
      <c r="AB43" s="8"/>
      <c r="AC43" s="26"/>
      <c r="AD43" s="24">
        <f t="shared" si="0"/>
        <v>0</v>
      </c>
      <c r="AE43" s="24">
        <f t="shared" si="1"/>
        <v>0</v>
      </c>
      <c r="AF43" s="24">
        <f t="shared" si="2"/>
        <v>0</v>
      </c>
      <c r="AG43" s="41" t="str" cm="1">
        <f t="array" ref="AG43">_xlfn.IFS(
SUM(AD43:AF43)=0,"Not Started",
SUM(AD43:AF43)&lt;15,"In Progress",
SUM(AD43:AF43)=15,"Completed",
SUM(AD43:AF43)&gt;15,"Error"
)</f>
        <v>Not Started</v>
      </c>
    </row>
    <row r="44" spans="1:33" ht="15.5" x14ac:dyDescent="0.25">
      <c r="A44" s="248"/>
      <c r="B44" s="14" t="s">
        <v>2503</v>
      </c>
      <c r="C44" s="205" t="s">
        <v>10796</v>
      </c>
      <c r="D44" s="77" t="s">
        <v>11037</v>
      </c>
      <c r="E44" s="138"/>
      <c r="F44" s="194" t="s">
        <v>10854</v>
      </c>
      <c r="G44" s="138" t="s">
        <v>11000</v>
      </c>
      <c r="H44" s="138" t="s">
        <v>5657</v>
      </c>
      <c r="I44" s="192" t="s">
        <v>10847</v>
      </c>
      <c r="J44" s="192" t="s">
        <v>10894</v>
      </c>
      <c r="K44" s="206">
        <v>10053776091</v>
      </c>
      <c r="L44" s="207" t="s">
        <v>11033</v>
      </c>
      <c r="M44" s="32"/>
      <c r="N44" s="29"/>
      <c r="O44" s="10"/>
      <c r="P44" s="10"/>
      <c r="Q44" s="35"/>
      <c r="R44" s="29"/>
      <c r="S44" s="10"/>
      <c r="T44" s="10"/>
      <c r="U44" s="10"/>
      <c r="V44" s="10"/>
      <c r="W44" s="10"/>
      <c r="X44" s="10"/>
      <c r="Y44" s="10"/>
      <c r="Z44" s="35"/>
      <c r="AA44" s="29"/>
      <c r="AB44" s="8"/>
      <c r="AC44" s="26"/>
      <c r="AD44" s="24">
        <f t="shared" si="0"/>
        <v>0</v>
      </c>
      <c r="AE44" s="24">
        <f t="shared" si="1"/>
        <v>0</v>
      </c>
      <c r="AF44" s="24">
        <f t="shared" si="2"/>
        <v>0</v>
      </c>
      <c r="AG44" s="41" t="str" cm="1">
        <f t="array" ref="AG44">_xlfn.IFS(
SUM(AD44:AF44)=0,"Not Started",
SUM(AD44:AF44)&lt;15,"In Progress",
SUM(AD44:AF44)=15,"Completed",
SUM(AD44:AF44)&gt;15,"Error"
)</f>
        <v>Not Started</v>
      </c>
    </row>
    <row r="45" spans="1:33" ht="15.5" x14ac:dyDescent="0.25">
      <c r="A45" s="248"/>
      <c r="B45" s="7" t="s">
        <v>2504</v>
      </c>
      <c r="C45" s="205" t="s">
        <v>10797</v>
      </c>
      <c r="D45" s="77" t="s">
        <v>11038</v>
      </c>
      <c r="E45" s="138"/>
      <c r="F45" s="194" t="s">
        <v>10854</v>
      </c>
      <c r="G45" s="138" t="s">
        <v>11000</v>
      </c>
      <c r="H45" s="138" t="s">
        <v>5657</v>
      </c>
      <c r="I45" s="192" t="s">
        <v>10848</v>
      </c>
      <c r="J45" s="192" t="s">
        <v>10895</v>
      </c>
      <c r="K45" s="206">
        <v>10053656585</v>
      </c>
      <c r="L45" s="204">
        <v>45669</v>
      </c>
      <c r="M45" s="32"/>
      <c r="N45" s="29"/>
      <c r="O45" s="10"/>
      <c r="P45" s="10"/>
      <c r="Q45" s="35"/>
      <c r="R45" s="29"/>
      <c r="S45" s="10"/>
      <c r="T45" s="10"/>
      <c r="U45" s="10"/>
      <c r="V45" s="10"/>
      <c r="W45" s="10"/>
      <c r="X45" s="10"/>
      <c r="Y45" s="10"/>
      <c r="Z45" s="35"/>
      <c r="AA45" s="29"/>
      <c r="AB45" s="8"/>
      <c r="AC45" s="26"/>
      <c r="AD45" s="24">
        <f t="shared" si="0"/>
        <v>0</v>
      </c>
      <c r="AE45" s="24">
        <f t="shared" si="1"/>
        <v>0</v>
      </c>
      <c r="AF45" s="24">
        <f t="shared" si="2"/>
        <v>0</v>
      </c>
      <c r="AG45" s="41" t="str" cm="1">
        <f t="array" ref="AG45">_xlfn.IFS(
SUM(AD45:AF45)=0,"Not Started",
SUM(AD45:AF45)&lt;15,"In Progress",
SUM(AD45:AF45)=15,"Completed",
SUM(AD45:AF45)&gt;15,"Error"
)</f>
        <v>Not Started</v>
      </c>
    </row>
    <row r="46" spans="1:33" ht="15.5" x14ac:dyDescent="0.25">
      <c r="A46" s="248"/>
      <c r="B46" s="14" t="s">
        <v>2505</v>
      </c>
      <c r="C46" s="205" t="s">
        <v>10798</v>
      </c>
      <c r="D46" s="77" t="s">
        <v>11039</v>
      </c>
      <c r="E46" s="138"/>
      <c r="F46" s="194" t="s">
        <v>10854</v>
      </c>
      <c r="G46" s="138" t="s">
        <v>11000</v>
      </c>
      <c r="H46" s="138" t="s">
        <v>5657</v>
      </c>
      <c r="I46" s="192" t="s">
        <v>10849</v>
      </c>
      <c r="J46" s="192" t="s">
        <v>10896</v>
      </c>
      <c r="K46" s="206">
        <v>10053425309</v>
      </c>
      <c r="L46" s="207" t="s">
        <v>11033</v>
      </c>
      <c r="M46" s="32"/>
      <c r="N46" s="29"/>
      <c r="O46" s="10"/>
      <c r="P46" s="10"/>
      <c r="Q46" s="35"/>
      <c r="R46" s="29"/>
      <c r="S46" s="10"/>
      <c r="T46" s="10"/>
      <c r="U46" s="10"/>
      <c r="V46" s="10"/>
      <c r="W46" s="10"/>
      <c r="X46" s="10"/>
      <c r="Y46" s="10"/>
      <c r="Z46" s="35"/>
      <c r="AA46" s="29"/>
      <c r="AB46" s="8"/>
      <c r="AC46" s="26"/>
      <c r="AD46" s="24">
        <f t="shared" si="0"/>
        <v>0</v>
      </c>
      <c r="AE46" s="24">
        <f t="shared" si="1"/>
        <v>0</v>
      </c>
      <c r="AF46" s="24">
        <f t="shared" si="2"/>
        <v>0</v>
      </c>
      <c r="AG46" s="41" t="str" cm="1">
        <f t="array" ref="AG46">_xlfn.IFS(
SUM(AD46:AF46)=0,"Not Started",
SUM(AD46:AF46)&lt;15,"In Progress",
SUM(AD46:AF46)=15,"Completed",
SUM(AD46:AF46)&gt;15,"Error"
)</f>
        <v>Not Started</v>
      </c>
    </row>
    <row r="47" spans="1:33" ht="15.5" x14ac:dyDescent="0.25">
      <c r="A47" s="248"/>
      <c r="B47" s="7" t="s">
        <v>2506</v>
      </c>
      <c r="C47" s="205" t="s">
        <v>10799</v>
      </c>
      <c r="D47" s="77" t="s">
        <v>11040</v>
      </c>
      <c r="E47" s="138"/>
      <c r="F47" s="194" t="s">
        <v>10854</v>
      </c>
      <c r="G47" s="138" t="s">
        <v>11000</v>
      </c>
      <c r="H47" s="138" t="s">
        <v>5657</v>
      </c>
      <c r="I47" s="192" t="s">
        <v>10850</v>
      </c>
      <c r="J47" s="192" t="s">
        <v>10897</v>
      </c>
      <c r="K47" s="206">
        <v>10053830472</v>
      </c>
      <c r="L47" s="207" t="s">
        <v>11041</v>
      </c>
      <c r="M47" s="32"/>
      <c r="N47" s="29"/>
      <c r="O47" s="10"/>
      <c r="P47" s="10"/>
      <c r="Q47" s="35"/>
      <c r="R47" s="29"/>
      <c r="S47" s="10"/>
      <c r="T47" s="10"/>
      <c r="U47" s="10"/>
      <c r="V47" s="10"/>
      <c r="W47" s="10"/>
      <c r="X47" s="10"/>
      <c r="Y47" s="10"/>
      <c r="Z47" s="35"/>
      <c r="AA47" s="29"/>
      <c r="AB47" s="8"/>
      <c r="AC47" s="26"/>
      <c r="AD47" s="24">
        <f t="shared" si="0"/>
        <v>0</v>
      </c>
      <c r="AE47" s="24">
        <f t="shared" si="1"/>
        <v>0</v>
      </c>
      <c r="AF47" s="24">
        <f t="shared" si="2"/>
        <v>0</v>
      </c>
      <c r="AG47" s="41" t="str" cm="1">
        <f t="array" ref="AG47">_xlfn.IFS(
SUM(AD47:AF47)=0,"Not Started",
SUM(AD47:AF47)&lt;15,"In Progress",
SUM(AD47:AF47)=15,"Completed",
SUM(AD47:AF47)&gt;15,"Error"
)</f>
        <v>Not Started</v>
      </c>
    </row>
    <row r="48" spans="1:33" ht="15.5" x14ac:dyDescent="0.25">
      <c r="A48" s="248"/>
      <c r="B48" s="14" t="s">
        <v>2507</v>
      </c>
      <c r="C48" s="205" t="s">
        <v>10800</v>
      </c>
      <c r="D48" s="77" t="s">
        <v>11042</v>
      </c>
      <c r="E48" s="138"/>
      <c r="F48" s="194" t="s">
        <v>10854</v>
      </c>
      <c r="G48" s="138" t="s">
        <v>11000</v>
      </c>
      <c r="H48" s="138" t="s">
        <v>5657</v>
      </c>
      <c r="I48" s="192" t="s">
        <v>10851</v>
      </c>
      <c r="J48" s="192" t="s">
        <v>10898</v>
      </c>
      <c r="K48" s="206">
        <v>10053601854</v>
      </c>
      <c r="L48" s="207" t="s">
        <v>11043</v>
      </c>
      <c r="M48" s="32"/>
      <c r="N48" s="29"/>
      <c r="O48" s="10"/>
      <c r="P48" s="10"/>
      <c r="Q48" s="35"/>
      <c r="R48" s="29"/>
      <c r="S48" s="10"/>
      <c r="T48" s="10"/>
      <c r="U48" s="10"/>
      <c r="V48" s="10"/>
      <c r="W48" s="10"/>
      <c r="X48" s="10"/>
      <c r="Y48" s="10"/>
      <c r="Z48" s="35"/>
      <c r="AA48" s="29"/>
      <c r="AB48" s="8"/>
      <c r="AC48" s="26"/>
      <c r="AD48" s="24">
        <f t="shared" si="0"/>
        <v>0</v>
      </c>
      <c r="AE48" s="24">
        <f t="shared" si="1"/>
        <v>0</v>
      </c>
      <c r="AF48" s="24">
        <f t="shared" si="2"/>
        <v>0</v>
      </c>
      <c r="AG48" s="41" t="str" cm="1">
        <f t="array" ref="AG48">_xlfn.IFS(
SUM(AD48:AF48)=0,"Not Started",
SUM(AD48:AF48)&lt;15,"In Progress",
SUM(AD48:AF48)=15,"Completed",
SUM(AD48:AF48)&gt;15,"Error"
)</f>
        <v>Not Started</v>
      </c>
    </row>
    <row r="49" spans="1:33" ht="18.5" x14ac:dyDescent="0.25">
      <c r="A49" s="248"/>
      <c r="B49" s="7" t="s">
        <v>2508</v>
      </c>
      <c r="C49" s="190"/>
      <c r="D49" s="7"/>
      <c r="E49" s="7"/>
      <c r="F49" s="194"/>
      <c r="G49" s="7"/>
      <c r="H49" s="7"/>
      <c r="I49" s="192"/>
      <c r="J49" s="192"/>
      <c r="K49" s="7"/>
      <c r="L49" s="9"/>
      <c r="M49" s="32"/>
      <c r="N49" s="29"/>
      <c r="O49" s="10"/>
      <c r="P49" s="10"/>
      <c r="Q49" s="35"/>
      <c r="R49" s="29"/>
      <c r="S49" s="10"/>
      <c r="T49" s="10"/>
      <c r="U49" s="10"/>
      <c r="V49" s="10"/>
      <c r="W49" s="10"/>
      <c r="X49" s="10"/>
      <c r="Y49" s="10"/>
      <c r="Z49" s="35"/>
      <c r="AA49" s="29"/>
      <c r="AB49" s="8"/>
      <c r="AC49" s="26"/>
      <c r="AD49" s="24">
        <f t="shared" si="0"/>
        <v>0</v>
      </c>
      <c r="AE49" s="24">
        <f t="shared" si="1"/>
        <v>0</v>
      </c>
      <c r="AF49" s="24">
        <f t="shared" si="2"/>
        <v>0</v>
      </c>
      <c r="AG49" s="41" t="str" cm="1">
        <f t="array" ref="AG49">_xlfn.IFS(
SUM(AD49:AF49)=0,"Not Started",
SUM(AD49:AF49)&lt;15,"In Progress",
SUM(AD49:AF49)=15,"Completed",
SUM(AD49:AF49)&gt;15,"Error"
)</f>
        <v>Not Started</v>
      </c>
    </row>
    <row r="50" spans="1:33" ht="18.5" x14ac:dyDescent="0.25">
      <c r="A50" s="248"/>
      <c r="B50" s="14" t="s">
        <v>2509</v>
      </c>
      <c r="C50" s="189"/>
      <c r="D50" s="7"/>
      <c r="E50" s="7"/>
      <c r="F50" s="194"/>
      <c r="G50" s="7"/>
      <c r="H50" s="7"/>
      <c r="I50" s="192"/>
      <c r="J50" s="192"/>
      <c r="K50" s="7"/>
      <c r="L50" s="9"/>
      <c r="M50" s="32"/>
      <c r="N50" s="29"/>
      <c r="O50" s="10"/>
      <c r="P50" s="10"/>
      <c r="Q50" s="35"/>
      <c r="R50" s="29"/>
      <c r="S50" s="10"/>
      <c r="T50" s="10"/>
      <c r="U50" s="10"/>
      <c r="V50" s="10"/>
      <c r="W50" s="10"/>
      <c r="X50" s="10"/>
      <c r="Y50" s="10"/>
      <c r="Z50" s="35"/>
      <c r="AA50" s="29"/>
      <c r="AB50" s="8"/>
      <c r="AC50" s="26"/>
      <c r="AD50" s="24">
        <f t="shared" si="0"/>
        <v>0</v>
      </c>
      <c r="AE50" s="24">
        <f t="shared" si="1"/>
        <v>0</v>
      </c>
      <c r="AF50" s="24">
        <f t="shared" si="2"/>
        <v>0</v>
      </c>
      <c r="AG50" s="41" t="str" cm="1">
        <f t="array" ref="AG50">_xlfn.IFS(
SUM(AD50:AF50)=0,"Not Started",
SUM(AD50:AF50)&lt;15,"In Progress",
SUM(AD50:AF50)=15,"Completed",
SUM(AD50:AF50)&gt;15,"Error"
)</f>
        <v>Not Started</v>
      </c>
    </row>
    <row r="51" spans="1:33" ht="18.5" x14ac:dyDescent="0.25">
      <c r="A51" s="248"/>
      <c r="B51" s="7" t="s">
        <v>2510</v>
      </c>
      <c r="C51" s="189"/>
      <c r="D51" s="7"/>
      <c r="E51" s="7"/>
      <c r="F51" s="194"/>
      <c r="G51" s="7"/>
      <c r="H51" s="7"/>
      <c r="I51" s="192"/>
      <c r="J51" s="192"/>
      <c r="K51" s="7"/>
      <c r="L51" s="9"/>
      <c r="M51" s="32"/>
      <c r="N51" s="29"/>
      <c r="O51" s="10"/>
      <c r="P51" s="10"/>
      <c r="Q51" s="35"/>
      <c r="R51" s="29"/>
      <c r="S51" s="10"/>
      <c r="T51" s="10"/>
      <c r="U51" s="10"/>
      <c r="V51" s="10"/>
      <c r="W51" s="10"/>
      <c r="X51" s="10"/>
      <c r="Y51" s="10"/>
      <c r="Z51" s="35"/>
      <c r="AA51" s="29"/>
      <c r="AB51" s="8"/>
      <c r="AC51" s="26"/>
      <c r="AD51" s="24">
        <f t="shared" si="0"/>
        <v>0</v>
      </c>
      <c r="AE51" s="24">
        <f t="shared" si="1"/>
        <v>0</v>
      </c>
      <c r="AF51" s="24">
        <f t="shared" si="2"/>
        <v>0</v>
      </c>
      <c r="AG51" s="41" t="str" cm="1">
        <f t="array" ref="AG51">_xlfn.IFS(
SUM(AD51:AF51)=0,"Not Started",
SUM(AD51:AF51)&lt;15,"In Progress",
SUM(AD51:AF51)=15,"Completed",
SUM(AD51:AF51)&gt;15,"Error"
)</f>
        <v>Not Started</v>
      </c>
    </row>
    <row r="52" spans="1:33" ht="18.5" x14ac:dyDescent="0.25">
      <c r="A52" s="248"/>
      <c r="B52" s="14" t="s">
        <v>2511</v>
      </c>
      <c r="C52" s="189"/>
      <c r="D52" s="7"/>
      <c r="E52" s="7"/>
      <c r="F52" s="194"/>
      <c r="G52" s="7"/>
      <c r="H52" s="7"/>
      <c r="I52" s="192"/>
      <c r="J52" s="192"/>
      <c r="K52" s="7"/>
      <c r="L52" s="9"/>
      <c r="M52" s="32"/>
      <c r="N52" s="29"/>
      <c r="O52" s="10"/>
      <c r="P52" s="10"/>
      <c r="Q52" s="35"/>
      <c r="R52" s="29"/>
      <c r="S52" s="10"/>
      <c r="T52" s="10"/>
      <c r="U52" s="10"/>
      <c r="V52" s="10"/>
      <c r="W52" s="10"/>
      <c r="X52" s="10"/>
      <c r="Y52" s="10"/>
      <c r="Z52" s="35"/>
      <c r="AA52" s="29"/>
      <c r="AB52" s="8"/>
      <c r="AC52" s="26"/>
      <c r="AD52" s="24">
        <f t="shared" si="0"/>
        <v>0</v>
      </c>
      <c r="AE52" s="24">
        <f t="shared" si="1"/>
        <v>0</v>
      </c>
      <c r="AF52" s="24">
        <f t="shared" si="2"/>
        <v>0</v>
      </c>
      <c r="AG52" s="41" t="str" cm="1">
        <f t="array" ref="AG52">_xlfn.IFS(
SUM(AD52:AF52)=0,"Not Started",
SUM(AD52:AF52)&lt;15,"In Progress",
SUM(AD52:AF52)=15,"Completed",
SUM(AD52:AF52)&gt;15,"Error"
)</f>
        <v>Not Started</v>
      </c>
    </row>
    <row r="53" spans="1:33" ht="18.5" x14ac:dyDescent="0.25">
      <c r="A53" s="248"/>
      <c r="B53" s="7" t="s">
        <v>2512</v>
      </c>
      <c r="C53" s="190"/>
      <c r="D53" s="7"/>
      <c r="E53" s="7"/>
      <c r="F53" s="194"/>
      <c r="G53" s="7"/>
      <c r="H53" s="7"/>
      <c r="I53" s="192"/>
      <c r="J53" s="192"/>
      <c r="K53" s="7"/>
      <c r="L53" s="9"/>
      <c r="M53" s="32"/>
      <c r="N53" s="29"/>
      <c r="O53" s="10"/>
      <c r="P53" s="10"/>
      <c r="Q53" s="35"/>
      <c r="R53" s="29"/>
      <c r="S53" s="10"/>
      <c r="T53" s="10"/>
      <c r="U53" s="10"/>
      <c r="V53" s="10"/>
      <c r="W53" s="10"/>
      <c r="X53" s="10"/>
      <c r="Y53" s="10"/>
      <c r="Z53" s="35"/>
      <c r="AA53" s="29"/>
      <c r="AB53" s="8"/>
      <c r="AC53" s="26"/>
      <c r="AD53" s="24">
        <f t="shared" si="0"/>
        <v>0</v>
      </c>
      <c r="AE53" s="24">
        <f t="shared" si="1"/>
        <v>0</v>
      </c>
      <c r="AF53" s="24">
        <f t="shared" si="2"/>
        <v>0</v>
      </c>
      <c r="AG53" s="41" t="str" cm="1">
        <f t="array" ref="AG53">_xlfn.IFS(
SUM(AD53:AF53)=0,"Not Started",
SUM(AD53:AF53)&lt;15,"In Progress",
SUM(AD53:AF53)=15,"Completed",
SUM(AD53:AF53)&gt;15,"Error"
)</f>
        <v>Not Started</v>
      </c>
    </row>
    <row r="54" spans="1:33" ht="18.5" x14ac:dyDescent="0.25">
      <c r="A54" s="248"/>
      <c r="B54" s="14" t="s">
        <v>2513</v>
      </c>
      <c r="C54" s="189"/>
      <c r="D54" s="7"/>
      <c r="E54" s="7"/>
      <c r="F54" s="194"/>
      <c r="G54" s="7"/>
      <c r="H54" s="7"/>
      <c r="I54" s="192"/>
      <c r="J54" s="192"/>
      <c r="K54" s="7"/>
      <c r="L54" s="9"/>
      <c r="M54" s="32"/>
      <c r="N54" s="29"/>
      <c r="O54" s="10"/>
      <c r="P54" s="10"/>
      <c r="Q54" s="35"/>
      <c r="R54" s="29"/>
      <c r="S54" s="10"/>
      <c r="T54" s="10"/>
      <c r="U54" s="10"/>
      <c r="V54" s="10"/>
      <c r="W54" s="10"/>
      <c r="X54" s="10"/>
      <c r="Y54" s="10"/>
      <c r="Z54" s="35"/>
      <c r="AA54" s="29"/>
      <c r="AB54" s="8"/>
      <c r="AC54" s="26"/>
      <c r="AD54" s="24">
        <f t="shared" si="0"/>
        <v>0</v>
      </c>
      <c r="AE54" s="24">
        <f t="shared" si="1"/>
        <v>0</v>
      </c>
      <c r="AF54" s="24">
        <f t="shared" si="2"/>
        <v>0</v>
      </c>
      <c r="AG54" s="41" t="str" cm="1">
        <f t="array" ref="AG54">_xlfn.IFS(
SUM(AD54:AF54)=0,"Not Started",
SUM(AD54:AF54)&lt;15,"In Progress",
SUM(AD54:AF54)=15,"Completed",
SUM(AD54:AF54)&gt;15,"Error"
)</f>
        <v>Not Started</v>
      </c>
    </row>
    <row r="55" spans="1:33" ht="18.5" x14ac:dyDescent="0.25">
      <c r="A55" s="248"/>
      <c r="B55" s="7" t="s">
        <v>2514</v>
      </c>
      <c r="C55" s="190"/>
      <c r="D55" s="7"/>
      <c r="E55" s="7"/>
      <c r="F55" s="194"/>
      <c r="G55" s="7"/>
      <c r="H55" s="7"/>
      <c r="I55" s="192"/>
      <c r="J55" s="192"/>
      <c r="K55" s="7"/>
      <c r="L55" s="9"/>
      <c r="M55" s="32"/>
      <c r="N55" s="29"/>
      <c r="O55" s="10"/>
      <c r="P55" s="10"/>
      <c r="Q55" s="35"/>
      <c r="R55" s="29"/>
      <c r="S55" s="10"/>
      <c r="T55" s="10"/>
      <c r="U55" s="10"/>
      <c r="V55" s="10"/>
      <c r="W55" s="10"/>
      <c r="X55" s="10"/>
      <c r="Y55" s="10"/>
      <c r="Z55" s="35"/>
      <c r="AA55" s="29"/>
      <c r="AB55" s="8"/>
      <c r="AC55" s="26"/>
      <c r="AD55" s="24">
        <f t="shared" si="0"/>
        <v>0</v>
      </c>
      <c r="AE55" s="24">
        <f t="shared" si="1"/>
        <v>0</v>
      </c>
      <c r="AF55" s="24">
        <f t="shared" si="2"/>
        <v>0</v>
      </c>
      <c r="AG55" s="41" t="str" cm="1">
        <f t="array" ref="AG55">_xlfn.IFS(
SUM(AD55:AF55)=0,"Not Started",
SUM(AD55:AF55)&lt;15,"In Progress",
SUM(AD55:AF55)=15,"Completed",
SUM(AD55:AF55)&gt;15,"Error"
)</f>
        <v>Not Started</v>
      </c>
    </row>
    <row r="56" spans="1:33" ht="18.5" x14ac:dyDescent="0.45">
      <c r="A56" s="248"/>
      <c r="B56" s="14" t="s">
        <v>2515</v>
      </c>
      <c r="C56" s="191"/>
      <c r="D56" s="7"/>
      <c r="E56" s="7"/>
      <c r="F56" s="194"/>
      <c r="G56" s="7"/>
      <c r="H56" s="7"/>
      <c r="I56" s="192"/>
      <c r="J56" s="195"/>
      <c r="K56" s="7"/>
      <c r="L56" s="9"/>
      <c r="M56" s="32"/>
      <c r="N56" s="29"/>
      <c r="O56" s="10"/>
      <c r="P56" s="10"/>
      <c r="Q56" s="35"/>
      <c r="R56" s="29"/>
      <c r="S56" s="10"/>
      <c r="T56" s="10"/>
      <c r="U56" s="10"/>
      <c r="V56" s="10"/>
      <c r="W56" s="10"/>
      <c r="X56" s="10"/>
      <c r="Y56" s="10"/>
      <c r="Z56" s="35"/>
      <c r="AA56" s="29"/>
      <c r="AB56" s="8"/>
      <c r="AC56" s="26"/>
      <c r="AD56" s="24">
        <f t="shared" si="0"/>
        <v>0</v>
      </c>
      <c r="AE56" s="24">
        <f t="shared" si="1"/>
        <v>0</v>
      </c>
      <c r="AF56" s="24">
        <f t="shared" si="2"/>
        <v>0</v>
      </c>
      <c r="AG56" s="41" t="str" cm="1">
        <f t="array" ref="AG56">_xlfn.IFS(
SUM(AD56:AF56)=0,"Not Started",
SUM(AD56:AF56)&lt;15,"In Progress",
SUM(AD56:AF56)=15,"Completed",
SUM(AD56:AF56)&gt;15,"Error"
)</f>
        <v>Not Started</v>
      </c>
    </row>
    <row r="57" spans="1:33" ht="18.5" x14ac:dyDescent="0.45">
      <c r="A57" s="248"/>
      <c r="B57" s="7" t="s">
        <v>2516</v>
      </c>
      <c r="C57" s="191"/>
      <c r="D57" s="7"/>
      <c r="E57" s="7"/>
      <c r="F57" s="194"/>
      <c r="G57" s="7"/>
      <c r="H57" s="7"/>
      <c r="I57" s="192"/>
      <c r="J57" s="192"/>
      <c r="K57" s="7"/>
      <c r="L57" s="9"/>
      <c r="M57" s="32"/>
      <c r="N57" s="29"/>
      <c r="O57" s="10"/>
      <c r="P57" s="10"/>
      <c r="Q57" s="35"/>
      <c r="R57" s="29"/>
      <c r="S57" s="10"/>
      <c r="T57" s="10"/>
      <c r="U57" s="10"/>
      <c r="V57" s="10"/>
      <c r="W57" s="10"/>
      <c r="X57" s="10"/>
      <c r="Y57" s="10"/>
      <c r="Z57" s="35"/>
      <c r="AA57" s="29"/>
      <c r="AB57" s="8"/>
      <c r="AC57" s="26"/>
      <c r="AD57" s="24">
        <f t="shared" si="0"/>
        <v>0</v>
      </c>
      <c r="AE57" s="24">
        <f t="shared" si="1"/>
        <v>0</v>
      </c>
      <c r="AF57" s="24">
        <f t="shared" si="2"/>
        <v>0</v>
      </c>
      <c r="AG57" s="41" t="str" cm="1">
        <f t="array" ref="AG57">_xlfn.IFS(
SUM(AD57:AF57)=0,"Not Started",
SUM(AD57:AF57)&lt;15,"In Progress",
SUM(AD57:AF57)=15,"Completed",
SUM(AD57:AF57)&gt;15,"Error"
)</f>
        <v>Not Started</v>
      </c>
    </row>
    <row r="58" spans="1:33" ht="18.5" x14ac:dyDescent="0.45">
      <c r="A58" s="248"/>
      <c r="B58" s="14" t="s">
        <v>2517</v>
      </c>
      <c r="C58" s="191"/>
      <c r="D58" s="7"/>
      <c r="E58" s="7"/>
      <c r="F58" s="194"/>
      <c r="G58" s="7"/>
      <c r="H58" s="7"/>
      <c r="I58" s="192"/>
      <c r="J58" s="192"/>
      <c r="K58" s="7"/>
      <c r="L58" s="9"/>
      <c r="M58" s="32"/>
      <c r="N58" s="29"/>
      <c r="O58" s="10"/>
      <c r="P58" s="10"/>
      <c r="Q58" s="35"/>
      <c r="R58" s="29"/>
      <c r="S58" s="10"/>
      <c r="T58" s="10"/>
      <c r="U58" s="10"/>
      <c r="V58" s="10"/>
      <c r="W58" s="10"/>
      <c r="X58" s="10"/>
      <c r="Y58" s="10"/>
      <c r="Z58" s="35"/>
      <c r="AA58" s="29"/>
      <c r="AB58" s="8"/>
      <c r="AC58" s="26"/>
      <c r="AD58" s="24">
        <f t="shared" si="0"/>
        <v>0</v>
      </c>
      <c r="AE58" s="24">
        <f t="shared" si="1"/>
        <v>0</v>
      </c>
      <c r="AF58" s="24">
        <f t="shared" si="2"/>
        <v>0</v>
      </c>
      <c r="AG58" s="41" t="str" cm="1">
        <f t="array" ref="AG58">_xlfn.IFS(
SUM(AD58:AF58)=0,"Not Started",
SUM(AD58:AF58)&lt;15,"In Progress",
SUM(AD58:AF58)=15,"Completed",
SUM(AD58:AF58)&gt;15,"Error"
)</f>
        <v>Not Started</v>
      </c>
    </row>
    <row r="59" spans="1:33" ht="18.5" x14ac:dyDescent="0.45">
      <c r="A59" s="248"/>
      <c r="B59" s="7" t="s">
        <v>2518</v>
      </c>
      <c r="C59" s="191"/>
      <c r="D59" s="7"/>
      <c r="E59" s="7"/>
      <c r="F59" s="194"/>
      <c r="G59" s="7"/>
      <c r="H59" s="7"/>
      <c r="I59" s="192"/>
      <c r="J59" s="192"/>
      <c r="K59" s="7"/>
      <c r="L59" s="9"/>
      <c r="M59" s="32"/>
      <c r="N59" s="29"/>
      <c r="O59" s="10"/>
      <c r="P59" s="10"/>
      <c r="Q59" s="35"/>
      <c r="R59" s="29"/>
      <c r="S59" s="10"/>
      <c r="T59" s="10"/>
      <c r="U59" s="10"/>
      <c r="V59" s="10"/>
      <c r="W59" s="10"/>
      <c r="X59" s="10"/>
      <c r="Y59" s="10"/>
      <c r="Z59" s="35"/>
      <c r="AA59" s="29"/>
      <c r="AB59" s="8"/>
      <c r="AC59" s="26"/>
      <c r="AD59" s="24">
        <f t="shared" si="0"/>
        <v>0</v>
      </c>
      <c r="AE59" s="24">
        <f t="shared" si="1"/>
        <v>0</v>
      </c>
      <c r="AF59" s="24">
        <f t="shared" si="2"/>
        <v>0</v>
      </c>
      <c r="AG59" s="41" t="str" cm="1">
        <f t="array" ref="AG59">_xlfn.IFS(
SUM(AD59:AF59)=0,"Not Started",
SUM(AD59:AF59)&lt;15,"In Progress",
SUM(AD59:AF59)=15,"Completed",
SUM(AD59:AF59)&gt;15,"Error"
)</f>
        <v>Not Started</v>
      </c>
    </row>
    <row r="60" spans="1:33" ht="18.5" x14ac:dyDescent="0.45">
      <c r="A60" s="248"/>
      <c r="B60" s="14" t="s">
        <v>2519</v>
      </c>
      <c r="C60" s="191"/>
      <c r="D60" s="7"/>
      <c r="E60" s="7"/>
      <c r="F60" s="194"/>
      <c r="G60" s="7"/>
      <c r="H60" s="7"/>
      <c r="I60" s="192"/>
      <c r="J60" s="192"/>
      <c r="K60" s="7"/>
      <c r="L60" s="9"/>
      <c r="M60" s="32"/>
      <c r="N60" s="29"/>
      <c r="O60" s="10"/>
      <c r="P60" s="10"/>
      <c r="Q60" s="35"/>
      <c r="R60" s="29"/>
      <c r="S60" s="10"/>
      <c r="T60" s="10"/>
      <c r="U60" s="10"/>
      <c r="V60" s="10"/>
      <c r="W60" s="10"/>
      <c r="X60" s="10"/>
      <c r="Y60" s="10"/>
      <c r="Z60" s="35"/>
      <c r="AA60" s="29"/>
      <c r="AB60" s="8"/>
      <c r="AC60" s="26"/>
      <c r="AD60" s="24">
        <f t="shared" si="0"/>
        <v>0</v>
      </c>
      <c r="AE60" s="24">
        <f t="shared" si="1"/>
        <v>0</v>
      </c>
      <c r="AF60" s="24">
        <f t="shared" si="2"/>
        <v>0</v>
      </c>
      <c r="AG60" s="41" t="str" cm="1">
        <f t="array" ref="AG60">_xlfn.IFS(
SUM(AD60:AF60)=0,"Not Started",
SUM(AD60:AF60)&lt;15,"In Progress",
SUM(AD60:AF60)=15,"Completed",
SUM(AD60:AF60)&gt;15,"Error"
)</f>
        <v>Not Started</v>
      </c>
    </row>
    <row r="61" spans="1:33" ht="18.5" x14ac:dyDescent="0.45">
      <c r="A61" s="248"/>
      <c r="B61" s="7" t="s">
        <v>2520</v>
      </c>
      <c r="C61" s="191"/>
      <c r="D61" s="7"/>
      <c r="E61" s="7"/>
      <c r="F61" s="194"/>
      <c r="G61" s="7"/>
      <c r="H61" s="7"/>
      <c r="I61" s="192"/>
      <c r="J61" s="192"/>
      <c r="K61" s="7"/>
      <c r="L61" s="9"/>
      <c r="M61" s="32"/>
      <c r="N61" s="29"/>
      <c r="O61" s="10"/>
      <c r="P61" s="10"/>
      <c r="Q61" s="35"/>
      <c r="R61" s="29"/>
      <c r="S61" s="10"/>
      <c r="T61" s="10"/>
      <c r="U61" s="10"/>
      <c r="V61" s="10"/>
      <c r="W61" s="10"/>
      <c r="X61" s="10"/>
      <c r="Y61" s="10"/>
      <c r="Z61" s="35"/>
      <c r="AA61" s="29"/>
      <c r="AB61" s="8"/>
      <c r="AC61" s="26"/>
      <c r="AD61" s="24">
        <f t="shared" si="0"/>
        <v>0</v>
      </c>
      <c r="AE61" s="24">
        <f t="shared" si="1"/>
        <v>0</v>
      </c>
      <c r="AF61" s="24">
        <f t="shared" si="2"/>
        <v>0</v>
      </c>
      <c r="AG61" s="41" t="str" cm="1">
        <f t="array" ref="AG61">_xlfn.IFS(
SUM(AD61:AF61)=0,"Not Started",
SUM(AD61:AF61)&lt;15,"In Progress",
SUM(AD61:AF61)=15,"Completed",
SUM(AD61:AF61)&gt;15,"Error"
)</f>
        <v>Not Started</v>
      </c>
    </row>
    <row r="62" spans="1:33" ht="18.5" x14ac:dyDescent="0.45">
      <c r="A62" s="248"/>
      <c r="B62" s="14" t="s">
        <v>2521</v>
      </c>
      <c r="C62" s="191"/>
      <c r="D62" s="7"/>
      <c r="E62" s="7"/>
      <c r="F62" s="194"/>
      <c r="G62" s="7"/>
      <c r="H62" s="7"/>
      <c r="I62" s="192"/>
      <c r="J62" s="192"/>
      <c r="K62" s="7"/>
      <c r="L62" s="9"/>
      <c r="M62" s="32"/>
      <c r="N62" s="29"/>
      <c r="O62" s="10"/>
      <c r="P62" s="10"/>
      <c r="Q62" s="35"/>
      <c r="R62" s="29"/>
      <c r="S62" s="10"/>
      <c r="T62" s="10"/>
      <c r="U62" s="10"/>
      <c r="V62" s="10"/>
      <c r="W62" s="10"/>
      <c r="X62" s="10"/>
      <c r="Y62" s="10"/>
      <c r="Z62" s="35"/>
      <c r="AA62" s="29"/>
      <c r="AB62" s="8"/>
      <c r="AC62" s="26"/>
      <c r="AD62" s="24">
        <f t="shared" si="0"/>
        <v>0</v>
      </c>
      <c r="AE62" s="24">
        <f t="shared" si="1"/>
        <v>0</v>
      </c>
      <c r="AF62" s="24">
        <f t="shared" si="2"/>
        <v>0</v>
      </c>
      <c r="AG62" s="41" t="str" cm="1">
        <f t="array" ref="AG62">_xlfn.IFS(
SUM(AD62:AF62)=0,"Not Started",
SUM(AD62:AF62)&lt;15,"In Progress",
SUM(AD62:AF62)=15,"Completed",
SUM(AD62:AF62)&gt;15,"Error"
)</f>
        <v>Not Started</v>
      </c>
    </row>
    <row r="63" spans="1:33" ht="18.5" x14ac:dyDescent="0.45">
      <c r="A63" s="248"/>
      <c r="B63" s="7" t="s">
        <v>2522</v>
      </c>
      <c r="C63" s="191"/>
      <c r="D63" s="7"/>
      <c r="E63" s="7"/>
      <c r="F63" s="194"/>
      <c r="G63" s="7"/>
      <c r="H63" s="7"/>
      <c r="I63" s="192"/>
      <c r="J63" s="192"/>
      <c r="K63" s="7"/>
      <c r="L63" s="9"/>
      <c r="M63" s="32"/>
      <c r="N63" s="29"/>
      <c r="O63" s="10"/>
      <c r="P63" s="10"/>
      <c r="Q63" s="35"/>
      <c r="R63" s="29"/>
      <c r="S63" s="10"/>
      <c r="T63" s="10"/>
      <c r="U63" s="10"/>
      <c r="V63" s="10"/>
      <c r="W63" s="10"/>
      <c r="X63" s="10"/>
      <c r="Y63" s="10"/>
      <c r="Z63" s="35"/>
      <c r="AA63" s="29"/>
      <c r="AB63" s="8"/>
      <c r="AC63" s="26"/>
      <c r="AD63" s="24">
        <f t="shared" si="0"/>
        <v>0</v>
      </c>
      <c r="AE63" s="24">
        <f t="shared" si="1"/>
        <v>0</v>
      </c>
      <c r="AF63" s="24">
        <f t="shared" si="2"/>
        <v>0</v>
      </c>
      <c r="AG63" s="41" t="str" cm="1">
        <f t="array" ref="AG63">_xlfn.IFS(
SUM(AD63:AF63)=0,"Not Started",
SUM(AD63:AF63)&lt;15,"In Progress",
SUM(AD63:AF63)=15,"Completed",
SUM(AD63:AF63)&gt;15,"Error"
)</f>
        <v>Not Started</v>
      </c>
    </row>
    <row r="64" spans="1:33" ht="18.5" x14ac:dyDescent="0.45">
      <c r="A64" s="248"/>
      <c r="B64" s="14" t="s">
        <v>2523</v>
      </c>
      <c r="C64" s="191"/>
      <c r="D64" s="7"/>
      <c r="E64" s="7"/>
      <c r="F64" s="194"/>
      <c r="G64" s="7"/>
      <c r="H64" s="7"/>
      <c r="I64" s="192"/>
      <c r="J64" s="192"/>
      <c r="K64" s="7"/>
      <c r="L64" s="9"/>
      <c r="M64" s="32"/>
      <c r="N64" s="29"/>
      <c r="O64" s="10"/>
      <c r="P64" s="10"/>
      <c r="Q64" s="35"/>
      <c r="R64" s="29"/>
      <c r="S64" s="10"/>
      <c r="T64" s="10"/>
      <c r="U64" s="10"/>
      <c r="V64" s="10"/>
      <c r="W64" s="10"/>
      <c r="X64" s="10"/>
      <c r="Y64" s="10"/>
      <c r="Z64" s="35"/>
      <c r="AA64" s="29"/>
      <c r="AB64" s="8"/>
      <c r="AC64" s="26"/>
      <c r="AD64" s="24">
        <f t="shared" si="0"/>
        <v>0</v>
      </c>
      <c r="AE64" s="24">
        <f t="shared" si="1"/>
        <v>0</v>
      </c>
      <c r="AF64" s="24">
        <f t="shared" si="2"/>
        <v>0</v>
      </c>
      <c r="AG64" s="41" t="str" cm="1">
        <f t="array" ref="AG64">_xlfn.IFS(
SUM(AD64:AF64)=0,"Not Started",
SUM(AD64:AF64)&lt;15,"In Progress",
SUM(AD64:AF64)=15,"Completed",
SUM(AD64:AF64)&gt;15,"Error"
)</f>
        <v>Not Started</v>
      </c>
    </row>
    <row r="65" spans="1:33" ht="18.5" x14ac:dyDescent="0.45">
      <c r="A65" s="248"/>
      <c r="B65" s="7" t="s">
        <v>2524</v>
      </c>
      <c r="C65" s="191"/>
      <c r="D65" s="7"/>
      <c r="E65" s="7"/>
      <c r="F65" s="194"/>
      <c r="G65" s="7"/>
      <c r="H65" s="7"/>
      <c r="I65" s="192"/>
      <c r="J65" s="192"/>
      <c r="K65" s="7"/>
      <c r="L65" s="9"/>
      <c r="M65" s="32"/>
      <c r="N65" s="29"/>
      <c r="O65" s="10"/>
      <c r="P65" s="10"/>
      <c r="Q65" s="35"/>
      <c r="R65" s="29"/>
      <c r="S65" s="10"/>
      <c r="T65" s="10"/>
      <c r="U65" s="10"/>
      <c r="V65" s="10"/>
      <c r="W65" s="10"/>
      <c r="X65" s="10"/>
      <c r="Y65" s="10"/>
      <c r="Z65" s="35"/>
      <c r="AA65" s="29"/>
      <c r="AB65" s="8"/>
      <c r="AC65" s="26"/>
      <c r="AD65" s="24">
        <f t="shared" si="0"/>
        <v>0</v>
      </c>
      <c r="AE65" s="24">
        <f t="shared" si="1"/>
        <v>0</v>
      </c>
      <c r="AF65" s="24">
        <f t="shared" si="2"/>
        <v>0</v>
      </c>
      <c r="AG65" s="41" t="str" cm="1">
        <f t="array" ref="AG65">_xlfn.IFS(
SUM(AD65:AF65)=0,"Not Started",
SUM(AD65:AF65)&lt;15,"In Progress",
SUM(AD65:AF65)=15,"Completed",
SUM(AD65:AF65)&gt;15,"Error"
)</f>
        <v>Not Started</v>
      </c>
    </row>
    <row r="66" spans="1:33" ht="18.5" x14ac:dyDescent="0.45">
      <c r="A66" s="248"/>
      <c r="B66" s="14" t="s">
        <v>2525</v>
      </c>
      <c r="C66" s="191"/>
      <c r="D66" s="7"/>
      <c r="E66" s="7"/>
      <c r="F66" s="194"/>
      <c r="G66" s="7"/>
      <c r="H66" s="7"/>
      <c r="I66" s="192"/>
      <c r="J66" s="192"/>
      <c r="K66" s="7"/>
      <c r="L66" s="9"/>
      <c r="M66" s="32"/>
      <c r="N66" s="29"/>
      <c r="O66" s="10"/>
      <c r="P66" s="10"/>
      <c r="Q66" s="35"/>
      <c r="R66" s="29"/>
      <c r="S66" s="10"/>
      <c r="T66" s="10"/>
      <c r="U66" s="10"/>
      <c r="V66" s="10"/>
      <c r="W66" s="10"/>
      <c r="X66" s="10"/>
      <c r="Y66" s="10"/>
      <c r="Z66" s="35"/>
      <c r="AA66" s="29"/>
      <c r="AB66" s="8"/>
      <c r="AC66" s="26"/>
      <c r="AD66" s="24">
        <f t="shared" si="0"/>
        <v>0</v>
      </c>
      <c r="AE66" s="24">
        <f t="shared" si="1"/>
        <v>0</v>
      </c>
      <c r="AF66" s="24">
        <f t="shared" si="2"/>
        <v>0</v>
      </c>
      <c r="AG66" s="41" t="str" cm="1">
        <f t="array" ref="AG66">_xlfn.IFS(
SUM(AD66:AF66)=0,"Not Started",
SUM(AD66:AF66)&lt;15,"In Progress",
SUM(AD66:AF66)=15,"Completed",
SUM(AD66:AF66)&gt;15,"Error"
)</f>
        <v>Not Started</v>
      </c>
    </row>
    <row r="67" spans="1:33" ht="18.5" x14ac:dyDescent="0.45">
      <c r="A67" s="248"/>
      <c r="B67" s="7" t="s">
        <v>2526</v>
      </c>
      <c r="C67" s="191"/>
      <c r="D67" s="11"/>
      <c r="E67" s="11"/>
      <c r="F67" s="194"/>
      <c r="G67" s="11"/>
      <c r="H67" s="7"/>
      <c r="I67" s="192"/>
      <c r="J67" s="192"/>
      <c r="K67" s="7"/>
      <c r="L67" s="9"/>
      <c r="M67" s="32"/>
      <c r="N67" s="29"/>
      <c r="O67" s="10"/>
      <c r="P67" s="10"/>
      <c r="Q67" s="35"/>
      <c r="R67" s="29"/>
      <c r="S67" s="10"/>
      <c r="T67" s="10"/>
      <c r="U67" s="10"/>
      <c r="V67" s="10"/>
      <c r="W67" s="10"/>
      <c r="X67" s="10"/>
      <c r="Y67" s="10"/>
      <c r="Z67" s="35"/>
      <c r="AA67" s="29"/>
      <c r="AB67" s="8"/>
      <c r="AC67" s="26"/>
      <c r="AD67" s="24">
        <f t="shared" si="0"/>
        <v>0</v>
      </c>
      <c r="AE67" s="24">
        <f t="shared" si="1"/>
        <v>0</v>
      </c>
      <c r="AF67" s="24">
        <f t="shared" si="2"/>
        <v>0</v>
      </c>
      <c r="AG67" s="41" t="str" cm="1">
        <f t="array" ref="AG67">_xlfn.IFS(
SUM(AD67:AF67)=0,"Not Started",
SUM(AD67:AF67)&lt;15,"In Progress",
SUM(AD67:AF67)=15,"Completed",
SUM(AD67:AF67)&gt;15,"Error"
)</f>
        <v>Not Started</v>
      </c>
    </row>
    <row r="68" spans="1:33" ht="18.5" x14ac:dyDescent="0.45">
      <c r="A68" s="248"/>
      <c r="B68" s="14" t="s">
        <v>2527</v>
      </c>
      <c r="C68" s="191"/>
      <c r="D68" s="7"/>
      <c r="E68" s="7"/>
      <c r="F68" s="194"/>
      <c r="G68" s="7"/>
      <c r="H68" s="7"/>
      <c r="I68" s="192"/>
      <c r="J68" s="192"/>
      <c r="K68" s="7"/>
      <c r="L68" s="9"/>
      <c r="M68" s="32"/>
      <c r="N68" s="29"/>
      <c r="O68" s="10"/>
      <c r="P68" s="10"/>
      <c r="Q68" s="35"/>
      <c r="R68" s="29"/>
      <c r="S68" s="10"/>
      <c r="T68" s="10"/>
      <c r="U68" s="10"/>
      <c r="V68" s="10"/>
      <c r="W68" s="10"/>
      <c r="X68" s="10"/>
      <c r="Y68" s="10"/>
      <c r="Z68" s="35"/>
      <c r="AA68" s="29"/>
      <c r="AB68" s="8"/>
      <c r="AC68" s="26"/>
      <c r="AD68" s="24">
        <f t="shared" si="0"/>
        <v>0</v>
      </c>
      <c r="AE68" s="24">
        <f t="shared" si="1"/>
        <v>0</v>
      </c>
      <c r="AF68" s="24">
        <f t="shared" si="2"/>
        <v>0</v>
      </c>
      <c r="AG68" s="41" t="str" cm="1">
        <f t="array" ref="AG68">_xlfn.IFS(
SUM(AD68:AF68)=0,"Not Started",
SUM(AD68:AF68)&lt;15,"In Progress",
SUM(AD68:AF68)=15,"Completed",
SUM(AD68:AF68)&gt;15,"Error"
)</f>
        <v>Not Started</v>
      </c>
    </row>
    <row r="69" spans="1:33" ht="18.5" x14ac:dyDescent="0.45">
      <c r="A69" s="248"/>
      <c r="B69" s="7" t="s">
        <v>2528</v>
      </c>
      <c r="C69" s="191"/>
      <c r="D69" s="7"/>
      <c r="E69" s="7"/>
      <c r="F69" s="194"/>
      <c r="G69" s="7"/>
      <c r="H69" s="7"/>
      <c r="I69" s="193"/>
      <c r="J69" s="192"/>
      <c r="K69" s="7"/>
      <c r="L69" s="9"/>
      <c r="M69" s="32"/>
      <c r="N69" s="29"/>
      <c r="O69" s="10"/>
      <c r="P69" s="10"/>
      <c r="Q69" s="35"/>
      <c r="R69" s="29"/>
      <c r="S69" s="10"/>
      <c r="T69" s="10"/>
      <c r="U69" s="10"/>
      <c r="V69" s="10"/>
      <c r="W69" s="10"/>
      <c r="X69" s="10"/>
      <c r="Y69" s="10"/>
      <c r="Z69" s="35"/>
      <c r="AA69" s="29"/>
      <c r="AB69" s="8"/>
      <c r="AC69" s="26"/>
      <c r="AD69" s="24">
        <f t="shared" ref="AD69:AD132" si="3">COUNTIF(N69:AB69,$AD$2)</f>
        <v>0</v>
      </c>
      <c r="AE69" s="24">
        <f t="shared" ref="AE69:AE132" si="4">COUNTIF(N69:AB69,$AE$2)</f>
        <v>0</v>
      </c>
      <c r="AF69" s="24">
        <f t="shared" ref="AF69:AF132" si="5">COUNTIF(N69:AB69,$AF$2)</f>
        <v>0</v>
      </c>
      <c r="AG69" s="41" t="str" cm="1">
        <f t="array" ref="AG69">_xlfn.IFS(
SUM(AD69:AF69)=0,"Not Started",
SUM(AD69:AF69)&lt;15,"In Progress",
SUM(AD69:AF69)=15,"Completed",
SUM(AD69:AF69)&gt;15,"Error"
)</f>
        <v>Not Started</v>
      </c>
    </row>
    <row r="70" spans="1:33" ht="13" x14ac:dyDescent="0.25">
      <c r="A70" s="248"/>
      <c r="B70" s="14" t="s">
        <v>2529</v>
      </c>
      <c r="C70" s="7"/>
      <c r="D70" s="7"/>
      <c r="E70" s="7"/>
      <c r="F70" s="7"/>
      <c r="G70" s="7"/>
      <c r="H70" s="7"/>
      <c r="I70" s="7"/>
      <c r="J70" s="7"/>
      <c r="K70" s="7"/>
      <c r="L70" s="9"/>
      <c r="M70" s="32"/>
      <c r="N70" s="29"/>
      <c r="O70" s="10"/>
      <c r="P70" s="10"/>
      <c r="Q70" s="35"/>
      <c r="R70" s="29"/>
      <c r="S70" s="10"/>
      <c r="T70" s="10"/>
      <c r="U70" s="10"/>
      <c r="V70" s="10"/>
      <c r="W70" s="10"/>
      <c r="X70" s="10"/>
      <c r="Y70" s="10"/>
      <c r="Z70" s="35"/>
      <c r="AA70" s="29"/>
      <c r="AB70" s="8"/>
      <c r="AC70" s="26"/>
      <c r="AD70" s="24">
        <f t="shared" si="3"/>
        <v>0</v>
      </c>
      <c r="AE70" s="24">
        <f t="shared" si="4"/>
        <v>0</v>
      </c>
      <c r="AF70" s="24">
        <f t="shared" si="5"/>
        <v>0</v>
      </c>
      <c r="AG70" s="41" t="str" cm="1">
        <f t="array" ref="AG70">_xlfn.IFS(
SUM(AD70:AF70)=0,"Not Started",
SUM(AD70:AF70)&lt;15,"In Progress",
SUM(AD70:AF70)=15,"Completed",
SUM(AD70:AF70)&gt;15,"Error"
)</f>
        <v>Not Started</v>
      </c>
    </row>
    <row r="71" spans="1:33" ht="13" x14ac:dyDescent="0.25">
      <c r="A71" s="248"/>
      <c r="B71" s="7" t="s">
        <v>2530</v>
      </c>
      <c r="C71" s="7"/>
      <c r="D71" s="7"/>
      <c r="E71" s="7"/>
      <c r="F71" s="7"/>
      <c r="G71" s="7"/>
      <c r="H71" s="7"/>
      <c r="I71" s="7"/>
      <c r="J71" s="7"/>
      <c r="K71" s="7"/>
      <c r="L71" s="9"/>
      <c r="M71" s="32"/>
      <c r="N71" s="29"/>
      <c r="O71" s="10"/>
      <c r="P71" s="10"/>
      <c r="Q71" s="35"/>
      <c r="R71" s="29"/>
      <c r="S71" s="10"/>
      <c r="T71" s="10"/>
      <c r="U71" s="10"/>
      <c r="V71" s="10"/>
      <c r="W71" s="10"/>
      <c r="X71" s="10"/>
      <c r="Y71" s="10"/>
      <c r="Z71" s="35"/>
      <c r="AA71" s="29"/>
      <c r="AB71" s="8"/>
      <c r="AC71" s="26"/>
      <c r="AD71" s="24">
        <f t="shared" si="3"/>
        <v>0</v>
      </c>
      <c r="AE71" s="24">
        <f t="shared" si="4"/>
        <v>0</v>
      </c>
      <c r="AF71" s="24">
        <f t="shared" si="5"/>
        <v>0</v>
      </c>
      <c r="AG71" s="41" t="str" cm="1">
        <f t="array" ref="AG71">_xlfn.IFS(
SUM(AD71:AF71)=0,"Not Started",
SUM(AD71:AF71)&lt;15,"In Progress",
SUM(AD71:AF71)=15,"Completed",
SUM(AD71:AF71)&gt;15,"Error"
)</f>
        <v>Not Started</v>
      </c>
    </row>
    <row r="72" spans="1:33" ht="13" x14ac:dyDescent="0.25">
      <c r="A72" s="248"/>
      <c r="B72" s="14" t="s">
        <v>2531</v>
      </c>
      <c r="C72" s="7"/>
      <c r="D72" s="7"/>
      <c r="E72" s="7"/>
      <c r="F72" s="7"/>
      <c r="G72" s="7"/>
      <c r="H72" s="7"/>
      <c r="I72" s="7"/>
      <c r="J72" s="7"/>
      <c r="K72" s="7"/>
      <c r="L72" s="9"/>
      <c r="M72" s="32"/>
      <c r="N72" s="29"/>
      <c r="O72" s="10"/>
      <c r="P72" s="10"/>
      <c r="Q72" s="35"/>
      <c r="R72" s="29"/>
      <c r="S72" s="10"/>
      <c r="T72" s="10"/>
      <c r="U72" s="10"/>
      <c r="V72" s="10"/>
      <c r="W72" s="10"/>
      <c r="X72" s="10"/>
      <c r="Y72" s="10"/>
      <c r="Z72" s="35"/>
      <c r="AA72" s="29"/>
      <c r="AB72" s="8"/>
      <c r="AC72" s="26"/>
      <c r="AD72" s="24">
        <f t="shared" si="3"/>
        <v>0</v>
      </c>
      <c r="AE72" s="24">
        <f t="shared" si="4"/>
        <v>0</v>
      </c>
      <c r="AF72" s="24">
        <f t="shared" si="5"/>
        <v>0</v>
      </c>
      <c r="AG72" s="41" t="str" cm="1">
        <f t="array" ref="AG72">_xlfn.IFS(
SUM(AD72:AF72)=0,"Not Started",
SUM(AD72:AF72)&lt;15,"In Progress",
SUM(AD72:AF72)=15,"Completed",
SUM(AD72:AF72)&gt;15,"Error"
)</f>
        <v>Not Started</v>
      </c>
    </row>
    <row r="73" spans="1:33" ht="13" x14ac:dyDescent="0.25">
      <c r="A73" s="248"/>
      <c r="B73" s="7" t="s">
        <v>2532</v>
      </c>
      <c r="C73" s="7"/>
      <c r="D73" s="7"/>
      <c r="E73" s="7"/>
      <c r="F73" s="7"/>
      <c r="G73" s="7"/>
      <c r="H73" s="7"/>
      <c r="I73" s="7"/>
      <c r="J73" s="7"/>
      <c r="K73" s="7"/>
      <c r="L73" s="9"/>
      <c r="M73" s="32"/>
      <c r="N73" s="29"/>
      <c r="O73" s="10"/>
      <c r="P73" s="10"/>
      <c r="Q73" s="35"/>
      <c r="R73" s="29"/>
      <c r="S73" s="10"/>
      <c r="T73" s="10"/>
      <c r="U73" s="10"/>
      <c r="V73" s="10"/>
      <c r="W73" s="10"/>
      <c r="X73" s="10"/>
      <c r="Y73" s="10"/>
      <c r="Z73" s="35"/>
      <c r="AA73" s="29"/>
      <c r="AB73" s="8"/>
      <c r="AC73" s="26"/>
      <c r="AD73" s="24">
        <f t="shared" si="3"/>
        <v>0</v>
      </c>
      <c r="AE73" s="24">
        <f t="shared" si="4"/>
        <v>0</v>
      </c>
      <c r="AF73" s="24">
        <f t="shared" si="5"/>
        <v>0</v>
      </c>
      <c r="AG73" s="41" t="str" cm="1">
        <f t="array" ref="AG73">_xlfn.IFS(
SUM(AD73:AF73)=0,"Not Started",
SUM(AD73:AF73)&lt;15,"In Progress",
SUM(AD73:AF73)=15,"Completed",
SUM(AD73:AF73)&gt;15,"Error"
)</f>
        <v>Not Started</v>
      </c>
    </row>
    <row r="74" spans="1:33" ht="13" x14ac:dyDescent="0.25">
      <c r="A74" s="248"/>
      <c r="B74" s="14" t="s">
        <v>2533</v>
      </c>
      <c r="C74" s="7"/>
      <c r="D74" s="7"/>
      <c r="E74" s="7"/>
      <c r="F74" s="7"/>
      <c r="G74" s="7"/>
      <c r="H74" s="7"/>
      <c r="I74" s="7"/>
      <c r="J74" s="7"/>
      <c r="K74" s="7"/>
      <c r="L74" s="9"/>
      <c r="M74" s="32"/>
      <c r="N74" s="29"/>
      <c r="O74" s="10"/>
      <c r="P74" s="10"/>
      <c r="Q74" s="35"/>
      <c r="R74" s="29"/>
      <c r="S74" s="10"/>
      <c r="T74" s="10"/>
      <c r="U74" s="10"/>
      <c r="V74" s="10"/>
      <c r="W74" s="10"/>
      <c r="X74" s="10"/>
      <c r="Y74" s="10"/>
      <c r="Z74" s="35"/>
      <c r="AA74" s="29"/>
      <c r="AB74" s="8"/>
      <c r="AC74" s="26"/>
      <c r="AD74" s="24">
        <f t="shared" si="3"/>
        <v>0</v>
      </c>
      <c r="AE74" s="24">
        <f t="shared" si="4"/>
        <v>0</v>
      </c>
      <c r="AF74" s="24">
        <f t="shared" si="5"/>
        <v>0</v>
      </c>
      <c r="AG74" s="41" t="str" cm="1">
        <f t="array" ref="AG74">_xlfn.IFS(
SUM(AD74:AF74)=0,"Not Started",
SUM(AD74:AF74)&lt;15,"In Progress",
SUM(AD74:AF74)=15,"Completed",
SUM(AD74:AF74)&gt;15,"Error"
)</f>
        <v>Not Started</v>
      </c>
    </row>
    <row r="75" spans="1:33" ht="13" x14ac:dyDescent="0.25">
      <c r="A75" s="248"/>
      <c r="B75" s="7" t="s">
        <v>2534</v>
      </c>
      <c r="C75" s="7"/>
      <c r="D75" s="7"/>
      <c r="E75" s="7"/>
      <c r="F75" s="7"/>
      <c r="G75" s="7"/>
      <c r="H75" s="7"/>
      <c r="I75" s="7"/>
      <c r="J75" s="7"/>
      <c r="K75" s="7"/>
      <c r="L75" s="9"/>
      <c r="M75" s="32"/>
      <c r="N75" s="29"/>
      <c r="O75" s="10"/>
      <c r="P75" s="10"/>
      <c r="Q75" s="35"/>
      <c r="R75" s="29"/>
      <c r="S75" s="10"/>
      <c r="T75" s="10"/>
      <c r="U75" s="10"/>
      <c r="V75" s="10"/>
      <c r="W75" s="10"/>
      <c r="X75" s="10"/>
      <c r="Y75" s="10"/>
      <c r="Z75" s="35"/>
      <c r="AA75" s="29"/>
      <c r="AB75" s="8"/>
      <c r="AC75" s="26"/>
      <c r="AD75" s="24">
        <f t="shared" si="3"/>
        <v>0</v>
      </c>
      <c r="AE75" s="24">
        <f t="shared" si="4"/>
        <v>0</v>
      </c>
      <c r="AF75" s="24">
        <f t="shared" si="5"/>
        <v>0</v>
      </c>
      <c r="AG75" s="41" t="str" cm="1">
        <f t="array" ref="AG75">_xlfn.IFS(
SUM(AD75:AF75)=0,"Not Started",
SUM(AD75:AF75)&lt;15,"In Progress",
SUM(AD75:AF75)=15,"Completed",
SUM(AD75:AF75)&gt;15,"Error"
)</f>
        <v>Not Started</v>
      </c>
    </row>
    <row r="76" spans="1:33" ht="13" x14ac:dyDescent="0.25">
      <c r="A76" s="248"/>
      <c r="B76" s="14" t="s">
        <v>2535</v>
      </c>
      <c r="C76" s="7"/>
      <c r="D76" s="7"/>
      <c r="E76" s="7"/>
      <c r="F76" s="7"/>
      <c r="G76" s="7"/>
      <c r="H76" s="7"/>
      <c r="I76" s="7"/>
      <c r="J76" s="7"/>
      <c r="K76" s="7"/>
      <c r="L76" s="9"/>
      <c r="M76" s="32"/>
      <c r="N76" s="29"/>
      <c r="O76" s="10"/>
      <c r="P76" s="10"/>
      <c r="Q76" s="35"/>
      <c r="R76" s="29"/>
      <c r="S76" s="10"/>
      <c r="T76" s="10"/>
      <c r="U76" s="10"/>
      <c r="V76" s="10"/>
      <c r="W76" s="10"/>
      <c r="X76" s="10"/>
      <c r="Y76" s="10"/>
      <c r="Z76" s="35"/>
      <c r="AA76" s="29"/>
      <c r="AB76" s="8"/>
      <c r="AC76" s="26"/>
      <c r="AD76" s="24">
        <f t="shared" si="3"/>
        <v>0</v>
      </c>
      <c r="AE76" s="24">
        <f t="shared" si="4"/>
        <v>0</v>
      </c>
      <c r="AF76" s="24">
        <f t="shared" si="5"/>
        <v>0</v>
      </c>
      <c r="AG76" s="41" t="str" cm="1">
        <f t="array" ref="AG76">_xlfn.IFS(
SUM(AD76:AF76)=0,"Not Started",
SUM(AD76:AF76)&lt;15,"In Progress",
SUM(AD76:AF76)=15,"Completed",
SUM(AD76:AF76)&gt;15,"Error"
)</f>
        <v>Not Started</v>
      </c>
    </row>
    <row r="77" spans="1:33" ht="13" x14ac:dyDescent="0.25">
      <c r="A77" s="248"/>
      <c r="B77" s="7" t="s">
        <v>2536</v>
      </c>
      <c r="C77" s="7"/>
      <c r="D77" s="7"/>
      <c r="E77" s="7"/>
      <c r="F77" s="7"/>
      <c r="G77" s="7"/>
      <c r="H77" s="7"/>
      <c r="I77" s="7"/>
      <c r="J77" s="7"/>
      <c r="K77" s="7"/>
      <c r="L77" s="9"/>
      <c r="M77" s="32"/>
      <c r="N77" s="29"/>
      <c r="O77" s="10"/>
      <c r="P77" s="10"/>
      <c r="Q77" s="35"/>
      <c r="R77" s="29"/>
      <c r="S77" s="10"/>
      <c r="T77" s="10"/>
      <c r="U77" s="10"/>
      <c r="V77" s="10"/>
      <c r="W77" s="10"/>
      <c r="X77" s="10"/>
      <c r="Y77" s="10"/>
      <c r="Z77" s="35"/>
      <c r="AA77" s="29"/>
      <c r="AB77" s="8"/>
      <c r="AC77" s="26"/>
      <c r="AD77" s="24">
        <f t="shared" si="3"/>
        <v>0</v>
      </c>
      <c r="AE77" s="24">
        <f t="shared" si="4"/>
        <v>0</v>
      </c>
      <c r="AF77" s="24">
        <f t="shared" si="5"/>
        <v>0</v>
      </c>
      <c r="AG77" s="41" t="str" cm="1">
        <f t="array" ref="AG77">_xlfn.IFS(
SUM(AD77:AF77)=0,"Not Started",
SUM(AD77:AF77)&lt;15,"In Progress",
SUM(AD77:AF77)=15,"Completed",
SUM(AD77:AF77)&gt;15,"Error"
)</f>
        <v>Not Started</v>
      </c>
    </row>
    <row r="78" spans="1:33" ht="13" x14ac:dyDescent="0.25">
      <c r="A78" s="248"/>
      <c r="B78" s="14" t="s">
        <v>2537</v>
      </c>
      <c r="C78" s="7"/>
      <c r="D78" s="7"/>
      <c r="E78" s="7"/>
      <c r="F78" s="7"/>
      <c r="G78" s="7"/>
      <c r="H78" s="7"/>
      <c r="I78" s="7"/>
      <c r="J78" s="7"/>
      <c r="K78" s="7"/>
      <c r="L78" s="9"/>
      <c r="M78" s="32"/>
      <c r="N78" s="29"/>
      <c r="O78" s="10"/>
      <c r="P78" s="10"/>
      <c r="Q78" s="35"/>
      <c r="R78" s="29"/>
      <c r="S78" s="10"/>
      <c r="T78" s="10"/>
      <c r="U78" s="10"/>
      <c r="V78" s="10"/>
      <c r="W78" s="10"/>
      <c r="X78" s="10"/>
      <c r="Y78" s="10"/>
      <c r="Z78" s="35"/>
      <c r="AA78" s="29"/>
      <c r="AB78" s="8"/>
      <c r="AC78" s="26"/>
      <c r="AD78" s="24">
        <f t="shared" si="3"/>
        <v>0</v>
      </c>
      <c r="AE78" s="24">
        <f t="shared" si="4"/>
        <v>0</v>
      </c>
      <c r="AF78" s="24">
        <f t="shared" si="5"/>
        <v>0</v>
      </c>
      <c r="AG78" s="41" t="str" cm="1">
        <f t="array" ref="AG78">_xlfn.IFS(
SUM(AD78:AF78)=0,"Not Started",
SUM(AD78:AF78)&lt;15,"In Progress",
SUM(AD78:AF78)=15,"Completed",
SUM(AD78:AF78)&gt;15,"Error"
)</f>
        <v>Not Started</v>
      </c>
    </row>
    <row r="79" spans="1:33" ht="13" x14ac:dyDescent="0.25">
      <c r="A79" s="248"/>
      <c r="B79" s="7" t="s">
        <v>2538</v>
      </c>
      <c r="C79" s="7"/>
      <c r="D79" s="7"/>
      <c r="E79" s="7"/>
      <c r="F79" s="7"/>
      <c r="G79" s="7"/>
      <c r="H79" s="7"/>
      <c r="I79" s="7"/>
      <c r="J79" s="7"/>
      <c r="K79" s="7"/>
      <c r="L79" s="9"/>
      <c r="M79" s="32"/>
      <c r="N79" s="29"/>
      <c r="O79" s="10"/>
      <c r="P79" s="10"/>
      <c r="Q79" s="35"/>
      <c r="R79" s="29"/>
      <c r="S79" s="10"/>
      <c r="T79" s="10"/>
      <c r="U79" s="10"/>
      <c r="V79" s="10"/>
      <c r="W79" s="10"/>
      <c r="X79" s="10"/>
      <c r="Y79" s="10"/>
      <c r="Z79" s="35"/>
      <c r="AA79" s="29"/>
      <c r="AB79" s="8"/>
      <c r="AC79" s="26"/>
      <c r="AD79" s="24">
        <f t="shared" si="3"/>
        <v>0</v>
      </c>
      <c r="AE79" s="24">
        <f t="shared" si="4"/>
        <v>0</v>
      </c>
      <c r="AF79" s="24">
        <f t="shared" si="5"/>
        <v>0</v>
      </c>
      <c r="AG79" s="41" t="str" cm="1">
        <f t="array" ref="AG79">_xlfn.IFS(
SUM(AD79:AF79)=0,"Not Started",
SUM(AD79:AF79)&lt;15,"In Progress",
SUM(AD79:AF79)=15,"Completed",
SUM(AD79:AF79)&gt;15,"Error"
)</f>
        <v>Not Started</v>
      </c>
    </row>
    <row r="80" spans="1:33" ht="13" x14ac:dyDescent="0.25">
      <c r="A80" s="248"/>
      <c r="B80" s="14" t="s">
        <v>2539</v>
      </c>
      <c r="C80" s="7"/>
      <c r="D80" s="7"/>
      <c r="E80" s="7"/>
      <c r="F80" s="7"/>
      <c r="G80" s="7"/>
      <c r="H80" s="7"/>
      <c r="I80" s="7"/>
      <c r="J80" s="7"/>
      <c r="K80" s="7"/>
      <c r="L80" s="9"/>
      <c r="M80" s="32"/>
      <c r="N80" s="29"/>
      <c r="O80" s="10"/>
      <c r="P80" s="10"/>
      <c r="Q80" s="35"/>
      <c r="R80" s="29"/>
      <c r="S80" s="10"/>
      <c r="T80" s="10"/>
      <c r="U80" s="10"/>
      <c r="V80" s="10"/>
      <c r="W80" s="10"/>
      <c r="X80" s="10"/>
      <c r="Y80" s="10"/>
      <c r="Z80" s="35"/>
      <c r="AA80" s="29"/>
      <c r="AB80" s="8"/>
      <c r="AC80" s="26"/>
      <c r="AD80" s="24">
        <f t="shared" si="3"/>
        <v>0</v>
      </c>
      <c r="AE80" s="24">
        <f t="shared" si="4"/>
        <v>0</v>
      </c>
      <c r="AF80" s="24">
        <f t="shared" si="5"/>
        <v>0</v>
      </c>
      <c r="AG80" s="41" t="str" cm="1">
        <f t="array" ref="AG80">_xlfn.IFS(
SUM(AD80:AF80)=0,"Not Started",
SUM(AD80:AF80)&lt;15,"In Progress",
SUM(AD80:AF80)=15,"Completed",
SUM(AD80:AF80)&gt;15,"Error"
)</f>
        <v>Not Started</v>
      </c>
    </row>
    <row r="81" spans="1:33" ht="13" x14ac:dyDescent="0.25">
      <c r="A81" s="248"/>
      <c r="B81" s="7" t="s">
        <v>2540</v>
      </c>
      <c r="C81" s="7"/>
      <c r="D81" s="7"/>
      <c r="E81" s="7"/>
      <c r="F81" s="7"/>
      <c r="G81" s="7"/>
      <c r="H81" s="7"/>
      <c r="I81" s="7"/>
      <c r="J81" s="7"/>
      <c r="K81" s="7"/>
      <c r="L81" s="9"/>
      <c r="M81" s="32"/>
      <c r="N81" s="29"/>
      <c r="O81" s="10"/>
      <c r="P81" s="10"/>
      <c r="Q81" s="35"/>
      <c r="R81" s="29"/>
      <c r="S81" s="10"/>
      <c r="T81" s="10"/>
      <c r="U81" s="10"/>
      <c r="V81" s="10"/>
      <c r="W81" s="10"/>
      <c r="X81" s="10"/>
      <c r="Y81" s="10"/>
      <c r="Z81" s="35"/>
      <c r="AA81" s="29"/>
      <c r="AB81" s="8"/>
      <c r="AC81" s="26"/>
      <c r="AD81" s="24">
        <f t="shared" si="3"/>
        <v>0</v>
      </c>
      <c r="AE81" s="24">
        <f t="shared" si="4"/>
        <v>0</v>
      </c>
      <c r="AF81" s="24">
        <f t="shared" si="5"/>
        <v>0</v>
      </c>
      <c r="AG81" s="41" t="str" cm="1">
        <f t="array" ref="AG81">_xlfn.IFS(
SUM(AD81:AF81)=0,"Not Started",
SUM(AD81:AF81)&lt;15,"In Progress",
SUM(AD81:AF81)=15,"Completed",
SUM(AD81:AF81)&gt;15,"Error"
)</f>
        <v>Not Started</v>
      </c>
    </row>
    <row r="82" spans="1:33" ht="13" x14ac:dyDescent="0.25">
      <c r="A82" s="248"/>
      <c r="B82" s="14" t="s">
        <v>2541</v>
      </c>
      <c r="C82" s="7"/>
      <c r="D82" s="7"/>
      <c r="E82" s="7"/>
      <c r="F82" s="7"/>
      <c r="G82" s="7"/>
      <c r="H82" s="7"/>
      <c r="I82" s="7"/>
      <c r="J82" s="7"/>
      <c r="K82" s="7"/>
      <c r="L82" s="9"/>
      <c r="M82" s="32"/>
      <c r="N82" s="29"/>
      <c r="O82" s="10"/>
      <c r="P82" s="10"/>
      <c r="Q82" s="35"/>
      <c r="R82" s="29"/>
      <c r="S82" s="10"/>
      <c r="T82" s="10"/>
      <c r="U82" s="10"/>
      <c r="V82" s="10"/>
      <c r="W82" s="10"/>
      <c r="X82" s="10"/>
      <c r="Y82" s="10"/>
      <c r="Z82" s="35"/>
      <c r="AA82" s="29"/>
      <c r="AB82" s="8"/>
      <c r="AC82" s="26"/>
      <c r="AD82" s="24">
        <f t="shared" si="3"/>
        <v>0</v>
      </c>
      <c r="AE82" s="24">
        <f t="shared" si="4"/>
        <v>0</v>
      </c>
      <c r="AF82" s="24">
        <f t="shared" si="5"/>
        <v>0</v>
      </c>
      <c r="AG82" s="41" t="str" cm="1">
        <f t="array" ref="AG82">_xlfn.IFS(
SUM(AD82:AF82)=0,"Not Started",
SUM(AD82:AF82)&lt;15,"In Progress",
SUM(AD82:AF82)=15,"Completed",
SUM(AD82:AF82)&gt;15,"Error"
)</f>
        <v>Not Started</v>
      </c>
    </row>
    <row r="83" spans="1:33" ht="13" x14ac:dyDescent="0.25">
      <c r="A83" s="248"/>
      <c r="B83" s="7" t="s">
        <v>2542</v>
      </c>
      <c r="C83" s="7"/>
      <c r="D83" s="7"/>
      <c r="E83" s="7"/>
      <c r="F83" s="7"/>
      <c r="G83" s="7"/>
      <c r="H83" s="7"/>
      <c r="I83" s="7"/>
      <c r="J83" s="7"/>
      <c r="K83" s="7"/>
      <c r="L83" s="9"/>
      <c r="M83" s="32"/>
      <c r="N83" s="29"/>
      <c r="O83" s="10"/>
      <c r="P83" s="10"/>
      <c r="Q83" s="35"/>
      <c r="R83" s="29"/>
      <c r="S83" s="10"/>
      <c r="T83" s="10"/>
      <c r="U83" s="10"/>
      <c r="V83" s="10"/>
      <c r="W83" s="10"/>
      <c r="X83" s="10"/>
      <c r="Y83" s="10"/>
      <c r="Z83" s="35"/>
      <c r="AA83" s="29"/>
      <c r="AB83" s="8"/>
      <c r="AC83" s="26"/>
      <c r="AD83" s="24">
        <f t="shared" si="3"/>
        <v>0</v>
      </c>
      <c r="AE83" s="24">
        <f t="shared" si="4"/>
        <v>0</v>
      </c>
      <c r="AF83" s="24">
        <f t="shared" si="5"/>
        <v>0</v>
      </c>
      <c r="AG83" s="41" t="str" cm="1">
        <f t="array" ref="AG83">_xlfn.IFS(
SUM(AD83:AF83)=0,"Not Started",
SUM(AD83:AF83)&lt;15,"In Progress",
SUM(AD83:AF83)=15,"Completed",
SUM(AD83:AF83)&gt;15,"Error"
)</f>
        <v>Not Started</v>
      </c>
    </row>
    <row r="84" spans="1:33" ht="13" x14ac:dyDescent="0.25">
      <c r="A84" s="248"/>
      <c r="B84" s="14" t="s">
        <v>2543</v>
      </c>
      <c r="C84" s="7"/>
      <c r="D84" s="7"/>
      <c r="E84" s="7"/>
      <c r="F84" s="7"/>
      <c r="G84" s="7"/>
      <c r="H84" s="7"/>
      <c r="I84" s="7"/>
      <c r="J84" s="7"/>
      <c r="K84" s="7"/>
      <c r="L84" s="9"/>
      <c r="M84" s="32"/>
      <c r="N84" s="29"/>
      <c r="O84" s="10"/>
      <c r="P84" s="10"/>
      <c r="Q84" s="35"/>
      <c r="R84" s="29"/>
      <c r="S84" s="10"/>
      <c r="T84" s="10"/>
      <c r="U84" s="10"/>
      <c r="V84" s="10"/>
      <c r="W84" s="10"/>
      <c r="X84" s="10"/>
      <c r="Y84" s="10"/>
      <c r="Z84" s="35"/>
      <c r="AA84" s="29"/>
      <c r="AB84" s="8"/>
      <c r="AC84" s="26"/>
      <c r="AD84" s="24">
        <f t="shared" si="3"/>
        <v>0</v>
      </c>
      <c r="AE84" s="24">
        <f t="shared" si="4"/>
        <v>0</v>
      </c>
      <c r="AF84" s="24">
        <f t="shared" si="5"/>
        <v>0</v>
      </c>
      <c r="AG84" s="41" t="str" cm="1">
        <f t="array" ref="AG84">_xlfn.IFS(
SUM(AD84:AF84)=0,"Not Started",
SUM(AD84:AF84)&lt;15,"In Progress",
SUM(AD84:AF84)=15,"Completed",
SUM(AD84:AF84)&gt;15,"Error"
)</f>
        <v>Not Started</v>
      </c>
    </row>
    <row r="85" spans="1:33" ht="13" x14ac:dyDescent="0.25">
      <c r="A85" s="248"/>
      <c r="B85" s="7" t="s">
        <v>2544</v>
      </c>
      <c r="C85" s="7"/>
      <c r="D85" s="7"/>
      <c r="E85" s="7"/>
      <c r="F85" s="7"/>
      <c r="G85" s="7"/>
      <c r="H85" s="7"/>
      <c r="I85" s="7"/>
      <c r="J85" s="7"/>
      <c r="K85" s="7"/>
      <c r="L85" s="9"/>
      <c r="M85" s="32"/>
      <c r="N85" s="29"/>
      <c r="O85" s="10"/>
      <c r="P85" s="10"/>
      <c r="Q85" s="35"/>
      <c r="R85" s="29"/>
      <c r="S85" s="10"/>
      <c r="T85" s="10"/>
      <c r="U85" s="10"/>
      <c r="V85" s="10"/>
      <c r="W85" s="10"/>
      <c r="X85" s="10"/>
      <c r="Y85" s="10"/>
      <c r="Z85" s="35"/>
      <c r="AA85" s="29"/>
      <c r="AB85" s="8"/>
      <c r="AC85" s="26"/>
      <c r="AD85" s="24">
        <f t="shared" si="3"/>
        <v>0</v>
      </c>
      <c r="AE85" s="24">
        <f t="shared" si="4"/>
        <v>0</v>
      </c>
      <c r="AF85" s="24">
        <f t="shared" si="5"/>
        <v>0</v>
      </c>
      <c r="AG85" s="41" t="str" cm="1">
        <f t="array" ref="AG85">_xlfn.IFS(
SUM(AD85:AF85)=0,"Not Started",
SUM(AD85:AF85)&lt;15,"In Progress",
SUM(AD85:AF85)=15,"Completed",
SUM(AD85:AF85)&gt;15,"Error"
)</f>
        <v>Not Started</v>
      </c>
    </row>
    <row r="86" spans="1:33" ht="13" x14ac:dyDescent="0.25">
      <c r="A86" s="248"/>
      <c r="B86" s="14" t="s">
        <v>2545</v>
      </c>
      <c r="C86" s="7"/>
      <c r="D86" s="7"/>
      <c r="E86" s="7"/>
      <c r="F86" s="7"/>
      <c r="G86" s="7"/>
      <c r="H86" s="7"/>
      <c r="I86" s="7"/>
      <c r="J86" s="7"/>
      <c r="K86" s="7"/>
      <c r="L86" s="9"/>
      <c r="M86" s="32"/>
      <c r="N86" s="29"/>
      <c r="O86" s="10"/>
      <c r="P86" s="10"/>
      <c r="Q86" s="35"/>
      <c r="R86" s="29"/>
      <c r="S86" s="10"/>
      <c r="T86" s="10"/>
      <c r="U86" s="10"/>
      <c r="V86" s="10"/>
      <c r="W86" s="10"/>
      <c r="X86" s="10"/>
      <c r="Y86" s="10"/>
      <c r="Z86" s="35"/>
      <c r="AA86" s="29"/>
      <c r="AB86" s="8"/>
      <c r="AC86" s="26"/>
      <c r="AD86" s="24">
        <f t="shared" si="3"/>
        <v>0</v>
      </c>
      <c r="AE86" s="24">
        <f t="shared" si="4"/>
        <v>0</v>
      </c>
      <c r="AF86" s="24">
        <f t="shared" si="5"/>
        <v>0</v>
      </c>
      <c r="AG86" s="41" t="str" cm="1">
        <f t="array" ref="AG86">_xlfn.IFS(
SUM(AD86:AF86)=0,"Not Started",
SUM(AD86:AF86)&lt;15,"In Progress",
SUM(AD86:AF86)=15,"Completed",
SUM(AD86:AF86)&gt;15,"Error"
)</f>
        <v>Not Started</v>
      </c>
    </row>
    <row r="87" spans="1:33" ht="13" x14ac:dyDescent="0.25">
      <c r="A87" s="248"/>
      <c r="B87" s="7" t="s">
        <v>2546</v>
      </c>
      <c r="C87" s="7"/>
      <c r="D87" s="7"/>
      <c r="E87" s="7"/>
      <c r="F87" s="7"/>
      <c r="G87" s="7"/>
      <c r="H87" s="7"/>
      <c r="I87" s="7"/>
      <c r="J87" s="7"/>
      <c r="K87" s="7"/>
      <c r="L87" s="9"/>
      <c r="M87" s="32"/>
      <c r="N87" s="29"/>
      <c r="O87" s="10"/>
      <c r="P87" s="10"/>
      <c r="Q87" s="35"/>
      <c r="R87" s="29"/>
      <c r="S87" s="10"/>
      <c r="T87" s="10"/>
      <c r="U87" s="10"/>
      <c r="V87" s="10"/>
      <c r="W87" s="10"/>
      <c r="X87" s="10"/>
      <c r="Y87" s="10"/>
      <c r="Z87" s="35"/>
      <c r="AA87" s="29"/>
      <c r="AB87" s="8"/>
      <c r="AC87" s="26"/>
      <c r="AD87" s="24">
        <f t="shared" si="3"/>
        <v>0</v>
      </c>
      <c r="AE87" s="24">
        <f t="shared" si="4"/>
        <v>0</v>
      </c>
      <c r="AF87" s="24">
        <f t="shared" si="5"/>
        <v>0</v>
      </c>
      <c r="AG87" s="41" t="str" cm="1">
        <f t="array" ref="AG87">_xlfn.IFS(
SUM(AD87:AF87)=0,"Not Started",
SUM(AD87:AF87)&lt;15,"In Progress",
SUM(AD87:AF87)=15,"Completed",
SUM(AD87:AF87)&gt;15,"Error"
)</f>
        <v>Not Started</v>
      </c>
    </row>
    <row r="88" spans="1:33" ht="13" x14ac:dyDescent="0.25">
      <c r="A88" s="248"/>
      <c r="B88" s="14" t="s">
        <v>2547</v>
      </c>
      <c r="C88" s="7"/>
      <c r="D88" s="7"/>
      <c r="E88" s="7"/>
      <c r="F88" s="7"/>
      <c r="G88" s="7"/>
      <c r="H88" s="7"/>
      <c r="I88" s="7"/>
      <c r="J88" s="7"/>
      <c r="K88" s="7"/>
      <c r="L88" s="9"/>
      <c r="M88" s="32"/>
      <c r="N88" s="29"/>
      <c r="O88" s="10"/>
      <c r="P88" s="10"/>
      <c r="Q88" s="35"/>
      <c r="R88" s="29"/>
      <c r="S88" s="10"/>
      <c r="T88" s="10"/>
      <c r="U88" s="10"/>
      <c r="V88" s="10"/>
      <c r="W88" s="10"/>
      <c r="X88" s="10"/>
      <c r="Y88" s="10"/>
      <c r="Z88" s="35"/>
      <c r="AA88" s="29"/>
      <c r="AB88" s="8"/>
      <c r="AC88" s="26"/>
      <c r="AD88" s="24">
        <f t="shared" si="3"/>
        <v>0</v>
      </c>
      <c r="AE88" s="24">
        <f t="shared" si="4"/>
        <v>0</v>
      </c>
      <c r="AF88" s="24">
        <f t="shared" si="5"/>
        <v>0</v>
      </c>
      <c r="AG88" s="41" t="str" cm="1">
        <f t="array" ref="AG88">_xlfn.IFS(
SUM(AD88:AF88)=0,"Not Started",
SUM(AD88:AF88)&lt;15,"In Progress",
SUM(AD88:AF88)=15,"Completed",
SUM(AD88:AF88)&gt;15,"Error"
)</f>
        <v>Not Started</v>
      </c>
    </row>
    <row r="89" spans="1:33" ht="13" x14ac:dyDescent="0.25">
      <c r="A89" s="248"/>
      <c r="B89" s="7" t="s">
        <v>2548</v>
      </c>
      <c r="C89" s="7"/>
      <c r="D89" s="7"/>
      <c r="E89" s="7"/>
      <c r="F89" s="7"/>
      <c r="G89" s="7"/>
      <c r="H89" s="7"/>
      <c r="I89" s="7"/>
      <c r="J89" s="7"/>
      <c r="K89" s="7"/>
      <c r="L89" s="9"/>
      <c r="M89" s="32"/>
      <c r="N89" s="29"/>
      <c r="O89" s="10"/>
      <c r="P89" s="10"/>
      <c r="Q89" s="35"/>
      <c r="R89" s="29"/>
      <c r="S89" s="10"/>
      <c r="T89" s="10"/>
      <c r="U89" s="10"/>
      <c r="V89" s="10"/>
      <c r="W89" s="10"/>
      <c r="X89" s="10"/>
      <c r="Y89" s="10"/>
      <c r="Z89" s="35"/>
      <c r="AA89" s="29"/>
      <c r="AB89" s="8"/>
      <c r="AC89" s="26"/>
      <c r="AD89" s="24">
        <f t="shared" si="3"/>
        <v>0</v>
      </c>
      <c r="AE89" s="24">
        <f t="shared" si="4"/>
        <v>0</v>
      </c>
      <c r="AF89" s="24">
        <f t="shared" si="5"/>
        <v>0</v>
      </c>
      <c r="AG89" s="41" t="str" cm="1">
        <f t="array" ref="AG89">_xlfn.IFS(
SUM(AD89:AF89)=0,"Not Started",
SUM(AD89:AF89)&lt;15,"In Progress",
SUM(AD89:AF89)=15,"Completed",
SUM(AD89:AF89)&gt;15,"Error"
)</f>
        <v>Not Started</v>
      </c>
    </row>
    <row r="90" spans="1:33" ht="13" x14ac:dyDescent="0.25">
      <c r="A90" s="248"/>
      <c r="B90" s="14" t="s">
        <v>2549</v>
      </c>
      <c r="C90" s="7"/>
      <c r="D90" s="7"/>
      <c r="E90" s="7"/>
      <c r="F90" s="7"/>
      <c r="G90" s="7"/>
      <c r="H90" s="7"/>
      <c r="I90" s="7"/>
      <c r="J90" s="7"/>
      <c r="K90" s="7"/>
      <c r="L90" s="9"/>
      <c r="M90" s="32"/>
      <c r="N90" s="29"/>
      <c r="O90" s="10"/>
      <c r="P90" s="10"/>
      <c r="Q90" s="35"/>
      <c r="R90" s="29"/>
      <c r="S90" s="10"/>
      <c r="T90" s="10"/>
      <c r="U90" s="10"/>
      <c r="V90" s="10"/>
      <c r="W90" s="10"/>
      <c r="X90" s="10"/>
      <c r="Y90" s="10"/>
      <c r="Z90" s="35"/>
      <c r="AA90" s="29"/>
      <c r="AB90" s="8"/>
      <c r="AC90" s="26"/>
      <c r="AD90" s="24">
        <f t="shared" si="3"/>
        <v>0</v>
      </c>
      <c r="AE90" s="24">
        <f t="shared" si="4"/>
        <v>0</v>
      </c>
      <c r="AF90" s="24">
        <f t="shared" si="5"/>
        <v>0</v>
      </c>
      <c r="AG90" s="41" t="str" cm="1">
        <f t="array" ref="AG90">_xlfn.IFS(
SUM(AD90:AF90)=0,"Not Started",
SUM(AD90:AF90)&lt;15,"In Progress",
SUM(AD90:AF90)=15,"Completed",
SUM(AD90:AF90)&gt;15,"Error"
)</f>
        <v>Not Started</v>
      </c>
    </row>
    <row r="91" spans="1:33" ht="14.5" x14ac:dyDescent="0.25">
      <c r="A91" s="248"/>
      <c r="B91" s="7" t="s">
        <v>2550</v>
      </c>
      <c r="C91" s="7"/>
      <c r="D91" s="12"/>
      <c r="E91" s="12"/>
      <c r="F91" s="12"/>
      <c r="G91" s="12"/>
      <c r="H91" s="7"/>
      <c r="I91" s="7"/>
      <c r="J91" s="7"/>
      <c r="K91" s="7"/>
      <c r="L91" s="9"/>
      <c r="M91" s="32"/>
      <c r="N91" s="29"/>
      <c r="O91" s="10"/>
      <c r="P91" s="10"/>
      <c r="Q91" s="35"/>
      <c r="R91" s="29"/>
      <c r="S91" s="10"/>
      <c r="T91" s="10"/>
      <c r="U91" s="10"/>
      <c r="V91" s="10"/>
      <c r="W91" s="10"/>
      <c r="X91" s="10"/>
      <c r="Y91" s="10"/>
      <c r="Z91" s="35"/>
      <c r="AA91" s="29"/>
      <c r="AB91" s="8"/>
      <c r="AC91" s="26"/>
      <c r="AD91" s="24">
        <f t="shared" si="3"/>
        <v>0</v>
      </c>
      <c r="AE91" s="24">
        <f t="shared" si="4"/>
        <v>0</v>
      </c>
      <c r="AF91" s="24">
        <f t="shared" si="5"/>
        <v>0</v>
      </c>
      <c r="AG91" s="41" t="str" cm="1">
        <f t="array" ref="AG91">_xlfn.IFS(
SUM(AD91:AF91)=0,"Not Started",
SUM(AD91:AF91)&lt;15,"In Progress",
SUM(AD91:AF91)=15,"Completed",
SUM(AD91:AF91)&gt;15,"Error"
)</f>
        <v>Not Started</v>
      </c>
    </row>
    <row r="92" spans="1:33" ht="13" x14ac:dyDescent="0.25">
      <c r="A92" s="248"/>
      <c r="B92" s="14" t="s">
        <v>2551</v>
      </c>
      <c r="C92" s="7"/>
      <c r="D92" s="7"/>
      <c r="E92" s="7"/>
      <c r="F92" s="7"/>
      <c r="G92" s="7"/>
      <c r="H92" s="7"/>
      <c r="I92" s="7"/>
      <c r="J92" s="7"/>
      <c r="K92" s="7"/>
      <c r="L92" s="9"/>
      <c r="M92" s="32"/>
      <c r="N92" s="29"/>
      <c r="O92" s="10"/>
      <c r="P92" s="10"/>
      <c r="Q92" s="35"/>
      <c r="R92" s="29"/>
      <c r="S92" s="10"/>
      <c r="T92" s="10"/>
      <c r="U92" s="10"/>
      <c r="V92" s="10"/>
      <c r="W92" s="10"/>
      <c r="X92" s="10"/>
      <c r="Y92" s="10"/>
      <c r="Z92" s="35"/>
      <c r="AA92" s="29"/>
      <c r="AB92" s="8"/>
      <c r="AC92" s="26"/>
      <c r="AD92" s="24">
        <f t="shared" si="3"/>
        <v>0</v>
      </c>
      <c r="AE92" s="24">
        <f t="shared" si="4"/>
        <v>0</v>
      </c>
      <c r="AF92" s="24">
        <f t="shared" si="5"/>
        <v>0</v>
      </c>
      <c r="AG92" s="41" t="str" cm="1">
        <f t="array" ref="AG92">_xlfn.IFS(
SUM(AD92:AF92)=0,"Not Started",
SUM(AD92:AF92)&lt;15,"In Progress",
SUM(AD92:AF92)=15,"Completed",
SUM(AD92:AF92)&gt;15,"Error"
)</f>
        <v>Not Started</v>
      </c>
    </row>
    <row r="93" spans="1:33" ht="13" x14ac:dyDescent="0.25">
      <c r="A93" s="248"/>
      <c r="B93" s="7" t="s">
        <v>2552</v>
      </c>
      <c r="C93" s="7"/>
      <c r="D93" s="7"/>
      <c r="E93" s="7"/>
      <c r="F93" s="7"/>
      <c r="G93" s="7"/>
      <c r="H93" s="7"/>
      <c r="I93" s="7"/>
      <c r="J93" s="7"/>
      <c r="K93" s="7"/>
      <c r="L93" s="9"/>
      <c r="M93" s="32"/>
      <c r="N93" s="29"/>
      <c r="O93" s="10"/>
      <c r="P93" s="10"/>
      <c r="Q93" s="35"/>
      <c r="R93" s="29"/>
      <c r="S93" s="10"/>
      <c r="T93" s="10"/>
      <c r="U93" s="10"/>
      <c r="V93" s="10"/>
      <c r="W93" s="10"/>
      <c r="X93" s="10"/>
      <c r="Y93" s="10"/>
      <c r="Z93" s="35"/>
      <c r="AA93" s="29"/>
      <c r="AB93" s="8"/>
      <c r="AC93" s="26"/>
      <c r="AD93" s="24">
        <f t="shared" si="3"/>
        <v>0</v>
      </c>
      <c r="AE93" s="24">
        <f t="shared" si="4"/>
        <v>0</v>
      </c>
      <c r="AF93" s="24">
        <f t="shared" si="5"/>
        <v>0</v>
      </c>
      <c r="AG93" s="41" t="str" cm="1">
        <f t="array" ref="AG93">_xlfn.IFS(
SUM(AD93:AF93)=0,"Not Started",
SUM(AD93:AF93)&lt;15,"In Progress",
SUM(AD93:AF93)=15,"Completed",
SUM(AD93:AF93)&gt;15,"Error"
)</f>
        <v>Not Started</v>
      </c>
    </row>
    <row r="94" spans="1:33" ht="13" x14ac:dyDescent="0.25">
      <c r="A94" s="248"/>
      <c r="B94" s="14" t="s">
        <v>2553</v>
      </c>
      <c r="C94" s="7"/>
      <c r="D94" s="7"/>
      <c r="E94" s="7"/>
      <c r="F94" s="7"/>
      <c r="G94" s="7"/>
      <c r="H94" s="7"/>
      <c r="I94" s="7"/>
      <c r="J94" s="7"/>
      <c r="K94" s="7"/>
      <c r="L94" s="9"/>
      <c r="M94" s="32"/>
      <c r="N94" s="29"/>
      <c r="O94" s="10"/>
      <c r="P94" s="10"/>
      <c r="Q94" s="35"/>
      <c r="R94" s="29"/>
      <c r="S94" s="10"/>
      <c r="T94" s="10"/>
      <c r="U94" s="10"/>
      <c r="V94" s="10"/>
      <c r="W94" s="10"/>
      <c r="X94" s="10"/>
      <c r="Y94" s="10"/>
      <c r="Z94" s="35"/>
      <c r="AA94" s="29"/>
      <c r="AB94" s="8"/>
      <c r="AC94" s="26"/>
      <c r="AD94" s="24">
        <f t="shared" si="3"/>
        <v>0</v>
      </c>
      <c r="AE94" s="24">
        <f t="shared" si="4"/>
        <v>0</v>
      </c>
      <c r="AF94" s="24">
        <f t="shared" si="5"/>
        <v>0</v>
      </c>
      <c r="AG94" s="41" t="str" cm="1">
        <f t="array" ref="AG94">_xlfn.IFS(
SUM(AD94:AF94)=0,"Not Started",
SUM(AD94:AF94)&lt;15,"In Progress",
SUM(AD94:AF94)=15,"Completed",
SUM(AD94:AF94)&gt;15,"Error"
)</f>
        <v>Not Started</v>
      </c>
    </row>
    <row r="95" spans="1:33" ht="13" x14ac:dyDescent="0.25">
      <c r="A95" s="248"/>
      <c r="B95" s="7" t="s">
        <v>2554</v>
      </c>
      <c r="C95" s="7"/>
      <c r="D95" s="7"/>
      <c r="E95" s="7"/>
      <c r="F95" s="7"/>
      <c r="G95" s="7"/>
      <c r="H95" s="7"/>
      <c r="I95" s="7"/>
      <c r="J95" s="7"/>
      <c r="K95" s="7"/>
      <c r="L95" s="9"/>
      <c r="M95" s="32"/>
      <c r="N95" s="29"/>
      <c r="O95" s="10"/>
      <c r="P95" s="10"/>
      <c r="Q95" s="35"/>
      <c r="R95" s="29"/>
      <c r="S95" s="10"/>
      <c r="T95" s="10"/>
      <c r="U95" s="10"/>
      <c r="V95" s="10"/>
      <c r="W95" s="10"/>
      <c r="X95" s="10"/>
      <c r="Y95" s="10"/>
      <c r="Z95" s="35"/>
      <c r="AA95" s="29"/>
      <c r="AB95" s="8"/>
      <c r="AC95" s="26"/>
      <c r="AD95" s="24">
        <f t="shared" si="3"/>
        <v>0</v>
      </c>
      <c r="AE95" s="24">
        <f t="shared" si="4"/>
        <v>0</v>
      </c>
      <c r="AF95" s="24">
        <f t="shared" si="5"/>
        <v>0</v>
      </c>
      <c r="AG95" s="41" t="str" cm="1">
        <f t="array" ref="AG95">_xlfn.IFS(
SUM(AD95:AF95)=0,"Not Started",
SUM(AD95:AF95)&lt;15,"In Progress",
SUM(AD95:AF95)=15,"Completed",
SUM(AD95:AF95)&gt;15,"Error"
)</f>
        <v>Not Started</v>
      </c>
    </row>
    <row r="96" spans="1:33" ht="13" x14ac:dyDescent="0.25">
      <c r="A96" s="248"/>
      <c r="B96" s="14" t="s">
        <v>2555</v>
      </c>
      <c r="C96" s="7"/>
      <c r="D96" s="7"/>
      <c r="E96" s="7"/>
      <c r="F96" s="7"/>
      <c r="G96" s="7"/>
      <c r="H96" s="7"/>
      <c r="I96" s="7"/>
      <c r="J96" s="7"/>
      <c r="K96" s="7"/>
      <c r="L96" s="9"/>
      <c r="M96" s="32"/>
      <c r="N96" s="29"/>
      <c r="O96" s="10"/>
      <c r="P96" s="10"/>
      <c r="Q96" s="35"/>
      <c r="R96" s="29"/>
      <c r="S96" s="10"/>
      <c r="T96" s="10"/>
      <c r="U96" s="10"/>
      <c r="V96" s="10"/>
      <c r="W96" s="10"/>
      <c r="X96" s="10"/>
      <c r="Y96" s="10"/>
      <c r="Z96" s="35"/>
      <c r="AA96" s="29"/>
      <c r="AB96" s="8"/>
      <c r="AC96" s="26"/>
      <c r="AD96" s="24">
        <f t="shared" si="3"/>
        <v>0</v>
      </c>
      <c r="AE96" s="24">
        <f t="shared" si="4"/>
        <v>0</v>
      </c>
      <c r="AF96" s="24">
        <f t="shared" si="5"/>
        <v>0</v>
      </c>
      <c r="AG96" s="41" t="str" cm="1">
        <f t="array" ref="AG96">_xlfn.IFS(
SUM(AD96:AF96)=0,"Not Started",
SUM(AD96:AF96)&lt;15,"In Progress",
SUM(AD96:AF96)=15,"Completed",
SUM(AD96:AF96)&gt;15,"Error"
)</f>
        <v>Not Started</v>
      </c>
    </row>
    <row r="97" spans="1:33" ht="13" x14ac:dyDescent="0.25">
      <c r="A97" s="248"/>
      <c r="B97" s="7" t="s">
        <v>2556</v>
      </c>
      <c r="C97" s="7"/>
      <c r="D97" s="7"/>
      <c r="E97" s="7"/>
      <c r="F97" s="7"/>
      <c r="G97" s="7"/>
      <c r="H97" s="7"/>
      <c r="I97" s="7"/>
      <c r="J97" s="7"/>
      <c r="K97" s="7"/>
      <c r="L97" s="9"/>
      <c r="M97" s="32"/>
      <c r="N97" s="29"/>
      <c r="O97" s="10"/>
      <c r="P97" s="10"/>
      <c r="Q97" s="35"/>
      <c r="R97" s="29"/>
      <c r="S97" s="10"/>
      <c r="T97" s="10"/>
      <c r="U97" s="10"/>
      <c r="V97" s="10"/>
      <c r="W97" s="10"/>
      <c r="X97" s="10"/>
      <c r="Y97" s="10"/>
      <c r="Z97" s="35"/>
      <c r="AA97" s="29"/>
      <c r="AB97" s="8"/>
      <c r="AC97" s="26"/>
      <c r="AD97" s="24">
        <f t="shared" si="3"/>
        <v>0</v>
      </c>
      <c r="AE97" s="24">
        <f t="shared" si="4"/>
        <v>0</v>
      </c>
      <c r="AF97" s="24">
        <f t="shared" si="5"/>
        <v>0</v>
      </c>
      <c r="AG97" s="41" t="str" cm="1">
        <f t="array" ref="AG97">_xlfn.IFS(
SUM(AD97:AF97)=0,"Not Started",
SUM(AD97:AF97)&lt;15,"In Progress",
SUM(AD97:AF97)=15,"Completed",
SUM(AD97:AF97)&gt;15,"Error"
)</f>
        <v>Not Started</v>
      </c>
    </row>
    <row r="98" spans="1:33" ht="13" x14ac:dyDescent="0.25">
      <c r="A98" s="248"/>
      <c r="B98" s="14" t="s">
        <v>2557</v>
      </c>
      <c r="C98" s="7"/>
      <c r="D98" s="7"/>
      <c r="E98" s="7"/>
      <c r="F98" s="7"/>
      <c r="G98" s="7"/>
      <c r="H98" s="7"/>
      <c r="I98" s="7"/>
      <c r="J98" s="7"/>
      <c r="K98" s="7"/>
      <c r="L98" s="9"/>
      <c r="M98" s="32"/>
      <c r="N98" s="29"/>
      <c r="O98" s="10"/>
      <c r="P98" s="10"/>
      <c r="Q98" s="35"/>
      <c r="R98" s="29"/>
      <c r="S98" s="10"/>
      <c r="T98" s="10"/>
      <c r="U98" s="10"/>
      <c r="V98" s="10"/>
      <c r="W98" s="10"/>
      <c r="X98" s="10"/>
      <c r="Y98" s="10"/>
      <c r="Z98" s="35"/>
      <c r="AA98" s="29"/>
      <c r="AB98" s="8"/>
      <c r="AC98" s="26"/>
      <c r="AD98" s="24">
        <f t="shared" si="3"/>
        <v>0</v>
      </c>
      <c r="AE98" s="24">
        <f t="shared" si="4"/>
        <v>0</v>
      </c>
      <c r="AF98" s="24">
        <f t="shared" si="5"/>
        <v>0</v>
      </c>
      <c r="AG98" s="41" t="str" cm="1">
        <f t="array" ref="AG98">_xlfn.IFS(
SUM(AD98:AF98)=0,"Not Started",
SUM(AD98:AF98)&lt;15,"In Progress",
SUM(AD98:AF98)=15,"Completed",
SUM(AD98:AF98)&gt;15,"Error"
)</f>
        <v>Not Started</v>
      </c>
    </row>
    <row r="99" spans="1:33" ht="13" x14ac:dyDescent="0.25">
      <c r="A99" s="248"/>
      <c r="B99" s="7" t="s">
        <v>2558</v>
      </c>
      <c r="C99" s="7"/>
      <c r="D99" s="7"/>
      <c r="E99" s="7"/>
      <c r="F99" s="7"/>
      <c r="G99" s="7"/>
      <c r="H99" s="7"/>
      <c r="I99" s="7"/>
      <c r="J99" s="7"/>
      <c r="K99" s="7"/>
      <c r="L99" s="9"/>
      <c r="M99" s="32"/>
      <c r="N99" s="29"/>
      <c r="O99" s="10"/>
      <c r="P99" s="10"/>
      <c r="Q99" s="35"/>
      <c r="R99" s="29"/>
      <c r="S99" s="10"/>
      <c r="T99" s="10"/>
      <c r="U99" s="10"/>
      <c r="V99" s="10"/>
      <c r="W99" s="10"/>
      <c r="X99" s="10"/>
      <c r="Y99" s="10"/>
      <c r="Z99" s="35"/>
      <c r="AA99" s="29"/>
      <c r="AB99" s="8"/>
      <c r="AC99" s="26"/>
      <c r="AD99" s="24">
        <f t="shared" si="3"/>
        <v>0</v>
      </c>
      <c r="AE99" s="24">
        <f t="shared" si="4"/>
        <v>0</v>
      </c>
      <c r="AF99" s="24">
        <f t="shared" si="5"/>
        <v>0</v>
      </c>
      <c r="AG99" s="41" t="str" cm="1">
        <f t="array" ref="AG99">_xlfn.IFS(
SUM(AD99:AF99)=0,"Not Started",
SUM(AD99:AF99)&lt;15,"In Progress",
SUM(AD99:AF99)=15,"Completed",
SUM(AD99:AF99)&gt;15,"Error"
)</f>
        <v>Not Started</v>
      </c>
    </row>
    <row r="100" spans="1:33" ht="13" x14ac:dyDescent="0.25">
      <c r="A100" s="248"/>
      <c r="B100" s="14" t="s">
        <v>2559</v>
      </c>
      <c r="C100" s="7"/>
      <c r="D100" s="7"/>
      <c r="E100" s="7"/>
      <c r="F100" s="7"/>
      <c r="G100" s="7"/>
      <c r="H100" s="7"/>
      <c r="I100" s="7"/>
      <c r="J100" s="7"/>
      <c r="K100" s="7"/>
      <c r="L100" s="9"/>
      <c r="M100" s="32"/>
      <c r="N100" s="29"/>
      <c r="O100" s="10"/>
      <c r="P100" s="10"/>
      <c r="Q100" s="35"/>
      <c r="R100" s="29"/>
      <c r="S100" s="10"/>
      <c r="T100" s="10"/>
      <c r="U100" s="10"/>
      <c r="V100" s="10"/>
      <c r="W100" s="10"/>
      <c r="X100" s="10"/>
      <c r="Y100" s="10"/>
      <c r="Z100" s="35"/>
      <c r="AA100" s="29"/>
      <c r="AB100" s="8"/>
      <c r="AC100" s="26"/>
      <c r="AD100" s="24">
        <f t="shared" si="3"/>
        <v>0</v>
      </c>
      <c r="AE100" s="24">
        <f t="shared" si="4"/>
        <v>0</v>
      </c>
      <c r="AF100" s="24">
        <f t="shared" si="5"/>
        <v>0</v>
      </c>
      <c r="AG100" s="41" t="str" cm="1">
        <f t="array" ref="AG100">_xlfn.IFS(
SUM(AD100:AF100)=0,"Not Started",
SUM(AD100:AF100)&lt;15,"In Progress",
SUM(AD100:AF100)=15,"Completed",
SUM(AD100:AF100)&gt;15,"Error"
)</f>
        <v>Not Started</v>
      </c>
    </row>
    <row r="101" spans="1:33" ht="13" x14ac:dyDescent="0.25">
      <c r="A101" s="248"/>
      <c r="B101" s="7" t="s">
        <v>2560</v>
      </c>
      <c r="C101" s="7"/>
      <c r="D101" s="7"/>
      <c r="E101" s="7"/>
      <c r="F101" s="7"/>
      <c r="G101" s="7"/>
      <c r="H101" s="7"/>
      <c r="I101" s="7"/>
      <c r="J101" s="7"/>
      <c r="K101" s="7"/>
      <c r="L101" s="9"/>
      <c r="M101" s="32"/>
      <c r="N101" s="29"/>
      <c r="O101" s="10"/>
      <c r="P101" s="10"/>
      <c r="Q101" s="35"/>
      <c r="R101" s="29"/>
      <c r="S101" s="10"/>
      <c r="T101" s="10"/>
      <c r="U101" s="10"/>
      <c r="V101" s="10"/>
      <c r="W101" s="10"/>
      <c r="X101" s="10"/>
      <c r="Y101" s="10"/>
      <c r="Z101" s="35"/>
      <c r="AA101" s="29"/>
      <c r="AB101" s="8"/>
      <c r="AC101" s="26"/>
      <c r="AD101" s="24">
        <f t="shared" si="3"/>
        <v>0</v>
      </c>
      <c r="AE101" s="24">
        <f t="shared" si="4"/>
        <v>0</v>
      </c>
      <c r="AF101" s="24">
        <f t="shared" si="5"/>
        <v>0</v>
      </c>
      <c r="AG101" s="41" t="str" cm="1">
        <f t="array" ref="AG101">_xlfn.IFS(
SUM(AD101:AF101)=0,"Not Started",
SUM(AD101:AF101)&lt;15,"In Progress",
SUM(AD101:AF101)=15,"Completed",
SUM(AD101:AF101)&gt;15,"Error"
)</f>
        <v>Not Started</v>
      </c>
    </row>
    <row r="102" spans="1:33" ht="13" x14ac:dyDescent="0.25">
      <c r="A102" s="248"/>
      <c r="B102" s="14" t="s">
        <v>2561</v>
      </c>
      <c r="C102" s="7"/>
      <c r="D102" s="7"/>
      <c r="E102" s="7"/>
      <c r="F102" s="7"/>
      <c r="G102" s="7"/>
      <c r="H102" s="7"/>
      <c r="I102" s="7"/>
      <c r="J102" s="7"/>
      <c r="K102" s="7"/>
      <c r="L102" s="9"/>
      <c r="M102" s="32"/>
      <c r="N102" s="29"/>
      <c r="O102" s="10"/>
      <c r="P102" s="10"/>
      <c r="Q102" s="35"/>
      <c r="R102" s="29"/>
      <c r="S102" s="10"/>
      <c r="T102" s="10"/>
      <c r="U102" s="10"/>
      <c r="V102" s="10"/>
      <c r="W102" s="10"/>
      <c r="X102" s="10"/>
      <c r="Y102" s="10"/>
      <c r="Z102" s="35"/>
      <c r="AA102" s="29"/>
      <c r="AB102" s="8"/>
      <c r="AC102" s="26"/>
      <c r="AD102" s="24">
        <f t="shared" si="3"/>
        <v>0</v>
      </c>
      <c r="AE102" s="24">
        <f t="shared" si="4"/>
        <v>0</v>
      </c>
      <c r="AF102" s="24">
        <f t="shared" si="5"/>
        <v>0</v>
      </c>
      <c r="AG102" s="41" t="str" cm="1">
        <f t="array" ref="AG102">_xlfn.IFS(
SUM(AD102:AF102)=0,"Not Started",
SUM(AD102:AF102)&lt;15,"In Progress",
SUM(AD102:AF102)=15,"Completed",
SUM(AD102:AF102)&gt;15,"Error"
)</f>
        <v>Not Started</v>
      </c>
    </row>
    <row r="103" spans="1:33" ht="13" x14ac:dyDescent="0.25">
      <c r="A103" s="248"/>
      <c r="B103" s="7" t="s">
        <v>2562</v>
      </c>
      <c r="C103" s="7"/>
      <c r="D103" s="7"/>
      <c r="E103" s="7"/>
      <c r="F103" s="7"/>
      <c r="G103" s="7"/>
      <c r="H103" s="7"/>
      <c r="I103" s="7"/>
      <c r="J103" s="7"/>
      <c r="K103" s="7"/>
      <c r="L103" s="9"/>
      <c r="M103" s="32"/>
      <c r="N103" s="29"/>
      <c r="O103" s="10"/>
      <c r="P103" s="10"/>
      <c r="Q103" s="35"/>
      <c r="R103" s="29"/>
      <c r="S103" s="10"/>
      <c r="T103" s="10"/>
      <c r="U103" s="10"/>
      <c r="V103" s="10"/>
      <c r="W103" s="10"/>
      <c r="X103" s="10"/>
      <c r="Y103" s="10"/>
      <c r="Z103" s="35"/>
      <c r="AA103" s="29"/>
      <c r="AB103" s="8"/>
      <c r="AC103" s="26"/>
      <c r="AD103" s="24">
        <f t="shared" si="3"/>
        <v>0</v>
      </c>
      <c r="AE103" s="24">
        <f t="shared" si="4"/>
        <v>0</v>
      </c>
      <c r="AF103" s="24">
        <f t="shared" si="5"/>
        <v>0</v>
      </c>
      <c r="AG103" s="41" t="str" cm="1">
        <f t="array" ref="AG103">_xlfn.IFS(
SUM(AD103:AF103)=0,"Not Started",
SUM(AD103:AF103)&lt;15,"In Progress",
SUM(AD103:AF103)=15,"Completed",
SUM(AD103:AF103)&gt;15,"Error"
)</f>
        <v>Not Started</v>
      </c>
    </row>
    <row r="104" spans="1:33" ht="13" x14ac:dyDescent="0.25">
      <c r="A104" s="248"/>
      <c r="B104" s="14" t="s">
        <v>2563</v>
      </c>
      <c r="C104" s="7"/>
      <c r="D104" s="7"/>
      <c r="E104" s="7"/>
      <c r="F104" s="7"/>
      <c r="G104" s="7"/>
      <c r="H104" s="7"/>
      <c r="I104" s="7"/>
      <c r="J104" s="7"/>
      <c r="K104" s="7"/>
      <c r="L104" s="9"/>
      <c r="M104" s="32"/>
      <c r="N104" s="29"/>
      <c r="O104" s="10"/>
      <c r="P104" s="10"/>
      <c r="Q104" s="35"/>
      <c r="R104" s="29"/>
      <c r="S104" s="10"/>
      <c r="T104" s="10"/>
      <c r="U104" s="10"/>
      <c r="V104" s="10"/>
      <c r="W104" s="10"/>
      <c r="X104" s="10"/>
      <c r="Y104" s="10"/>
      <c r="Z104" s="35"/>
      <c r="AA104" s="29"/>
      <c r="AB104" s="8"/>
      <c r="AC104" s="26"/>
      <c r="AD104" s="24">
        <f t="shared" si="3"/>
        <v>0</v>
      </c>
      <c r="AE104" s="24">
        <f t="shared" si="4"/>
        <v>0</v>
      </c>
      <c r="AF104" s="24">
        <f t="shared" si="5"/>
        <v>0</v>
      </c>
      <c r="AG104" s="41" t="str" cm="1">
        <f t="array" ref="AG104">_xlfn.IFS(
SUM(AD104:AF104)=0,"Not Started",
SUM(AD104:AF104)&lt;15,"In Progress",
SUM(AD104:AF104)=15,"Completed",
SUM(AD104:AF104)&gt;15,"Error"
)</f>
        <v>Not Started</v>
      </c>
    </row>
    <row r="105" spans="1:33" ht="13" x14ac:dyDescent="0.25">
      <c r="A105" s="248"/>
      <c r="B105" s="7" t="s">
        <v>2564</v>
      </c>
      <c r="C105" s="7"/>
      <c r="D105" s="7"/>
      <c r="E105" s="7"/>
      <c r="F105" s="7"/>
      <c r="G105" s="7"/>
      <c r="H105" s="7"/>
      <c r="I105" s="7"/>
      <c r="J105" s="7"/>
      <c r="K105" s="7"/>
      <c r="L105" s="9"/>
      <c r="M105" s="32"/>
      <c r="N105" s="29"/>
      <c r="O105" s="10"/>
      <c r="P105" s="10"/>
      <c r="Q105" s="35"/>
      <c r="R105" s="29"/>
      <c r="S105" s="10"/>
      <c r="T105" s="10"/>
      <c r="U105" s="10"/>
      <c r="V105" s="10"/>
      <c r="W105" s="10"/>
      <c r="X105" s="10"/>
      <c r="Y105" s="10"/>
      <c r="Z105" s="35"/>
      <c r="AA105" s="29"/>
      <c r="AB105" s="8"/>
      <c r="AC105" s="26"/>
      <c r="AD105" s="24">
        <f t="shared" si="3"/>
        <v>0</v>
      </c>
      <c r="AE105" s="24">
        <f t="shared" si="4"/>
        <v>0</v>
      </c>
      <c r="AF105" s="24">
        <f t="shared" si="5"/>
        <v>0</v>
      </c>
      <c r="AG105" s="41" t="str" cm="1">
        <f t="array" ref="AG105">_xlfn.IFS(
SUM(AD105:AF105)=0,"Not Started",
SUM(AD105:AF105)&lt;15,"In Progress",
SUM(AD105:AF105)=15,"Completed",
SUM(AD105:AF105)&gt;15,"Error"
)</f>
        <v>Not Started</v>
      </c>
    </row>
    <row r="106" spans="1:33" ht="13" x14ac:dyDescent="0.25">
      <c r="A106" s="248"/>
      <c r="B106" s="14" t="s">
        <v>2565</v>
      </c>
      <c r="C106" s="7"/>
      <c r="D106" s="7"/>
      <c r="E106" s="7"/>
      <c r="F106" s="7"/>
      <c r="G106" s="7"/>
      <c r="H106" s="7"/>
      <c r="I106" s="7"/>
      <c r="J106" s="7"/>
      <c r="K106" s="7"/>
      <c r="L106" s="9"/>
      <c r="M106" s="32"/>
      <c r="N106" s="29"/>
      <c r="O106" s="10"/>
      <c r="P106" s="10"/>
      <c r="Q106" s="35"/>
      <c r="R106" s="29"/>
      <c r="S106" s="10"/>
      <c r="T106" s="10"/>
      <c r="U106" s="10"/>
      <c r="V106" s="10"/>
      <c r="W106" s="10"/>
      <c r="X106" s="10"/>
      <c r="Y106" s="10"/>
      <c r="Z106" s="35"/>
      <c r="AA106" s="29"/>
      <c r="AB106" s="8"/>
      <c r="AC106" s="26"/>
      <c r="AD106" s="24">
        <f t="shared" si="3"/>
        <v>0</v>
      </c>
      <c r="AE106" s="24">
        <f t="shared" si="4"/>
        <v>0</v>
      </c>
      <c r="AF106" s="24">
        <f t="shared" si="5"/>
        <v>0</v>
      </c>
      <c r="AG106" s="41" t="str" cm="1">
        <f t="array" ref="AG106">_xlfn.IFS(
SUM(AD106:AF106)=0,"Not Started",
SUM(AD106:AF106)&lt;15,"In Progress",
SUM(AD106:AF106)=15,"Completed",
SUM(AD106:AF106)&gt;15,"Error"
)</f>
        <v>Not Started</v>
      </c>
    </row>
    <row r="107" spans="1:33" ht="13" x14ac:dyDescent="0.25">
      <c r="A107" s="248"/>
      <c r="B107" s="7" t="s">
        <v>2566</v>
      </c>
      <c r="C107" s="7"/>
      <c r="D107" s="7"/>
      <c r="E107" s="7"/>
      <c r="F107" s="7"/>
      <c r="G107" s="7"/>
      <c r="H107" s="7"/>
      <c r="I107" s="7"/>
      <c r="J107" s="7"/>
      <c r="K107" s="7"/>
      <c r="L107" s="9"/>
      <c r="M107" s="32"/>
      <c r="N107" s="29"/>
      <c r="O107" s="10"/>
      <c r="P107" s="10"/>
      <c r="Q107" s="35"/>
      <c r="R107" s="29"/>
      <c r="S107" s="10"/>
      <c r="T107" s="10"/>
      <c r="U107" s="10"/>
      <c r="V107" s="10"/>
      <c r="W107" s="10"/>
      <c r="X107" s="10"/>
      <c r="Y107" s="10"/>
      <c r="Z107" s="35"/>
      <c r="AA107" s="29"/>
      <c r="AB107" s="8"/>
      <c r="AC107" s="26"/>
      <c r="AD107" s="24">
        <f t="shared" si="3"/>
        <v>0</v>
      </c>
      <c r="AE107" s="24">
        <f t="shared" si="4"/>
        <v>0</v>
      </c>
      <c r="AF107" s="24">
        <f t="shared" si="5"/>
        <v>0</v>
      </c>
      <c r="AG107" s="41" t="str" cm="1">
        <f t="array" ref="AG107">_xlfn.IFS(
SUM(AD107:AF107)=0,"Not Started",
SUM(AD107:AF107)&lt;15,"In Progress",
SUM(AD107:AF107)=15,"Completed",
SUM(AD107:AF107)&gt;15,"Error"
)</f>
        <v>Not Started</v>
      </c>
    </row>
    <row r="108" spans="1:33" ht="13" x14ac:dyDescent="0.25">
      <c r="A108" s="248"/>
      <c r="B108" s="14" t="s">
        <v>2567</v>
      </c>
      <c r="C108" s="7"/>
      <c r="D108" s="7"/>
      <c r="E108" s="7"/>
      <c r="F108" s="7"/>
      <c r="G108" s="7"/>
      <c r="H108" s="7"/>
      <c r="I108" s="7"/>
      <c r="J108" s="7"/>
      <c r="K108" s="7"/>
      <c r="L108" s="9"/>
      <c r="M108" s="32"/>
      <c r="N108" s="29"/>
      <c r="O108" s="10"/>
      <c r="P108" s="10"/>
      <c r="Q108" s="35"/>
      <c r="R108" s="29"/>
      <c r="S108" s="10"/>
      <c r="T108" s="10"/>
      <c r="U108" s="10"/>
      <c r="V108" s="10"/>
      <c r="W108" s="10"/>
      <c r="X108" s="10"/>
      <c r="Y108" s="10"/>
      <c r="Z108" s="35"/>
      <c r="AA108" s="29"/>
      <c r="AB108" s="8"/>
      <c r="AC108" s="26"/>
      <c r="AD108" s="24">
        <f t="shared" si="3"/>
        <v>0</v>
      </c>
      <c r="AE108" s="24">
        <f t="shared" si="4"/>
        <v>0</v>
      </c>
      <c r="AF108" s="24">
        <f t="shared" si="5"/>
        <v>0</v>
      </c>
      <c r="AG108" s="41" t="str" cm="1">
        <f t="array" ref="AG108">_xlfn.IFS(
SUM(AD108:AF108)=0,"Not Started",
SUM(AD108:AF108)&lt;15,"In Progress",
SUM(AD108:AF108)=15,"Completed",
SUM(AD108:AF108)&gt;15,"Error"
)</f>
        <v>Not Started</v>
      </c>
    </row>
    <row r="109" spans="1:33" ht="13" x14ac:dyDescent="0.25">
      <c r="A109" s="248"/>
      <c r="B109" s="7" t="s">
        <v>2568</v>
      </c>
      <c r="C109" s="7"/>
      <c r="D109" s="7"/>
      <c r="E109" s="7"/>
      <c r="F109" s="7"/>
      <c r="G109" s="7"/>
      <c r="H109" s="7"/>
      <c r="I109" s="7"/>
      <c r="J109" s="7"/>
      <c r="K109" s="7"/>
      <c r="L109" s="9"/>
      <c r="M109" s="32"/>
      <c r="N109" s="29"/>
      <c r="O109" s="10"/>
      <c r="P109" s="10"/>
      <c r="Q109" s="35"/>
      <c r="R109" s="29"/>
      <c r="S109" s="10"/>
      <c r="T109" s="10"/>
      <c r="U109" s="10"/>
      <c r="V109" s="10"/>
      <c r="W109" s="10"/>
      <c r="X109" s="10"/>
      <c r="Y109" s="10"/>
      <c r="Z109" s="35"/>
      <c r="AA109" s="29"/>
      <c r="AB109" s="8"/>
      <c r="AC109" s="26"/>
      <c r="AD109" s="24">
        <f t="shared" si="3"/>
        <v>0</v>
      </c>
      <c r="AE109" s="24">
        <f t="shared" si="4"/>
        <v>0</v>
      </c>
      <c r="AF109" s="24">
        <f t="shared" si="5"/>
        <v>0</v>
      </c>
      <c r="AG109" s="41" t="str" cm="1">
        <f t="array" ref="AG109">_xlfn.IFS(
SUM(AD109:AF109)=0,"Not Started",
SUM(AD109:AF109)&lt;15,"In Progress",
SUM(AD109:AF109)=15,"Completed",
SUM(AD109:AF109)&gt;15,"Error"
)</f>
        <v>Not Started</v>
      </c>
    </row>
    <row r="110" spans="1:33" ht="13" x14ac:dyDescent="0.25">
      <c r="A110" s="248"/>
      <c r="B110" s="14" t="s">
        <v>2569</v>
      </c>
      <c r="C110" s="7"/>
      <c r="D110" s="7"/>
      <c r="E110" s="7"/>
      <c r="F110" s="7"/>
      <c r="G110" s="7"/>
      <c r="H110" s="7"/>
      <c r="I110" s="7"/>
      <c r="J110" s="7"/>
      <c r="K110" s="7"/>
      <c r="L110" s="9"/>
      <c r="M110" s="32"/>
      <c r="N110" s="29"/>
      <c r="O110" s="10"/>
      <c r="P110" s="10"/>
      <c r="Q110" s="35"/>
      <c r="R110" s="29"/>
      <c r="S110" s="10"/>
      <c r="T110" s="10"/>
      <c r="U110" s="10"/>
      <c r="V110" s="10"/>
      <c r="W110" s="10"/>
      <c r="X110" s="10"/>
      <c r="Y110" s="10"/>
      <c r="Z110" s="35"/>
      <c r="AA110" s="29"/>
      <c r="AB110" s="8"/>
      <c r="AC110" s="26"/>
      <c r="AD110" s="24">
        <f t="shared" si="3"/>
        <v>0</v>
      </c>
      <c r="AE110" s="24">
        <f t="shared" si="4"/>
        <v>0</v>
      </c>
      <c r="AF110" s="24">
        <f t="shared" si="5"/>
        <v>0</v>
      </c>
      <c r="AG110" s="41" t="str" cm="1">
        <f t="array" ref="AG110">_xlfn.IFS(
SUM(AD110:AF110)=0,"Not Started",
SUM(AD110:AF110)&lt;15,"In Progress",
SUM(AD110:AF110)=15,"Completed",
SUM(AD110:AF110)&gt;15,"Error"
)</f>
        <v>Not Started</v>
      </c>
    </row>
    <row r="111" spans="1:33" ht="13" x14ac:dyDescent="0.25">
      <c r="A111" s="248"/>
      <c r="B111" s="7" t="s">
        <v>2570</v>
      </c>
      <c r="C111" s="7"/>
      <c r="D111" s="7"/>
      <c r="E111" s="7"/>
      <c r="F111" s="7"/>
      <c r="G111" s="7"/>
      <c r="H111" s="7"/>
      <c r="I111" s="7"/>
      <c r="J111" s="7"/>
      <c r="K111" s="7"/>
      <c r="L111" s="9"/>
      <c r="M111" s="32"/>
      <c r="N111" s="29"/>
      <c r="O111" s="10"/>
      <c r="P111" s="10"/>
      <c r="Q111" s="35"/>
      <c r="R111" s="29"/>
      <c r="S111" s="10"/>
      <c r="T111" s="10"/>
      <c r="U111" s="10"/>
      <c r="V111" s="10"/>
      <c r="W111" s="10"/>
      <c r="X111" s="10"/>
      <c r="Y111" s="10"/>
      <c r="Z111" s="35"/>
      <c r="AA111" s="29"/>
      <c r="AB111" s="8"/>
      <c r="AC111" s="26"/>
      <c r="AD111" s="24">
        <f t="shared" si="3"/>
        <v>0</v>
      </c>
      <c r="AE111" s="24">
        <f t="shared" si="4"/>
        <v>0</v>
      </c>
      <c r="AF111" s="24">
        <f t="shared" si="5"/>
        <v>0</v>
      </c>
      <c r="AG111" s="41" t="str" cm="1">
        <f t="array" ref="AG111">_xlfn.IFS(
SUM(AD111:AF111)=0,"Not Started",
SUM(AD111:AF111)&lt;15,"In Progress",
SUM(AD111:AF111)=15,"Completed",
SUM(AD111:AF111)&gt;15,"Error"
)</f>
        <v>Not Started</v>
      </c>
    </row>
    <row r="112" spans="1:33" ht="13" x14ac:dyDescent="0.25">
      <c r="A112" s="248"/>
      <c r="B112" s="14" t="s">
        <v>2571</v>
      </c>
      <c r="C112" s="7"/>
      <c r="D112" s="7"/>
      <c r="E112" s="7"/>
      <c r="F112" s="7"/>
      <c r="G112" s="7"/>
      <c r="H112" s="7"/>
      <c r="I112" s="7"/>
      <c r="J112" s="7"/>
      <c r="K112" s="7"/>
      <c r="L112" s="9"/>
      <c r="M112" s="32"/>
      <c r="N112" s="29"/>
      <c r="O112" s="10"/>
      <c r="P112" s="10"/>
      <c r="Q112" s="35"/>
      <c r="R112" s="29"/>
      <c r="S112" s="10"/>
      <c r="T112" s="10"/>
      <c r="U112" s="10"/>
      <c r="V112" s="10"/>
      <c r="W112" s="10"/>
      <c r="X112" s="10"/>
      <c r="Y112" s="10"/>
      <c r="Z112" s="35"/>
      <c r="AA112" s="29"/>
      <c r="AB112" s="8"/>
      <c r="AC112" s="26"/>
      <c r="AD112" s="24">
        <f t="shared" si="3"/>
        <v>0</v>
      </c>
      <c r="AE112" s="24">
        <f t="shared" si="4"/>
        <v>0</v>
      </c>
      <c r="AF112" s="24">
        <f t="shared" si="5"/>
        <v>0</v>
      </c>
      <c r="AG112" s="41" t="str" cm="1">
        <f t="array" ref="AG112">_xlfn.IFS(
SUM(AD112:AF112)=0,"Not Started",
SUM(AD112:AF112)&lt;15,"In Progress",
SUM(AD112:AF112)=15,"Completed",
SUM(AD112:AF112)&gt;15,"Error"
)</f>
        <v>Not Started</v>
      </c>
    </row>
    <row r="113" spans="1:33" ht="13" x14ac:dyDescent="0.25">
      <c r="A113" s="248"/>
      <c r="B113" s="7" t="s">
        <v>2572</v>
      </c>
      <c r="C113" s="7"/>
      <c r="D113" s="7"/>
      <c r="E113" s="7"/>
      <c r="F113" s="7"/>
      <c r="G113" s="7"/>
      <c r="H113" s="7"/>
      <c r="I113" s="7"/>
      <c r="J113" s="7"/>
      <c r="K113" s="7"/>
      <c r="L113" s="9"/>
      <c r="M113" s="32"/>
      <c r="N113" s="29"/>
      <c r="O113" s="10"/>
      <c r="P113" s="10"/>
      <c r="Q113" s="35"/>
      <c r="R113" s="29"/>
      <c r="S113" s="10"/>
      <c r="T113" s="10"/>
      <c r="U113" s="10"/>
      <c r="V113" s="10"/>
      <c r="W113" s="10"/>
      <c r="X113" s="10"/>
      <c r="Y113" s="10"/>
      <c r="Z113" s="35"/>
      <c r="AA113" s="29"/>
      <c r="AB113" s="8"/>
      <c r="AC113" s="26"/>
      <c r="AD113" s="24">
        <f t="shared" si="3"/>
        <v>0</v>
      </c>
      <c r="AE113" s="24">
        <f t="shared" si="4"/>
        <v>0</v>
      </c>
      <c r="AF113" s="24">
        <f t="shared" si="5"/>
        <v>0</v>
      </c>
      <c r="AG113" s="41" t="str" cm="1">
        <f t="array" ref="AG113">_xlfn.IFS(
SUM(AD113:AF113)=0,"Not Started",
SUM(AD113:AF113)&lt;15,"In Progress",
SUM(AD113:AF113)=15,"Completed",
SUM(AD113:AF113)&gt;15,"Error"
)</f>
        <v>Not Started</v>
      </c>
    </row>
    <row r="114" spans="1:33" ht="13" x14ac:dyDescent="0.25">
      <c r="A114" s="248"/>
      <c r="B114" s="14" t="s">
        <v>2573</v>
      </c>
      <c r="C114" s="7"/>
      <c r="D114" s="7"/>
      <c r="E114" s="7"/>
      <c r="F114" s="7"/>
      <c r="G114" s="7"/>
      <c r="H114" s="7"/>
      <c r="I114" s="7"/>
      <c r="J114" s="7"/>
      <c r="K114" s="7"/>
      <c r="L114" s="9"/>
      <c r="M114" s="32"/>
      <c r="N114" s="29"/>
      <c r="O114" s="10"/>
      <c r="P114" s="10"/>
      <c r="Q114" s="35"/>
      <c r="R114" s="29"/>
      <c r="S114" s="10"/>
      <c r="T114" s="10"/>
      <c r="U114" s="10"/>
      <c r="V114" s="10"/>
      <c r="W114" s="10"/>
      <c r="X114" s="10"/>
      <c r="Y114" s="10"/>
      <c r="Z114" s="35"/>
      <c r="AA114" s="29"/>
      <c r="AB114" s="8"/>
      <c r="AC114" s="26"/>
      <c r="AD114" s="24">
        <f t="shared" si="3"/>
        <v>0</v>
      </c>
      <c r="AE114" s="24">
        <f t="shared" si="4"/>
        <v>0</v>
      </c>
      <c r="AF114" s="24">
        <f t="shared" si="5"/>
        <v>0</v>
      </c>
      <c r="AG114" s="41" t="str" cm="1">
        <f t="array" ref="AG114">_xlfn.IFS(
SUM(AD114:AF114)=0,"Not Started",
SUM(AD114:AF114)&lt;15,"In Progress",
SUM(AD114:AF114)=15,"Completed",
SUM(AD114:AF114)&gt;15,"Error"
)</f>
        <v>Not Started</v>
      </c>
    </row>
    <row r="115" spans="1:33" ht="13" x14ac:dyDescent="0.25">
      <c r="A115" s="248"/>
      <c r="B115" s="7" t="s">
        <v>2574</v>
      </c>
      <c r="C115" s="7"/>
      <c r="D115" s="7"/>
      <c r="E115" s="7"/>
      <c r="F115" s="7"/>
      <c r="G115" s="7"/>
      <c r="H115" s="7"/>
      <c r="I115" s="7"/>
      <c r="J115" s="7"/>
      <c r="K115" s="7"/>
      <c r="L115" s="9"/>
      <c r="M115" s="32"/>
      <c r="N115" s="29"/>
      <c r="O115" s="10"/>
      <c r="P115" s="10"/>
      <c r="Q115" s="35"/>
      <c r="R115" s="29"/>
      <c r="S115" s="10"/>
      <c r="T115" s="10"/>
      <c r="U115" s="10"/>
      <c r="V115" s="10"/>
      <c r="W115" s="10"/>
      <c r="X115" s="10"/>
      <c r="Y115" s="10"/>
      <c r="Z115" s="35"/>
      <c r="AA115" s="29"/>
      <c r="AB115" s="8"/>
      <c r="AC115" s="26"/>
      <c r="AD115" s="24">
        <f t="shared" si="3"/>
        <v>0</v>
      </c>
      <c r="AE115" s="24">
        <f t="shared" si="4"/>
        <v>0</v>
      </c>
      <c r="AF115" s="24">
        <f t="shared" si="5"/>
        <v>0</v>
      </c>
      <c r="AG115" s="41" t="str" cm="1">
        <f t="array" ref="AG115">_xlfn.IFS(
SUM(AD115:AF115)=0,"Not Started",
SUM(AD115:AF115)&lt;15,"In Progress",
SUM(AD115:AF115)=15,"Completed",
SUM(AD115:AF115)&gt;15,"Error"
)</f>
        <v>Not Started</v>
      </c>
    </row>
    <row r="116" spans="1:33" ht="13" x14ac:dyDescent="0.25">
      <c r="A116" s="248"/>
      <c r="B116" s="14" t="s">
        <v>2575</v>
      </c>
      <c r="C116" s="7"/>
      <c r="D116" s="7"/>
      <c r="E116" s="7"/>
      <c r="F116" s="7"/>
      <c r="G116" s="7"/>
      <c r="H116" s="7"/>
      <c r="I116" s="7"/>
      <c r="J116" s="7"/>
      <c r="K116" s="7"/>
      <c r="L116" s="9"/>
      <c r="M116" s="32"/>
      <c r="N116" s="29"/>
      <c r="O116" s="10"/>
      <c r="P116" s="10"/>
      <c r="Q116" s="35"/>
      <c r="R116" s="29"/>
      <c r="S116" s="10"/>
      <c r="T116" s="10"/>
      <c r="U116" s="10"/>
      <c r="V116" s="10"/>
      <c r="W116" s="10"/>
      <c r="X116" s="10"/>
      <c r="Y116" s="10"/>
      <c r="Z116" s="35"/>
      <c r="AA116" s="29"/>
      <c r="AB116" s="8"/>
      <c r="AC116" s="26"/>
      <c r="AD116" s="24">
        <f t="shared" si="3"/>
        <v>0</v>
      </c>
      <c r="AE116" s="24">
        <f t="shared" si="4"/>
        <v>0</v>
      </c>
      <c r="AF116" s="24">
        <f t="shared" si="5"/>
        <v>0</v>
      </c>
      <c r="AG116" s="41" t="str" cm="1">
        <f t="array" ref="AG116">_xlfn.IFS(
SUM(AD116:AF116)=0,"Not Started",
SUM(AD116:AF116)&lt;15,"In Progress",
SUM(AD116:AF116)=15,"Completed",
SUM(AD116:AF116)&gt;15,"Error"
)</f>
        <v>Not Started</v>
      </c>
    </row>
    <row r="117" spans="1:33" ht="13" x14ac:dyDescent="0.25">
      <c r="A117" s="248"/>
      <c r="B117" s="7" t="s">
        <v>2576</v>
      </c>
      <c r="C117" s="7"/>
      <c r="D117" s="7"/>
      <c r="E117" s="7"/>
      <c r="F117" s="7"/>
      <c r="G117" s="7"/>
      <c r="H117" s="7"/>
      <c r="I117" s="7"/>
      <c r="J117" s="7"/>
      <c r="K117" s="7"/>
      <c r="L117" s="9"/>
      <c r="M117" s="32"/>
      <c r="N117" s="29"/>
      <c r="O117" s="10"/>
      <c r="P117" s="10"/>
      <c r="Q117" s="35"/>
      <c r="R117" s="29"/>
      <c r="S117" s="10"/>
      <c r="T117" s="10"/>
      <c r="U117" s="10"/>
      <c r="V117" s="10"/>
      <c r="W117" s="10"/>
      <c r="X117" s="10"/>
      <c r="Y117" s="10"/>
      <c r="Z117" s="35"/>
      <c r="AA117" s="29"/>
      <c r="AB117" s="8"/>
      <c r="AC117" s="26"/>
      <c r="AD117" s="24">
        <f t="shared" si="3"/>
        <v>0</v>
      </c>
      <c r="AE117" s="24">
        <f t="shared" si="4"/>
        <v>0</v>
      </c>
      <c r="AF117" s="24">
        <f t="shared" si="5"/>
        <v>0</v>
      </c>
      <c r="AG117" s="41" t="str" cm="1">
        <f t="array" ref="AG117">_xlfn.IFS(
SUM(AD117:AF117)=0,"Not Started",
SUM(AD117:AF117)&lt;15,"In Progress",
SUM(AD117:AF117)=15,"Completed",
SUM(AD117:AF117)&gt;15,"Error"
)</f>
        <v>Not Started</v>
      </c>
    </row>
    <row r="118" spans="1:33" ht="13" x14ac:dyDescent="0.25">
      <c r="A118" s="248"/>
      <c r="B118" s="14" t="s">
        <v>2577</v>
      </c>
      <c r="C118" s="7"/>
      <c r="D118" s="7"/>
      <c r="E118" s="7"/>
      <c r="F118" s="7"/>
      <c r="G118" s="7"/>
      <c r="H118" s="7"/>
      <c r="I118" s="7"/>
      <c r="J118" s="7"/>
      <c r="K118" s="7"/>
      <c r="L118" s="9"/>
      <c r="M118" s="32"/>
      <c r="N118" s="29"/>
      <c r="O118" s="10"/>
      <c r="P118" s="10"/>
      <c r="Q118" s="35"/>
      <c r="R118" s="29"/>
      <c r="S118" s="10"/>
      <c r="T118" s="10"/>
      <c r="U118" s="10"/>
      <c r="V118" s="10"/>
      <c r="W118" s="10"/>
      <c r="X118" s="10"/>
      <c r="Y118" s="10"/>
      <c r="Z118" s="35"/>
      <c r="AA118" s="29"/>
      <c r="AB118" s="8"/>
      <c r="AC118" s="26"/>
      <c r="AD118" s="24">
        <f t="shared" si="3"/>
        <v>0</v>
      </c>
      <c r="AE118" s="24">
        <f t="shared" si="4"/>
        <v>0</v>
      </c>
      <c r="AF118" s="24">
        <f t="shared" si="5"/>
        <v>0</v>
      </c>
      <c r="AG118" s="41" t="str" cm="1">
        <f t="array" ref="AG118">_xlfn.IFS(
SUM(AD118:AF118)=0,"Not Started",
SUM(AD118:AF118)&lt;15,"In Progress",
SUM(AD118:AF118)=15,"Completed",
SUM(AD118:AF118)&gt;15,"Error"
)</f>
        <v>Not Started</v>
      </c>
    </row>
    <row r="119" spans="1:33" ht="13" x14ac:dyDescent="0.25">
      <c r="A119" s="248"/>
      <c r="B119" s="7" t="s">
        <v>2578</v>
      </c>
      <c r="C119" s="7"/>
      <c r="D119" s="7"/>
      <c r="E119" s="7"/>
      <c r="F119" s="7"/>
      <c r="G119" s="7"/>
      <c r="H119" s="7"/>
      <c r="I119" s="7"/>
      <c r="J119" s="7"/>
      <c r="K119" s="7"/>
      <c r="L119" s="9"/>
      <c r="M119" s="32"/>
      <c r="N119" s="29"/>
      <c r="O119" s="10"/>
      <c r="P119" s="10"/>
      <c r="Q119" s="35"/>
      <c r="R119" s="29"/>
      <c r="S119" s="10"/>
      <c r="T119" s="10"/>
      <c r="U119" s="10"/>
      <c r="V119" s="10"/>
      <c r="W119" s="10"/>
      <c r="X119" s="10"/>
      <c r="Y119" s="10"/>
      <c r="Z119" s="35"/>
      <c r="AA119" s="29"/>
      <c r="AB119" s="8"/>
      <c r="AC119" s="26"/>
      <c r="AD119" s="24">
        <f t="shared" si="3"/>
        <v>0</v>
      </c>
      <c r="AE119" s="24">
        <f t="shared" si="4"/>
        <v>0</v>
      </c>
      <c r="AF119" s="24">
        <f t="shared" si="5"/>
        <v>0</v>
      </c>
      <c r="AG119" s="41" t="str" cm="1">
        <f t="array" ref="AG119">_xlfn.IFS(
SUM(AD119:AF119)=0,"Not Started",
SUM(AD119:AF119)&lt;15,"In Progress",
SUM(AD119:AF119)=15,"Completed",
SUM(AD119:AF119)&gt;15,"Error"
)</f>
        <v>Not Started</v>
      </c>
    </row>
    <row r="120" spans="1:33" ht="13" x14ac:dyDescent="0.25">
      <c r="A120" s="248"/>
      <c r="B120" s="14" t="s">
        <v>2579</v>
      </c>
      <c r="C120" s="7"/>
      <c r="D120" s="7"/>
      <c r="E120" s="7"/>
      <c r="F120" s="7"/>
      <c r="G120" s="7"/>
      <c r="H120" s="7"/>
      <c r="I120" s="7"/>
      <c r="J120" s="7"/>
      <c r="K120" s="7"/>
      <c r="L120" s="9"/>
      <c r="M120" s="32"/>
      <c r="N120" s="29"/>
      <c r="O120" s="10"/>
      <c r="P120" s="10"/>
      <c r="Q120" s="35"/>
      <c r="R120" s="29"/>
      <c r="S120" s="10"/>
      <c r="T120" s="10"/>
      <c r="U120" s="10"/>
      <c r="V120" s="10"/>
      <c r="W120" s="10"/>
      <c r="X120" s="10"/>
      <c r="Y120" s="10"/>
      <c r="Z120" s="35"/>
      <c r="AA120" s="29"/>
      <c r="AB120" s="8"/>
      <c r="AC120" s="26"/>
      <c r="AD120" s="24">
        <f t="shared" si="3"/>
        <v>0</v>
      </c>
      <c r="AE120" s="24">
        <f t="shared" si="4"/>
        <v>0</v>
      </c>
      <c r="AF120" s="24">
        <f t="shared" si="5"/>
        <v>0</v>
      </c>
      <c r="AG120" s="41" t="str" cm="1">
        <f t="array" ref="AG120">_xlfn.IFS(
SUM(AD120:AF120)=0,"Not Started",
SUM(AD120:AF120)&lt;15,"In Progress",
SUM(AD120:AF120)=15,"Completed",
SUM(AD120:AF120)&gt;15,"Error"
)</f>
        <v>Not Started</v>
      </c>
    </row>
    <row r="121" spans="1:33" ht="13" x14ac:dyDescent="0.25">
      <c r="A121" s="248"/>
      <c r="B121" s="7" t="s">
        <v>2580</v>
      </c>
      <c r="C121" s="7"/>
      <c r="D121" s="7"/>
      <c r="E121" s="7"/>
      <c r="F121" s="7"/>
      <c r="G121" s="7"/>
      <c r="H121" s="7"/>
      <c r="I121" s="7"/>
      <c r="J121" s="7"/>
      <c r="K121" s="7"/>
      <c r="L121" s="9"/>
      <c r="M121" s="32"/>
      <c r="N121" s="29"/>
      <c r="O121" s="10"/>
      <c r="P121" s="10"/>
      <c r="Q121" s="35"/>
      <c r="R121" s="29"/>
      <c r="S121" s="10"/>
      <c r="T121" s="10"/>
      <c r="U121" s="10"/>
      <c r="V121" s="10"/>
      <c r="W121" s="10"/>
      <c r="X121" s="10"/>
      <c r="Y121" s="10"/>
      <c r="Z121" s="35"/>
      <c r="AA121" s="29"/>
      <c r="AB121" s="8"/>
      <c r="AC121" s="26"/>
      <c r="AD121" s="24">
        <f t="shared" si="3"/>
        <v>0</v>
      </c>
      <c r="AE121" s="24">
        <f t="shared" si="4"/>
        <v>0</v>
      </c>
      <c r="AF121" s="24">
        <f t="shared" si="5"/>
        <v>0</v>
      </c>
      <c r="AG121" s="41" t="str" cm="1">
        <f t="array" ref="AG121">_xlfn.IFS(
SUM(AD121:AF121)=0,"Not Started",
SUM(AD121:AF121)&lt;15,"In Progress",
SUM(AD121:AF121)=15,"Completed",
SUM(AD121:AF121)&gt;15,"Error"
)</f>
        <v>Not Started</v>
      </c>
    </row>
    <row r="122" spans="1:33" ht="13" x14ac:dyDescent="0.25">
      <c r="A122" s="248"/>
      <c r="B122" s="14" t="s">
        <v>2581</v>
      </c>
      <c r="C122" s="7"/>
      <c r="D122" s="7"/>
      <c r="E122" s="7"/>
      <c r="F122" s="7"/>
      <c r="G122" s="7"/>
      <c r="H122" s="7"/>
      <c r="I122" s="7"/>
      <c r="J122" s="7"/>
      <c r="K122" s="7"/>
      <c r="L122" s="9"/>
      <c r="M122" s="32"/>
      <c r="N122" s="29"/>
      <c r="O122" s="10"/>
      <c r="P122" s="10"/>
      <c r="Q122" s="35"/>
      <c r="R122" s="29"/>
      <c r="S122" s="10"/>
      <c r="T122" s="10"/>
      <c r="U122" s="10"/>
      <c r="V122" s="10"/>
      <c r="W122" s="10"/>
      <c r="X122" s="10"/>
      <c r="Y122" s="10"/>
      <c r="Z122" s="35"/>
      <c r="AA122" s="29"/>
      <c r="AB122" s="8"/>
      <c r="AC122" s="26"/>
      <c r="AD122" s="24">
        <f t="shared" si="3"/>
        <v>0</v>
      </c>
      <c r="AE122" s="24">
        <f t="shared" si="4"/>
        <v>0</v>
      </c>
      <c r="AF122" s="24">
        <f t="shared" si="5"/>
        <v>0</v>
      </c>
      <c r="AG122" s="41" t="str" cm="1">
        <f t="array" ref="AG122">_xlfn.IFS(
SUM(AD122:AF122)=0,"Not Started",
SUM(AD122:AF122)&lt;15,"In Progress",
SUM(AD122:AF122)=15,"Completed",
SUM(AD122:AF122)&gt;15,"Error"
)</f>
        <v>Not Started</v>
      </c>
    </row>
    <row r="123" spans="1:33" ht="13" x14ac:dyDescent="0.25">
      <c r="A123" s="248"/>
      <c r="B123" s="7" t="s">
        <v>2582</v>
      </c>
      <c r="C123" s="7"/>
      <c r="D123" s="7"/>
      <c r="E123" s="7"/>
      <c r="F123" s="7"/>
      <c r="G123" s="7"/>
      <c r="H123" s="7"/>
      <c r="I123" s="7"/>
      <c r="J123" s="7"/>
      <c r="K123" s="7"/>
      <c r="L123" s="9"/>
      <c r="M123" s="32"/>
      <c r="N123" s="29"/>
      <c r="O123" s="10"/>
      <c r="P123" s="10"/>
      <c r="Q123" s="35"/>
      <c r="R123" s="29"/>
      <c r="S123" s="10"/>
      <c r="T123" s="10"/>
      <c r="U123" s="10"/>
      <c r="V123" s="10"/>
      <c r="W123" s="10"/>
      <c r="X123" s="10"/>
      <c r="Y123" s="10"/>
      <c r="Z123" s="35"/>
      <c r="AA123" s="29"/>
      <c r="AB123" s="8"/>
      <c r="AC123" s="26"/>
      <c r="AD123" s="24">
        <f t="shared" si="3"/>
        <v>0</v>
      </c>
      <c r="AE123" s="24">
        <f t="shared" si="4"/>
        <v>0</v>
      </c>
      <c r="AF123" s="24">
        <f t="shared" si="5"/>
        <v>0</v>
      </c>
      <c r="AG123" s="41" t="str" cm="1">
        <f t="array" ref="AG123">_xlfn.IFS(
SUM(AD123:AF123)=0,"Not Started",
SUM(AD123:AF123)&lt;15,"In Progress",
SUM(AD123:AF123)=15,"Completed",
SUM(AD123:AF123)&gt;15,"Error"
)</f>
        <v>Not Started</v>
      </c>
    </row>
    <row r="124" spans="1:33" ht="13" x14ac:dyDescent="0.25">
      <c r="A124" s="248"/>
      <c r="B124" s="14" t="s">
        <v>2583</v>
      </c>
      <c r="C124" s="7"/>
      <c r="D124" s="7"/>
      <c r="E124" s="7"/>
      <c r="F124" s="7"/>
      <c r="G124" s="7"/>
      <c r="H124" s="7"/>
      <c r="I124" s="7"/>
      <c r="J124" s="7"/>
      <c r="K124" s="7"/>
      <c r="L124" s="9"/>
      <c r="M124" s="32"/>
      <c r="N124" s="29"/>
      <c r="O124" s="10"/>
      <c r="P124" s="10"/>
      <c r="Q124" s="35"/>
      <c r="R124" s="29"/>
      <c r="S124" s="10"/>
      <c r="T124" s="10"/>
      <c r="U124" s="10"/>
      <c r="V124" s="10"/>
      <c r="W124" s="10"/>
      <c r="X124" s="10"/>
      <c r="Y124" s="10"/>
      <c r="Z124" s="35"/>
      <c r="AA124" s="29"/>
      <c r="AB124" s="8"/>
      <c r="AC124" s="26"/>
      <c r="AD124" s="24">
        <f t="shared" si="3"/>
        <v>0</v>
      </c>
      <c r="AE124" s="24">
        <f t="shared" si="4"/>
        <v>0</v>
      </c>
      <c r="AF124" s="24">
        <f t="shared" si="5"/>
        <v>0</v>
      </c>
      <c r="AG124" s="41" t="str" cm="1">
        <f t="array" ref="AG124">_xlfn.IFS(
SUM(AD124:AF124)=0,"Not Started",
SUM(AD124:AF124)&lt;15,"In Progress",
SUM(AD124:AF124)=15,"Completed",
SUM(AD124:AF124)&gt;15,"Error"
)</f>
        <v>Not Started</v>
      </c>
    </row>
    <row r="125" spans="1:33" ht="13" x14ac:dyDescent="0.25">
      <c r="A125" s="248"/>
      <c r="B125" s="7" t="s">
        <v>2584</v>
      </c>
      <c r="C125" s="7"/>
      <c r="D125" s="7"/>
      <c r="E125" s="7"/>
      <c r="F125" s="7"/>
      <c r="G125" s="7"/>
      <c r="H125" s="7"/>
      <c r="I125" s="7"/>
      <c r="J125" s="7"/>
      <c r="K125" s="7"/>
      <c r="L125" s="9"/>
      <c r="M125" s="32"/>
      <c r="N125" s="29"/>
      <c r="O125" s="10"/>
      <c r="P125" s="10"/>
      <c r="Q125" s="35"/>
      <c r="R125" s="29"/>
      <c r="S125" s="10"/>
      <c r="T125" s="10"/>
      <c r="U125" s="10"/>
      <c r="V125" s="10"/>
      <c r="W125" s="10"/>
      <c r="X125" s="10"/>
      <c r="Y125" s="10"/>
      <c r="Z125" s="35"/>
      <c r="AA125" s="29"/>
      <c r="AB125" s="8"/>
      <c r="AC125" s="26"/>
      <c r="AD125" s="24">
        <f t="shared" si="3"/>
        <v>0</v>
      </c>
      <c r="AE125" s="24">
        <f t="shared" si="4"/>
        <v>0</v>
      </c>
      <c r="AF125" s="24">
        <f t="shared" si="5"/>
        <v>0</v>
      </c>
      <c r="AG125" s="41" t="str" cm="1">
        <f t="array" ref="AG125">_xlfn.IFS(
SUM(AD125:AF125)=0,"Not Started",
SUM(AD125:AF125)&lt;15,"In Progress",
SUM(AD125:AF125)=15,"Completed",
SUM(AD125:AF125)&gt;15,"Error"
)</f>
        <v>Not Started</v>
      </c>
    </row>
    <row r="126" spans="1:33" ht="13" x14ac:dyDescent="0.25">
      <c r="A126" s="248"/>
      <c r="B126" s="14" t="s">
        <v>2585</v>
      </c>
      <c r="C126" s="7"/>
      <c r="D126" s="7"/>
      <c r="E126" s="7"/>
      <c r="F126" s="7"/>
      <c r="G126" s="7"/>
      <c r="H126" s="7"/>
      <c r="I126" s="7"/>
      <c r="J126" s="7"/>
      <c r="K126" s="7"/>
      <c r="L126" s="9"/>
      <c r="M126" s="32"/>
      <c r="N126" s="29"/>
      <c r="O126" s="10"/>
      <c r="P126" s="10"/>
      <c r="Q126" s="35"/>
      <c r="R126" s="29"/>
      <c r="S126" s="10"/>
      <c r="T126" s="10"/>
      <c r="U126" s="10"/>
      <c r="V126" s="10"/>
      <c r="W126" s="10"/>
      <c r="X126" s="10"/>
      <c r="Y126" s="10"/>
      <c r="Z126" s="35"/>
      <c r="AA126" s="29"/>
      <c r="AB126" s="8"/>
      <c r="AC126" s="26"/>
      <c r="AD126" s="24">
        <f t="shared" si="3"/>
        <v>0</v>
      </c>
      <c r="AE126" s="24">
        <f t="shared" si="4"/>
        <v>0</v>
      </c>
      <c r="AF126" s="24">
        <f t="shared" si="5"/>
        <v>0</v>
      </c>
      <c r="AG126" s="41" t="str" cm="1">
        <f t="array" ref="AG126">_xlfn.IFS(
SUM(AD126:AF126)=0,"Not Started",
SUM(AD126:AF126)&lt;15,"In Progress",
SUM(AD126:AF126)=15,"Completed",
SUM(AD126:AF126)&gt;15,"Error"
)</f>
        <v>Not Started</v>
      </c>
    </row>
    <row r="127" spans="1:33" ht="13" x14ac:dyDescent="0.25">
      <c r="A127" s="248"/>
      <c r="B127" s="7" t="s">
        <v>2586</v>
      </c>
      <c r="C127" s="7"/>
      <c r="D127" s="7"/>
      <c r="E127" s="7"/>
      <c r="F127" s="7"/>
      <c r="G127" s="7"/>
      <c r="H127" s="7"/>
      <c r="I127" s="7"/>
      <c r="J127" s="7"/>
      <c r="K127" s="7"/>
      <c r="L127" s="9"/>
      <c r="M127" s="32"/>
      <c r="N127" s="29"/>
      <c r="O127" s="10"/>
      <c r="P127" s="10"/>
      <c r="Q127" s="35"/>
      <c r="R127" s="29"/>
      <c r="S127" s="10"/>
      <c r="T127" s="10"/>
      <c r="U127" s="10"/>
      <c r="V127" s="10"/>
      <c r="W127" s="10"/>
      <c r="X127" s="10"/>
      <c r="Y127" s="10"/>
      <c r="Z127" s="35"/>
      <c r="AA127" s="29"/>
      <c r="AB127" s="8"/>
      <c r="AC127" s="26"/>
      <c r="AD127" s="24">
        <f t="shared" si="3"/>
        <v>0</v>
      </c>
      <c r="AE127" s="24">
        <f t="shared" si="4"/>
        <v>0</v>
      </c>
      <c r="AF127" s="24">
        <f t="shared" si="5"/>
        <v>0</v>
      </c>
      <c r="AG127" s="41" t="str" cm="1">
        <f t="array" ref="AG127">_xlfn.IFS(
SUM(AD127:AF127)=0,"Not Started",
SUM(AD127:AF127)&lt;15,"In Progress",
SUM(AD127:AF127)=15,"Completed",
SUM(AD127:AF127)&gt;15,"Error"
)</f>
        <v>Not Started</v>
      </c>
    </row>
    <row r="128" spans="1:33" ht="13" x14ac:dyDescent="0.25">
      <c r="A128" s="248"/>
      <c r="B128" s="14" t="s">
        <v>2587</v>
      </c>
      <c r="C128" s="7"/>
      <c r="D128" s="7"/>
      <c r="E128" s="7"/>
      <c r="F128" s="7"/>
      <c r="G128" s="7"/>
      <c r="H128" s="7"/>
      <c r="I128" s="7"/>
      <c r="J128" s="7"/>
      <c r="K128" s="7"/>
      <c r="L128" s="9"/>
      <c r="M128" s="32"/>
      <c r="N128" s="29"/>
      <c r="O128" s="10"/>
      <c r="P128" s="10"/>
      <c r="Q128" s="35"/>
      <c r="R128" s="29"/>
      <c r="S128" s="10"/>
      <c r="T128" s="10"/>
      <c r="U128" s="10"/>
      <c r="V128" s="10"/>
      <c r="W128" s="10"/>
      <c r="X128" s="10"/>
      <c r="Y128" s="10"/>
      <c r="Z128" s="35"/>
      <c r="AA128" s="29"/>
      <c r="AB128" s="8"/>
      <c r="AC128" s="26"/>
      <c r="AD128" s="24">
        <f t="shared" si="3"/>
        <v>0</v>
      </c>
      <c r="AE128" s="24">
        <f t="shared" si="4"/>
        <v>0</v>
      </c>
      <c r="AF128" s="24">
        <f t="shared" si="5"/>
        <v>0</v>
      </c>
      <c r="AG128" s="41" t="str" cm="1">
        <f t="array" ref="AG128">_xlfn.IFS(
SUM(AD128:AF128)=0,"Not Started",
SUM(AD128:AF128)&lt;15,"In Progress",
SUM(AD128:AF128)=15,"Completed",
SUM(AD128:AF128)&gt;15,"Error"
)</f>
        <v>Not Started</v>
      </c>
    </row>
    <row r="129" spans="1:33" ht="13" x14ac:dyDescent="0.25">
      <c r="A129" s="248"/>
      <c r="B129" s="7" t="s">
        <v>2588</v>
      </c>
      <c r="C129" s="7"/>
      <c r="D129" s="7"/>
      <c r="E129" s="7"/>
      <c r="F129" s="7"/>
      <c r="G129" s="7"/>
      <c r="H129" s="7"/>
      <c r="I129" s="7"/>
      <c r="J129" s="7"/>
      <c r="K129" s="7"/>
      <c r="L129" s="9"/>
      <c r="M129" s="32"/>
      <c r="N129" s="29"/>
      <c r="O129" s="10"/>
      <c r="P129" s="10"/>
      <c r="Q129" s="35"/>
      <c r="R129" s="29"/>
      <c r="S129" s="10"/>
      <c r="T129" s="10"/>
      <c r="U129" s="10"/>
      <c r="V129" s="10"/>
      <c r="W129" s="10"/>
      <c r="X129" s="10"/>
      <c r="Y129" s="10"/>
      <c r="Z129" s="35"/>
      <c r="AA129" s="29"/>
      <c r="AB129" s="8"/>
      <c r="AC129" s="26"/>
      <c r="AD129" s="24">
        <f t="shared" si="3"/>
        <v>0</v>
      </c>
      <c r="AE129" s="24">
        <f t="shared" si="4"/>
        <v>0</v>
      </c>
      <c r="AF129" s="24">
        <f t="shared" si="5"/>
        <v>0</v>
      </c>
      <c r="AG129" s="41" t="str" cm="1">
        <f t="array" ref="AG129">_xlfn.IFS(
SUM(AD129:AF129)=0,"Not Started",
SUM(AD129:AF129)&lt;15,"In Progress",
SUM(AD129:AF129)=15,"Completed",
SUM(AD129:AF129)&gt;15,"Error"
)</f>
        <v>Not Started</v>
      </c>
    </row>
    <row r="130" spans="1:33" ht="13" x14ac:dyDescent="0.25">
      <c r="A130" s="248"/>
      <c r="B130" s="14" t="s">
        <v>2589</v>
      </c>
      <c r="C130" s="7"/>
      <c r="D130" s="7"/>
      <c r="E130" s="7"/>
      <c r="F130" s="7"/>
      <c r="G130" s="7"/>
      <c r="H130" s="7"/>
      <c r="I130" s="7"/>
      <c r="J130" s="7"/>
      <c r="K130" s="7"/>
      <c r="L130" s="9"/>
      <c r="M130" s="32"/>
      <c r="N130" s="29"/>
      <c r="O130" s="10"/>
      <c r="P130" s="10"/>
      <c r="Q130" s="35"/>
      <c r="R130" s="29"/>
      <c r="S130" s="10"/>
      <c r="T130" s="10"/>
      <c r="U130" s="10"/>
      <c r="V130" s="10"/>
      <c r="W130" s="10"/>
      <c r="X130" s="10"/>
      <c r="Y130" s="10"/>
      <c r="Z130" s="35"/>
      <c r="AA130" s="29"/>
      <c r="AB130" s="8"/>
      <c r="AC130" s="26"/>
      <c r="AD130" s="24">
        <f t="shared" si="3"/>
        <v>0</v>
      </c>
      <c r="AE130" s="24">
        <f t="shared" si="4"/>
        <v>0</v>
      </c>
      <c r="AF130" s="24">
        <f t="shared" si="5"/>
        <v>0</v>
      </c>
      <c r="AG130" s="41" t="str" cm="1">
        <f t="array" ref="AG130">_xlfn.IFS(
SUM(AD130:AF130)=0,"Not Started",
SUM(AD130:AF130)&lt;15,"In Progress",
SUM(AD130:AF130)=15,"Completed",
SUM(AD130:AF130)&gt;15,"Error"
)</f>
        <v>Not Started</v>
      </c>
    </row>
    <row r="131" spans="1:33" ht="13" x14ac:dyDescent="0.25">
      <c r="A131" s="248"/>
      <c r="B131" s="7" t="s">
        <v>2590</v>
      </c>
      <c r="C131" s="7"/>
      <c r="D131" s="7"/>
      <c r="E131" s="7"/>
      <c r="F131" s="7"/>
      <c r="G131" s="7"/>
      <c r="H131" s="7"/>
      <c r="I131" s="7"/>
      <c r="J131" s="7"/>
      <c r="K131" s="7"/>
      <c r="L131" s="9"/>
      <c r="M131" s="32"/>
      <c r="N131" s="29"/>
      <c r="O131" s="10"/>
      <c r="P131" s="10"/>
      <c r="Q131" s="35"/>
      <c r="R131" s="29"/>
      <c r="S131" s="10"/>
      <c r="T131" s="10"/>
      <c r="U131" s="10"/>
      <c r="V131" s="10"/>
      <c r="W131" s="10"/>
      <c r="X131" s="10"/>
      <c r="Y131" s="10"/>
      <c r="Z131" s="35"/>
      <c r="AA131" s="29"/>
      <c r="AB131" s="8"/>
      <c r="AC131" s="26"/>
      <c r="AD131" s="24">
        <f t="shared" si="3"/>
        <v>0</v>
      </c>
      <c r="AE131" s="24">
        <f t="shared" si="4"/>
        <v>0</v>
      </c>
      <c r="AF131" s="24">
        <f t="shared" si="5"/>
        <v>0</v>
      </c>
      <c r="AG131" s="41" t="str" cm="1">
        <f t="array" ref="AG131">_xlfn.IFS(
SUM(AD131:AF131)=0,"Not Started",
SUM(AD131:AF131)&lt;15,"In Progress",
SUM(AD131:AF131)=15,"Completed",
SUM(AD131:AF131)&gt;15,"Error"
)</f>
        <v>Not Started</v>
      </c>
    </row>
    <row r="132" spans="1:33" ht="13" x14ac:dyDescent="0.25">
      <c r="A132" s="248"/>
      <c r="B132" s="14" t="s">
        <v>2591</v>
      </c>
      <c r="C132" s="7"/>
      <c r="D132" s="7"/>
      <c r="E132" s="7"/>
      <c r="F132" s="7"/>
      <c r="G132" s="7"/>
      <c r="H132" s="7"/>
      <c r="I132" s="7"/>
      <c r="J132" s="7"/>
      <c r="K132" s="7"/>
      <c r="L132" s="9"/>
      <c r="M132" s="32"/>
      <c r="N132" s="29"/>
      <c r="O132" s="10"/>
      <c r="P132" s="10"/>
      <c r="Q132" s="35"/>
      <c r="R132" s="29"/>
      <c r="S132" s="10"/>
      <c r="T132" s="10"/>
      <c r="U132" s="10"/>
      <c r="V132" s="10"/>
      <c r="W132" s="10"/>
      <c r="X132" s="10"/>
      <c r="Y132" s="10"/>
      <c r="Z132" s="35"/>
      <c r="AA132" s="29"/>
      <c r="AB132" s="8"/>
      <c r="AC132" s="26"/>
      <c r="AD132" s="24">
        <f t="shared" si="3"/>
        <v>0</v>
      </c>
      <c r="AE132" s="24">
        <f t="shared" si="4"/>
        <v>0</v>
      </c>
      <c r="AF132" s="24">
        <f t="shared" si="5"/>
        <v>0</v>
      </c>
      <c r="AG132" s="41" t="str" cm="1">
        <f t="array" ref="AG132">_xlfn.IFS(
SUM(AD132:AF132)=0,"Not Started",
SUM(AD132:AF132)&lt;15,"In Progress",
SUM(AD132:AF132)=15,"Completed",
SUM(AD132:AF132)&gt;15,"Error"
)</f>
        <v>Not Started</v>
      </c>
    </row>
    <row r="133" spans="1:33" ht="13" x14ac:dyDescent="0.25">
      <c r="A133" s="248"/>
      <c r="B133" s="7" t="s">
        <v>2592</v>
      </c>
      <c r="C133" s="7"/>
      <c r="D133" s="7"/>
      <c r="E133" s="7"/>
      <c r="F133" s="7"/>
      <c r="G133" s="7"/>
      <c r="H133" s="7"/>
      <c r="I133" s="7"/>
      <c r="J133" s="7"/>
      <c r="K133" s="7"/>
      <c r="L133" s="9"/>
      <c r="M133" s="32"/>
      <c r="N133" s="29"/>
      <c r="O133" s="10"/>
      <c r="P133" s="10"/>
      <c r="Q133" s="35"/>
      <c r="R133" s="29"/>
      <c r="S133" s="10"/>
      <c r="T133" s="10"/>
      <c r="U133" s="10"/>
      <c r="V133" s="10"/>
      <c r="W133" s="10"/>
      <c r="X133" s="10"/>
      <c r="Y133" s="10"/>
      <c r="Z133" s="35"/>
      <c r="AA133" s="29"/>
      <c r="AB133" s="8"/>
      <c r="AC133" s="26"/>
      <c r="AD133" s="24">
        <f t="shared" ref="AD133:AD196" si="6">COUNTIF(N133:AB133,$AD$2)</f>
        <v>0</v>
      </c>
      <c r="AE133" s="24">
        <f t="shared" ref="AE133:AE196" si="7">COUNTIF(N133:AB133,$AE$2)</f>
        <v>0</v>
      </c>
      <c r="AF133" s="24">
        <f t="shared" ref="AF133:AF196" si="8">COUNTIF(N133:AB133,$AF$2)</f>
        <v>0</v>
      </c>
      <c r="AG133" s="41" t="str" cm="1">
        <f t="array" ref="AG133">_xlfn.IFS(
SUM(AD133:AF133)=0,"Not Started",
SUM(AD133:AF133)&lt;15,"In Progress",
SUM(AD133:AF133)=15,"Completed",
SUM(AD133:AF133)&gt;15,"Error"
)</f>
        <v>Not Started</v>
      </c>
    </row>
    <row r="134" spans="1:33" ht="13" x14ac:dyDescent="0.25">
      <c r="A134" s="248"/>
      <c r="B134" s="14" t="s">
        <v>2593</v>
      </c>
      <c r="C134" s="7"/>
      <c r="D134" s="7"/>
      <c r="E134" s="7"/>
      <c r="F134" s="7"/>
      <c r="G134" s="7"/>
      <c r="H134" s="7"/>
      <c r="I134" s="7"/>
      <c r="J134" s="7"/>
      <c r="K134" s="7"/>
      <c r="L134" s="9"/>
      <c r="M134" s="32"/>
      <c r="N134" s="29"/>
      <c r="O134" s="10"/>
      <c r="P134" s="10"/>
      <c r="Q134" s="35"/>
      <c r="R134" s="29"/>
      <c r="S134" s="10"/>
      <c r="T134" s="10"/>
      <c r="U134" s="10"/>
      <c r="V134" s="10"/>
      <c r="W134" s="10"/>
      <c r="X134" s="10"/>
      <c r="Y134" s="10"/>
      <c r="Z134" s="35"/>
      <c r="AA134" s="29"/>
      <c r="AB134" s="8"/>
      <c r="AC134" s="26"/>
      <c r="AD134" s="24">
        <f t="shared" si="6"/>
        <v>0</v>
      </c>
      <c r="AE134" s="24">
        <f t="shared" si="7"/>
        <v>0</v>
      </c>
      <c r="AF134" s="24">
        <f t="shared" si="8"/>
        <v>0</v>
      </c>
      <c r="AG134" s="41" t="str" cm="1">
        <f t="array" ref="AG134">_xlfn.IFS(
SUM(AD134:AF134)=0,"Not Started",
SUM(AD134:AF134)&lt;15,"In Progress",
SUM(AD134:AF134)=15,"Completed",
SUM(AD134:AF134)&gt;15,"Error"
)</f>
        <v>Not Started</v>
      </c>
    </row>
    <row r="135" spans="1:33" ht="13" x14ac:dyDescent="0.25">
      <c r="A135" s="248"/>
      <c r="B135" s="7" t="s">
        <v>2594</v>
      </c>
      <c r="C135" s="7"/>
      <c r="D135" s="7"/>
      <c r="E135" s="7"/>
      <c r="F135" s="7"/>
      <c r="G135" s="7"/>
      <c r="H135" s="7"/>
      <c r="I135" s="7"/>
      <c r="J135" s="7"/>
      <c r="K135" s="7"/>
      <c r="L135" s="9"/>
      <c r="M135" s="32"/>
      <c r="N135" s="29"/>
      <c r="O135" s="10"/>
      <c r="P135" s="10"/>
      <c r="Q135" s="35"/>
      <c r="R135" s="29"/>
      <c r="S135" s="10"/>
      <c r="T135" s="10"/>
      <c r="U135" s="10"/>
      <c r="V135" s="10"/>
      <c r="W135" s="10"/>
      <c r="X135" s="10"/>
      <c r="Y135" s="10"/>
      <c r="Z135" s="35"/>
      <c r="AA135" s="29"/>
      <c r="AB135" s="8"/>
      <c r="AC135" s="26"/>
      <c r="AD135" s="24">
        <f t="shared" si="6"/>
        <v>0</v>
      </c>
      <c r="AE135" s="24">
        <f t="shared" si="7"/>
        <v>0</v>
      </c>
      <c r="AF135" s="24">
        <f t="shared" si="8"/>
        <v>0</v>
      </c>
      <c r="AG135" s="41" t="str" cm="1">
        <f t="array" ref="AG135">_xlfn.IFS(
SUM(AD135:AF135)=0,"Not Started",
SUM(AD135:AF135)&lt;15,"In Progress",
SUM(AD135:AF135)=15,"Completed",
SUM(AD135:AF135)&gt;15,"Error"
)</f>
        <v>Not Started</v>
      </c>
    </row>
    <row r="136" spans="1:33" ht="13" x14ac:dyDescent="0.25">
      <c r="A136" s="248"/>
      <c r="B136" s="14" t="s">
        <v>2595</v>
      </c>
      <c r="C136" s="7"/>
      <c r="D136" s="7"/>
      <c r="E136" s="7"/>
      <c r="F136" s="7"/>
      <c r="G136" s="7"/>
      <c r="H136" s="7"/>
      <c r="I136" s="7"/>
      <c r="J136" s="7"/>
      <c r="K136" s="7"/>
      <c r="L136" s="9"/>
      <c r="M136" s="32"/>
      <c r="N136" s="29"/>
      <c r="O136" s="10"/>
      <c r="P136" s="10"/>
      <c r="Q136" s="35"/>
      <c r="R136" s="29"/>
      <c r="S136" s="10"/>
      <c r="T136" s="10"/>
      <c r="U136" s="10"/>
      <c r="V136" s="10"/>
      <c r="W136" s="10"/>
      <c r="X136" s="10"/>
      <c r="Y136" s="10"/>
      <c r="Z136" s="35"/>
      <c r="AA136" s="29"/>
      <c r="AB136" s="8"/>
      <c r="AC136" s="26"/>
      <c r="AD136" s="24">
        <f t="shared" si="6"/>
        <v>0</v>
      </c>
      <c r="AE136" s="24">
        <f t="shared" si="7"/>
        <v>0</v>
      </c>
      <c r="AF136" s="24">
        <f t="shared" si="8"/>
        <v>0</v>
      </c>
      <c r="AG136" s="41" t="str" cm="1">
        <f t="array" ref="AG136">_xlfn.IFS(
SUM(AD136:AF136)=0,"Not Started",
SUM(AD136:AF136)&lt;15,"In Progress",
SUM(AD136:AF136)=15,"Completed",
SUM(AD136:AF136)&gt;15,"Error"
)</f>
        <v>Not Started</v>
      </c>
    </row>
    <row r="137" spans="1:33" ht="13" x14ac:dyDescent="0.25">
      <c r="A137" s="248"/>
      <c r="B137" s="7" t="s">
        <v>2596</v>
      </c>
      <c r="C137" s="7"/>
      <c r="D137" s="7"/>
      <c r="E137" s="7"/>
      <c r="F137" s="7"/>
      <c r="G137" s="7"/>
      <c r="H137" s="7"/>
      <c r="I137" s="7"/>
      <c r="J137" s="7"/>
      <c r="K137" s="7"/>
      <c r="L137" s="9"/>
      <c r="M137" s="32"/>
      <c r="N137" s="29"/>
      <c r="O137" s="10"/>
      <c r="P137" s="10"/>
      <c r="Q137" s="35"/>
      <c r="R137" s="29"/>
      <c r="S137" s="10"/>
      <c r="T137" s="10"/>
      <c r="U137" s="10"/>
      <c r="V137" s="10"/>
      <c r="W137" s="10"/>
      <c r="X137" s="10"/>
      <c r="Y137" s="10"/>
      <c r="Z137" s="35"/>
      <c r="AA137" s="29"/>
      <c r="AB137" s="8"/>
      <c r="AC137" s="26"/>
      <c r="AD137" s="24">
        <f t="shared" si="6"/>
        <v>0</v>
      </c>
      <c r="AE137" s="24">
        <f t="shared" si="7"/>
        <v>0</v>
      </c>
      <c r="AF137" s="24">
        <f t="shared" si="8"/>
        <v>0</v>
      </c>
      <c r="AG137" s="41" t="str" cm="1">
        <f t="array" ref="AG137">_xlfn.IFS(
SUM(AD137:AF137)=0,"Not Started",
SUM(AD137:AF137)&lt;15,"In Progress",
SUM(AD137:AF137)=15,"Completed",
SUM(AD137:AF137)&gt;15,"Error"
)</f>
        <v>Not Started</v>
      </c>
    </row>
    <row r="138" spans="1:33" ht="13" x14ac:dyDescent="0.25">
      <c r="A138" s="248"/>
      <c r="B138" s="14" t="s">
        <v>2597</v>
      </c>
      <c r="C138" s="7"/>
      <c r="D138" s="7"/>
      <c r="E138" s="7"/>
      <c r="F138" s="7"/>
      <c r="G138" s="7"/>
      <c r="H138" s="7"/>
      <c r="I138" s="7"/>
      <c r="J138" s="7"/>
      <c r="K138" s="7"/>
      <c r="L138" s="9"/>
      <c r="M138" s="32"/>
      <c r="N138" s="29"/>
      <c r="O138" s="10"/>
      <c r="P138" s="10"/>
      <c r="Q138" s="35"/>
      <c r="R138" s="29"/>
      <c r="S138" s="10"/>
      <c r="T138" s="10"/>
      <c r="U138" s="10"/>
      <c r="V138" s="10"/>
      <c r="W138" s="10"/>
      <c r="X138" s="10"/>
      <c r="Y138" s="10"/>
      <c r="Z138" s="35"/>
      <c r="AA138" s="37"/>
      <c r="AB138" s="8"/>
      <c r="AC138" s="26"/>
      <c r="AD138" s="24">
        <f t="shared" si="6"/>
        <v>0</v>
      </c>
      <c r="AE138" s="24">
        <f t="shared" si="7"/>
        <v>0</v>
      </c>
      <c r="AF138" s="24">
        <f t="shared" si="8"/>
        <v>0</v>
      </c>
      <c r="AG138" s="41" t="str" cm="1">
        <f t="array" ref="AG138">_xlfn.IFS(
SUM(AD138:AF138)=0,"Not Started",
SUM(AD138:AF138)&lt;15,"In Progress",
SUM(AD138:AF138)=15,"Completed",
SUM(AD138:AF138)&gt;15,"Error"
)</f>
        <v>Not Started</v>
      </c>
    </row>
    <row r="139" spans="1:33" ht="13" x14ac:dyDescent="0.25">
      <c r="A139" s="248"/>
      <c r="B139" s="7" t="s">
        <v>2598</v>
      </c>
      <c r="C139" s="7"/>
      <c r="D139" s="7"/>
      <c r="E139" s="7"/>
      <c r="F139" s="7"/>
      <c r="G139" s="7"/>
      <c r="H139" s="7"/>
      <c r="I139" s="7"/>
      <c r="J139" s="7"/>
      <c r="K139" s="7"/>
      <c r="L139" s="9"/>
      <c r="M139" s="32"/>
      <c r="N139" s="29"/>
      <c r="O139" s="10"/>
      <c r="P139" s="10"/>
      <c r="Q139" s="35"/>
      <c r="R139" s="29"/>
      <c r="S139" s="10"/>
      <c r="T139" s="10"/>
      <c r="U139" s="10"/>
      <c r="V139" s="10"/>
      <c r="W139" s="10"/>
      <c r="X139" s="10"/>
      <c r="Y139" s="10"/>
      <c r="Z139" s="35"/>
      <c r="AA139" s="37"/>
      <c r="AB139" s="8"/>
      <c r="AC139" s="26"/>
      <c r="AD139" s="24">
        <f t="shared" si="6"/>
        <v>0</v>
      </c>
      <c r="AE139" s="24">
        <f t="shared" si="7"/>
        <v>0</v>
      </c>
      <c r="AF139" s="24">
        <f t="shared" si="8"/>
        <v>0</v>
      </c>
      <c r="AG139" s="41" t="str" cm="1">
        <f t="array" ref="AG139">_xlfn.IFS(
SUM(AD139:AF139)=0,"Not Started",
SUM(AD139:AF139)&lt;15,"In Progress",
SUM(AD139:AF139)=15,"Completed",
SUM(AD139:AF139)&gt;15,"Error"
)</f>
        <v>Not Started</v>
      </c>
    </row>
    <row r="140" spans="1:33" ht="13" x14ac:dyDescent="0.25">
      <c r="A140" s="248"/>
      <c r="B140" s="14" t="s">
        <v>2599</v>
      </c>
      <c r="C140" s="7"/>
      <c r="D140" s="7"/>
      <c r="E140" s="7"/>
      <c r="F140" s="7"/>
      <c r="G140" s="7"/>
      <c r="H140" s="7"/>
      <c r="I140" s="7"/>
      <c r="J140" s="7"/>
      <c r="K140" s="7"/>
      <c r="L140" s="9"/>
      <c r="M140" s="32"/>
      <c r="N140" s="29"/>
      <c r="O140" s="10"/>
      <c r="P140" s="10"/>
      <c r="Q140" s="35"/>
      <c r="R140" s="29"/>
      <c r="S140" s="10"/>
      <c r="T140" s="10"/>
      <c r="U140" s="10"/>
      <c r="V140" s="10"/>
      <c r="W140" s="10"/>
      <c r="X140" s="10"/>
      <c r="Y140" s="10"/>
      <c r="Z140" s="35"/>
      <c r="AA140" s="29"/>
      <c r="AB140" s="8"/>
      <c r="AC140" s="26"/>
      <c r="AD140" s="24">
        <f t="shared" si="6"/>
        <v>0</v>
      </c>
      <c r="AE140" s="24">
        <f t="shared" si="7"/>
        <v>0</v>
      </c>
      <c r="AF140" s="24">
        <f t="shared" si="8"/>
        <v>0</v>
      </c>
      <c r="AG140" s="41" t="str" cm="1">
        <f t="array" ref="AG140">_xlfn.IFS(
SUM(AD140:AF140)=0,"Not Started",
SUM(AD140:AF140)&lt;15,"In Progress",
SUM(AD140:AF140)=15,"Completed",
SUM(AD140:AF140)&gt;15,"Error"
)</f>
        <v>Not Started</v>
      </c>
    </row>
    <row r="141" spans="1:33" ht="13" x14ac:dyDescent="0.25">
      <c r="A141" s="248"/>
      <c r="B141" s="7" t="s">
        <v>2600</v>
      </c>
      <c r="C141" s="7"/>
      <c r="D141" s="7"/>
      <c r="E141" s="7"/>
      <c r="F141" s="7"/>
      <c r="G141" s="7"/>
      <c r="H141" s="7"/>
      <c r="I141" s="7"/>
      <c r="J141" s="7"/>
      <c r="K141" s="7"/>
      <c r="L141" s="9"/>
      <c r="M141" s="32"/>
      <c r="N141" s="29"/>
      <c r="O141" s="10"/>
      <c r="P141" s="10"/>
      <c r="Q141" s="35"/>
      <c r="R141" s="29"/>
      <c r="S141" s="10"/>
      <c r="T141" s="10"/>
      <c r="U141" s="10"/>
      <c r="V141" s="10"/>
      <c r="W141" s="10"/>
      <c r="X141" s="10"/>
      <c r="Y141" s="10"/>
      <c r="Z141" s="35"/>
      <c r="AA141" s="37"/>
      <c r="AB141" s="8"/>
      <c r="AC141" s="26"/>
      <c r="AD141" s="24">
        <f t="shared" si="6"/>
        <v>0</v>
      </c>
      <c r="AE141" s="24">
        <f t="shared" si="7"/>
        <v>0</v>
      </c>
      <c r="AF141" s="24">
        <f t="shared" si="8"/>
        <v>0</v>
      </c>
      <c r="AG141" s="41" t="str" cm="1">
        <f t="array" ref="AG141">_xlfn.IFS(
SUM(AD141:AF141)=0,"Not Started",
SUM(AD141:AF141)&lt;15,"In Progress",
SUM(AD141:AF141)=15,"Completed",
SUM(AD141:AF141)&gt;15,"Error"
)</f>
        <v>Not Started</v>
      </c>
    </row>
    <row r="142" spans="1:33" ht="13" x14ac:dyDescent="0.25">
      <c r="A142" s="248"/>
      <c r="B142" s="14" t="s">
        <v>2601</v>
      </c>
      <c r="C142" s="7"/>
      <c r="D142" s="7"/>
      <c r="E142" s="7"/>
      <c r="F142" s="7"/>
      <c r="G142" s="7"/>
      <c r="H142" s="7"/>
      <c r="I142" s="7"/>
      <c r="J142" s="7"/>
      <c r="K142" s="7"/>
      <c r="L142" s="9"/>
      <c r="M142" s="32"/>
      <c r="N142" s="29"/>
      <c r="O142" s="10"/>
      <c r="P142" s="10"/>
      <c r="Q142" s="35"/>
      <c r="R142" s="29"/>
      <c r="S142" s="10"/>
      <c r="T142" s="10"/>
      <c r="U142" s="10"/>
      <c r="V142" s="10"/>
      <c r="W142" s="10"/>
      <c r="X142" s="10"/>
      <c r="Y142" s="10"/>
      <c r="Z142" s="35"/>
      <c r="AA142" s="29"/>
      <c r="AB142" s="8"/>
      <c r="AC142" s="26"/>
      <c r="AD142" s="24">
        <f t="shared" si="6"/>
        <v>0</v>
      </c>
      <c r="AE142" s="24">
        <f t="shared" si="7"/>
        <v>0</v>
      </c>
      <c r="AF142" s="24">
        <f t="shared" si="8"/>
        <v>0</v>
      </c>
      <c r="AG142" s="41" t="str" cm="1">
        <f t="array" ref="AG142">_xlfn.IFS(
SUM(AD142:AF142)=0,"Not Started",
SUM(AD142:AF142)&lt;15,"In Progress",
SUM(AD142:AF142)=15,"Completed",
SUM(AD142:AF142)&gt;15,"Error"
)</f>
        <v>Not Started</v>
      </c>
    </row>
    <row r="143" spans="1:33" ht="13" x14ac:dyDescent="0.25">
      <c r="A143" s="248"/>
      <c r="B143" s="7" t="s">
        <v>2602</v>
      </c>
      <c r="C143" s="7"/>
      <c r="D143" s="7"/>
      <c r="E143" s="7"/>
      <c r="F143" s="7"/>
      <c r="G143" s="7"/>
      <c r="H143" s="7"/>
      <c r="I143" s="7"/>
      <c r="J143" s="7"/>
      <c r="K143" s="7"/>
      <c r="L143" s="9"/>
      <c r="M143" s="32"/>
      <c r="N143" s="29"/>
      <c r="O143" s="10"/>
      <c r="P143" s="10"/>
      <c r="Q143" s="35"/>
      <c r="R143" s="29"/>
      <c r="S143" s="10"/>
      <c r="T143" s="10"/>
      <c r="U143" s="10"/>
      <c r="V143" s="10"/>
      <c r="W143" s="10"/>
      <c r="X143" s="10"/>
      <c r="Y143" s="10"/>
      <c r="Z143" s="35"/>
      <c r="AA143" s="37"/>
      <c r="AB143" s="8"/>
      <c r="AC143" s="26"/>
      <c r="AD143" s="24">
        <f t="shared" si="6"/>
        <v>0</v>
      </c>
      <c r="AE143" s="24">
        <f t="shared" si="7"/>
        <v>0</v>
      </c>
      <c r="AF143" s="24">
        <f t="shared" si="8"/>
        <v>0</v>
      </c>
      <c r="AG143" s="41" t="str" cm="1">
        <f t="array" ref="AG143">_xlfn.IFS(
SUM(AD143:AF143)=0,"Not Started",
SUM(AD143:AF143)&lt;15,"In Progress",
SUM(AD143:AF143)=15,"Completed",
SUM(AD143:AF143)&gt;15,"Error"
)</f>
        <v>Not Started</v>
      </c>
    </row>
    <row r="144" spans="1:33" ht="13" x14ac:dyDescent="0.25">
      <c r="A144" s="248"/>
      <c r="B144" s="14" t="s">
        <v>2603</v>
      </c>
      <c r="C144" s="7"/>
      <c r="D144" s="7"/>
      <c r="E144" s="7"/>
      <c r="F144" s="7"/>
      <c r="G144" s="7"/>
      <c r="H144" s="7"/>
      <c r="I144" s="7"/>
      <c r="J144" s="7"/>
      <c r="K144" s="7"/>
      <c r="L144" s="9"/>
      <c r="M144" s="32"/>
      <c r="N144" s="29"/>
      <c r="O144" s="10"/>
      <c r="P144" s="10"/>
      <c r="Q144" s="35"/>
      <c r="R144" s="29"/>
      <c r="S144" s="10"/>
      <c r="T144" s="10"/>
      <c r="U144" s="10"/>
      <c r="V144" s="10"/>
      <c r="W144" s="10"/>
      <c r="X144" s="10"/>
      <c r="Y144" s="10"/>
      <c r="Z144" s="35"/>
      <c r="AA144" s="29"/>
      <c r="AB144" s="8"/>
      <c r="AC144" s="26"/>
      <c r="AD144" s="24">
        <f t="shared" si="6"/>
        <v>0</v>
      </c>
      <c r="AE144" s="24">
        <f t="shared" si="7"/>
        <v>0</v>
      </c>
      <c r="AF144" s="24">
        <f t="shared" si="8"/>
        <v>0</v>
      </c>
      <c r="AG144" s="41" t="str" cm="1">
        <f t="array" ref="AG144">_xlfn.IFS(
SUM(AD144:AF144)=0,"Not Started",
SUM(AD144:AF144)&lt;15,"In Progress",
SUM(AD144:AF144)=15,"Completed",
SUM(AD144:AF144)&gt;15,"Error"
)</f>
        <v>Not Started</v>
      </c>
    </row>
    <row r="145" spans="1:33" ht="13" x14ac:dyDescent="0.25">
      <c r="A145" s="248"/>
      <c r="B145" s="7" t="s">
        <v>2604</v>
      </c>
      <c r="C145" s="7"/>
      <c r="D145" s="7"/>
      <c r="E145" s="7"/>
      <c r="F145" s="7"/>
      <c r="G145" s="7"/>
      <c r="H145" s="7"/>
      <c r="I145" s="7"/>
      <c r="J145" s="7"/>
      <c r="K145" s="7"/>
      <c r="L145" s="9"/>
      <c r="M145" s="32"/>
      <c r="N145" s="29"/>
      <c r="O145" s="10"/>
      <c r="P145" s="10"/>
      <c r="Q145" s="35"/>
      <c r="R145" s="29"/>
      <c r="S145" s="10"/>
      <c r="T145" s="10"/>
      <c r="U145" s="10"/>
      <c r="V145" s="10"/>
      <c r="W145" s="10"/>
      <c r="X145" s="10"/>
      <c r="Y145" s="10"/>
      <c r="Z145" s="35"/>
      <c r="AA145" s="37"/>
      <c r="AB145" s="8"/>
      <c r="AC145" s="26"/>
      <c r="AD145" s="24">
        <f t="shared" si="6"/>
        <v>0</v>
      </c>
      <c r="AE145" s="24">
        <f t="shared" si="7"/>
        <v>0</v>
      </c>
      <c r="AF145" s="24">
        <f t="shared" si="8"/>
        <v>0</v>
      </c>
      <c r="AG145" s="41" t="str" cm="1">
        <f t="array" ref="AG145">_xlfn.IFS(
SUM(AD145:AF145)=0,"Not Started",
SUM(AD145:AF145)&lt;15,"In Progress",
SUM(AD145:AF145)=15,"Completed",
SUM(AD145:AF145)&gt;15,"Error"
)</f>
        <v>Not Started</v>
      </c>
    </row>
    <row r="146" spans="1:33" ht="13" x14ac:dyDescent="0.25">
      <c r="A146" s="248"/>
      <c r="B146" s="14" t="s">
        <v>2605</v>
      </c>
      <c r="C146" s="7"/>
      <c r="D146" s="7"/>
      <c r="E146" s="7"/>
      <c r="F146" s="7"/>
      <c r="G146" s="7"/>
      <c r="H146" s="7"/>
      <c r="I146" s="7"/>
      <c r="J146" s="7"/>
      <c r="K146" s="7"/>
      <c r="L146" s="9"/>
      <c r="M146" s="32"/>
      <c r="N146" s="29"/>
      <c r="O146" s="10"/>
      <c r="P146" s="10"/>
      <c r="Q146" s="35"/>
      <c r="R146" s="29"/>
      <c r="S146" s="10"/>
      <c r="T146" s="10"/>
      <c r="U146" s="10"/>
      <c r="V146" s="10"/>
      <c r="W146" s="10"/>
      <c r="X146" s="10"/>
      <c r="Y146" s="10"/>
      <c r="Z146" s="35"/>
      <c r="AA146" s="37"/>
      <c r="AB146" s="8"/>
      <c r="AC146" s="26"/>
      <c r="AD146" s="24">
        <f t="shared" si="6"/>
        <v>0</v>
      </c>
      <c r="AE146" s="24">
        <f t="shared" si="7"/>
        <v>0</v>
      </c>
      <c r="AF146" s="24">
        <f t="shared" si="8"/>
        <v>0</v>
      </c>
      <c r="AG146" s="41" t="str" cm="1">
        <f t="array" ref="AG146">_xlfn.IFS(
SUM(AD146:AF146)=0,"Not Started",
SUM(AD146:AF146)&lt;15,"In Progress",
SUM(AD146:AF146)=15,"Completed",
SUM(AD146:AF146)&gt;15,"Error"
)</f>
        <v>Not Started</v>
      </c>
    </row>
    <row r="147" spans="1:33" ht="13" x14ac:dyDescent="0.25">
      <c r="A147" s="248"/>
      <c r="B147" s="7" t="s">
        <v>2606</v>
      </c>
      <c r="C147" s="7"/>
      <c r="D147" s="7"/>
      <c r="E147" s="7"/>
      <c r="F147" s="7"/>
      <c r="G147" s="7"/>
      <c r="H147" s="7"/>
      <c r="I147" s="7"/>
      <c r="J147" s="7"/>
      <c r="K147" s="7"/>
      <c r="L147" s="9"/>
      <c r="M147" s="32"/>
      <c r="N147" s="29"/>
      <c r="O147" s="10"/>
      <c r="P147" s="10"/>
      <c r="Q147" s="35"/>
      <c r="R147" s="29"/>
      <c r="S147" s="10"/>
      <c r="T147" s="10"/>
      <c r="U147" s="10"/>
      <c r="V147" s="10"/>
      <c r="W147" s="10"/>
      <c r="X147" s="10"/>
      <c r="Y147" s="10"/>
      <c r="Z147" s="35"/>
      <c r="AA147" s="29"/>
      <c r="AB147" s="8"/>
      <c r="AC147" s="26"/>
      <c r="AD147" s="24">
        <f t="shared" si="6"/>
        <v>0</v>
      </c>
      <c r="AE147" s="24">
        <f t="shared" si="7"/>
        <v>0</v>
      </c>
      <c r="AF147" s="24">
        <f t="shared" si="8"/>
        <v>0</v>
      </c>
      <c r="AG147" s="41" t="str" cm="1">
        <f t="array" ref="AG147">_xlfn.IFS(
SUM(AD147:AF147)=0,"Not Started",
SUM(AD147:AF147)&lt;15,"In Progress",
SUM(AD147:AF147)=15,"Completed",
SUM(AD147:AF147)&gt;15,"Error"
)</f>
        <v>Not Started</v>
      </c>
    </row>
    <row r="148" spans="1:33" ht="13" x14ac:dyDescent="0.25">
      <c r="A148" s="248"/>
      <c r="B148" s="14" t="s">
        <v>2607</v>
      </c>
      <c r="C148" s="7"/>
      <c r="D148" s="7"/>
      <c r="E148" s="7"/>
      <c r="F148" s="7"/>
      <c r="G148" s="7"/>
      <c r="H148" s="7"/>
      <c r="I148" s="7"/>
      <c r="J148" s="7"/>
      <c r="K148" s="7"/>
      <c r="L148" s="9"/>
      <c r="M148" s="32"/>
      <c r="N148" s="29"/>
      <c r="O148" s="10"/>
      <c r="P148" s="10"/>
      <c r="Q148" s="35"/>
      <c r="R148" s="29"/>
      <c r="S148" s="10"/>
      <c r="T148" s="10"/>
      <c r="U148" s="10"/>
      <c r="V148" s="10"/>
      <c r="W148" s="10"/>
      <c r="X148" s="10"/>
      <c r="Y148" s="10"/>
      <c r="Z148" s="35"/>
      <c r="AA148" s="29"/>
      <c r="AB148" s="8"/>
      <c r="AC148" s="26"/>
      <c r="AD148" s="24">
        <f t="shared" si="6"/>
        <v>0</v>
      </c>
      <c r="AE148" s="24">
        <f t="shared" si="7"/>
        <v>0</v>
      </c>
      <c r="AF148" s="24">
        <f t="shared" si="8"/>
        <v>0</v>
      </c>
      <c r="AG148" s="41" t="str" cm="1">
        <f t="array" ref="AG148">_xlfn.IFS(
SUM(AD148:AF148)=0,"Not Started",
SUM(AD148:AF148)&lt;15,"In Progress",
SUM(AD148:AF148)=15,"Completed",
SUM(AD148:AF148)&gt;15,"Error"
)</f>
        <v>Not Started</v>
      </c>
    </row>
    <row r="149" spans="1:33" ht="13" x14ac:dyDescent="0.25">
      <c r="A149" s="248"/>
      <c r="B149" s="7" t="s">
        <v>2608</v>
      </c>
      <c r="C149" s="7"/>
      <c r="D149" s="7"/>
      <c r="E149" s="7"/>
      <c r="F149" s="7"/>
      <c r="G149" s="7"/>
      <c r="H149" s="7"/>
      <c r="I149" s="7"/>
      <c r="J149" s="7"/>
      <c r="K149" s="7"/>
      <c r="L149" s="9"/>
      <c r="M149" s="32"/>
      <c r="N149" s="29"/>
      <c r="O149" s="10"/>
      <c r="P149" s="10"/>
      <c r="Q149" s="35"/>
      <c r="R149" s="29"/>
      <c r="S149" s="10"/>
      <c r="T149" s="10"/>
      <c r="U149" s="10"/>
      <c r="V149" s="10"/>
      <c r="W149" s="10"/>
      <c r="X149" s="10"/>
      <c r="Y149" s="10"/>
      <c r="Z149" s="35"/>
      <c r="AA149" s="37"/>
      <c r="AB149" s="8"/>
      <c r="AC149" s="26"/>
      <c r="AD149" s="24">
        <f t="shared" si="6"/>
        <v>0</v>
      </c>
      <c r="AE149" s="24">
        <f t="shared" si="7"/>
        <v>0</v>
      </c>
      <c r="AF149" s="24">
        <f t="shared" si="8"/>
        <v>0</v>
      </c>
      <c r="AG149" s="41" t="str" cm="1">
        <f t="array" ref="AG149">_xlfn.IFS(
SUM(AD149:AF149)=0,"Not Started",
SUM(AD149:AF149)&lt;15,"In Progress",
SUM(AD149:AF149)=15,"Completed",
SUM(AD149:AF149)&gt;15,"Error"
)</f>
        <v>Not Started</v>
      </c>
    </row>
    <row r="150" spans="1:33" ht="13" x14ac:dyDescent="0.25">
      <c r="A150" s="248"/>
      <c r="B150" s="14" t="s">
        <v>2609</v>
      </c>
      <c r="C150" s="7"/>
      <c r="D150" s="7"/>
      <c r="E150" s="7"/>
      <c r="F150" s="7"/>
      <c r="G150" s="7"/>
      <c r="H150" s="7"/>
      <c r="I150" s="7"/>
      <c r="J150" s="7"/>
      <c r="K150" s="7"/>
      <c r="L150" s="9"/>
      <c r="M150" s="32"/>
      <c r="N150" s="29"/>
      <c r="O150" s="10"/>
      <c r="P150" s="10"/>
      <c r="Q150" s="35"/>
      <c r="R150" s="29"/>
      <c r="S150" s="10"/>
      <c r="T150" s="10"/>
      <c r="U150" s="10"/>
      <c r="V150" s="10"/>
      <c r="W150" s="10"/>
      <c r="X150" s="10"/>
      <c r="Y150" s="10"/>
      <c r="Z150" s="35"/>
      <c r="AA150" s="37"/>
      <c r="AB150" s="8"/>
      <c r="AC150" s="26"/>
      <c r="AD150" s="24">
        <f t="shared" si="6"/>
        <v>0</v>
      </c>
      <c r="AE150" s="24">
        <f t="shared" si="7"/>
        <v>0</v>
      </c>
      <c r="AF150" s="24">
        <f t="shared" si="8"/>
        <v>0</v>
      </c>
      <c r="AG150" s="41" t="str" cm="1">
        <f t="array" ref="AG150">_xlfn.IFS(
SUM(AD150:AF150)=0,"Not Started",
SUM(AD150:AF150)&lt;15,"In Progress",
SUM(AD150:AF150)=15,"Completed",
SUM(AD150:AF150)&gt;15,"Error"
)</f>
        <v>Not Started</v>
      </c>
    </row>
    <row r="151" spans="1:33" ht="13" x14ac:dyDescent="0.25">
      <c r="A151" s="248"/>
      <c r="B151" s="7" t="s">
        <v>2610</v>
      </c>
      <c r="C151" s="7"/>
      <c r="D151" s="7"/>
      <c r="E151" s="7"/>
      <c r="F151" s="7"/>
      <c r="G151" s="7"/>
      <c r="H151" s="7"/>
      <c r="I151" s="7"/>
      <c r="J151" s="7"/>
      <c r="K151" s="7"/>
      <c r="L151" s="9"/>
      <c r="M151" s="32"/>
      <c r="N151" s="29"/>
      <c r="O151" s="10"/>
      <c r="P151" s="10"/>
      <c r="Q151" s="35"/>
      <c r="R151" s="29"/>
      <c r="S151" s="10"/>
      <c r="T151" s="10"/>
      <c r="U151" s="10"/>
      <c r="V151" s="10"/>
      <c r="W151" s="10"/>
      <c r="X151" s="10"/>
      <c r="Y151" s="10"/>
      <c r="Z151" s="35"/>
      <c r="AA151" s="29"/>
      <c r="AB151" s="8"/>
      <c r="AC151" s="26"/>
      <c r="AD151" s="24">
        <f t="shared" si="6"/>
        <v>0</v>
      </c>
      <c r="AE151" s="24">
        <f t="shared" si="7"/>
        <v>0</v>
      </c>
      <c r="AF151" s="24">
        <f t="shared" si="8"/>
        <v>0</v>
      </c>
      <c r="AG151" s="41" t="str" cm="1">
        <f t="array" ref="AG151">_xlfn.IFS(
SUM(AD151:AF151)=0,"Not Started",
SUM(AD151:AF151)&lt;15,"In Progress",
SUM(AD151:AF151)=15,"Completed",
SUM(AD151:AF151)&gt;15,"Error"
)</f>
        <v>Not Started</v>
      </c>
    </row>
    <row r="152" spans="1:33" ht="13" x14ac:dyDescent="0.25">
      <c r="A152" s="248"/>
      <c r="B152" s="14" t="s">
        <v>2611</v>
      </c>
      <c r="C152" s="7"/>
      <c r="D152" s="7"/>
      <c r="E152" s="7"/>
      <c r="F152" s="7"/>
      <c r="G152" s="7"/>
      <c r="H152" s="7"/>
      <c r="I152" s="7"/>
      <c r="J152" s="7"/>
      <c r="K152" s="7"/>
      <c r="L152" s="9"/>
      <c r="M152" s="32"/>
      <c r="N152" s="29"/>
      <c r="O152" s="10"/>
      <c r="P152" s="10"/>
      <c r="Q152" s="35"/>
      <c r="R152" s="29"/>
      <c r="S152" s="10"/>
      <c r="T152" s="10"/>
      <c r="U152" s="10"/>
      <c r="V152" s="10"/>
      <c r="W152" s="10"/>
      <c r="X152" s="10"/>
      <c r="Y152" s="10"/>
      <c r="Z152" s="35"/>
      <c r="AA152" s="37"/>
      <c r="AB152" s="8"/>
      <c r="AC152" s="26"/>
      <c r="AD152" s="24">
        <f t="shared" si="6"/>
        <v>0</v>
      </c>
      <c r="AE152" s="24">
        <f t="shared" si="7"/>
        <v>0</v>
      </c>
      <c r="AF152" s="24">
        <f t="shared" si="8"/>
        <v>0</v>
      </c>
      <c r="AG152" s="41" t="str" cm="1">
        <f t="array" ref="AG152">_xlfn.IFS(
SUM(AD152:AF152)=0,"Not Started",
SUM(AD152:AF152)&lt;15,"In Progress",
SUM(AD152:AF152)=15,"Completed",
SUM(AD152:AF152)&gt;15,"Error"
)</f>
        <v>Not Started</v>
      </c>
    </row>
    <row r="153" spans="1:33" ht="13" x14ac:dyDescent="0.25">
      <c r="A153" s="248"/>
      <c r="B153" s="7" t="s">
        <v>2612</v>
      </c>
      <c r="C153" s="7"/>
      <c r="D153" s="7"/>
      <c r="E153" s="7"/>
      <c r="F153" s="7"/>
      <c r="G153" s="7"/>
      <c r="H153" s="7"/>
      <c r="I153" s="7"/>
      <c r="J153" s="7"/>
      <c r="K153" s="7"/>
      <c r="L153" s="9"/>
      <c r="M153" s="32"/>
      <c r="N153" s="29"/>
      <c r="O153" s="10"/>
      <c r="P153" s="10"/>
      <c r="Q153" s="35"/>
      <c r="R153" s="29"/>
      <c r="S153" s="10"/>
      <c r="T153" s="10"/>
      <c r="U153" s="10"/>
      <c r="V153" s="10"/>
      <c r="W153" s="10"/>
      <c r="X153" s="10"/>
      <c r="Y153" s="10"/>
      <c r="Z153" s="35"/>
      <c r="AA153" s="29"/>
      <c r="AB153" s="8"/>
      <c r="AC153" s="26"/>
      <c r="AD153" s="24">
        <f t="shared" si="6"/>
        <v>0</v>
      </c>
      <c r="AE153" s="24">
        <f t="shared" si="7"/>
        <v>0</v>
      </c>
      <c r="AF153" s="24">
        <f t="shared" si="8"/>
        <v>0</v>
      </c>
      <c r="AG153" s="41" t="str" cm="1">
        <f t="array" ref="AG153">_xlfn.IFS(
SUM(AD153:AF153)=0,"Not Started",
SUM(AD153:AF153)&lt;15,"In Progress",
SUM(AD153:AF153)=15,"Completed",
SUM(AD153:AF153)&gt;15,"Error"
)</f>
        <v>Not Started</v>
      </c>
    </row>
    <row r="154" spans="1:33" ht="13" x14ac:dyDescent="0.25">
      <c r="A154" s="248"/>
      <c r="B154" s="14" t="s">
        <v>2613</v>
      </c>
      <c r="C154" s="7"/>
      <c r="D154" s="7"/>
      <c r="E154" s="7"/>
      <c r="F154" s="7"/>
      <c r="G154" s="7"/>
      <c r="H154" s="7"/>
      <c r="I154" s="7"/>
      <c r="J154" s="7"/>
      <c r="K154" s="7"/>
      <c r="L154" s="9"/>
      <c r="M154" s="32"/>
      <c r="N154" s="29"/>
      <c r="O154" s="10"/>
      <c r="P154" s="10"/>
      <c r="Q154" s="35"/>
      <c r="R154" s="29"/>
      <c r="S154" s="10"/>
      <c r="T154" s="10"/>
      <c r="U154" s="10"/>
      <c r="V154" s="10"/>
      <c r="W154" s="10"/>
      <c r="X154" s="10"/>
      <c r="Y154" s="10"/>
      <c r="Z154" s="35"/>
      <c r="AA154" s="37"/>
      <c r="AB154" s="8"/>
      <c r="AC154" s="26"/>
      <c r="AD154" s="24">
        <f t="shared" si="6"/>
        <v>0</v>
      </c>
      <c r="AE154" s="24">
        <f t="shared" si="7"/>
        <v>0</v>
      </c>
      <c r="AF154" s="24">
        <f t="shared" si="8"/>
        <v>0</v>
      </c>
      <c r="AG154" s="41" t="str" cm="1">
        <f t="array" ref="AG154">_xlfn.IFS(
SUM(AD154:AF154)=0,"Not Started",
SUM(AD154:AF154)&lt;15,"In Progress",
SUM(AD154:AF154)=15,"Completed",
SUM(AD154:AF154)&gt;15,"Error"
)</f>
        <v>Not Started</v>
      </c>
    </row>
    <row r="155" spans="1:33" ht="13" x14ac:dyDescent="0.25">
      <c r="A155" s="248"/>
      <c r="B155" s="7" t="s">
        <v>2614</v>
      </c>
      <c r="C155" s="7"/>
      <c r="D155" s="7"/>
      <c r="E155" s="7"/>
      <c r="F155" s="7"/>
      <c r="G155" s="7"/>
      <c r="H155" s="7"/>
      <c r="I155" s="7"/>
      <c r="J155" s="7"/>
      <c r="K155" s="7"/>
      <c r="L155" s="9"/>
      <c r="M155" s="32"/>
      <c r="N155" s="29"/>
      <c r="O155" s="10"/>
      <c r="P155" s="10"/>
      <c r="Q155" s="35"/>
      <c r="R155" s="29"/>
      <c r="S155" s="10"/>
      <c r="T155" s="10"/>
      <c r="U155" s="10"/>
      <c r="V155" s="10"/>
      <c r="W155" s="10"/>
      <c r="X155" s="10"/>
      <c r="Y155" s="10"/>
      <c r="Z155" s="35"/>
      <c r="AA155" s="29"/>
      <c r="AB155" s="8"/>
      <c r="AC155" s="26"/>
      <c r="AD155" s="24">
        <f t="shared" si="6"/>
        <v>0</v>
      </c>
      <c r="AE155" s="24">
        <f t="shared" si="7"/>
        <v>0</v>
      </c>
      <c r="AF155" s="24">
        <f t="shared" si="8"/>
        <v>0</v>
      </c>
      <c r="AG155" s="41" t="str" cm="1">
        <f t="array" ref="AG155">_xlfn.IFS(
SUM(AD155:AF155)=0,"Not Started",
SUM(AD155:AF155)&lt;15,"In Progress",
SUM(AD155:AF155)=15,"Completed",
SUM(AD155:AF155)&gt;15,"Error"
)</f>
        <v>Not Started</v>
      </c>
    </row>
    <row r="156" spans="1:33" ht="13" x14ac:dyDescent="0.25">
      <c r="A156" s="248"/>
      <c r="B156" s="14" t="s">
        <v>2615</v>
      </c>
      <c r="C156" s="7"/>
      <c r="D156" s="7"/>
      <c r="E156" s="7"/>
      <c r="F156" s="7"/>
      <c r="G156" s="7"/>
      <c r="H156" s="7"/>
      <c r="I156" s="7"/>
      <c r="J156" s="7"/>
      <c r="K156" s="7"/>
      <c r="L156" s="9"/>
      <c r="M156" s="32"/>
      <c r="N156" s="29"/>
      <c r="O156" s="10"/>
      <c r="P156" s="10"/>
      <c r="Q156" s="35"/>
      <c r="R156" s="29"/>
      <c r="S156" s="10"/>
      <c r="T156" s="10"/>
      <c r="U156" s="10"/>
      <c r="V156" s="10"/>
      <c r="W156" s="10"/>
      <c r="X156" s="10"/>
      <c r="Y156" s="10"/>
      <c r="Z156" s="35"/>
      <c r="AA156" s="29"/>
      <c r="AB156" s="8"/>
      <c r="AC156" s="26"/>
      <c r="AD156" s="24">
        <f t="shared" si="6"/>
        <v>0</v>
      </c>
      <c r="AE156" s="24">
        <f t="shared" si="7"/>
        <v>0</v>
      </c>
      <c r="AF156" s="24">
        <f t="shared" si="8"/>
        <v>0</v>
      </c>
      <c r="AG156" s="41" t="str" cm="1">
        <f t="array" ref="AG156">_xlfn.IFS(
SUM(AD156:AF156)=0,"Not Started",
SUM(AD156:AF156)&lt;15,"In Progress",
SUM(AD156:AF156)=15,"Completed",
SUM(AD156:AF156)&gt;15,"Error"
)</f>
        <v>Not Started</v>
      </c>
    </row>
    <row r="157" spans="1:33" ht="13" x14ac:dyDescent="0.25">
      <c r="A157" s="248"/>
      <c r="B157" s="7" t="s">
        <v>2616</v>
      </c>
      <c r="C157" s="7"/>
      <c r="D157" s="7"/>
      <c r="E157" s="7"/>
      <c r="F157" s="7"/>
      <c r="G157" s="7"/>
      <c r="H157" s="7"/>
      <c r="I157" s="7"/>
      <c r="J157" s="7"/>
      <c r="K157" s="7"/>
      <c r="L157" s="9"/>
      <c r="M157" s="32"/>
      <c r="N157" s="29"/>
      <c r="O157" s="10"/>
      <c r="P157" s="10"/>
      <c r="Q157" s="35"/>
      <c r="R157" s="29"/>
      <c r="S157" s="10"/>
      <c r="T157" s="10"/>
      <c r="U157" s="10"/>
      <c r="V157" s="10"/>
      <c r="W157" s="10"/>
      <c r="X157" s="10"/>
      <c r="Y157" s="10"/>
      <c r="Z157" s="35"/>
      <c r="AA157" s="37"/>
      <c r="AB157" s="8"/>
      <c r="AC157" s="26"/>
      <c r="AD157" s="24">
        <f t="shared" si="6"/>
        <v>0</v>
      </c>
      <c r="AE157" s="24">
        <f t="shared" si="7"/>
        <v>0</v>
      </c>
      <c r="AF157" s="24">
        <f t="shared" si="8"/>
        <v>0</v>
      </c>
      <c r="AG157" s="41" t="str" cm="1">
        <f t="array" ref="AG157">_xlfn.IFS(
SUM(AD157:AF157)=0,"Not Started",
SUM(AD157:AF157)&lt;15,"In Progress",
SUM(AD157:AF157)=15,"Completed",
SUM(AD157:AF157)&gt;15,"Error"
)</f>
        <v>Not Started</v>
      </c>
    </row>
    <row r="158" spans="1:33" ht="13" x14ac:dyDescent="0.25">
      <c r="A158" s="248"/>
      <c r="B158" s="14" t="s">
        <v>2617</v>
      </c>
      <c r="C158" s="7"/>
      <c r="D158" s="7"/>
      <c r="E158" s="7"/>
      <c r="F158" s="7"/>
      <c r="G158" s="7"/>
      <c r="H158" s="7"/>
      <c r="I158" s="7"/>
      <c r="J158" s="7"/>
      <c r="K158" s="7"/>
      <c r="L158" s="9"/>
      <c r="M158" s="32"/>
      <c r="N158" s="29"/>
      <c r="O158" s="10"/>
      <c r="P158" s="10"/>
      <c r="Q158" s="35"/>
      <c r="R158" s="29"/>
      <c r="S158" s="10"/>
      <c r="T158" s="10"/>
      <c r="U158" s="10"/>
      <c r="V158" s="10"/>
      <c r="W158" s="10"/>
      <c r="X158" s="10"/>
      <c r="Y158" s="10"/>
      <c r="Z158" s="35"/>
      <c r="AA158" s="29"/>
      <c r="AB158" s="8"/>
      <c r="AC158" s="26"/>
      <c r="AD158" s="24">
        <f t="shared" si="6"/>
        <v>0</v>
      </c>
      <c r="AE158" s="24">
        <f t="shared" si="7"/>
        <v>0</v>
      </c>
      <c r="AF158" s="24">
        <f t="shared" si="8"/>
        <v>0</v>
      </c>
      <c r="AG158" s="41" t="str" cm="1">
        <f t="array" ref="AG158">_xlfn.IFS(
SUM(AD158:AF158)=0,"Not Started",
SUM(AD158:AF158)&lt;15,"In Progress",
SUM(AD158:AF158)=15,"Completed",
SUM(AD158:AF158)&gt;15,"Error"
)</f>
        <v>Not Started</v>
      </c>
    </row>
    <row r="159" spans="1:33" ht="13" x14ac:dyDescent="0.25">
      <c r="A159" s="248"/>
      <c r="B159" s="7" t="s">
        <v>2618</v>
      </c>
      <c r="C159" s="7"/>
      <c r="D159" s="7"/>
      <c r="E159" s="7"/>
      <c r="F159" s="7"/>
      <c r="G159" s="7"/>
      <c r="H159" s="7"/>
      <c r="I159" s="7"/>
      <c r="J159" s="7"/>
      <c r="K159" s="7"/>
      <c r="L159" s="9"/>
      <c r="M159" s="32"/>
      <c r="N159" s="29"/>
      <c r="O159" s="10"/>
      <c r="P159" s="10"/>
      <c r="Q159" s="35"/>
      <c r="R159" s="29"/>
      <c r="S159" s="10"/>
      <c r="T159" s="10"/>
      <c r="U159" s="10"/>
      <c r="V159" s="10"/>
      <c r="W159" s="10"/>
      <c r="X159" s="10"/>
      <c r="Y159" s="10"/>
      <c r="Z159" s="35"/>
      <c r="AA159" s="37"/>
      <c r="AB159" s="8"/>
      <c r="AC159" s="26"/>
      <c r="AD159" s="24">
        <f t="shared" si="6"/>
        <v>0</v>
      </c>
      <c r="AE159" s="24">
        <f t="shared" si="7"/>
        <v>0</v>
      </c>
      <c r="AF159" s="24">
        <f t="shared" si="8"/>
        <v>0</v>
      </c>
      <c r="AG159" s="41" t="str" cm="1">
        <f t="array" ref="AG159">_xlfn.IFS(
SUM(AD159:AF159)=0,"Not Started",
SUM(AD159:AF159)&lt;15,"In Progress",
SUM(AD159:AF159)=15,"Completed",
SUM(AD159:AF159)&gt;15,"Error"
)</f>
        <v>Not Started</v>
      </c>
    </row>
    <row r="160" spans="1:33" ht="13" x14ac:dyDescent="0.25">
      <c r="A160" s="248"/>
      <c r="B160" s="14" t="s">
        <v>2619</v>
      </c>
      <c r="C160" s="7"/>
      <c r="D160" s="7"/>
      <c r="E160" s="7"/>
      <c r="F160" s="7"/>
      <c r="G160" s="7"/>
      <c r="H160" s="7"/>
      <c r="I160" s="7"/>
      <c r="J160" s="7"/>
      <c r="K160" s="7"/>
      <c r="L160" s="9"/>
      <c r="M160" s="32"/>
      <c r="N160" s="29"/>
      <c r="O160" s="10"/>
      <c r="P160" s="10"/>
      <c r="Q160" s="35"/>
      <c r="R160" s="29"/>
      <c r="S160" s="10"/>
      <c r="T160" s="10"/>
      <c r="U160" s="10"/>
      <c r="V160" s="10"/>
      <c r="W160" s="10"/>
      <c r="X160" s="10"/>
      <c r="Y160" s="10"/>
      <c r="Z160" s="35"/>
      <c r="AA160" s="29"/>
      <c r="AB160" s="8"/>
      <c r="AC160" s="26"/>
      <c r="AD160" s="24">
        <f t="shared" si="6"/>
        <v>0</v>
      </c>
      <c r="AE160" s="24">
        <f t="shared" si="7"/>
        <v>0</v>
      </c>
      <c r="AF160" s="24">
        <f t="shared" si="8"/>
        <v>0</v>
      </c>
      <c r="AG160" s="41" t="str" cm="1">
        <f t="array" ref="AG160">_xlfn.IFS(
SUM(AD160:AF160)=0,"Not Started",
SUM(AD160:AF160)&lt;15,"In Progress",
SUM(AD160:AF160)=15,"Completed",
SUM(AD160:AF160)&gt;15,"Error"
)</f>
        <v>Not Started</v>
      </c>
    </row>
    <row r="161" spans="1:33" ht="13" x14ac:dyDescent="0.25">
      <c r="A161" s="248"/>
      <c r="B161" s="7" t="s">
        <v>2620</v>
      </c>
      <c r="C161" s="7"/>
      <c r="D161" s="7"/>
      <c r="E161" s="7"/>
      <c r="F161" s="7"/>
      <c r="G161" s="7"/>
      <c r="H161" s="7"/>
      <c r="I161" s="7"/>
      <c r="J161" s="7"/>
      <c r="K161" s="7"/>
      <c r="L161" s="9"/>
      <c r="M161" s="32"/>
      <c r="N161" s="29"/>
      <c r="O161" s="10"/>
      <c r="P161" s="10"/>
      <c r="Q161" s="35"/>
      <c r="R161" s="29"/>
      <c r="S161" s="10"/>
      <c r="T161" s="10"/>
      <c r="U161" s="10"/>
      <c r="V161" s="10"/>
      <c r="W161" s="10"/>
      <c r="X161" s="10"/>
      <c r="Y161" s="10"/>
      <c r="Z161" s="35"/>
      <c r="AA161" s="29"/>
      <c r="AB161" s="8"/>
      <c r="AC161" s="26"/>
      <c r="AD161" s="24">
        <f t="shared" si="6"/>
        <v>0</v>
      </c>
      <c r="AE161" s="24">
        <f t="shared" si="7"/>
        <v>0</v>
      </c>
      <c r="AF161" s="24">
        <f t="shared" si="8"/>
        <v>0</v>
      </c>
      <c r="AG161" s="41" t="str" cm="1">
        <f t="array" ref="AG161">_xlfn.IFS(
SUM(AD161:AF161)=0,"Not Started",
SUM(AD161:AF161)&lt;15,"In Progress",
SUM(AD161:AF161)=15,"Completed",
SUM(AD161:AF161)&gt;15,"Error"
)</f>
        <v>Not Started</v>
      </c>
    </row>
    <row r="162" spans="1:33" ht="13" x14ac:dyDescent="0.25">
      <c r="A162" s="248"/>
      <c r="B162" s="14" t="s">
        <v>2621</v>
      </c>
      <c r="C162" s="7"/>
      <c r="D162" s="7"/>
      <c r="E162" s="7"/>
      <c r="F162" s="7"/>
      <c r="G162" s="7"/>
      <c r="H162" s="7"/>
      <c r="I162" s="7"/>
      <c r="J162" s="7"/>
      <c r="K162" s="7"/>
      <c r="L162" s="9"/>
      <c r="M162" s="32"/>
      <c r="N162" s="29"/>
      <c r="O162" s="10"/>
      <c r="P162" s="10"/>
      <c r="Q162" s="35"/>
      <c r="R162" s="29"/>
      <c r="S162" s="10"/>
      <c r="T162" s="10"/>
      <c r="U162" s="10"/>
      <c r="V162" s="10"/>
      <c r="W162" s="10"/>
      <c r="X162" s="10"/>
      <c r="Y162" s="10"/>
      <c r="Z162" s="35"/>
      <c r="AA162" s="37"/>
      <c r="AB162" s="8"/>
      <c r="AC162" s="26"/>
      <c r="AD162" s="24">
        <f t="shared" si="6"/>
        <v>0</v>
      </c>
      <c r="AE162" s="24">
        <f t="shared" si="7"/>
        <v>0</v>
      </c>
      <c r="AF162" s="24">
        <f t="shared" si="8"/>
        <v>0</v>
      </c>
      <c r="AG162" s="41" t="str" cm="1">
        <f t="array" ref="AG162">_xlfn.IFS(
SUM(AD162:AF162)=0,"Not Started",
SUM(AD162:AF162)&lt;15,"In Progress",
SUM(AD162:AF162)=15,"Completed",
SUM(AD162:AF162)&gt;15,"Error"
)</f>
        <v>Not Started</v>
      </c>
    </row>
    <row r="163" spans="1:33" ht="13" x14ac:dyDescent="0.25">
      <c r="A163" s="248"/>
      <c r="B163" s="7" t="s">
        <v>2622</v>
      </c>
      <c r="C163" s="7"/>
      <c r="D163" s="7"/>
      <c r="E163" s="7"/>
      <c r="F163" s="7"/>
      <c r="G163" s="7"/>
      <c r="H163" s="7"/>
      <c r="I163" s="7"/>
      <c r="J163" s="7"/>
      <c r="K163" s="7"/>
      <c r="L163" s="9"/>
      <c r="M163" s="32"/>
      <c r="N163" s="29"/>
      <c r="O163" s="10"/>
      <c r="P163" s="10"/>
      <c r="Q163" s="35"/>
      <c r="R163" s="29"/>
      <c r="S163" s="10"/>
      <c r="T163" s="10"/>
      <c r="U163" s="10"/>
      <c r="V163" s="10"/>
      <c r="W163" s="10"/>
      <c r="X163" s="10"/>
      <c r="Y163" s="10"/>
      <c r="Z163" s="35"/>
      <c r="AA163" s="37"/>
      <c r="AB163" s="8"/>
      <c r="AC163" s="26"/>
      <c r="AD163" s="24">
        <f t="shared" si="6"/>
        <v>0</v>
      </c>
      <c r="AE163" s="24">
        <f t="shared" si="7"/>
        <v>0</v>
      </c>
      <c r="AF163" s="24">
        <f t="shared" si="8"/>
        <v>0</v>
      </c>
      <c r="AG163" s="41" t="str" cm="1">
        <f t="array" ref="AG163">_xlfn.IFS(
SUM(AD163:AF163)=0,"Not Started",
SUM(AD163:AF163)&lt;15,"In Progress",
SUM(AD163:AF163)=15,"Completed",
SUM(AD163:AF163)&gt;15,"Error"
)</f>
        <v>Not Started</v>
      </c>
    </row>
    <row r="164" spans="1:33" ht="13" x14ac:dyDescent="0.25">
      <c r="A164" s="248"/>
      <c r="B164" s="14" t="s">
        <v>2623</v>
      </c>
      <c r="C164" s="7"/>
      <c r="D164" s="7"/>
      <c r="E164" s="7"/>
      <c r="F164" s="7"/>
      <c r="G164" s="7"/>
      <c r="H164" s="7"/>
      <c r="I164" s="7"/>
      <c r="J164" s="7"/>
      <c r="K164" s="7"/>
      <c r="L164" s="9"/>
      <c r="M164" s="32"/>
      <c r="N164" s="29"/>
      <c r="O164" s="10"/>
      <c r="P164" s="10"/>
      <c r="Q164" s="35"/>
      <c r="R164" s="29"/>
      <c r="S164" s="10"/>
      <c r="T164" s="10"/>
      <c r="U164" s="10"/>
      <c r="V164" s="10"/>
      <c r="W164" s="10"/>
      <c r="X164" s="10"/>
      <c r="Y164" s="10"/>
      <c r="Z164" s="35"/>
      <c r="AA164" s="29"/>
      <c r="AB164" s="8"/>
      <c r="AC164" s="26"/>
      <c r="AD164" s="24">
        <f t="shared" si="6"/>
        <v>0</v>
      </c>
      <c r="AE164" s="24">
        <f t="shared" si="7"/>
        <v>0</v>
      </c>
      <c r="AF164" s="24">
        <f t="shared" si="8"/>
        <v>0</v>
      </c>
      <c r="AG164" s="41" t="str" cm="1">
        <f t="array" ref="AG164">_xlfn.IFS(
SUM(AD164:AF164)=0,"Not Started",
SUM(AD164:AF164)&lt;15,"In Progress",
SUM(AD164:AF164)=15,"Completed",
SUM(AD164:AF164)&gt;15,"Error"
)</f>
        <v>Not Started</v>
      </c>
    </row>
    <row r="165" spans="1:33" ht="13" x14ac:dyDescent="0.25">
      <c r="A165" s="248"/>
      <c r="B165" s="7" t="s">
        <v>2624</v>
      </c>
      <c r="C165" s="7"/>
      <c r="D165" s="7"/>
      <c r="E165" s="7"/>
      <c r="F165" s="7"/>
      <c r="G165" s="7"/>
      <c r="H165" s="7"/>
      <c r="I165" s="7"/>
      <c r="J165" s="7"/>
      <c r="K165" s="7"/>
      <c r="L165" s="9"/>
      <c r="M165" s="32"/>
      <c r="N165" s="29"/>
      <c r="O165" s="10"/>
      <c r="P165" s="10"/>
      <c r="Q165" s="35"/>
      <c r="R165" s="29"/>
      <c r="S165" s="10"/>
      <c r="T165" s="10"/>
      <c r="U165" s="10"/>
      <c r="V165" s="10"/>
      <c r="W165" s="10"/>
      <c r="X165" s="10"/>
      <c r="Y165" s="10"/>
      <c r="Z165" s="35"/>
      <c r="AA165" s="37"/>
      <c r="AB165" s="8"/>
      <c r="AC165" s="26"/>
      <c r="AD165" s="24">
        <f t="shared" si="6"/>
        <v>0</v>
      </c>
      <c r="AE165" s="24">
        <f t="shared" si="7"/>
        <v>0</v>
      </c>
      <c r="AF165" s="24">
        <f t="shared" si="8"/>
        <v>0</v>
      </c>
      <c r="AG165" s="41" t="str" cm="1">
        <f t="array" ref="AG165">_xlfn.IFS(
SUM(AD165:AF165)=0,"Not Started",
SUM(AD165:AF165)&lt;15,"In Progress",
SUM(AD165:AF165)=15,"Completed",
SUM(AD165:AF165)&gt;15,"Error"
)</f>
        <v>Not Started</v>
      </c>
    </row>
    <row r="166" spans="1:33" ht="13" x14ac:dyDescent="0.25">
      <c r="A166" s="248"/>
      <c r="B166" s="14" t="s">
        <v>2625</v>
      </c>
      <c r="C166" s="7"/>
      <c r="D166" s="7"/>
      <c r="E166" s="7"/>
      <c r="F166" s="7"/>
      <c r="G166" s="7"/>
      <c r="H166" s="7"/>
      <c r="I166" s="7"/>
      <c r="J166" s="7"/>
      <c r="K166" s="7"/>
      <c r="L166" s="9"/>
      <c r="M166" s="32"/>
      <c r="N166" s="29"/>
      <c r="O166" s="10"/>
      <c r="P166" s="10"/>
      <c r="Q166" s="35"/>
      <c r="R166" s="29"/>
      <c r="S166" s="10"/>
      <c r="T166" s="10"/>
      <c r="U166" s="10"/>
      <c r="V166" s="10"/>
      <c r="W166" s="10"/>
      <c r="X166" s="10"/>
      <c r="Y166" s="10"/>
      <c r="Z166" s="35"/>
      <c r="AA166" s="29"/>
      <c r="AB166" s="8"/>
      <c r="AC166" s="26"/>
      <c r="AD166" s="24">
        <f t="shared" si="6"/>
        <v>0</v>
      </c>
      <c r="AE166" s="24">
        <f t="shared" si="7"/>
        <v>0</v>
      </c>
      <c r="AF166" s="24">
        <f t="shared" si="8"/>
        <v>0</v>
      </c>
      <c r="AG166" s="41" t="str" cm="1">
        <f t="array" ref="AG166">_xlfn.IFS(
SUM(AD166:AF166)=0,"Not Started",
SUM(AD166:AF166)&lt;15,"In Progress",
SUM(AD166:AF166)=15,"Completed",
SUM(AD166:AF166)&gt;15,"Error"
)</f>
        <v>Not Started</v>
      </c>
    </row>
    <row r="167" spans="1:33" ht="13" x14ac:dyDescent="0.25">
      <c r="A167" s="248"/>
      <c r="B167" s="7" t="s">
        <v>2626</v>
      </c>
      <c r="C167" s="7"/>
      <c r="D167" s="7"/>
      <c r="E167" s="7"/>
      <c r="F167" s="7"/>
      <c r="G167" s="7"/>
      <c r="H167" s="7"/>
      <c r="I167" s="7"/>
      <c r="J167" s="7"/>
      <c r="K167" s="7"/>
      <c r="L167" s="9"/>
      <c r="M167" s="32"/>
      <c r="N167" s="29"/>
      <c r="O167" s="10"/>
      <c r="P167" s="10"/>
      <c r="Q167" s="35"/>
      <c r="R167" s="29"/>
      <c r="S167" s="10"/>
      <c r="T167" s="10"/>
      <c r="U167" s="10"/>
      <c r="V167" s="10"/>
      <c r="W167" s="10"/>
      <c r="X167" s="10"/>
      <c r="Y167" s="10"/>
      <c r="Z167" s="35"/>
      <c r="AA167" s="29"/>
      <c r="AB167" s="8"/>
      <c r="AC167" s="26"/>
      <c r="AD167" s="24">
        <f t="shared" si="6"/>
        <v>0</v>
      </c>
      <c r="AE167" s="24">
        <f t="shared" si="7"/>
        <v>0</v>
      </c>
      <c r="AF167" s="24">
        <f t="shared" si="8"/>
        <v>0</v>
      </c>
      <c r="AG167" s="41" t="str" cm="1">
        <f t="array" ref="AG167">_xlfn.IFS(
SUM(AD167:AF167)=0,"Not Started",
SUM(AD167:AF167)&lt;15,"In Progress",
SUM(AD167:AF167)=15,"Completed",
SUM(AD167:AF167)&gt;15,"Error"
)</f>
        <v>Not Started</v>
      </c>
    </row>
    <row r="168" spans="1:33" ht="13" x14ac:dyDescent="0.25">
      <c r="A168" s="248"/>
      <c r="B168" s="14" t="s">
        <v>2627</v>
      </c>
      <c r="C168" s="7"/>
      <c r="D168" s="7"/>
      <c r="E168" s="7"/>
      <c r="F168" s="7"/>
      <c r="G168" s="7"/>
      <c r="H168" s="7"/>
      <c r="I168" s="7"/>
      <c r="J168" s="7"/>
      <c r="K168" s="7"/>
      <c r="L168" s="9"/>
      <c r="M168" s="32"/>
      <c r="N168" s="29"/>
      <c r="O168" s="10"/>
      <c r="P168" s="10"/>
      <c r="Q168" s="35"/>
      <c r="R168" s="29"/>
      <c r="S168" s="10"/>
      <c r="T168" s="10"/>
      <c r="U168" s="10"/>
      <c r="V168" s="10"/>
      <c r="W168" s="10"/>
      <c r="X168" s="10"/>
      <c r="Y168" s="10"/>
      <c r="Z168" s="35"/>
      <c r="AA168" s="37"/>
      <c r="AB168" s="8"/>
      <c r="AC168" s="26"/>
      <c r="AD168" s="24">
        <f t="shared" si="6"/>
        <v>0</v>
      </c>
      <c r="AE168" s="24">
        <f t="shared" si="7"/>
        <v>0</v>
      </c>
      <c r="AF168" s="24">
        <f t="shared" si="8"/>
        <v>0</v>
      </c>
      <c r="AG168" s="41" t="str" cm="1">
        <f t="array" ref="AG168">_xlfn.IFS(
SUM(AD168:AF168)=0,"Not Started",
SUM(AD168:AF168)&lt;15,"In Progress",
SUM(AD168:AF168)=15,"Completed",
SUM(AD168:AF168)&gt;15,"Error"
)</f>
        <v>Not Started</v>
      </c>
    </row>
    <row r="169" spans="1:33" ht="13" x14ac:dyDescent="0.25">
      <c r="A169" s="248"/>
      <c r="B169" s="7" t="s">
        <v>2628</v>
      </c>
      <c r="C169" s="7"/>
      <c r="D169" s="7"/>
      <c r="E169" s="7"/>
      <c r="F169" s="7"/>
      <c r="G169" s="7"/>
      <c r="H169" s="7"/>
      <c r="I169" s="7"/>
      <c r="J169" s="7"/>
      <c r="K169" s="7"/>
      <c r="L169" s="9"/>
      <c r="M169" s="32"/>
      <c r="N169" s="29"/>
      <c r="O169" s="10"/>
      <c r="P169" s="10"/>
      <c r="Q169" s="35"/>
      <c r="R169" s="29"/>
      <c r="S169" s="10"/>
      <c r="T169" s="10"/>
      <c r="U169" s="10"/>
      <c r="V169" s="10"/>
      <c r="W169" s="10"/>
      <c r="X169" s="10"/>
      <c r="Y169" s="10"/>
      <c r="Z169" s="35"/>
      <c r="AA169" s="29"/>
      <c r="AB169" s="8"/>
      <c r="AC169" s="26"/>
      <c r="AD169" s="24">
        <f t="shared" si="6"/>
        <v>0</v>
      </c>
      <c r="AE169" s="24">
        <f t="shared" si="7"/>
        <v>0</v>
      </c>
      <c r="AF169" s="24">
        <f t="shared" si="8"/>
        <v>0</v>
      </c>
      <c r="AG169" s="41" t="str" cm="1">
        <f t="array" ref="AG169">_xlfn.IFS(
SUM(AD169:AF169)=0,"Not Started",
SUM(AD169:AF169)&lt;15,"In Progress",
SUM(AD169:AF169)=15,"Completed",
SUM(AD169:AF169)&gt;15,"Error"
)</f>
        <v>Not Started</v>
      </c>
    </row>
    <row r="170" spans="1:33" ht="13" x14ac:dyDescent="0.25">
      <c r="A170" s="248"/>
      <c r="B170" s="14" t="s">
        <v>2629</v>
      </c>
      <c r="C170" s="7"/>
      <c r="D170" s="7"/>
      <c r="E170" s="7"/>
      <c r="F170" s="7"/>
      <c r="G170" s="7"/>
      <c r="H170" s="7"/>
      <c r="I170" s="7"/>
      <c r="J170" s="7"/>
      <c r="K170" s="7"/>
      <c r="L170" s="9"/>
      <c r="M170" s="32"/>
      <c r="N170" s="29"/>
      <c r="O170" s="10"/>
      <c r="P170" s="10"/>
      <c r="Q170" s="35"/>
      <c r="R170" s="29"/>
      <c r="S170" s="10"/>
      <c r="T170" s="10"/>
      <c r="U170" s="10"/>
      <c r="V170" s="10"/>
      <c r="W170" s="10"/>
      <c r="X170" s="10"/>
      <c r="Y170" s="10"/>
      <c r="Z170" s="39"/>
      <c r="AA170" s="37"/>
      <c r="AB170" s="8"/>
      <c r="AC170" s="26"/>
      <c r="AD170" s="24">
        <f t="shared" si="6"/>
        <v>0</v>
      </c>
      <c r="AE170" s="24">
        <f t="shared" si="7"/>
        <v>0</v>
      </c>
      <c r="AF170" s="24">
        <f t="shared" si="8"/>
        <v>0</v>
      </c>
      <c r="AG170" s="41" t="str" cm="1">
        <f t="array" ref="AG170">_xlfn.IFS(
SUM(AD170:AF170)=0,"Not Started",
SUM(AD170:AF170)&lt;15,"In Progress",
SUM(AD170:AF170)=15,"Completed",
SUM(AD170:AF170)&gt;15,"Error"
)</f>
        <v>Not Started</v>
      </c>
    </row>
    <row r="171" spans="1:33" ht="13" x14ac:dyDescent="0.25">
      <c r="A171" s="248"/>
      <c r="B171" s="7" t="s">
        <v>2630</v>
      </c>
      <c r="C171" s="7"/>
      <c r="D171" s="7"/>
      <c r="E171" s="7"/>
      <c r="F171" s="7"/>
      <c r="G171" s="7"/>
      <c r="H171" s="7"/>
      <c r="I171" s="7"/>
      <c r="J171" s="7"/>
      <c r="K171" s="7"/>
      <c r="L171" s="9"/>
      <c r="M171" s="32"/>
      <c r="N171" s="29"/>
      <c r="O171" s="10"/>
      <c r="P171" s="10"/>
      <c r="Q171" s="35"/>
      <c r="R171" s="29"/>
      <c r="S171" s="10"/>
      <c r="T171" s="10"/>
      <c r="U171" s="10"/>
      <c r="V171" s="10"/>
      <c r="W171" s="10"/>
      <c r="X171" s="10"/>
      <c r="Y171" s="10"/>
      <c r="Z171" s="35"/>
      <c r="AA171" s="37"/>
      <c r="AB171" s="8"/>
      <c r="AC171" s="26"/>
      <c r="AD171" s="24">
        <f t="shared" si="6"/>
        <v>0</v>
      </c>
      <c r="AE171" s="24">
        <f t="shared" si="7"/>
        <v>0</v>
      </c>
      <c r="AF171" s="24">
        <f t="shared" si="8"/>
        <v>0</v>
      </c>
      <c r="AG171" s="41" t="str" cm="1">
        <f t="array" ref="AG171">_xlfn.IFS(
SUM(AD171:AF171)=0,"Not Started",
SUM(AD171:AF171)&lt;15,"In Progress",
SUM(AD171:AF171)=15,"Completed",
SUM(AD171:AF171)&gt;15,"Error"
)</f>
        <v>Not Started</v>
      </c>
    </row>
    <row r="172" spans="1:33" ht="13" x14ac:dyDescent="0.25">
      <c r="A172" s="248"/>
      <c r="B172" s="14" t="s">
        <v>2631</v>
      </c>
      <c r="C172" s="7"/>
      <c r="D172" s="7"/>
      <c r="E172" s="7"/>
      <c r="F172" s="7"/>
      <c r="G172" s="7"/>
      <c r="H172" s="7"/>
      <c r="I172" s="7"/>
      <c r="J172" s="7"/>
      <c r="K172" s="7"/>
      <c r="L172" s="9"/>
      <c r="M172" s="32"/>
      <c r="N172" s="29"/>
      <c r="O172" s="10"/>
      <c r="P172" s="10"/>
      <c r="Q172" s="35"/>
      <c r="R172" s="29"/>
      <c r="S172" s="10"/>
      <c r="T172" s="10"/>
      <c r="U172" s="10"/>
      <c r="V172" s="10"/>
      <c r="W172" s="10"/>
      <c r="X172" s="10"/>
      <c r="Y172" s="10"/>
      <c r="Z172" s="39"/>
      <c r="AA172" s="37"/>
      <c r="AB172" s="8"/>
      <c r="AC172" s="26"/>
      <c r="AD172" s="24">
        <f t="shared" si="6"/>
        <v>0</v>
      </c>
      <c r="AE172" s="24">
        <f t="shared" si="7"/>
        <v>0</v>
      </c>
      <c r="AF172" s="24">
        <f t="shared" si="8"/>
        <v>0</v>
      </c>
      <c r="AG172" s="41" t="str" cm="1">
        <f t="array" ref="AG172">_xlfn.IFS(
SUM(AD172:AF172)=0,"Not Started",
SUM(AD172:AF172)&lt;15,"In Progress",
SUM(AD172:AF172)=15,"Completed",
SUM(AD172:AF172)&gt;15,"Error"
)</f>
        <v>Not Started</v>
      </c>
    </row>
    <row r="173" spans="1:33" ht="13" x14ac:dyDescent="0.25">
      <c r="A173" s="248"/>
      <c r="B173" s="7" t="s">
        <v>2632</v>
      </c>
      <c r="C173" s="7"/>
      <c r="D173" s="7"/>
      <c r="E173" s="7"/>
      <c r="F173" s="7"/>
      <c r="G173" s="7"/>
      <c r="H173" s="7"/>
      <c r="I173" s="7"/>
      <c r="J173" s="7"/>
      <c r="K173" s="7"/>
      <c r="L173" s="9"/>
      <c r="M173" s="32"/>
      <c r="N173" s="29"/>
      <c r="O173" s="10"/>
      <c r="P173" s="10"/>
      <c r="Q173" s="35"/>
      <c r="R173" s="29"/>
      <c r="S173" s="10"/>
      <c r="T173" s="10"/>
      <c r="U173" s="10"/>
      <c r="V173" s="10"/>
      <c r="W173" s="10"/>
      <c r="X173" s="10"/>
      <c r="Y173" s="10"/>
      <c r="Z173" s="39"/>
      <c r="AA173" s="37"/>
      <c r="AB173" s="8"/>
      <c r="AC173" s="26"/>
      <c r="AD173" s="24">
        <f t="shared" si="6"/>
        <v>0</v>
      </c>
      <c r="AE173" s="24">
        <f t="shared" si="7"/>
        <v>0</v>
      </c>
      <c r="AF173" s="24">
        <f t="shared" si="8"/>
        <v>0</v>
      </c>
      <c r="AG173" s="41" t="str" cm="1">
        <f t="array" ref="AG173">_xlfn.IFS(
SUM(AD173:AF173)=0,"Not Started",
SUM(AD173:AF173)&lt;15,"In Progress",
SUM(AD173:AF173)=15,"Completed",
SUM(AD173:AF173)&gt;15,"Error"
)</f>
        <v>Not Started</v>
      </c>
    </row>
    <row r="174" spans="1:33" ht="13" x14ac:dyDescent="0.25">
      <c r="A174" s="248"/>
      <c r="B174" s="14" t="s">
        <v>2633</v>
      </c>
      <c r="C174" s="7"/>
      <c r="D174" s="7"/>
      <c r="E174" s="7"/>
      <c r="F174" s="7"/>
      <c r="G174" s="7"/>
      <c r="H174" s="7"/>
      <c r="I174" s="7"/>
      <c r="J174" s="7"/>
      <c r="K174" s="7"/>
      <c r="L174" s="9"/>
      <c r="M174" s="32"/>
      <c r="N174" s="29"/>
      <c r="O174" s="10"/>
      <c r="P174" s="10"/>
      <c r="Q174" s="35"/>
      <c r="R174" s="29"/>
      <c r="S174" s="10"/>
      <c r="T174" s="10"/>
      <c r="U174" s="10"/>
      <c r="V174" s="10"/>
      <c r="W174" s="10"/>
      <c r="X174" s="10"/>
      <c r="Y174" s="10"/>
      <c r="Z174" s="39"/>
      <c r="AA174" s="37"/>
      <c r="AB174" s="8"/>
      <c r="AC174" s="26"/>
      <c r="AD174" s="24">
        <f t="shared" si="6"/>
        <v>0</v>
      </c>
      <c r="AE174" s="24">
        <f t="shared" si="7"/>
        <v>0</v>
      </c>
      <c r="AF174" s="24">
        <f t="shared" si="8"/>
        <v>0</v>
      </c>
      <c r="AG174" s="41" t="str" cm="1">
        <f t="array" ref="AG174">_xlfn.IFS(
SUM(AD174:AF174)=0,"Not Started",
SUM(AD174:AF174)&lt;15,"In Progress",
SUM(AD174:AF174)=15,"Completed",
SUM(AD174:AF174)&gt;15,"Error"
)</f>
        <v>Not Started</v>
      </c>
    </row>
    <row r="175" spans="1:33" ht="13" x14ac:dyDescent="0.25">
      <c r="A175" s="248"/>
      <c r="B175" s="7" t="s">
        <v>2634</v>
      </c>
      <c r="C175" s="7"/>
      <c r="D175" s="7"/>
      <c r="E175" s="7"/>
      <c r="F175" s="7"/>
      <c r="G175" s="7"/>
      <c r="H175" s="7"/>
      <c r="I175" s="7"/>
      <c r="J175" s="7"/>
      <c r="K175" s="7"/>
      <c r="L175" s="9"/>
      <c r="M175" s="32"/>
      <c r="N175" s="29"/>
      <c r="O175" s="10"/>
      <c r="P175" s="10"/>
      <c r="Q175" s="35"/>
      <c r="R175" s="29"/>
      <c r="S175" s="10"/>
      <c r="T175" s="10"/>
      <c r="U175" s="10"/>
      <c r="V175" s="10"/>
      <c r="W175" s="10"/>
      <c r="X175" s="10"/>
      <c r="Y175" s="10"/>
      <c r="Z175" s="39"/>
      <c r="AA175" s="37"/>
      <c r="AB175" s="8"/>
      <c r="AC175" s="26"/>
      <c r="AD175" s="24">
        <f t="shared" si="6"/>
        <v>0</v>
      </c>
      <c r="AE175" s="24">
        <f t="shared" si="7"/>
        <v>0</v>
      </c>
      <c r="AF175" s="24">
        <f t="shared" si="8"/>
        <v>0</v>
      </c>
      <c r="AG175" s="41" t="str" cm="1">
        <f t="array" ref="AG175">_xlfn.IFS(
SUM(AD175:AF175)=0,"Not Started",
SUM(AD175:AF175)&lt;15,"In Progress",
SUM(AD175:AF175)=15,"Completed",
SUM(AD175:AF175)&gt;15,"Error"
)</f>
        <v>Not Started</v>
      </c>
    </row>
    <row r="176" spans="1:33" ht="13" x14ac:dyDescent="0.25">
      <c r="A176" s="248"/>
      <c r="B176" s="14" t="s">
        <v>2635</v>
      </c>
      <c r="C176" s="7"/>
      <c r="D176" s="7"/>
      <c r="E176" s="7"/>
      <c r="F176" s="7"/>
      <c r="G176" s="7"/>
      <c r="H176" s="7"/>
      <c r="I176" s="7"/>
      <c r="J176" s="7"/>
      <c r="K176" s="7"/>
      <c r="L176" s="9"/>
      <c r="M176" s="32"/>
      <c r="N176" s="29"/>
      <c r="O176" s="10"/>
      <c r="P176" s="10"/>
      <c r="Q176" s="35"/>
      <c r="R176" s="29"/>
      <c r="S176" s="10"/>
      <c r="T176" s="10"/>
      <c r="U176" s="10"/>
      <c r="V176" s="10"/>
      <c r="W176" s="10"/>
      <c r="X176" s="10"/>
      <c r="Y176" s="10"/>
      <c r="Z176" s="35"/>
      <c r="AA176" s="37"/>
      <c r="AB176" s="8"/>
      <c r="AC176" s="26"/>
      <c r="AD176" s="24">
        <f t="shared" si="6"/>
        <v>0</v>
      </c>
      <c r="AE176" s="24">
        <f t="shared" si="7"/>
        <v>0</v>
      </c>
      <c r="AF176" s="24">
        <f t="shared" si="8"/>
        <v>0</v>
      </c>
      <c r="AG176" s="41" t="str" cm="1">
        <f t="array" ref="AG176">_xlfn.IFS(
SUM(AD176:AF176)=0,"Not Started",
SUM(AD176:AF176)&lt;15,"In Progress",
SUM(AD176:AF176)=15,"Completed",
SUM(AD176:AF176)&gt;15,"Error"
)</f>
        <v>Not Started</v>
      </c>
    </row>
    <row r="177" spans="1:33" ht="13" x14ac:dyDescent="0.25">
      <c r="A177" s="248"/>
      <c r="B177" s="7" t="s">
        <v>2636</v>
      </c>
      <c r="C177" s="7"/>
      <c r="D177" s="7"/>
      <c r="E177" s="7"/>
      <c r="F177" s="7"/>
      <c r="G177" s="7"/>
      <c r="H177" s="7"/>
      <c r="I177" s="7"/>
      <c r="J177" s="7"/>
      <c r="K177" s="7"/>
      <c r="L177" s="9"/>
      <c r="M177" s="32"/>
      <c r="N177" s="29"/>
      <c r="O177" s="10"/>
      <c r="P177" s="10"/>
      <c r="Q177" s="35"/>
      <c r="R177" s="29"/>
      <c r="S177" s="10"/>
      <c r="T177" s="10"/>
      <c r="U177" s="10"/>
      <c r="V177" s="10"/>
      <c r="W177" s="10"/>
      <c r="X177" s="10"/>
      <c r="Y177" s="10"/>
      <c r="Z177" s="39"/>
      <c r="AA177" s="37"/>
      <c r="AB177" s="8"/>
      <c r="AC177" s="26"/>
      <c r="AD177" s="24">
        <f t="shared" si="6"/>
        <v>0</v>
      </c>
      <c r="AE177" s="24">
        <f t="shared" si="7"/>
        <v>0</v>
      </c>
      <c r="AF177" s="24">
        <f t="shared" si="8"/>
        <v>0</v>
      </c>
      <c r="AG177" s="41" t="str" cm="1">
        <f t="array" ref="AG177">_xlfn.IFS(
SUM(AD177:AF177)=0,"Not Started",
SUM(AD177:AF177)&lt;15,"In Progress",
SUM(AD177:AF177)=15,"Completed",
SUM(AD177:AF177)&gt;15,"Error"
)</f>
        <v>Not Started</v>
      </c>
    </row>
    <row r="178" spans="1:33" ht="13" x14ac:dyDescent="0.25">
      <c r="A178" s="248"/>
      <c r="B178" s="14" t="s">
        <v>2637</v>
      </c>
      <c r="C178" s="7"/>
      <c r="D178" s="7"/>
      <c r="E178" s="7"/>
      <c r="F178" s="7"/>
      <c r="G178" s="7"/>
      <c r="H178" s="7"/>
      <c r="I178" s="7"/>
      <c r="J178" s="7"/>
      <c r="K178" s="7"/>
      <c r="L178" s="9"/>
      <c r="M178" s="32"/>
      <c r="N178" s="29"/>
      <c r="O178" s="10"/>
      <c r="P178" s="10"/>
      <c r="Q178" s="35"/>
      <c r="R178" s="29"/>
      <c r="S178" s="10"/>
      <c r="T178" s="10"/>
      <c r="U178" s="10"/>
      <c r="V178" s="10"/>
      <c r="W178" s="10"/>
      <c r="X178" s="10"/>
      <c r="Y178" s="10"/>
      <c r="Z178" s="39"/>
      <c r="AA178" s="37"/>
      <c r="AB178" s="8"/>
      <c r="AC178" s="26"/>
      <c r="AD178" s="24">
        <f t="shared" si="6"/>
        <v>0</v>
      </c>
      <c r="AE178" s="24">
        <f t="shared" si="7"/>
        <v>0</v>
      </c>
      <c r="AF178" s="24">
        <f t="shared" si="8"/>
        <v>0</v>
      </c>
      <c r="AG178" s="41" t="str" cm="1">
        <f t="array" ref="AG178">_xlfn.IFS(
SUM(AD178:AF178)=0,"Not Started",
SUM(AD178:AF178)&lt;15,"In Progress",
SUM(AD178:AF178)=15,"Completed",
SUM(AD178:AF178)&gt;15,"Error"
)</f>
        <v>Not Started</v>
      </c>
    </row>
    <row r="179" spans="1:33" ht="13" x14ac:dyDescent="0.25">
      <c r="A179" s="248"/>
      <c r="B179" s="7" t="s">
        <v>2638</v>
      </c>
      <c r="C179" s="7"/>
      <c r="D179" s="7"/>
      <c r="E179" s="7"/>
      <c r="F179" s="7"/>
      <c r="G179" s="7"/>
      <c r="H179" s="7"/>
      <c r="I179" s="7"/>
      <c r="J179" s="7"/>
      <c r="K179" s="7"/>
      <c r="L179" s="9"/>
      <c r="M179" s="32"/>
      <c r="N179" s="29"/>
      <c r="O179" s="10"/>
      <c r="P179" s="10"/>
      <c r="Q179" s="35"/>
      <c r="R179" s="29"/>
      <c r="S179" s="10"/>
      <c r="T179" s="10"/>
      <c r="U179" s="10"/>
      <c r="V179" s="10"/>
      <c r="W179" s="10"/>
      <c r="X179" s="10"/>
      <c r="Y179" s="10"/>
      <c r="Z179" s="35"/>
      <c r="AA179" s="37"/>
      <c r="AB179" s="8"/>
      <c r="AC179" s="26"/>
      <c r="AD179" s="24">
        <f t="shared" si="6"/>
        <v>0</v>
      </c>
      <c r="AE179" s="24">
        <f t="shared" si="7"/>
        <v>0</v>
      </c>
      <c r="AF179" s="24">
        <f t="shared" si="8"/>
        <v>0</v>
      </c>
      <c r="AG179" s="41" t="str" cm="1">
        <f t="array" ref="AG179">_xlfn.IFS(
SUM(AD179:AF179)=0,"Not Started",
SUM(AD179:AF179)&lt;15,"In Progress",
SUM(AD179:AF179)=15,"Completed",
SUM(AD179:AF179)&gt;15,"Error"
)</f>
        <v>Not Started</v>
      </c>
    </row>
    <row r="180" spans="1:33" ht="13" x14ac:dyDescent="0.25">
      <c r="A180" s="248"/>
      <c r="B180" s="14" t="s">
        <v>2639</v>
      </c>
      <c r="C180" s="7"/>
      <c r="D180" s="7"/>
      <c r="E180" s="7"/>
      <c r="F180" s="7"/>
      <c r="G180" s="7"/>
      <c r="H180" s="7"/>
      <c r="I180" s="7"/>
      <c r="J180" s="7"/>
      <c r="K180" s="7"/>
      <c r="L180" s="9"/>
      <c r="M180" s="32"/>
      <c r="N180" s="29"/>
      <c r="O180" s="10"/>
      <c r="P180" s="10"/>
      <c r="Q180" s="35"/>
      <c r="R180" s="29"/>
      <c r="S180" s="10"/>
      <c r="T180" s="10"/>
      <c r="U180" s="10"/>
      <c r="V180" s="10"/>
      <c r="W180" s="10"/>
      <c r="X180" s="10"/>
      <c r="Y180" s="10"/>
      <c r="Z180" s="35"/>
      <c r="AA180" s="37"/>
      <c r="AB180" s="8"/>
      <c r="AC180" s="26"/>
      <c r="AD180" s="24">
        <f t="shared" si="6"/>
        <v>0</v>
      </c>
      <c r="AE180" s="24">
        <f t="shared" si="7"/>
        <v>0</v>
      </c>
      <c r="AF180" s="24">
        <f t="shared" si="8"/>
        <v>0</v>
      </c>
      <c r="AG180" s="41" t="str" cm="1">
        <f t="array" ref="AG180">_xlfn.IFS(
SUM(AD180:AF180)=0,"Not Started",
SUM(AD180:AF180)&lt;15,"In Progress",
SUM(AD180:AF180)=15,"Completed",
SUM(AD180:AF180)&gt;15,"Error"
)</f>
        <v>Not Started</v>
      </c>
    </row>
    <row r="181" spans="1:33" ht="13" x14ac:dyDescent="0.25">
      <c r="A181" s="248"/>
      <c r="B181" s="7" t="s">
        <v>2640</v>
      </c>
      <c r="C181" s="7"/>
      <c r="D181" s="7"/>
      <c r="E181" s="7"/>
      <c r="F181" s="7"/>
      <c r="G181" s="7"/>
      <c r="H181" s="7"/>
      <c r="I181" s="7"/>
      <c r="J181" s="7"/>
      <c r="K181" s="7"/>
      <c r="L181" s="9"/>
      <c r="M181" s="32"/>
      <c r="N181" s="29"/>
      <c r="O181" s="10"/>
      <c r="P181" s="10"/>
      <c r="Q181" s="35"/>
      <c r="R181" s="29"/>
      <c r="S181" s="10"/>
      <c r="T181" s="10"/>
      <c r="U181" s="10"/>
      <c r="V181" s="10"/>
      <c r="W181" s="10"/>
      <c r="X181" s="10"/>
      <c r="Y181" s="10"/>
      <c r="Z181" s="35"/>
      <c r="AA181" s="37"/>
      <c r="AB181" s="8"/>
      <c r="AC181" s="26"/>
      <c r="AD181" s="24">
        <f t="shared" si="6"/>
        <v>0</v>
      </c>
      <c r="AE181" s="24">
        <f t="shared" si="7"/>
        <v>0</v>
      </c>
      <c r="AF181" s="24">
        <f t="shared" si="8"/>
        <v>0</v>
      </c>
      <c r="AG181" s="41" t="str" cm="1">
        <f t="array" ref="AG181">_xlfn.IFS(
SUM(AD181:AF181)=0,"Not Started",
SUM(AD181:AF181)&lt;15,"In Progress",
SUM(AD181:AF181)=15,"Completed",
SUM(AD181:AF181)&gt;15,"Error"
)</f>
        <v>Not Started</v>
      </c>
    </row>
    <row r="182" spans="1:33" ht="13" x14ac:dyDescent="0.25">
      <c r="A182" s="248"/>
      <c r="B182" s="14" t="s">
        <v>2641</v>
      </c>
      <c r="C182" s="7"/>
      <c r="D182" s="7"/>
      <c r="E182" s="7"/>
      <c r="F182" s="7"/>
      <c r="G182" s="7"/>
      <c r="H182" s="7"/>
      <c r="I182" s="7"/>
      <c r="J182" s="7"/>
      <c r="K182" s="7"/>
      <c r="L182" s="9"/>
      <c r="M182" s="32"/>
      <c r="N182" s="29"/>
      <c r="O182" s="10"/>
      <c r="P182" s="10"/>
      <c r="Q182" s="35"/>
      <c r="R182" s="29"/>
      <c r="S182" s="10"/>
      <c r="T182" s="10"/>
      <c r="U182" s="10"/>
      <c r="V182" s="10"/>
      <c r="W182" s="10"/>
      <c r="X182" s="10"/>
      <c r="Y182" s="10"/>
      <c r="Z182" s="35"/>
      <c r="AA182" s="37"/>
      <c r="AB182" s="8"/>
      <c r="AC182" s="26"/>
      <c r="AD182" s="24">
        <f t="shared" si="6"/>
        <v>0</v>
      </c>
      <c r="AE182" s="24">
        <f t="shared" si="7"/>
        <v>0</v>
      </c>
      <c r="AF182" s="24">
        <f t="shared" si="8"/>
        <v>0</v>
      </c>
      <c r="AG182" s="41" t="str" cm="1">
        <f t="array" ref="AG182">_xlfn.IFS(
SUM(AD182:AF182)=0,"Not Started",
SUM(AD182:AF182)&lt;15,"In Progress",
SUM(AD182:AF182)=15,"Completed",
SUM(AD182:AF182)&gt;15,"Error"
)</f>
        <v>Not Started</v>
      </c>
    </row>
    <row r="183" spans="1:33" ht="13" x14ac:dyDescent="0.25">
      <c r="A183" s="248"/>
      <c r="B183" s="7" t="s">
        <v>2642</v>
      </c>
      <c r="C183" s="7"/>
      <c r="D183" s="7"/>
      <c r="E183" s="7"/>
      <c r="F183" s="7"/>
      <c r="G183" s="7"/>
      <c r="H183" s="7"/>
      <c r="I183" s="7"/>
      <c r="J183" s="7"/>
      <c r="K183" s="7"/>
      <c r="L183" s="9"/>
      <c r="M183" s="32"/>
      <c r="N183" s="29"/>
      <c r="O183" s="10"/>
      <c r="P183" s="10"/>
      <c r="Q183" s="35"/>
      <c r="R183" s="29"/>
      <c r="S183" s="10"/>
      <c r="T183" s="10"/>
      <c r="U183" s="10"/>
      <c r="V183" s="10"/>
      <c r="W183" s="10"/>
      <c r="X183" s="10"/>
      <c r="Y183" s="10"/>
      <c r="Z183" s="35"/>
      <c r="AA183" s="37"/>
      <c r="AB183" s="8"/>
      <c r="AC183" s="26"/>
      <c r="AD183" s="24">
        <f t="shared" si="6"/>
        <v>0</v>
      </c>
      <c r="AE183" s="24">
        <f t="shared" si="7"/>
        <v>0</v>
      </c>
      <c r="AF183" s="24">
        <f t="shared" si="8"/>
        <v>0</v>
      </c>
      <c r="AG183" s="41" t="str" cm="1">
        <f t="array" ref="AG183">_xlfn.IFS(
SUM(AD183:AF183)=0,"Not Started",
SUM(AD183:AF183)&lt;15,"In Progress",
SUM(AD183:AF183)=15,"Completed",
SUM(AD183:AF183)&gt;15,"Error"
)</f>
        <v>Not Started</v>
      </c>
    </row>
    <row r="184" spans="1:33" ht="13" x14ac:dyDescent="0.25">
      <c r="A184" s="248"/>
      <c r="B184" s="14" t="s">
        <v>2643</v>
      </c>
      <c r="C184" s="7"/>
      <c r="D184" s="7"/>
      <c r="E184" s="7"/>
      <c r="F184" s="7"/>
      <c r="G184" s="7"/>
      <c r="H184" s="7"/>
      <c r="I184" s="7"/>
      <c r="J184" s="7"/>
      <c r="K184" s="7"/>
      <c r="L184" s="9"/>
      <c r="M184" s="32"/>
      <c r="N184" s="29"/>
      <c r="O184" s="10"/>
      <c r="P184" s="10"/>
      <c r="Q184" s="35"/>
      <c r="R184" s="29"/>
      <c r="S184" s="10"/>
      <c r="T184" s="10"/>
      <c r="U184" s="10"/>
      <c r="V184" s="10"/>
      <c r="W184" s="10"/>
      <c r="X184" s="8"/>
      <c r="Y184" s="10"/>
      <c r="Z184" s="39"/>
      <c r="AA184" s="37"/>
      <c r="AB184" s="8"/>
      <c r="AC184" s="26"/>
      <c r="AD184" s="24">
        <f t="shared" si="6"/>
        <v>0</v>
      </c>
      <c r="AE184" s="24">
        <f t="shared" si="7"/>
        <v>0</v>
      </c>
      <c r="AF184" s="24">
        <f t="shared" si="8"/>
        <v>0</v>
      </c>
      <c r="AG184" s="41" t="str" cm="1">
        <f t="array" ref="AG184">_xlfn.IFS(
SUM(AD184:AF184)=0,"Not Started",
SUM(AD184:AF184)&lt;15,"In Progress",
SUM(AD184:AF184)=15,"Completed",
SUM(AD184:AF184)&gt;15,"Error"
)</f>
        <v>Not Started</v>
      </c>
    </row>
    <row r="185" spans="1:33" ht="13" x14ac:dyDescent="0.25">
      <c r="A185" s="248"/>
      <c r="B185" s="7" t="s">
        <v>2644</v>
      </c>
      <c r="C185" s="7"/>
      <c r="D185" s="7"/>
      <c r="E185" s="7"/>
      <c r="F185" s="7"/>
      <c r="G185" s="7"/>
      <c r="H185" s="7"/>
      <c r="I185" s="7"/>
      <c r="J185" s="7"/>
      <c r="K185" s="7"/>
      <c r="L185" s="9"/>
      <c r="M185" s="32"/>
      <c r="N185" s="29"/>
      <c r="O185" s="10"/>
      <c r="P185" s="10"/>
      <c r="Q185" s="35"/>
      <c r="R185" s="29"/>
      <c r="S185" s="10"/>
      <c r="T185" s="10"/>
      <c r="U185" s="10"/>
      <c r="V185" s="10"/>
      <c r="W185" s="10"/>
      <c r="X185" s="8"/>
      <c r="Y185" s="10"/>
      <c r="Z185" s="39"/>
      <c r="AA185" s="37"/>
      <c r="AB185" s="8"/>
      <c r="AC185" s="26"/>
      <c r="AD185" s="24">
        <f t="shared" si="6"/>
        <v>0</v>
      </c>
      <c r="AE185" s="24">
        <f t="shared" si="7"/>
        <v>0</v>
      </c>
      <c r="AF185" s="24">
        <f t="shared" si="8"/>
        <v>0</v>
      </c>
      <c r="AG185" s="41" t="str" cm="1">
        <f t="array" ref="AG185">_xlfn.IFS(
SUM(AD185:AF185)=0,"Not Started",
SUM(AD185:AF185)&lt;15,"In Progress",
SUM(AD185:AF185)=15,"Completed",
SUM(AD185:AF185)&gt;15,"Error"
)</f>
        <v>Not Started</v>
      </c>
    </row>
    <row r="186" spans="1:33" ht="13" x14ac:dyDescent="0.25">
      <c r="A186" s="248"/>
      <c r="B186" s="14" t="s">
        <v>2645</v>
      </c>
      <c r="C186" s="7"/>
      <c r="D186" s="7"/>
      <c r="E186" s="7"/>
      <c r="F186" s="7"/>
      <c r="G186" s="7"/>
      <c r="H186" s="7"/>
      <c r="I186" s="7"/>
      <c r="J186" s="7"/>
      <c r="K186" s="7"/>
      <c r="L186" s="9"/>
      <c r="M186" s="32"/>
      <c r="N186" s="29"/>
      <c r="O186" s="10"/>
      <c r="P186" s="10"/>
      <c r="Q186" s="35"/>
      <c r="R186" s="29"/>
      <c r="S186" s="10"/>
      <c r="T186" s="10"/>
      <c r="U186" s="10"/>
      <c r="V186" s="10"/>
      <c r="W186" s="10"/>
      <c r="X186" s="8"/>
      <c r="Y186" s="10"/>
      <c r="Z186" s="39"/>
      <c r="AA186" s="37"/>
      <c r="AB186" s="8"/>
      <c r="AC186" s="26"/>
      <c r="AD186" s="24">
        <f t="shared" si="6"/>
        <v>0</v>
      </c>
      <c r="AE186" s="24">
        <f t="shared" si="7"/>
        <v>0</v>
      </c>
      <c r="AF186" s="24">
        <f t="shared" si="8"/>
        <v>0</v>
      </c>
      <c r="AG186" s="41" t="str" cm="1">
        <f t="array" ref="AG186">_xlfn.IFS(
SUM(AD186:AF186)=0,"Not Started",
SUM(AD186:AF186)&lt;15,"In Progress",
SUM(AD186:AF186)=15,"Completed",
SUM(AD186:AF186)&gt;15,"Error"
)</f>
        <v>Not Started</v>
      </c>
    </row>
    <row r="187" spans="1:33" ht="13" x14ac:dyDescent="0.25">
      <c r="A187" s="248"/>
      <c r="B187" s="7" t="s">
        <v>2646</v>
      </c>
      <c r="C187" s="7"/>
      <c r="D187" s="7"/>
      <c r="E187" s="7"/>
      <c r="F187" s="7"/>
      <c r="G187" s="7"/>
      <c r="H187" s="7"/>
      <c r="I187" s="7"/>
      <c r="J187" s="7"/>
      <c r="K187" s="7"/>
      <c r="L187" s="9"/>
      <c r="M187" s="32"/>
      <c r="N187" s="29"/>
      <c r="O187" s="10"/>
      <c r="P187" s="10"/>
      <c r="Q187" s="35"/>
      <c r="R187" s="29"/>
      <c r="S187" s="10"/>
      <c r="T187" s="10"/>
      <c r="U187" s="10"/>
      <c r="V187" s="10"/>
      <c r="W187" s="10"/>
      <c r="X187" s="10"/>
      <c r="Y187" s="10"/>
      <c r="Z187" s="35"/>
      <c r="AA187" s="37"/>
      <c r="AB187" s="8"/>
      <c r="AC187" s="26"/>
      <c r="AD187" s="24">
        <f t="shared" si="6"/>
        <v>0</v>
      </c>
      <c r="AE187" s="24">
        <f t="shared" si="7"/>
        <v>0</v>
      </c>
      <c r="AF187" s="24">
        <f t="shared" si="8"/>
        <v>0</v>
      </c>
      <c r="AG187" s="41" t="str" cm="1">
        <f t="array" ref="AG187">_xlfn.IFS(
SUM(AD187:AF187)=0,"Not Started",
SUM(AD187:AF187)&lt;15,"In Progress",
SUM(AD187:AF187)=15,"Completed",
SUM(AD187:AF187)&gt;15,"Error"
)</f>
        <v>Not Started</v>
      </c>
    </row>
    <row r="188" spans="1:33" ht="13" x14ac:dyDescent="0.25">
      <c r="A188" s="248"/>
      <c r="B188" s="14" t="s">
        <v>2647</v>
      </c>
      <c r="C188" s="7"/>
      <c r="D188" s="7"/>
      <c r="E188" s="7"/>
      <c r="F188" s="7"/>
      <c r="G188" s="7"/>
      <c r="H188" s="7"/>
      <c r="I188" s="7"/>
      <c r="J188" s="7"/>
      <c r="K188" s="7"/>
      <c r="L188" s="9"/>
      <c r="M188" s="32"/>
      <c r="N188" s="29"/>
      <c r="O188" s="10"/>
      <c r="P188" s="10"/>
      <c r="Q188" s="35"/>
      <c r="R188" s="29"/>
      <c r="S188" s="10"/>
      <c r="T188" s="10"/>
      <c r="U188" s="10"/>
      <c r="V188" s="10"/>
      <c r="W188" s="10"/>
      <c r="X188" s="8"/>
      <c r="Y188" s="10"/>
      <c r="Z188" s="39"/>
      <c r="AA188" s="37"/>
      <c r="AB188" s="8"/>
      <c r="AC188" s="26"/>
      <c r="AD188" s="24">
        <f t="shared" si="6"/>
        <v>0</v>
      </c>
      <c r="AE188" s="24">
        <f t="shared" si="7"/>
        <v>0</v>
      </c>
      <c r="AF188" s="24">
        <f t="shared" si="8"/>
        <v>0</v>
      </c>
      <c r="AG188" s="41" t="str" cm="1">
        <f t="array" ref="AG188">_xlfn.IFS(
SUM(AD188:AF188)=0,"Not Started",
SUM(AD188:AF188)&lt;15,"In Progress",
SUM(AD188:AF188)=15,"Completed",
SUM(AD188:AF188)&gt;15,"Error"
)</f>
        <v>Not Started</v>
      </c>
    </row>
    <row r="189" spans="1:33" ht="13" x14ac:dyDescent="0.25">
      <c r="A189" s="248"/>
      <c r="B189" s="7" t="s">
        <v>2648</v>
      </c>
      <c r="C189" s="7"/>
      <c r="D189" s="7"/>
      <c r="E189" s="7"/>
      <c r="F189" s="7"/>
      <c r="G189" s="7"/>
      <c r="H189" s="7"/>
      <c r="I189" s="7"/>
      <c r="J189" s="7"/>
      <c r="K189" s="7"/>
      <c r="L189" s="9"/>
      <c r="M189" s="32"/>
      <c r="N189" s="29"/>
      <c r="O189" s="10"/>
      <c r="P189" s="10"/>
      <c r="Q189" s="35"/>
      <c r="R189" s="29"/>
      <c r="S189" s="10"/>
      <c r="T189" s="10"/>
      <c r="U189" s="10"/>
      <c r="V189" s="10"/>
      <c r="W189" s="10"/>
      <c r="X189" s="8"/>
      <c r="Y189" s="10"/>
      <c r="Z189" s="39"/>
      <c r="AA189" s="37"/>
      <c r="AB189" s="8"/>
      <c r="AC189" s="26"/>
      <c r="AD189" s="24">
        <f t="shared" si="6"/>
        <v>0</v>
      </c>
      <c r="AE189" s="24">
        <f t="shared" si="7"/>
        <v>0</v>
      </c>
      <c r="AF189" s="24">
        <f t="shared" si="8"/>
        <v>0</v>
      </c>
      <c r="AG189" s="41" t="str" cm="1">
        <f t="array" ref="AG189">_xlfn.IFS(
SUM(AD189:AF189)=0,"Not Started",
SUM(AD189:AF189)&lt;15,"In Progress",
SUM(AD189:AF189)=15,"Completed",
SUM(AD189:AF189)&gt;15,"Error"
)</f>
        <v>Not Started</v>
      </c>
    </row>
    <row r="190" spans="1:33" ht="13" x14ac:dyDescent="0.25">
      <c r="A190" s="248"/>
      <c r="B190" s="14" t="s">
        <v>2649</v>
      </c>
      <c r="C190" s="7"/>
      <c r="D190" s="7"/>
      <c r="E190" s="7"/>
      <c r="F190" s="7"/>
      <c r="G190" s="7"/>
      <c r="H190" s="7"/>
      <c r="I190" s="7"/>
      <c r="J190" s="7"/>
      <c r="K190" s="7"/>
      <c r="L190" s="9"/>
      <c r="M190" s="32"/>
      <c r="N190" s="29"/>
      <c r="O190" s="10"/>
      <c r="P190" s="10"/>
      <c r="Q190" s="35"/>
      <c r="R190" s="29"/>
      <c r="S190" s="10"/>
      <c r="T190" s="10"/>
      <c r="U190" s="10"/>
      <c r="V190" s="10"/>
      <c r="W190" s="10"/>
      <c r="X190" s="10"/>
      <c r="Y190" s="10"/>
      <c r="Z190" s="35"/>
      <c r="AA190" s="37"/>
      <c r="AB190" s="8"/>
      <c r="AC190" s="26"/>
      <c r="AD190" s="24">
        <f t="shared" si="6"/>
        <v>0</v>
      </c>
      <c r="AE190" s="24">
        <f t="shared" si="7"/>
        <v>0</v>
      </c>
      <c r="AF190" s="24">
        <f t="shared" si="8"/>
        <v>0</v>
      </c>
      <c r="AG190" s="41" t="str" cm="1">
        <f t="array" ref="AG190">_xlfn.IFS(
SUM(AD190:AF190)=0,"Not Started",
SUM(AD190:AF190)&lt;15,"In Progress",
SUM(AD190:AF190)=15,"Completed",
SUM(AD190:AF190)&gt;15,"Error"
)</f>
        <v>Not Started</v>
      </c>
    </row>
    <row r="191" spans="1:33" ht="13" x14ac:dyDescent="0.25">
      <c r="A191" s="248"/>
      <c r="B191" s="7" t="s">
        <v>2650</v>
      </c>
      <c r="C191" s="7"/>
      <c r="D191" s="7"/>
      <c r="E191" s="7"/>
      <c r="F191" s="7"/>
      <c r="G191" s="7"/>
      <c r="H191" s="7"/>
      <c r="I191" s="7"/>
      <c r="J191" s="7"/>
      <c r="K191" s="7"/>
      <c r="L191" s="9"/>
      <c r="M191" s="32"/>
      <c r="N191" s="29"/>
      <c r="O191" s="10"/>
      <c r="P191" s="10"/>
      <c r="Q191" s="35"/>
      <c r="R191" s="29"/>
      <c r="S191" s="10"/>
      <c r="T191" s="10"/>
      <c r="U191" s="10"/>
      <c r="V191" s="10"/>
      <c r="W191" s="10"/>
      <c r="X191" s="8"/>
      <c r="Y191" s="10"/>
      <c r="Z191" s="39"/>
      <c r="AA191" s="37"/>
      <c r="AB191" s="8"/>
      <c r="AC191" s="26"/>
      <c r="AD191" s="24">
        <f t="shared" si="6"/>
        <v>0</v>
      </c>
      <c r="AE191" s="24">
        <f t="shared" si="7"/>
        <v>0</v>
      </c>
      <c r="AF191" s="24">
        <f t="shared" si="8"/>
        <v>0</v>
      </c>
      <c r="AG191" s="41" t="str" cm="1">
        <f t="array" ref="AG191">_xlfn.IFS(
SUM(AD191:AF191)=0,"Not Started",
SUM(AD191:AF191)&lt;15,"In Progress",
SUM(AD191:AF191)=15,"Completed",
SUM(AD191:AF191)&gt;15,"Error"
)</f>
        <v>Not Started</v>
      </c>
    </row>
    <row r="192" spans="1:33" ht="13" x14ac:dyDescent="0.25">
      <c r="A192" s="248"/>
      <c r="B192" s="14" t="s">
        <v>2651</v>
      </c>
      <c r="C192" s="7"/>
      <c r="D192" s="7"/>
      <c r="E192" s="7"/>
      <c r="F192" s="7"/>
      <c r="G192" s="7"/>
      <c r="H192" s="7"/>
      <c r="I192" s="7"/>
      <c r="J192" s="7"/>
      <c r="K192" s="7"/>
      <c r="L192" s="9"/>
      <c r="M192" s="32"/>
      <c r="N192" s="29"/>
      <c r="O192" s="10"/>
      <c r="P192" s="10"/>
      <c r="Q192" s="35"/>
      <c r="R192" s="29"/>
      <c r="S192" s="10"/>
      <c r="T192" s="10"/>
      <c r="U192" s="10"/>
      <c r="V192" s="10"/>
      <c r="W192" s="10"/>
      <c r="X192" s="8"/>
      <c r="Y192" s="10"/>
      <c r="Z192" s="39"/>
      <c r="AA192" s="37"/>
      <c r="AB192" s="8"/>
      <c r="AC192" s="26"/>
      <c r="AD192" s="24">
        <f t="shared" si="6"/>
        <v>0</v>
      </c>
      <c r="AE192" s="24">
        <f t="shared" si="7"/>
        <v>0</v>
      </c>
      <c r="AF192" s="24">
        <f t="shared" si="8"/>
        <v>0</v>
      </c>
      <c r="AG192" s="41" t="str" cm="1">
        <f t="array" ref="AG192">_xlfn.IFS(
SUM(AD192:AF192)=0,"Not Started",
SUM(AD192:AF192)&lt;15,"In Progress",
SUM(AD192:AF192)=15,"Completed",
SUM(AD192:AF192)&gt;15,"Error"
)</f>
        <v>Not Started</v>
      </c>
    </row>
    <row r="193" spans="1:33" ht="13" x14ac:dyDescent="0.25">
      <c r="A193" s="248"/>
      <c r="B193" s="7" t="s">
        <v>2652</v>
      </c>
      <c r="C193" s="7"/>
      <c r="D193" s="7"/>
      <c r="E193" s="7"/>
      <c r="F193" s="7"/>
      <c r="G193" s="7"/>
      <c r="H193" s="7"/>
      <c r="I193" s="7"/>
      <c r="J193" s="7"/>
      <c r="K193" s="7"/>
      <c r="L193" s="9"/>
      <c r="M193" s="32"/>
      <c r="N193" s="29"/>
      <c r="O193" s="10"/>
      <c r="P193" s="10"/>
      <c r="Q193" s="35"/>
      <c r="R193" s="29"/>
      <c r="S193" s="10"/>
      <c r="T193" s="10"/>
      <c r="U193" s="10"/>
      <c r="V193" s="10"/>
      <c r="W193" s="10"/>
      <c r="X193" s="8"/>
      <c r="Y193" s="10"/>
      <c r="Z193" s="39"/>
      <c r="AA193" s="37"/>
      <c r="AB193" s="8"/>
      <c r="AC193" s="26"/>
      <c r="AD193" s="24">
        <f t="shared" si="6"/>
        <v>0</v>
      </c>
      <c r="AE193" s="24">
        <f t="shared" si="7"/>
        <v>0</v>
      </c>
      <c r="AF193" s="24">
        <f t="shared" si="8"/>
        <v>0</v>
      </c>
      <c r="AG193" s="41" t="str" cm="1">
        <f t="array" ref="AG193">_xlfn.IFS(
SUM(AD193:AF193)=0,"Not Started",
SUM(AD193:AF193)&lt;15,"In Progress",
SUM(AD193:AF193)=15,"Completed",
SUM(AD193:AF193)&gt;15,"Error"
)</f>
        <v>Not Started</v>
      </c>
    </row>
    <row r="194" spans="1:33" ht="13" x14ac:dyDescent="0.25">
      <c r="A194" s="248"/>
      <c r="B194" s="14" t="s">
        <v>2653</v>
      </c>
      <c r="C194" s="7"/>
      <c r="D194" s="7"/>
      <c r="E194" s="7"/>
      <c r="F194" s="7"/>
      <c r="G194" s="7"/>
      <c r="H194" s="7"/>
      <c r="I194" s="7"/>
      <c r="J194" s="7"/>
      <c r="K194" s="7"/>
      <c r="L194" s="9"/>
      <c r="M194" s="32"/>
      <c r="N194" s="29"/>
      <c r="O194" s="10"/>
      <c r="P194" s="10"/>
      <c r="Q194" s="35"/>
      <c r="R194" s="29"/>
      <c r="S194" s="10"/>
      <c r="T194" s="10"/>
      <c r="U194" s="10"/>
      <c r="V194" s="10"/>
      <c r="W194" s="10"/>
      <c r="X194" s="10"/>
      <c r="Y194" s="10"/>
      <c r="Z194" s="35"/>
      <c r="AA194" s="37"/>
      <c r="AB194" s="8"/>
      <c r="AC194" s="26"/>
      <c r="AD194" s="24">
        <f t="shared" si="6"/>
        <v>0</v>
      </c>
      <c r="AE194" s="24">
        <f t="shared" si="7"/>
        <v>0</v>
      </c>
      <c r="AF194" s="24">
        <f t="shared" si="8"/>
        <v>0</v>
      </c>
      <c r="AG194" s="41" t="str" cm="1">
        <f t="array" ref="AG194">_xlfn.IFS(
SUM(AD194:AF194)=0,"Not Started",
SUM(AD194:AF194)&lt;15,"In Progress",
SUM(AD194:AF194)=15,"Completed",
SUM(AD194:AF194)&gt;15,"Error"
)</f>
        <v>Not Started</v>
      </c>
    </row>
    <row r="195" spans="1:33" ht="13" x14ac:dyDescent="0.25">
      <c r="A195" s="248"/>
      <c r="B195" s="7" t="s">
        <v>2654</v>
      </c>
      <c r="C195" s="7"/>
      <c r="D195" s="7"/>
      <c r="E195" s="7"/>
      <c r="F195" s="7"/>
      <c r="G195" s="7"/>
      <c r="H195" s="7"/>
      <c r="I195" s="7"/>
      <c r="J195" s="7"/>
      <c r="K195" s="7"/>
      <c r="L195" s="9"/>
      <c r="M195" s="32"/>
      <c r="N195" s="29"/>
      <c r="O195" s="10"/>
      <c r="P195" s="10"/>
      <c r="Q195" s="35"/>
      <c r="R195" s="29"/>
      <c r="S195" s="10"/>
      <c r="T195" s="10"/>
      <c r="U195" s="10"/>
      <c r="V195" s="10"/>
      <c r="W195" s="10"/>
      <c r="X195" s="8"/>
      <c r="Y195" s="10"/>
      <c r="Z195" s="39"/>
      <c r="AA195" s="37"/>
      <c r="AB195" s="8"/>
      <c r="AC195" s="26"/>
      <c r="AD195" s="24">
        <f t="shared" si="6"/>
        <v>0</v>
      </c>
      <c r="AE195" s="24">
        <f t="shared" si="7"/>
        <v>0</v>
      </c>
      <c r="AF195" s="24">
        <f t="shared" si="8"/>
        <v>0</v>
      </c>
      <c r="AG195" s="41" t="str" cm="1">
        <f t="array" ref="AG195">_xlfn.IFS(
SUM(AD195:AF195)=0,"Not Started",
SUM(AD195:AF195)&lt;15,"In Progress",
SUM(AD195:AF195)=15,"Completed",
SUM(AD195:AF195)&gt;15,"Error"
)</f>
        <v>Not Started</v>
      </c>
    </row>
    <row r="196" spans="1:33" ht="13" x14ac:dyDescent="0.25">
      <c r="A196" s="248"/>
      <c r="B196" s="14" t="s">
        <v>2655</v>
      </c>
      <c r="C196" s="7"/>
      <c r="D196" s="7"/>
      <c r="E196" s="7"/>
      <c r="F196" s="7"/>
      <c r="G196" s="7"/>
      <c r="H196" s="7"/>
      <c r="I196" s="7"/>
      <c r="J196" s="7"/>
      <c r="K196" s="7"/>
      <c r="L196" s="9"/>
      <c r="M196" s="32"/>
      <c r="N196" s="29"/>
      <c r="O196" s="10"/>
      <c r="P196" s="10"/>
      <c r="Q196" s="35"/>
      <c r="R196" s="29"/>
      <c r="S196" s="10"/>
      <c r="T196" s="10"/>
      <c r="U196" s="10"/>
      <c r="V196" s="10"/>
      <c r="W196" s="10"/>
      <c r="X196" s="10"/>
      <c r="Y196" s="10"/>
      <c r="Z196" s="35"/>
      <c r="AA196" s="37"/>
      <c r="AB196" s="8"/>
      <c r="AC196" s="26"/>
      <c r="AD196" s="24">
        <f t="shared" si="6"/>
        <v>0</v>
      </c>
      <c r="AE196" s="24">
        <f t="shared" si="7"/>
        <v>0</v>
      </c>
      <c r="AF196" s="24">
        <f t="shared" si="8"/>
        <v>0</v>
      </c>
      <c r="AG196" s="41" t="str" cm="1">
        <f t="array" ref="AG196">_xlfn.IFS(
SUM(AD196:AF196)=0,"Not Started",
SUM(AD196:AF196)&lt;15,"In Progress",
SUM(AD196:AF196)=15,"Completed",
SUM(AD196:AF196)&gt;15,"Error"
)</f>
        <v>Not Started</v>
      </c>
    </row>
    <row r="197" spans="1:33" ht="13" x14ac:dyDescent="0.25">
      <c r="A197" s="248"/>
      <c r="B197" s="7" t="s">
        <v>2656</v>
      </c>
      <c r="C197" s="7"/>
      <c r="D197" s="7"/>
      <c r="E197" s="7"/>
      <c r="F197" s="7"/>
      <c r="G197" s="7"/>
      <c r="H197" s="7"/>
      <c r="I197" s="7"/>
      <c r="J197" s="7"/>
      <c r="K197" s="7"/>
      <c r="L197" s="9"/>
      <c r="M197" s="32"/>
      <c r="N197" s="29"/>
      <c r="O197" s="10"/>
      <c r="P197" s="10"/>
      <c r="Q197" s="35"/>
      <c r="R197" s="29"/>
      <c r="S197" s="10"/>
      <c r="T197" s="10"/>
      <c r="U197" s="10"/>
      <c r="V197" s="10"/>
      <c r="W197" s="10"/>
      <c r="X197" s="8"/>
      <c r="Y197" s="10"/>
      <c r="Z197" s="39"/>
      <c r="AA197" s="37"/>
      <c r="AB197" s="8"/>
      <c r="AC197" s="26"/>
      <c r="AD197" s="24">
        <f t="shared" ref="AD197:AD204" si="9">COUNTIF(N197:AB197,$AD$2)</f>
        <v>0</v>
      </c>
      <c r="AE197" s="24">
        <f t="shared" ref="AE197:AE204" si="10">COUNTIF(N197:AB197,$AE$2)</f>
        <v>0</v>
      </c>
      <c r="AF197" s="24">
        <f t="shared" ref="AF197:AF204" si="11">COUNTIF(N197:AB197,$AF$2)</f>
        <v>0</v>
      </c>
      <c r="AG197" s="41" t="str" cm="1">
        <f t="array" ref="AG197">_xlfn.IFS(
SUM(AD197:AF197)=0,"Not Started",
SUM(AD197:AF197)&lt;15,"In Progress",
SUM(AD197:AF197)=15,"Completed",
SUM(AD197:AF197)&gt;15,"Error"
)</f>
        <v>Not Started</v>
      </c>
    </row>
    <row r="198" spans="1:33" ht="13" x14ac:dyDescent="0.25">
      <c r="A198" s="248"/>
      <c r="B198" s="14" t="s">
        <v>2657</v>
      </c>
      <c r="C198" s="7"/>
      <c r="D198" s="7"/>
      <c r="E198" s="7"/>
      <c r="F198" s="7"/>
      <c r="G198" s="7"/>
      <c r="H198" s="7"/>
      <c r="I198" s="7"/>
      <c r="J198" s="7"/>
      <c r="K198" s="7"/>
      <c r="L198" s="9"/>
      <c r="M198" s="32"/>
      <c r="N198" s="29"/>
      <c r="O198" s="10"/>
      <c r="P198" s="10"/>
      <c r="Q198" s="35"/>
      <c r="R198" s="29"/>
      <c r="S198" s="10"/>
      <c r="T198" s="10"/>
      <c r="U198" s="10"/>
      <c r="V198" s="10"/>
      <c r="W198" s="10"/>
      <c r="X198" s="8"/>
      <c r="Y198" s="10"/>
      <c r="Z198" s="39"/>
      <c r="AA198" s="37"/>
      <c r="AB198" s="8"/>
      <c r="AC198" s="26"/>
      <c r="AD198" s="24">
        <f t="shared" si="9"/>
        <v>0</v>
      </c>
      <c r="AE198" s="24">
        <f t="shared" si="10"/>
        <v>0</v>
      </c>
      <c r="AF198" s="24">
        <f t="shared" si="11"/>
        <v>0</v>
      </c>
      <c r="AG198" s="41" t="str" cm="1">
        <f t="array" ref="AG198">_xlfn.IFS(
SUM(AD198:AF198)=0,"Not Started",
SUM(AD198:AF198)&lt;15,"In Progress",
SUM(AD198:AF198)=15,"Completed",
SUM(AD198:AF198)&gt;15,"Error"
)</f>
        <v>Not Started</v>
      </c>
    </row>
    <row r="199" spans="1:33" ht="13" x14ac:dyDescent="0.25">
      <c r="A199" s="248"/>
      <c r="B199" s="7" t="s">
        <v>2658</v>
      </c>
      <c r="C199" s="7"/>
      <c r="D199" s="7"/>
      <c r="E199" s="7"/>
      <c r="F199" s="7"/>
      <c r="G199" s="7"/>
      <c r="H199" s="7"/>
      <c r="I199" s="7"/>
      <c r="J199" s="7"/>
      <c r="K199" s="7"/>
      <c r="L199" s="9"/>
      <c r="M199" s="32"/>
      <c r="N199" s="29"/>
      <c r="O199" s="10"/>
      <c r="P199" s="10"/>
      <c r="Q199" s="35"/>
      <c r="R199" s="29"/>
      <c r="S199" s="10"/>
      <c r="T199" s="10"/>
      <c r="U199" s="10"/>
      <c r="V199" s="10"/>
      <c r="W199" s="10"/>
      <c r="X199" s="10"/>
      <c r="Y199" s="10"/>
      <c r="Z199" s="35"/>
      <c r="AA199" s="37"/>
      <c r="AB199" s="8"/>
      <c r="AC199" s="26"/>
      <c r="AD199" s="24">
        <f t="shared" si="9"/>
        <v>0</v>
      </c>
      <c r="AE199" s="24">
        <f t="shared" si="10"/>
        <v>0</v>
      </c>
      <c r="AF199" s="24">
        <f t="shared" si="11"/>
        <v>0</v>
      </c>
      <c r="AG199" s="41" t="str" cm="1">
        <f t="array" ref="AG199">_xlfn.IFS(
SUM(AD199:AF199)=0,"Not Started",
SUM(AD199:AF199)&lt;15,"In Progress",
SUM(AD199:AF199)=15,"Completed",
SUM(AD199:AF199)&gt;15,"Error"
)</f>
        <v>Not Started</v>
      </c>
    </row>
    <row r="200" spans="1:33" ht="13" x14ac:dyDescent="0.25">
      <c r="A200" s="248"/>
      <c r="B200" s="14" t="s">
        <v>2659</v>
      </c>
      <c r="C200" s="7"/>
      <c r="D200" s="7"/>
      <c r="E200" s="7"/>
      <c r="F200" s="7"/>
      <c r="G200" s="7"/>
      <c r="H200" s="7"/>
      <c r="I200" s="7"/>
      <c r="J200" s="7"/>
      <c r="K200" s="7"/>
      <c r="L200" s="9"/>
      <c r="M200" s="32"/>
      <c r="N200" s="29"/>
      <c r="O200" s="10"/>
      <c r="P200" s="10"/>
      <c r="Q200" s="35"/>
      <c r="R200" s="29"/>
      <c r="S200" s="10"/>
      <c r="T200" s="10"/>
      <c r="U200" s="10"/>
      <c r="V200" s="10"/>
      <c r="W200" s="10"/>
      <c r="X200" s="8"/>
      <c r="Y200" s="10"/>
      <c r="Z200" s="39"/>
      <c r="AA200" s="37"/>
      <c r="AB200" s="8"/>
      <c r="AC200" s="26"/>
      <c r="AD200" s="24">
        <f t="shared" si="9"/>
        <v>0</v>
      </c>
      <c r="AE200" s="24">
        <f t="shared" si="10"/>
        <v>0</v>
      </c>
      <c r="AF200" s="24">
        <f t="shared" si="11"/>
        <v>0</v>
      </c>
      <c r="AG200" s="41" t="str" cm="1">
        <f t="array" ref="AG200">_xlfn.IFS(
SUM(AD200:AF200)=0,"Not Started",
SUM(AD200:AF200)&lt;15,"In Progress",
SUM(AD200:AF200)=15,"Completed",
SUM(AD200:AF200)&gt;15,"Error"
)</f>
        <v>Not Started</v>
      </c>
    </row>
    <row r="201" spans="1:33" ht="13" x14ac:dyDescent="0.25">
      <c r="A201" s="248"/>
      <c r="B201" s="7" t="s">
        <v>2660</v>
      </c>
      <c r="C201" s="7"/>
      <c r="D201" s="7"/>
      <c r="E201" s="7"/>
      <c r="F201" s="7"/>
      <c r="G201" s="7"/>
      <c r="H201" s="7"/>
      <c r="I201" s="7"/>
      <c r="J201" s="7"/>
      <c r="K201" s="7"/>
      <c r="L201" s="9"/>
      <c r="M201" s="32"/>
      <c r="N201" s="29"/>
      <c r="O201" s="10"/>
      <c r="P201" s="10"/>
      <c r="Q201" s="35"/>
      <c r="R201" s="29"/>
      <c r="S201" s="10"/>
      <c r="T201" s="10"/>
      <c r="U201" s="10"/>
      <c r="V201" s="10"/>
      <c r="W201" s="10"/>
      <c r="X201" s="10"/>
      <c r="Y201" s="10"/>
      <c r="Z201" s="35"/>
      <c r="AA201" s="37"/>
      <c r="AB201" s="8"/>
      <c r="AC201" s="26"/>
      <c r="AD201" s="24">
        <f t="shared" si="9"/>
        <v>0</v>
      </c>
      <c r="AE201" s="24">
        <f t="shared" si="10"/>
        <v>0</v>
      </c>
      <c r="AF201" s="24">
        <f t="shared" si="11"/>
        <v>0</v>
      </c>
      <c r="AG201" s="41" t="str" cm="1">
        <f t="array" ref="AG201">_xlfn.IFS(
SUM(AD201:AF201)=0,"Not Started",
SUM(AD201:AF201)&lt;15,"In Progress",
SUM(AD201:AF201)=15,"Completed",
SUM(AD201:AF201)&gt;15,"Error"
)</f>
        <v>Not Started</v>
      </c>
    </row>
    <row r="202" spans="1:33" ht="13" x14ac:dyDescent="0.25">
      <c r="A202" s="248"/>
      <c r="B202" s="14" t="s">
        <v>2661</v>
      </c>
      <c r="C202" s="7"/>
      <c r="D202" s="7"/>
      <c r="E202" s="7"/>
      <c r="F202" s="7"/>
      <c r="G202" s="7"/>
      <c r="H202" s="7"/>
      <c r="I202" s="7"/>
      <c r="J202" s="7"/>
      <c r="K202" s="7"/>
      <c r="L202" s="9"/>
      <c r="M202" s="32"/>
      <c r="N202" s="29"/>
      <c r="O202" s="10"/>
      <c r="P202" s="10"/>
      <c r="Q202" s="35"/>
      <c r="R202" s="29"/>
      <c r="S202" s="10"/>
      <c r="T202" s="10"/>
      <c r="U202" s="10"/>
      <c r="V202" s="10"/>
      <c r="W202" s="10"/>
      <c r="X202" s="10"/>
      <c r="Y202" s="10"/>
      <c r="Z202" s="39"/>
      <c r="AA202" s="37"/>
      <c r="AB202" s="8"/>
      <c r="AC202" s="26"/>
      <c r="AD202" s="24">
        <f t="shared" si="9"/>
        <v>0</v>
      </c>
      <c r="AE202" s="24">
        <f t="shared" si="10"/>
        <v>0</v>
      </c>
      <c r="AF202" s="24">
        <f t="shared" si="11"/>
        <v>0</v>
      </c>
      <c r="AG202" s="41" t="str" cm="1">
        <f t="array" ref="AG202">_xlfn.IFS(
SUM(AD202:AF202)=0,"Not Started",
SUM(AD202:AF202)&lt;15,"In Progress",
SUM(AD202:AF202)=15,"Completed",
SUM(AD202:AF202)&gt;15,"Error"
)</f>
        <v>Not Started</v>
      </c>
    </row>
    <row r="203" spans="1:33" ht="13" x14ac:dyDescent="0.25">
      <c r="A203" s="249"/>
      <c r="B203" s="7" t="s">
        <v>2662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33"/>
      <c r="N203" s="30"/>
      <c r="O203" s="21"/>
      <c r="P203" s="21"/>
      <c r="Q203" s="36"/>
      <c r="R203" s="30"/>
      <c r="S203" s="21"/>
      <c r="T203" s="21"/>
      <c r="U203" s="10"/>
      <c r="V203" s="10"/>
      <c r="W203" s="10"/>
      <c r="X203" s="21"/>
      <c r="Y203" s="21"/>
      <c r="Z203" s="36"/>
      <c r="AA203" s="38"/>
      <c r="AB203" s="22"/>
      <c r="AC203" s="27"/>
      <c r="AD203" s="24">
        <f t="shared" si="9"/>
        <v>0</v>
      </c>
      <c r="AE203" s="24">
        <f t="shared" si="10"/>
        <v>0</v>
      </c>
      <c r="AF203" s="24">
        <f t="shared" si="11"/>
        <v>0</v>
      </c>
      <c r="AG203" s="41" t="str" cm="1">
        <f t="array" ref="AG203">_xlfn.IFS(
SUM(AD203:AF203)=0,"Not Started",
SUM(AD203:AF203)&lt;15,"In Progress",
SUM(AD203:AF203)=15,"Completed",
SUM(AD203:AF203)&gt;15,"Error"
)</f>
        <v>Not Started</v>
      </c>
    </row>
    <row r="204" spans="1:33" ht="15.75" customHeight="1" x14ac:dyDescent="0.25">
      <c r="A204" s="250" t="s">
        <v>251</v>
      </c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"/>
      <c r="AD204" s="24">
        <f t="shared" si="9"/>
        <v>0</v>
      </c>
      <c r="AE204" s="24">
        <f t="shared" si="10"/>
        <v>0</v>
      </c>
      <c r="AF204" s="24">
        <f t="shared" si="11"/>
        <v>0</v>
      </c>
      <c r="AG204" s="40" cm="1">
        <f t="array" ref="AG204">SUM(N204:AB204/15)</f>
        <v>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B49:AC203 B4:B48 M4:AC48" name="Range1"/>
    <protectedRange sqref="C4:L48" name="Range1_1"/>
  </protectedRanges>
  <mergeCells count="14">
    <mergeCell ref="AE2:AE3"/>
    <mergeCell ref="AF2:AF3"/>
    <mergeCell ref="AG2:AG3"/>
    <mergeCell ref="A2:A3"/>
    <mergeCell ref="B2:L2"/>
    <mergeCell ref="M2:M3"/>
    <mergeCell ref="N2:Q2"/>
    <mergeCell ref="R2:Z2"/>
    <mergeCell ref="AA2:AA3"/>
    <mergeCell ref="A4:A203"/>
    <mergeCell ref="A204:M204"/>
    <mergeCell ref="AB2:AB3"/>
    <mergeCell ref="AC2:AC3"/>
    <mergeCell ref="AD2:AD3"/>
  </mergeCells>
  <phoneticPr fontId="14" type="noConversion"/>
  <conditionalFormatting sqref="AD5:AF204 B4:B69 B70:AC203 D49:E69 M4:AF4 K49:AC69 G49:H69 M5:AC48">
    <cfRule type="cellIs" dxfId="87" priority="12" operator="equal">
      <formula>"In Progress"</formula>
    </cfRule>
    <cfRule type="cellIs" dxfId="86" priority="13" operator="equal">
      <formula>"Completed"</formula>
    </cfRule>
  </conditionalFormatting>
  <conditionalFormatting sqref="N4:Z203">
    <cfRule type="cellIs" dxfId="85" priority="8" operator="equal">
      <formula>"Not Started"</formula>
    </cfRule>
  </conditionalFormatting>
  <conditionalFormatting sqref="AG4:AG203">
    <cfRule type="cellIs" dxfId="84" priority="9" operator="equal">
      <formula>"In Progress"</formula>
    </cfRule>
    <cfRule type="cellIs" dxfId="83" priority="10" operator="equal">
      <formula>"Completed"</formula>
    </cfRule>
    <cfRule type="cellIs" dxfId="82" priority="11" operator="equal">
      <formula>"Not Started"</formula>
    </cfRule>
  </conditionalFormatting>
  <conditionalFormatting sqref="J49:J69">
    <cfRule type="duplicateValues" dxfId="81" priority="7"/>
  </conditionalFormatting>
  <conditionalFormatting sqref="G4:H48 D4:E48">
    <cfRule type="cellIs" dxfId="80" priority="5" operator="equal">
      <formula>"In Progress"</formula>
    </cfRule>
    <cfRule type="cellIs" dxfId="79" priority="6" operator="equal">
      <formula>"Completed"</formula>
    </cfRule>
  </conditionalFormatting>
  <conditionalFormatting sqref="J4:J48">
    <cfRule type="duplicateValues" dxfId="78" priority="4"/>
  </conditionalFormatting>
  <conditionalFormatting sqref="J4:J48">
    <cfRule type="duplicateValues" dxfId="77" priority="3"/>
  </conditionalFormatting>
  <conditionalFormatting sqref="C4:C48">
    <cfRule type="cellIs" dxfId="76" priority="1" operator="equal">
      <formula>"In Progress"</formula>
    </cfRule>
    <cfRule type="cellIs" dxfId="75" priority="2" operator="equal">
      <formula>"Completed"</formula>
    </cfRule>
  </conditionalFormatting>
  <dataValidations count="3">
    <dataValidation type="list" allowBlank="1" showInputMessage="1" showErrorMessage="1" sqref="E4:E203" xr:uid="{368D1B98-139E-471B-928E-2CD39811FE60}">
      <formula1>$AJ$4:$AJ$7</formula1>
    </dataValidation>
    <dataValidation type="list" allowBlank="1" showInputMessage="1" showErrorMessage="1" sqref="F4:F203" xr:uid="{F6B36AA4-ED66-459E-88EE-04236C82C280}">
      <formula1>$AK$4:$AK$6</formula1>
    </dataValidation>
    <dataValidation type="list" allowBlank="1" showInputMessage="1" showErrorMessage="1" sqref="N4:AB203" xr:uid="{77B7298A-8F50-485F-8688-6CDF664F901D}">
      <formula1>$AL$4:$AL$7</formula1>
    </dataValidation>
  </dataValidation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a893d784-68aa-4d80-a792-a089bc952d94}" enabled="1" method="Privileged" siteId="{441ce032-3703-49e0-85dc-804c2bb341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Dammam school-1</vt:lpstr>
      <vt:lpstr>Madina Schools -1 </vt:lpstr>
      <vt:lpstr>Qassim Schools -1</vt:lpstr>
      <vt:lpstr>Jeddah Schools -1</vt:lpstr>
      <vt:lpstr>Makkah Schools -1 </vt:lpstr>
      <vt:lpstr>Al Jouf Schools -1 </vt:lpstr>
      <vt:lpstr>Hail Schools -1</vt:lpstr>
      <vt:lpstr>NB Schools -1 </vt:lpstr>
      <vt:lpstr>Najran Schools -1</vt:lpstr>
      <vt:lpstr>Jazan Schools -1</vt:lpstr>
      <vt:lpstr>Al Hasa Schools -1</vt:lpstr>
      <vt:lpstr>Riyadh  Schools -3 </vt:lpstr>
      <vt:lpstr>Makkah Schools -2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Alkhudairi | عبدالله الخضيري</dc:creator>
  <cp:keywords/>
  <dc:description/>
  <cp:lastModifiedBy>Syed Azam / CoolCare MRO Solar Energy</cp:lastModifiedBy>
  <cp:revision/>
  <cp:lastPrinted>2026-03-08T09:09:21Z</cp:lastPrinted>
  <dcterms:created xsi:type="dcterms:W3CDTF">2026-02-18T07:27:44Z</dcterms:created>
  <dcterms:modified xsi:type="dcterms:W3CDTF">2026-05-10T07:40:21Z</dcterms:modified>
  <cp:category/>
  <cp:contentStatus/>
</cp:coreProperties>
</file>